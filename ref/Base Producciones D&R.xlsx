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F:\PRODUCCION D&amp;R-SERVICIOS\PRODUCCION 2026\2026-05 MAYO\"/>
    </mc:Choice>
  </mc:AlternateContent>
  <xr:revisionPtr revIDLastSave="0" documentId="13_ncr:1_{CD261FC5-C444-4FBD-B360-430C6734F1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ductor" sheetId="4" r:id="rId1"/>
    <sheet name="Auxiliar" sheetId="5" r:id="rId2"/>
    <sheet name="Base Datos" sheetId="1" r:id="rId3"/>
    <sheet name="Hoja2" sheetId="3" state="hidden" r:id="rId4"/>
  </sheets>
  <definedNames>
    <definedName name="_xlnm._FilterDatabase" localSheetId="2" hidden="1">'Base Datos'!$A$1:$AB$4438</definedName>
  </definedNames>
  <calcPr calcId="191029"/>
  <pivotCaches>
    <pivotCache cacheId="7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04" i="1" l="1"/>
  <c r="H4166" i="1" l="1"/>
  <c r="V3981" i="1" l="1"/>
  <c r="H4413" i="1" l="1"/>
  <c r="H4410" i="1"/>
  <c r="H4335" i="1"/>
  <c r="H4334" i="1"/>
  <c r="H4333" i="1"/>
  <c r="V4332" i="1"/>
  <c r="H4332" i="1"/>
  <c r="H4296" i="1"/>
  <c r="H4278" i="1"/>
  <c r="H4264" i="1"/>
  <c r="V4225" i="1"/>
  <c r="H4223" i="1"/>
  <c r="H4220" i="1"/>
  <c r="V4219" i="1"/>
  <c r="H4219" i="1"/>
  <c r="V4218" i="1"/>
  <c r="H4218" i="1"/>
  <c r="H4205" i="1"/>
  <c r="V4203" i="1"/>
  <c r="H4203" i="1"/>
  <c r="V4202" i="1"/>
  <c r="H4202" i="1"/>
  <c r="V4201" i="1"/>
  <c r="H4201" i="1"/>
  <c r="V4200" i="1"/>
  <c r="V4199" i="1"/>
  <c r="H4199" i="1"/>
  <c r="V4198" i="1"/>
  <c r="H4198" i="1"/>
  <c r="V4184" i="1"/>
  <c r="H4184" i="1"/>
  <c r="V4183" i="1"/>
  <c r="H4183" i="1"/>
  <c r="H4182" i="1"/>
  <c r="V4181" i="1"/>
  <c r="H4181" i="1"/>
  <c r="H4170" i="1"/>
  <c r="H4169" i="1"/>
  <c r="V4168" i="1"/>
  <c r="H4168" i="1"/>
  <c r="V4167" i="1"/>
  <c r="H4167" i="1"/>
  <c r="V4166" i="1"/>
  <c r="H4073" i="1"/>
  <c r="H4058" i="1"/>
  <c r="H4057" i="1"/>
  <c r="H4045" i="1"/>
  <c r="V3999" i="1"/>
  <c r="V3998" i="1"/>
  <c r="H3998" i="1"/>
  <c r="H3996" i="1"/>
  <c r="V3995" i="1"/>
  <c r="H3995" i="1"/>
  <c r="H3993" i="1"/>
  <c r="V3983" i="1"/>
  <c r="V3982" i="1"/>
  <c r="V3980" i="1"/>
  <c r="H3980" i="1"/>
  <c r="V3975" i="1"/>
  <c r="V3591" i="1"/>
  <c r="V3874" i="1" l="1"/>
  <c r="H3874" i="1"/>
  <c r="V3948" i="1" l="1"/>
  <c r="H3948" i="1"/>
  <c r="V3947" i="1"/>
  <c r="H3947" i="1"/>
  <c r="V3946" i="1"/>
  <c r="H3946" i="1"/>
  <c r="H3945" i="1"/>
  <c r="H3944" i="1"/>
  <c r="V3943" i="1"/>
  <c r="H3943" i="1"/>
  <c r="H3890" i="1"/>
  <c r="H3889" i="1"/>
  <c r="H3888" i="1"/>
  <c r="V3887" i="1"/>
  <c r="H3886" i="1"/>
  <c r="V3877" i="1"/>
  <c r="V3876" i="1"/>
  <c r="V3875" i="1"/>
  <c r="H3875" i="1"/>
  <c r="V3873" i="1"/>
  <c r="H3873" i="1"/>
  <c r="H3872" i="1"/>
  <c r="V3871" i="1"/>
  <c r="H3871" i="1"/>
  <c r="V3861" i="1"/>
  <c r="V3860" i="1"/>
  <c r="H3856" i="1"/>
  <c r="V3847" i="1"/>
  <c r="V3845" i="1"/>
  <c r="H3845" i="1"/>
  <c r="H3843" i="1"/>
  <c r="H3841" i="1"/>
  <c r="U3802" i="1"/>
  <c r="H3793" i="1"/>
  <c r="H3791" i="1"/>
  <c r="H3788" i="1"/>
  <c r="H3778" i="1"/>
  <c r="H3777" i="1"/>
  <c r="H3776" i="1"/>
  <c r="V3766" i="1"/>
  <c r="H3766" i="1"/>
  <c r="V3765" i="1"/>
  <c r="H3765" i="1"/>
  <c r="H3762" i="1"/>
  <c r="V3761" i="1"/>
  <c r="V3760" i="1"/>
  <c r="H3751" i="1"/>
  <c r="H3750" i="1"/>
  <c r="H3749" i="1"/>
  <c r="V3747" i="1"/>
  <c r="H3747" i="1"/>
  <c r="H3746" i="1"/>
  <c r="H3745" i="1"/>
  <c r="V3734" i="1"/>
  <c r="W3732" i="1"/>
  <c r="U3703" i="1"/>
  <c r="U3702" i="1"/>
  <c r="U3692" i="1"/>
  <c r="H3677" i="1"/>
  <c r="V3676" i="1"/>
  <c r="H3676" i="1"/>
  <c r="V3674" i="1"/>
  <c r="H3674" i="1"/>
  <c r="H3672" i="1"/>
  <c r="H3661" i="1"/>
  <c r="H3652" i="1"/>
  <c r="H3651" i="1"/>
  <c r="H3650" i="1"/>
  <c r="H3649" i="1"/>
  <c r="H3648" i="1"/>
  <c r="V3641" i="1"/>
  <c r="V3636" i="1"/>
  <c r="H3635" i="1"/>
  <c r="U3626" i="1"/>
  <c r="U3622" i="1"/>
  <c r="V3592" i="1"/>
  <c r="H3570" i="1"/>
  <c r="H3566" i="1"/>
  <c r="V3565" i="1"/>
  <c r="H3565" i="1"/>
  <c r="H3561" i="1"/>
  <c r="H3560" i="1"/>
  <c r="V3548" i="1"/>
  <c r="H3518" i="1"/>
  <c r="H3514" i="1"/>
  <c r="H3515" i="1"/>
  <c r="V3515" i="1" l="1"/>
  <c r="V3518" i="1" l="1"/>
  <c r="V3516" i="1"/>
  <c r="H3516" i="1"/>
  <c r="V3514" i="1"/>
  <c r="V3513" i="1"/>
  <c r="H3513" i="1"/>
  <c r="H3506" i="1"/>
  <c r="V3505" i="1"/>
  <c r="H3505" i="1"/>
  <c r="H3504" i="1"/>
  <c r="H3503" i="1"/>
  <c r="V3502" i="1"/>
  <c r="H3502" i="1"/>
  <c r="V3501" i="1"/>
  <c r="H3501" i="1"/>
  <c r="V3493" i="1"/>
  <c r="V3492" i="1"/>
  <c r="H3492" i="1"/>
  <c r="V3490" i="1"/>
  <c r="V3489" i="1"/>
  <c r="V3488" i="1"/>
  <c r="H3488" i="1"/>
  <c r="V3482" i="1"/>
  <c r="H3482" i="1"/>
  <c r="H3481" i="1"/>
  <c r="H3480" i="1"/>
  <c r="V3477" i="1"/>
  <c r="V3476" i="1"/>
  <c r="V3472" i="1"/>
  <c r="U3447" i="1"/>
  <c r="V3425" i="1"/>
  <c r="V3422" i="1"/>
  <c r="V3421" i="1"/>
  <c r="V3420" i="1"/>
  <c r="V3419" i="1"/>
  <c r="V3418" i="1"/>
  <c r="V3412" i="1"/>
  <c r="W3401" i="1"/>
  <c r="V3401" i="1"/>
  <c r="V3390" i="1"/>
  <c r="V3386" i="1"/>
  <c r="V3347" i="1"/>
  <c r="H3347" i="1"/>
  <c r="H3325" i="1"/>
  <c r="V3316" i="1"/>
  <c r="H3316" i="1"/>
  <c r="H3315" i="1"/>
  <c r="V3314" i="1"/>
  <c r="H3314" i="1"/>
  <c r="H3313" i="1"/>
  <c r="V3312" i="1"/>
  <c r="V3311" i="1"/>
  <c r="H3311" i="1"/>
  <c r="H3301" i="1"/>
  <c r="V3299" i="1"/>
  <c r="V3298" i="1"/>
  <c r="V3264" i="1"/>
  <c r="V3263" i="1"/>
  <c r="H3250" i="1"/>
  <c r="H3234" i="1"/>
  <c r="H3224" i="1"/>
  <c r="U2795" i="1"/>
  <c r="U2797" i="1"/>
  <c r="V2797" i="1"/>
  <c r="H2797" i="1"/>
  <c r="H3173" i="1" l="1"/>
  <c r="V3172" i="1"/>
  <c r="H3172" i="1"/>
  <c r="H3169" i="1"/>
  <c r="V3168" i="1"/>
  <c r="H3168" i="1"/>
  <c r="H3157" i="1" l="1"/>
  <c r="H3131" i="1" l="1"/>
  <c r="H3130" i="1"/>
  <c r="H3116" i="1"/>
  <c r="U3103" i="1"/>
  <c r="U3091" i="1"/>
  <c r="V3082" i="1"/>
  <c r="H3081" i="1"/>
  <c r="V3080" i="1"/>
  <c r="H3080" i="1"/>
  <c r="H3079" i="1"/>
  <c r="V3076" i="1"/>
  <c r="H3076" i="1"/>
  <c r="H3067" i="1"/>
  <c r="V3066" i="1"/>
  <c r="V3065" i="1"/>
  <c r="H3065" i="1"/>
  <c r="V3064" i="1"/>
  <c r="H3064" i="1"/>
  <c r="V3063" i="1"/>
  <c r="H3063" i="1"/>
  <c r="H3054" i="1"/>
  <c r="V3053" i="1"/>
  <c r="H3053" i="1"/>
  <c r="V3052" i="1"/>
  <c r="H3052" i="1"/>
  <c r="V3051" i="1"/>
  <c r="H3051" i="1"/>
  <c r="H3050" i="1"/>
  <c r="V3044" i="1"/>
  <c r="V3043" i="1"/>
  <c r="H3043" i="1"/>
  <c r="V3042" i="1"/>
  <c r="H3042" i="1"/>
  <c r="V3041" i="1"/>
  <c r="H3041" i="1"/>
  <c r="V3040" i="1"/>
  <c r="H3040" i="1"/>
  <c r="V3039" i="1"/>
  <c r="H3039" i="1"/>
  <c r="H3038" i="1"/>
  <c r="V3037" i="1"/>
  <c r="U3010" i="1"/>
  <c r="U2999" i="1"/>
  <c r="H2991" i="1"/>
  <c r="H2990" i="1"/>
  <c r="H2987" i="1"/>
  <c r="H2986" i="1"/>
  <c r="H2985" i="1"/>
  <c r="V2980" i="1"/>
  <c r="V2979" i="1"/>
  <c r="H2978" i="1"/>
  <c r="H2977" i="1"/>
  <c r="V2976" i="1"/>
  <c r="H2976" i="1"/>
  <c r="V2975" i="1"/>
  <c r="H2975" i="1"/>
  <c r="V2974" i="1"/>
  <c r="H2974" i="1"/>
  <c r="V2973" i="1"/>
  <c r="H2973" i="1"/>
  <c r="H2964" i="1"/>
  <c r="H2961" i="1"/>
  <c r="H2960" i="1"/>
  <c r="V2937" i="1"/>
  <c r="V2903" i="1"/>
  <c r="V2902" i="1"/>
  <c r="H2902" i="1"/>
  <c r="V2901" i="1"/>
  <c r="H2901" i="1"/>
  <c r="V2900" i="1"/>
  <c r="V2899" i="1"/>
  <c r="H2899" i="1"/>
  <c r="V2891" i="1"/>
  <c r="V2890" i="1"/>
  <c r="V2886" i="1"/>
  <c r="H2864" i="1"/>
  <c r="H2863" i="1"/>
  <c r="H2862" i="1"/>
  <c r="V2861" i="1"/>
  <c r="H2861" i="1"/>
  <c r="V2860" i="1"/>
  <c r="H2860" i="1"/>
  <c r="V2859" i="1"/>
  <c r="H2859" i="1"/>
  <c r="V2858" i="1"/>
  <c r="H2858" i="1"/>
  <c r="W2814" i="1"/>
  <c r="V2813" i="1"/>
  <c r="H2813" i="1"/>
  <c r="V2812" i="1"/>
  <c r="H2812" i="1"/>
  <c r="H2811" i="1"/>
  <c r="V2810" i="1"/>
  <c r="H2810" i="1"/>
  <c r="V2809" i="1"/>
  <c r="H2809" i="1"/>
  <c r="V2807" i="1"/>
  <c r="H2807" i="1"/>
  <c r="W2802" i="1"/>
  <c r="V2801" i="1"/>
  <c r="H2801" i="1"/>
  <c r="V2800" i="1"/>
  <c r="H2800" i="1"/>
  <c r="H2799" i="1"/>
  <c r="V2798" i="1"/>
  <c r="H2798" i="1"/>
  <c r="V2796" i="1"/>
  <c r="H2796" i="1"/>
  <c r="V2794" i="1"/>
  <c r="H2794" i="1"/>
  <c r="V2604" i="1" l="1"/>
  <c r="V2603" i="1"/>
  <c r="H2769" i="1"/>
  <c r="U2730" i="1"/>
  <c r="Q2729" i="1"/>
  <c r="U2717" i="1"/>
  <c r="H2711" i="1"/>
  <c r="V2710" i="1"/>
  <c r="H2710" i="1"/>
  <c r="V2709" i="1"/>
  <c r="H2709" i="1"/>
  <c r="H2708" i="1"/>
  <c r="H2707" i="1"/>
  <c r="V2706" i="1"/>
  <c r="H2706" i="1"/>
  <c r="V2704" i="1"/>
  <c r="H2704" i="1"/>
  <c r="H2700" i="1"/>
  <c r="H2692" i="1"/>
  <c r="H2682" i="1"/>
  <c r="H2679" i="1"/>
  <c r="H2671" i="1"/>
  <c r="H2670" i="1"/>
  <c r="H2669" i="1"/>
  <c r="H2668" i="1"/>
  <c r="H2667" i="1"/>
  <c r="H2664" i="1"/>
  <c r="V2660" i="1"/>
  <c r="H2660" i="1"/>
  <c r="V2656" i="1"/>
  <c r="H2656" i="1"/>
  <c r="V2655" i="1"/>
  <c r="V2654" i="1"/>
  <c r="V2653" i="1"/>
  <c r="V2652" i="1"/>
  <c r="H2621" i="1"/>
  <c r="H2620" i="1"/>
  <c r="H2618" i="1"/>
  <c r="V2616" i="1"/>
  <c r="H2616" i="1"/>
  <c r="V2615" i="1"/>
  <c r="H2615" i="1"/>
  <c r="V2613" i="1"/>
  <c r="H2613" i="1"/>
  <c r="V2609" i="1"/>
  <c r="H2609" i="1"/>
  <c r="H2608" i="1"/>
  <c r="V2607" i="1"/>
  <c r="H2607" i="1"/>
  <c r="V2606" i="1"/>
  <c r="H2606" i="1"/>
  <c r="W2605" i="1"/>
  <c r="V2605" i="1"/>
  <c r="H2605" i="1"/>
  <c r="H2604" i="1"/>
  <c r="H2603" i="1"/>
  <c r="V2602" i="1"/>
  <c r="H2602" i="1"/>
  <c r="V2601" i="1"/>
  <c r="H2601" i="1"/>
  <c r="V2600" i="1"/>
  <c r="H2600" i="1"/>
  <c r="H2595" i="1"/>
  <c r="V2594" i="1"/>
  <c r="H2594" i="1"/>
  <c r="V2593" i="1"/>
  <c r="H2593" i="1"/>
  <c r="H2592" i="1"/>
  <c r="H2590" i="1"/>
  <c r="H2589" i="1"/>
  <c r="H2581" i="1"/>
  <c r="V2567" i="1"/>
  <c r="H2567" i="1"/>
  <c r="U2553" i="1"/>
  <c r="U2552" i="1"/>
  <c r="H2526" i="1"/>
  <c r="V2525" i="1"/>
  <c r="H2525" i="1"/>
  <c r="H2524" i="1"/>
  <c r="V2521" i="1"/>
  <c r="H2521" i="1"/>
  <c r="H2520" i="1"/>
  <c r="H2500" i="1"/>
  <c r="H2499" i="1"/>
  <c r="H2498" i="1"/>
  <c r="H2497" i="1"/>
  <c r="V2496" i="1"/>
  <c r="H2496" i="1"/>
  <c r="H2495" i="1"/>
  <c r="H2494" i="1"/>
  <c r="V2493" i="1"/>
  <c r="H2493" i="1"/>
  <c r="H2487" i="1"/>
  <c r="V2486" i="1"/>
  <c r="H2486" i="1"/>
  <c r="V2484" i="1"/>
  <c r="H2484" i="1"/>
  <c r="H2483" i="1"/>
  <c r="V2482" i="1"/>
  <c r="H2482" i="1"/>
  <c r="V2481" i="1"/>
  <c r="H2481" i="1"/>
  <c r="H2480" i="1"/>
  <c r="H2466" i="1"/>
  <c r="H2465" i="1"/>
  <c r="V2425" i="1"/>
  <c r="H2425" i="1"/>
  <c r="V2400" i="1"/>
  <c r="H2400" i="1"/>
  <c r="V2399" i="1"/>
  <c r="H2399" i="1"/>
  <c r="H2387" i="1"/>
  <c r="H2386" i="1"/>
  <c r="V2381" i="1"/>
  <c r="H2381" i="1"/>
  <c r="H2380" i="1"/>
  <c r="V2371" i="1"/>
  <c r="H2367" i="1"/>
  <c r="V2192" i="1"/>
  <c r="H2192" i="1"/>
  <c r="V2135" i="1" l="1"/>
  <c r="H2135" i="1"/>
  <c r="V2221" i="1"/>
  <c r="H2221" i="1"/>
  <c r="V2205" i="1"/>
  <c r="H2205" i="1"/>
  <c r="V2146" i="1"/>
  <c r="H2059" i="1"/>
  <c r="H2285" i="1"/>
  <c r="V2076" i="1"/>
  <c r="U2342" i="1"/>
  <c r="U2338" i="1"/>
  <c r="V2330" i="1"/>
  <c r="H2329" i="1"/>
  <c r="V2327" i="1"/>
  <c r="H2327" i="1"/>
  <c r="V2326" i="1"/>
  <c r="H2326" i="1"/>
  <c r="V2325" i="1"/>
  <c r="H2325" i="1"/>
  <c r="V2324" i="1"/>
  <c r="H2324" i="1"/>
  <c r="W2323" i="1"/>
  <c r="V2323" i="1"/>
  <c r="H2323" i="1"/>
  <c r="V2322" i="1"/>
  <c r="H2322" i="1"/>
  <c r="V2317" i="1"/>
  <c r="H2317" i="1"/>
  <c r="V2314" i="1"/>
  <c r="H2314" i="1"/>
  <c r="V2310" i="1"/>
  <c r="H2310" i="1"/>
  <c r="H2305" i="1"/>
  <c r="H2304" i="1"/>
  <c r="H2303" i="1"/>
  <c r="V2301" i="1"/>
  <c r="H2301" i="1"/>
  <c r="V2300" i="1"/>
  <c r="H2300" i="1"/>
  <c r="V2299" i="1"/>
  <c r="H2299" i="1"/>
  <c r="H2298" i="1"/>
  <c r="H2294" i="1"/>
  <c r="H2292" i="1"/>
  <c r="H2291" i="1"/>
  <c r="H2290" i="1"/>
  <c r="V2289" i="1"/>
  <c r="H2289" i="1"/>
  <c r="V2288" i="1"/>
  <c r="H2288" i="1"/>
  <c r="H2286" i="1"/>
  <c r="V2284" i="1"/>
  <c r="H2284" i="1"/>
  <c r="V2276" i="1"/>
  <c r="V2273" i="1"/>
  <c r="Q2247" i="1"/>
  <c r="U2245" i="1"/>
  <c r="V2240" i="1"/>
  <c r="H2240" i="1"/>
  <c r="V2239" i="1"/>
  <c r="V2236" i="1"/>
  <c r="H2236" i="1"/>
  <c r="V2235" i="1"/>
  <c r="H2235" i="1"/>
  <c r="H2234" i="1"/>
  <c r="V2233" i="1"/>
  <c r="H2233" i="1"/>
  <c r="V2232" i="1"/>
  <c r="H2232" i="1"/>
  <c r="V2231" i="1"/>
  <c r="H2231" i="1"/>
  <c r="V2226" i="1"/>
  <c r="H2225" i="1"/>
  <c r="V2224" i="1"/>
  <c r="H2224" i="1"/>
  <c r="H2223" i="1"/>
  <c r="V2222" i="1"/>
  <c r="H2222" i="1"/>
  <c r="H2220" i="1"/>
  <c r="H2219" i="1"/>
  <c r="H2218" i="1"/>
  <c r="V2217" i="1"/>
  <c r="H2217" i="1"/>
  <c r="H2216" i="1"/>
  <c r="H2210" i="1"/>
  <c r="V2209" i="1"/>
  <c r="H2209" i="1"/>
  <c r="H2208" i="1"/>
  <c r="V2207" i="1"/>
  <c r="H2207" i="1"/>
  <c r="V2206" i="1"/>
  <c r="H2206" i="1"/>
  <c r="V2204" i="1"/>
  <c r="H2204" i="1"/>
  <c r="V2201" i="1"/>
  <c r="H2201" i="1"/>
  <c r="V2200" i="1"/>
  <c r="H2200" i="1"/>
  <c r="V2199" i="1"/>
  <c r="H2199" i="1"/>
  <c r="V2198" i="1"/>
  <c r="H2198" i="1"/>
  <c r="H2197" i="1"/>
  <c r="V2196" i="1"/>
  <c r="H2196" i="1"/>
  <c r="V2195" i="1"/>
  <c r="H2195" i="1"/>
  <c r="V2194" i="1"/>
  <c r="H2194" i="1"/>
  <c r="V2193" i="1"/>
  <c r="H2193" i="1"/>
  <c r="V2158" i="1"/>
  <c r="V2157" i="1"/>
  <c r="H2157" i="1"/>
  <c r="V2156" i="1"/>
  <c r="H2156" i="1"/>
  <c r="V2155" i="1"/>
  <c r="H2155" i="1"/>
  <c r="V2154" i="1"/>
  <c r="H2154" i="1"/>
  <c r="V2153" i="1"/>
  <c r="H2153" i="1"/>
  <c r="V2152" i="1"/>
  <c r="H2152" i="1"/>
  <c r="V2150" i="1"/>
  <c r="H2150" i="1"/>
  <c r="V2149" i="1"/>
  <c r="V2148" i="1"/>
  <c r="H2148" i="1"/>
  <c r="H2147" i="1"/>
  <c r="V2144" i="1"/>
  <c r="H2144" i="1"/>
  <c r="V2143" i="1"/>
  <c r="H2143" i="1"/>
  <c r="V2142" i="1"/>
  <c r="H2142" i="1"/>
  <c r="V2136" i="1"/>
  <c r="H2136" i="1"/>
  <c r="H2134" i="1"/>
  <c r="H2133" i="1"/>
  <c r="H2131" i="1"/>
  <c r="H2124" i="1"/>
  <c r="H2123" i="1"/>
  <c r="V2121" i="1"/>
  <c r="H2121" i="1"/>
  <c r="H2120" i="1"/>
  <c r="V2116" i="1"/>
  <c r="H2116" i="1"/>
  <c r="H2115" i="1"/>
  <c r="V2114" i="1"/>
  <c r="V2113" i="1"/>
  <c r="V2112" i="1"/>
  <c r="V2082" i="1"/>
  <c r="V2081" i="1"/>
  <c r="V2079" i="1"/>
  <c r="V2072" i="1"/>
  <c r="H2072" i="1"/>
  <c r="V2071" i="1"/>
  <c r="H2070" i="1"/>
  <c r="H2069" i="1"/>
  <c r="V2068" i="1"/>
  <c r="V2067" i="1"/>
  <c r="V2066" i="1"/>
  <c r="V2041" i="1"/>
  <c r="H1906" i="1"/>
  <c r="Q1882" i="1"/>
  <c r="V2005" i="1"/>
  <c r="V1994" i="1"/>
  <c r="X1994" i="1"/>
  <c r="H1895" i="1"/>
  <c r="V1894" i="1"/>
  <c r="H1894" i="1"/>
  <c r="H1830" i="1"/>
  <c r="H1939" i="1"/>
  <c r="H1938" i="1"/>
  <c r="V1721" i="1"/>
  <c r="H1721" i="1"/>
  <c r="V2006" i="1"/>
  <c r="H1836" i="1" l="1"/>
  <c r="V1769" i="1" l="1"/>
  <c r="H1769" i="1"/>
  <c r="V1759" i="1"/>
  <c r="H1759" i="1"/>
  <c r="H1703" i="1"/>
  <c r="H1696" i="1"/>
  <c r="V2009" i="1" l="1"/>
  <c r="H2004" i="1"/>
  <c r="H2003" i="1"/>
  <c r="V1996" i="1"/>
  <c r="H1996" i="1"/>
  <c r="V1995" i="1"/>
  <c r="H1995" i="1"/>
  <c r="H1994" i="1"/>
  <c r="H1993" i="1"/>
  <c r="H1992" i="1"/>
  <c r="H1985" i="1"/>
  <c r="H1984" i="1"/>
  <c r="H1983" i="1"/>
  <c r="H1982" i="1"/>
  <c r="V1981" i="1"/>
  <c r="V1977" i="1"/>
  <c r="H1977" i="1"/>
  <c r="V1973" i="1"/>
  <c r="V1892" i="1"/>
  <c r="V1891" i="1"/>
  <c r="V1890" i="1"/>
  <c r="V1863" i="1"/>
  <c r="H1863" i="1"/>
  <c r="H1862" i="1"/>
  <c r="V1861" i="1"/>
  <c r="H1861" i="1"/>
  <c r="V1857" i="1"/>
  <c r="H1857" i="1"/>
  <c r="V1856" i="1"/>
  <c r="H1856" i="1"/>
  <c r="V1849" i="1"/>
  <c r="H1849" i="1"/>
  <c r="H1841" i="1"/>
  <c r="H1840" i="1"/>
  <c r="V1838" i="1"/>
  <c r="H1837" i="1"/>
  <c r="V1778" i="1"/>
  <c r="V1776" i="1"/>
  <c r="H1776" i="1"/>
  <c r="V1770" i="1"/>
  <c r="H1770" i="1"/>
  <c r="V1768" i="1"/>
  <c r="V1767" i="1"/>
  <c r="H1767" i="1"/>
  <c r="V1760" i="1"/>
  <c r="H1760" i="1"/>
  <c r="V1757" i="1"/>
  <c r="H1757" i="1"/>
  <c r="V1751" i="1"/>
  <c r="V1749" i="1"/>
  <c r="V1747" i="1"/>
  <c r="V1746" i="1"/>
  <c r="V1722" i="1"/>
  <c r="V1720" i="1"/>
  <c r="V1719" i="1"/>
  <c r="V1716" i="1"/>
  <c r="V1714" i="1"/>
  <c r="V1713" i="1"/>
  <c r="V1706" i="1"/>
  <c r="H1706" i="1"/>
  <c r="H1704" i="1"/>
  <c r="H1698" i="1"/>
  <c r="H1697" i="1"/>
  <c r="H1695" i="1"/>
  <c r="H1694" i="1"/>
  <c r="V1610" i="1"/>
  <c r="H1610" i="1"/>
  <c r="H1677" i="1"/>
  <c r="V1672" i="1"/>
  <c r="V1602" i="1"/>
  <c r="H1601" i="1"/>
  <c r="H1553" i="1"/>
  <c r="H1552" i="1"/>
  <c r="V1568" i="1"/>
  <c r="H1568" i="1"/>
  <c r="H1689" i="1" l="1"/>
  <c r="H1684" i="1"/>
  <c r="V1676" i="1"/>
  <c r="V1673" i="1"/>
  <c r="H1637" i="1"/>
  <c r="H1635" i="1"/>
  <c r="H1633" i="1"/>
  <c r="V1625" i="1"/>
  <c r="H1625" i="1"/>
  <c r="H1624" i="1"/>
  <c r="V1623" i="1"/>
  <c r="H1623" i="1"/>
  <c r="V1622" i="1"/>
  <c r="H1622" i="1"/>
  <c r="V1621" i="1"/>
  <c r="H1621" i="1"/>
  <c r="V1620" i="1"/>
  <c r="H1620" i="1"/>
  <c r="V1619" i="1"/>
  <c r="H1619" i="1"/>
  <c r="H1615" i="1"/>
  <c r="H1612" i="1"/>
  <c r="V1611" i="1"/>
  <c r="H1611" i="1"/>
  <c r="V1609" i="1"/>
  <c r="H1609" i="1"/>
  <c r="U1590" i="1"/>
  <c r="U1580" i="1"/>
  <c r="H1573" i="1"/>
  <c r="V1570" i="1"/>
  <c r="H1570" i="1"/>
  <c r="V1569" i="1"/>
  <c r="H1569" i="1"/>
  <c r="V1565" i="1"/>
  <c r="V1563" i="1"/>
  <c r="H1563" i="1"/>
  <c r="H1561" i="1"/>
  <c r="H1560" i="1"/>
  <c r="H1559" i="1"/>
  <c r="H1558" i="1"/>
  <c r="H1551" i="1"/>
  <c r="V1550" i="1"/>
  <c r="H1550" i="1"/>
  <c r="V1548" i="1"/>
  <c r="H1548" i="1"/>
  <c r="H1542" i="1"/>
  <c r="H1539" i="1"/>
  <c r="H1538" i="1"/>
  <c r="H1537" i="1"/>
  <c r="V1533" i="1"/>
  <c r="V1501" i="1"/>
  <c r="H1501" i="1"/>
  <c r="V1500" i="1"/>
  <c r="H1500" i="1"/>
  <c r="V1499" i="1"/>
  <c r="H1499" i="1"/>
  <c r="V1498" i="1"/>
  <c r="H1498" i="1"/>
  <c r="V1497" i="1"/>
  <c r="H1496" i="1"/>
  <c r="V1495" i="1"/>
  <c r="H1495" i="1"/>
  <c r="H1491" i="1"/>
  <c r="H1486" i="1"/>
  <c r="Q1423" i="1"/>
  <c r="H1415" i="1"/>
  <c r="V1412" i="1"/>
  <c r="V1411" i="1"/>
  <c r="H1411" i="1"/>
  <c r="H1410" i="1"/>
  <c r="H1409" i="1"/>
  <c r="H1402" i="1"/>
  <c r="H1401" i="1"/>
  <c r="V135" i="1"/>
  <c r="V1320" i="1"/>
  <c r="H1316" i="1"/>
  <c r="V1313" i="1"/>
  <c r="W1309" i="1"/>
  <c r="W1308" i="1"/>
  <c r="H1184" i="1"/>
  <c r="V1110" i="1"/>
  <c r="V1109" i="1"/>
  <c r="H1066" i="1" l="1"/>
  <c r="H1047" i="1"/>
  <c r="H1046" i="1"/>
  <c r="H1044" i="1"/>
  <c r="H867" i="1"/>
  <c r="H861" i="1"/>
  <c r="V853" i="1"/>
  <c r="H682" i="1"/>
  <c r="H501" i="1"/>
  <c r="C17" i="3"/>
  <c r="C3" i="3"/>
  <c r="C9" i="3" l="1"/>
  <c r="C22" i="3"/>
  <c r="C18" i="3"/>
  <c r="C4" i="3"/>
  <c r="C21" i="3"/>
  <c r="C20" i="3"/>
  <c r="C19" i="3"/>
  <c r="C16" i="3"/>
  <c r="C14" i="3"/>
  <c r="C13" i="3"/>
  <c r="C10" i="3"/>
  <c r="C15" i="3"/>
  <c r="C8" i="3"/>
  <c r="C7" i="3"/>
  <c r="C5" i="3"/>
  <c r="C12" i="3"/>
  <c r="C11" i="3"/>
  <c r="C6" i="3"/>
</calcChain>
</file>

<file path=xl/sharedStrings.xml><?xml version="1.0" encoding="utf-8"?>
<sst xmlns="http://schemas.openxmlformats.org/spreadsheetml/2006/main" count="22873" uniqueCount="2076">
  <si>
    <t>Operador</t>
  </si>
  <si>
    <t>Auxiliar</t>
  </si>
  <si>
    <t>Cod. Usuario</t>
  </si>
  <si>
    <t>Fecha Inicial</t>
  </si>
  <si>
    <t>Fecha Final</t>
  </si>
  <si>
    <t>Duración</t>
  </si>
  <si>
    <t>Estado</t>
  </si>
  <si>
    <t>Despacho / Retiro</t>
  </si>
  <si>
    <t>Entrada &lt; 19:30</t>
  </si>
  <si>
    <t>Salida &gt; 19:30</t>
  </si>
  <si>
    <t>Feria Semana 01</t>
  </si>
  <si>
    <t>Feria Semana 02</t>
  </si>
  <si>
    <t>Fuera Radio Normal</t>
  </si>
  <si>
    <t>Fuera Radio V Región</t>
  </si>
  <si>
    <t>Sabado</t>
  </si>
  <si>
    <t>Domingo</t>
  </si>
  <si>
    <t>Viajes Por Cliente</t>
  </si>
  <si>
    <t>Sábado &gt; 16:00</t>
  </si>
  <si>
    <t>Domingo &gt; 16:00</t>
  </si>
  <si>
    <t>URL</t>
  </si>
  <si>
    <t>Cristian Valdivia</t>
  </si>
  <si>
    <t>Hugo Troncoso</t>
  </si>
  <si>
    <t>OP-S-100</t>
  </si>
  <si>
    <t>Ok</t>
  </si>
  <si>
    <t>https://www.clickideacore.com/ClickHTML5/Visit.aspx?ID=//52DAEwASwAzADMAMAA2ADMAMgAyADQASQBEAEUAQQAC=&amp;Tipo=2&amp;ST=1&amp;nLang=0</t>
  </si>
  <si>
    <t>Daniel Peña</t>
  </si>
  <si>
    <t>Michael Suarez</t>
  </si>
  <si>
    <t>OP-DYR-004</t>
  </si>
  <si>
    <t>https://www.clickideacore.com/ClickHTML5/Visit.aspx?ID=//56DAEwASwAzADMAMAA2ADIAMwA4ADkASQBEAEUAQQAE=&amp;Tipo=2&amp;ST=1&amp;nLang=0</t>
  </si>
  <si>
    <t>Eduardo Soto</t>
  </si>
  <si>
    <t>Alejandro Escobar</t>
  </si>
  <si>
    <t>OP-S-200</t>
  </si>
  <si>
    <t>https://www.clickideacore.com/ClickHTML5/Visit.aspx?ID=//5DDAEwASwAzADMAMAA2ADIAMQAzADYASQBEAEUAQQAB=&amp;Tipo=2&amp;ST=1&amp;nLang=0</t>
  </si>
  <si>
    <t>Gerardo Cartes</t>
  </si>
  <si>
    <t>Yosman Perez</t>
  </si>
  <si>
    <t>OP-S-076</t>
  </si>
  <si>
    <t>https://www.clickideacore.com/ClickHTML5/Visit.aspx?ID=//57DAEwASwAzADMAMAA2ADEAOAA4ADAASQBEAEUAQQA3=&amp;Tipo=2&amp;ST=1&amp;nLang=0</t>
  </si>
  <si>
    <t>Luis Alvarez</t>
  </si>
  <si>
    <t>Wilmer Villa</t>
  </si>
  <si>
    <t>OP-DYR-005</t>
  </si>
  <si>
    <t>https://www.clickideacore.com/ClickHTML5/Visit.aspx?ID=//57DAEwASwAzADMAMAA2ADMAOQAwADAASQBEAEUAQQAB=&amp;Tipo=2&amp;ST=1&amp;nLang=0</t>
  </si>
  <si>
    <t>Secado</t>
  </si>
  <si>
    <t>Evento</t>
  </si>
  <si>
    <t>Punto de Agua</t>
  </si>
  <si>
    <t xml:space="preserve">Basurero Grande </t>
  </si>
  <si>
    <t>Basurero chico</t>
  </si>
  <si>
    <t>Fosa</t>
  </si>
  <si>
    <t>N/A</t>
  </si>
  <si>
    <t>Libre Compensatorio</t>
  </si>
  <si>
    <t>Albert Riveros</t>
  </si>
  <si>
    <t>Licencia Medica</t>
  </si>
  <si>
    <t>Francisco Cuevas</t>
  </si>
  <si>
    <t>Gonzalo Gonzalez</t>
  </si>
  <si>
    <t>Claudio Garrido</t>
  </si>
  <si>
    <t>OP-S-005</t>
  </si>
  <si>
    <t>https://www.clickideacore.com/ClickHTML5/Visit.aspx?ID=//5BDAEwASwAzADMAMAAxADIAMQA1ADYASQBEAEUAQQA9=&amp;Tipo=2&amp;ST=1&amp;nLang=0</t>
  </si>
  <si>
    <t>Andres Moya</t>
  </si>
  <si>
    <t>Jeremias Cerda</t>
  </si>
  <si>
    <t>https://www.clickideacore.com/ClickHTML5/Visit.aspx?ID=//53DAEwASwAzADMAMAA4ADMANQA1ADMASQBEAEUAQQA1=&amp;Tipo=2&amp;ST=1&amp;nLang=0</t>
  </si>
  <si>
    <t>https://www.clickideacore.com/ClickHTML5/Visit.aspx?ID=//5EDAEwASwAzADMAMAA5ADAAMgA3ADUASQBEAEUAQQA1=&amp;Tipo=2&amp;ST=1&amp;nLang=0</t>
  </si>
  <si>
    <t>https://www.clickideacore.com/ClickHTML5/Visit.aspx?ID=//59DAEwASwAzADMAMAA4ADgANQAwADUASQBEAEUAQQA7=&amp;Tipo=2&amp;ST=1&amp;nLang=0</t>
  </si>
  <si>
    <t>https://www.clickideacore.com/ClickHTML5/Visit.aspx?ID=//56DAEwASwAzADMAMAA4ADUANAA3ADMASQBEAEUAQQA6=&amp;Tipo=2&amp;ST=1&amp;nLang=0</t>
  </si>
  <si>
    <t>https://www.clickideacore.com/ClickHTML5/Visit.aspx?ID=//5ADAEwASwAzADMAMAA5ADIANgA1ADIASQBEAEUAQQA1=&amp;Tipo=2&amp;ST=1&amp;nLang=0</t>
  </si>
  <si>
    <t>Edgar Benavides</t>
  </si>
  <si>
    <t>OP-DYR-011</t>
  </si>
  <si>
    <t>https://www.clickideacore.com/ClickHTML5/Visit.aspx?ID=//59DAEwASwAzADMAMQAwADMANAAxADEASQBEAEUAQQA1=&amp;Tipo=2&amp;ST=1&amp;nLang=0</t>
  </si>
  <si>
    <t>https://www.clickideacore.com/ClickHTML5/Visit.aspx?ID=//50DAEwASwAzADMAMQAwADkAOAAyADEASQBEAEUAQQAA=&amp;Tipo=2&amp;ST=1&amp;nLang=0</t>
  </si>
  <si>
    <t>https://www.clickideacore.com/ClickHTML5/Visit.aspx?ID=//52DAEwASwAzADMAMQAwADYAOQAxADcASQBEAEUAQQAC=&amp;Tipo=2&amp;ST=1&amp;nLang=0</t>
  </si>
  <si>
    <t>https://www.clickideacore.com/ClickHTML5/Visit.aspx?ID=//51DAEwASwAzADMAMQAwADYANAAyADYASQBEAEUAQQAF=&amp;Tipo=2&amp;ST=1&amp;nLang=0</t>
  </si>
  <si>
    <t>https://www.clickideacore.com/ClickHTML5/Visit.aspx?ID=//5EDAEwASwAzADMAMQAxADAANQAzADEASQBEAEUAQQAA=&amp;Tipo=2&amp;ST=1&amp;nLang=0</t>
  </si>
  <si>
    <t>https://www.clickideacore.com/ClickHTML5/Visit.aspx?ID=//5CDAEwASwAzADMAMQAyADkAOQA5ADAASQBEAEUAQQAA=&amp;Tipo=2&amp;ST=1&amp;nLang=0</t>
  </si>
  <si>
    <t>https://www.clickideacore.com/ClickHTML5/Visit.aspx?ID=//59DAEwASwAzADMAMQAzADAAOQAxADAASQBEAEUAQQA2=&amp;Tipo=2&amp;ST=1&amp;nLang=0</t>
  </si>
  <si>
    <t>https://www.clickideacore.com/ClickHTML5/Visit.aspx?ID=//5EDAEwASwAzADMAMQAzADIAMwAzADAASQBEAEUAQQA0=&amp;Tipo=2&amp;ST=1&amp;nLang=0</t>
  </si>
  <si>
    <t>https://www.clickideacore.com/ClickHTML5/Visit.aspx?ID=//51DAEwASwAzADMAMQA1ADAAMgAyADkASQBEAEUAQQAF=&amp;Tipo=2&amp;ST=1&amp;nLang=0</t>
  </si>
  <si>
    <t>https://www.clickideacore.com/ClickHTML5/Visit.aspx?ID=//53DAEwASwAzADMAMQA1ADAANwA3ADYASQBEAEUAQQAD=&amp;Tipo=2&amp;ST=1&amp;nLang=0</t>
  </si>
  <si>
    <t>https://www.clickideacore.com/ClickHTML5/Visit.aspx?ID=//5EDAEwASwAzADMAMQA1ADAAMQA2ADcASQBEAEUAQQA2=&amp;Tipo=2&amp;ST=1&amp;nLang=0</t>
  </si>
  <si>
    <t>https://www.clickideacore.com/ClickHTML5/Visit.aspx?ID=//57DAEwASwAzADMAMQA0ADkANwAzADQASQBEAEUAQQAE=&amp;Tipo=2&amp;ST=1&amp;nLang=0</t>
  </si>
  <si>
    <t>https://www.clickideacore.com/ClickHTML5/Visit.aspx?ID=//54DAEwASwAzADMAMQA1ADkAOAA4ADAASQBEAEUAQQA5=&amp;Tipo=2&amp;ST=1&amp;nLang=0</t>
  </si>
  <si>
    <t>https://www.clickideacore.com/ClickHTML5/Visit.aspx?ID=//53DAEwASwAzADMAMQA1ADkANgA0ADkASQBEAEUAQQA0=&amp;Tipo=2&amp;ST=1&amp;nLang=0</t>
  </si>
  <si>
    <t>https://www.clickideacore.com/ClickHTML5/Visit.aspx?ID=//53DAEwASwAzADMAMQA1ADgANwAyADIASQBEAEUAQQAF=&amp;Tipo=2&amp;ST=1&amp;nLang=0</t>
  </si>
  <si>
    <t>https://www.clickideacore.com/ClickHTML5/Visit.aspx?ID=//5CDAEwASwAzADMAMQA2ADAAMwA1ADUASQBEAEUAQQA1=&amp;Tipo=2&amp;ST=1&amp;nLang=0</t>
  </si>
  <si>
    <t>https://www.clickideacore.com/ClickHTML5/Visit.aspx?ID=//57DAEwASwAzADMAMQA1ADkAMgAyADAASQBEAEUAQQA5=&amp;Tipo=2&amp;ST=1&amp;nLang=0</t>
  </si>
  <si>
    <t>https://www.clickideacore.com/ClickHTML5/Visit.aspx?ID=//53DAEwASwAzADMAMQA1ADkAMAAzADAASQBEAEUAQQAE=&amp;Tipo=2&amp;ST=1&amp;nLang=0</t>
  </si>
  <si>
    <t>https://www.clickideacore.com/ClickHTML5/Visit.aspx?ID=//59DAEwASwAzADMAMQA3ADkAMwAzADkASQBEAEUAQQAC=&amp;Tipo=2&amp;ST=1&amp;nLang=0</t>
  </si>
  <si>
    <t>https://www.clickideacore.com/ClickHTML5/Visit.aspx?ID=//5EDAEwASwAzADMAMQA3ADMAMwA4ADkASQBEAEUAQQAF=&amp;Tipo=2&amp;ST=1&amp;nLang=0</t>
  </si>
  <si>
    <t>https://www.clickideacore.com/ClickHTML5/Visit.aspx?ID=//56DAEwASwAzADMAMQA3ADkANAAzADYASQBEAEUAQQA2=&amp;Tipo=2&amp;ST=1&amp;nLang=0</t>
  </si>
  <si>
    <t>https://www.clickideacore.com/ClickHTML5/Visit.aspx?ID=//5EDAEwASwAzADMAMQA3ADgAMgA2ADYASQBEAEUAQQA1=&amp;Tipo=2&amp;ST=1&amp;nLang=0</t>
  </si>
  <si>
    <t>https://www.clickideacore.com/ClickHTML5/Visit.aspx?ID=//5DDAEwASwAzADMAMQA3ADEAMgAxADkASQBEAEUAQQA8=&amp;Tipo=2&amp;ST=1&amp;nLang=0</t>
  </si>
  <si>
    <t>https://www.clickideacore.com/ClickHTML5/Visit.aspx?ID=//5ADAEwASwAzADMAMQA3ADQANwA1ADcASQBEAEUAQQA2=&amp;Tipo=2&amp;ST=1&amp;nLang=0</t>
  </si>
  <si>
    <t>https://www.clickideacore.com/ClickHTML5/Visit.aspx?ID=//54DAEwASwAzADMAMgAwADEAMwA1ADYASQBEAEUAQQA8=&amp;Tipo=2&amp;ST=1&amp;nLang=0</t>
  </si>
  <si>
    <t>https://www.clickideacore.com/ClickHTML5/Visit.aspx?ID=//58DAEwASwAzADMAMgAwADIAMgA4ADkASQBEAEUAQQAA=&amp;Tipo=2&amp;ST=1&amp;nLang=0</t>
  </si>
  <si>
    <t>https://www.clickideacore.com/ClickHTML5/Visit.aspx?ID=//55DAEwASwAzADMAMgAwADEANQA2ADUASQBEAEUAQQA2=&amp;Tipo=2&amp;ST=1&amp;nLang=0</t>
  </si>
  <si>
    <t>https://www.clickideacore.com/ClickHTML5/Visit.aspx?ID=//57DAEwASwAzADMAMQA5ADcANAA3ADYASQBEAEUAQQA5=&amp;Tipo=2&amp;ST=1&amp;nLang=0</t>
  </si>
  <si>
    <t>https://www.clickideacore.com/ClickHTML5/Visit.aspx?ID=//5EDAEwASwAzADMAMQA5ADgAMAA4ADUASQBEAEUAQQA8=&amp;Tipo=2&amp;ST=1&amp;nLang=0</t>
  </si>
  <si>
    <t>https://www.clickideacore.com/ClickHTML5/Visit.aspx?ID=//58DAEwASwAzADMAMgAwADIAMAA1ADYASQBEAEUAQQA2=&amp;Tipo=2&amp;ST=1&amp;nLang=0</t>
  </si>
  <si>
    <t>https://www.clickideacore.com/ClickHTML5/Visit.aspx?ID=//54DAEwASwAzADMAMgAyADcAOAAxADEASQBEAEUAQQAB=&amp;Tipo=2&amp;ST=1&amp;nLang=0</t>
  </si>
  <si>
    <t>https://www.clickideacore.com/ClickHTML5/Visit.aspx?ID=//58DAEwASwAzADMAMgAyADcAMwA5ADMASQBEAEUAQQAC=&amp;Tipo=2&amp;ST=1&amp;nLang=0</t>
  </si>
  <si>
    <t>https://www.clickideacore.com/ClickHTML5/Visit.aspx?ID=//55DAEwASwAzADMAMgAyADgANQA5ADgASQBEAEUAQQA8=&amp;Tipo=2&amp;ST=1&amp;nLang=0</t>
  </si>
  <si>
    <t>https://www.clickideacore.com/ClickHTML5/Visit.aspx?ID=//5ADAEwASwAzADMAMgAyADgANgAwADIASQBEAEUAQQA2=&amp;Tipo=2&amp;ST=1&amp;nLang=0</t>
  </si>
  <si>
    <t>https://www.clickideacore.com/ClickHTML5/Visit.aspx?ID=//57DAEwASwAzADMAMgA0ADAANwAwADIASQBEAEUAQQA9=&amp;Tipo=2&amp;ST=1&amp;nLang=0</t>
  </si>
  <si>
    <t>https://www.clickideacore.com/ClickHTML5/Visit.aspx?ID=//5CDAEwASwAzADMAMgAzADgANgA5ADAASQBEAEUAQQAA=&amp;Tipo=2&amp;ST=1&amp;nLang=0</t>
  </si>
  <si>
    <t>https://www.clickideacore.com/ClickHTML5/Visit.aspx?ID=//59DAEwASwAzADMAMgAzADgANQAxADcASQBEAEUAQQAF=&amp;Tipo=2&amp;ST=1&amp;nLang=0</t>
  </si>
  <si>
    <t>OP-SDYR-001</t>
  </si>
  <si>
    <t>https://www.clickideacore.com/ClickHTML5/Visit.aspx?ID=//56DAEwASwAzADMAMgAzADcANAA2ADUASQBEAEUAQQAF=&amp;Tipo=2&amp;ST=1&amp;nLang=0</t>
  </si>
  <si>
    <t>https://www.clickideacore.com/ClickHTML5/Visit.aspx?ID=//50DAEwASwAzADMAMgAzADcAOQA5ADkASQBEAEUAQQA7=&amp;Tipo=2&amp;ST=1&amp;nLang=0</t>
  </si>
  <si>
    <t>Fernando Diaz</t>
  </si>
  <si>
    <t>Jorge Vizcarra</t>
  </si>
  <si>
    <t>OP-S-DYR-009</t>
  </si>
  <si>
    <t>https://www.clickideacore.com/ClickHTML5/Visit.aspx?ID=//5DDAEwASwAzADMAMgAzADgANAA1ADYASQBEAEUAQQA2=&amp;Tipo=2&amp;ST=1&amp;nLang=0</t>
  </si>
  <si>
    <t>https://www.clickideacore.com/ClickHTML5/Visit.aspx?ID=//54DAEwASwAzADMAMgA1ADQAMgA0ADIASQBEAEUAQQA8=&amp;Tipo=2&amp;ST=1&amp;nLang=0</t>
  </si>
  <si>
    <t>https://www.clickideacore.com/ClickHTML5/Visit.aspx?ID=//53DAEwASwAzADMAMgA1ADUANgA0ADkASQBEAEUAQQAF=&amp;Tipo=2&amp;ST=1&amp;nLang=0</t>
  </si>
  <si>
    <t>https://www.clickideacore.com/ClickHTML5/Visit.aspx?ID=//5ADAEwASwAzADMAMgA1ADEANwA0ADQASQBEAEUAQQA7=&amp;Tipo=2&amp;ST=1&amp;nLang=0</t>
  </si>
  <si>
    <t>https://www.clickideacore.com/ClickHTML5/Visit.aspx?ID=//56DAEwASwAzADMAMgA1ADEAMgAyADEASQBEAEUAQQAE=&amp;Tipo=2&amp;ST=1&amp;nLang=0</t>
  </si>
  <si>
    <t>https://www.clickideacore.com/ClickHTML5/Visit.aspx?ID=//5DDAEwASwAzADMAMgA1ADYAMgA0ADIASQBEAEUAQQAE=&amp;Tipo=2&amp;ST=1&amp;nLang=0</t>
  </si>
  <si>
    <t>https://www.clickideacore.com/ClickHTML5/Visit.aspx?ID=//59DAEwASwAzADMAMgA3ADEAMgAxADcASQBEAEUAQQAD=&amp;Tipo=2&amp;ST=1&amp;nLang=0</t>
  </si>
  <si>
    <t>Sergio Toledo</t>
  </si>
  <si>
    <t>https://www.clickideacore.com/ClickHTML5/Visit.aspx?ID=//5EDAEwASwAzADMAMgA3ADEAMgA2ADQASQBEAEUAQQA4=&amp;Tipo=2&amp;ST=1&amp;nLang=0</t>
  </si>
  <si>
    <t>https://www.clickideacore.com/ClickHTML5/Visit.aspx?ID=//57DAEwASwAzADMAMgA3ADAANgA4ADIASQBEAEUAQQA6=&amp;Tipo=2&amp;ST=1&amp;nLang=0</t>
  </si>
  <si>
    <t>https://www.clickideacore.com/ClickHTML5/Visit.aspx?ID=//5ADAEwASwAzADMAMgA3ADIAMAA2ADEASQBEAEUAQQA6=&amp;Tipo=2&amp;ST=1&amp;nLang=0</t>
  </si>
  <si>
    <t>https://www.clickideacore.com/ClickHTML5/Visit.aspx?ID=//57DAEwASwAzADMAMgA3ADIAMAA1ADYASQBEAEUAQQA6=&amp;Tipo=2&amp;ST=1&amp;nLang=0</t>
  </si>
  <si>
    <t>https://www.clickideacore.com/ClickHTML5/Visit.aspx?ID=//59DAEwASwAzADMAMgA4ADAAMAA5ADQASQBEAEUAQQA8=&amp;Tipo=2&amp;ST=1&amp;nLang=0</t>
  </si>
  <si>
    <t>https://www.clickideacore.com/ClickHTML5/Visit.aspx?ID=//57DAEwASwAzADMAMgA3ADkAOAA5ADAASQBEAEUAQQA9=&amp;Tipo=2&amp;ST=1&amp;nLang=0</t>
  </si>
  <si>
    <t>https://www.clickideacore.com/ClickHTML5/Visit.aspx?ID=//5DDAEwASwAzADMAMgA3ADkANQA4ADUASQBEAEUAQQA9=&amp;Tipo=2&amp;ST=1&amp;nLang=0</t>
  </si>
  <si>
    <t>https://www.clickideacore.com/ClickHTML5/Visit.aspx?ID=//52DAEwASwAzADMAMgA4ADAANQAxADEASQBEAEUAQQA1=&amp;Tipo=2&amp;ST=1&amp;nLang=0</t>
  </si>
  <si>
    <t>https://www.clickideacore.com/ClickHTML5/Visit.aspx?ID=//50DAEwASwAzADMAMgA4ADkAOQA1ADcASQBEAEUAQQA4=&amp;Tipo=2&amp;ST=1&amp;nLang=0</t>
  </si>
  <si>
    <t>https://www.clickideacore.com/ClickHTML5/Visit.aspx?ID=//54DAEwASwAzADMAMgA5ADYAMgA2ADcASQBEAEUAQQA5=&amp;Tipo=2&amp;ST=1&amp;nLang=0</t>
  </si>
  <si>
    <t>https://www.clickideacore.com/ClickHTML5/Visit.aspx?ID=//54DAEwASwAzADMAMwAwADQANAA1ADkASQBEAEUAQQA9=&amp;Tipo=2&amp;ST=1&amp;nLang=0</t>
  </si>
  <si>
    <t>https://www.clickideacore.com/ClickHTML5/Visit.aspx?ID=//52DAEwASwAzADMAMgA4ADEANwA2ADAASQBEAEUAQQAD=&amp;Tipo=2&amp;ST=1&amp;nLang=0</t>
  </si>
  <si>
    <t>https://www.clickideacore.com/ClickHTML5/Visit.aspx?ID=//58DAEwASwAzADMAMwAwADAANwAxADcASQBEAEUAQQA2=&amp;Tipo=2&amp;ST=1&amp;nLang=0</t>
  </si>
  <si>
    <t>Vacaciones</t>
  </si>
  <si>
    <t>Total general</t>
  </si>
  <si>
    <t>Suma de Despacho / Retiro</t>
  </si>
  <si>
    <t>Total Suma de Despacho / Retiro</t>
  </si>
  <si>
    <t>Total Suma de Entrada &lt; 19:30</t>
  </si>
  <si>
    <t>Suma de Entrada &lt; 19:30</t>
  </si>
  <si>
    <t>Total Suma de Salida &gt; 19:30</t>
  </si>
  <si>
    <t>Suma de Salida &gt; 19:30</t>
  </si>
  <si>
    <t>Total Suma de Feria Semana 01</t>
  </si>
  <si>
    <t>Suma de Feria Semana 01</t>
  </si>
  <si>
    <t>Total Suma de Feria Semana 02</t>
  </si>
  <si>
    <t>Suma de Feria Semana 02</t>
  </si>
  <si>
    <t>Total Suma de Fuera Radio Normal</t>
  </si>
  <si>
    <t>Suma de Fuera Radio Normal</t>
  </si>
  <si>
    <t>Total Suma de Fuera Radio V Región</t>
  </si>
  <si>
    <t>Suma de Fuera Radio V Región</t>
  </si>
  <si>
    <t>Total Suma de Sabado</t>
  </si>
  <si>
    <t>Suma de Sabado</t>
  </si>
  <si>
    <t>Total Suma de Domingo</t>
  </si>
  <si>
    <t>Suma de Domingo</t>
  </si>
  <si>
    <t>Total Suma de Viajes Por Cliente</t>
  </si>
  <si>
    <t>Suma de Viajes Por Cliente</t>
  </si>
  <si>
    <t>Total Suma de Sábado &gt; 16:00</t>
  </si>
  <si>
    <t>Suma de Sábado &gt; 16:00</t>
  </si>
  <si>
    <t>Total Suma de Domingo &gt; 16:00</t>
  </si>
  <si>
    <t>Suma de Domingo &gt; 16:00</t>
  </si>
  <si>
    <t>Total Suma de Secado</t>
  </si>
  <si>
    <t>Suma de Secado</t>
  </si>
  <si>
    <t>Total Suma de Evento</t>
  </si>
  <si>
    <t>Suma de Evento</t>
  </si>
  <si>
    <t>Total Suma de Punto de Agua</t>
  </si>
  <si>
    <t>Suma de Punto de Agua</t>
  </si>
  <si>
    <t xml:space="preserve">Total Suma de Basurero Grande </t>
  </si>
  <si>
    <t xml:space="preserve">Suma de Basurero Grande </t>
  </si>
  <si>
    <t>Total Suma de Basurero chico</t>
  </si>
  <si>
    <t>Suma de Basurero chico</t>
  </si>
  <si>
    <t>Total Suma de Fosa</t>
  </si>
  <si>
    <t>Suma de Fosa</t>
  </si>
  <si>
    <t>Etiquetas de fila</t>
  </si>
  <si>
    <t>..</t>
  </si>
  <si>
    <t>https://www.clickideacore.com/ClickHTML5/Visit.aspx?ID=//5FDAEwASwAzADMAMwAyADQAMAA3ADkASQBEAEUAQQA6=&amp;Tipo=2&amp;ST=1&amp;nLang=0</t>
  </si>
  <si>
    <t>https://www.clickideacore.com/ClickHTML5/Visit.aspx?ID=//57DAEwASwAzADMAMwAyADQAOQAwADgASQBEAEUAQQAD=&amp;Tipo=2&amp;ST=1&amp;nLang=0</t>
  </si>
  <si>
    <t>https://www.clickideacore.com/ClickHTML5/Visit.aspx?ID=//58DAEwASwAzADMAMwAyADQAMAAwADkASQBEAEUAQQA8=&amp;Tipo=2&amp;ST=1&amp;nLang=0</t>
  </si>
  <si>
    <t>https://www.clickideacore.com/ClickHTML5/Visit.aspx?ID=//52DAEwASwAzADMAMwAyADQAMQA3ADAASQBEAEUAQQAA=&amp;Tipo=2&amp;ST=1&amp;nLang=0</t>
  </si>
  <si>
    <t>OP-S-045</t>
  </si>
  <si>
    <t>https://www.clickideacore.com/ClickHTML5/Visit.aspx?ID=//5BDAEwASwAzADMAMwAyADIAOQA4ADAASQBEAEUAQQA0=&amp;Tipo=2&amp;ST=1&amp;nLang=0</t>
  </si>
  <si>
    <t>https://www.clickideacore.com/ClickHTML5/Visit.aspx?ID=//5BDAEwASwAzADMAMwA0ADgAOQA0ADYASQBEAEUAQQAD=&amp;Tipo=2&amp;ST=1&amp;nLang=0</t>
  </si>
  <si>
    <t>https://www.clickideacore.com/ClickHTML5/Visit.aspx?ID=//5BDAEwASwAzADMAMwA1ADMAOQA1ADkASQBEAEUAQQA8=&amp;Tipo=2&amp;ST=1&amp;nLang=0</t>
  </si>
  <si>
    <t>https://www.clickideacore.com/ClickHTML5/Visit.aspx?ID=//5DDAEwASwAzADMAMwA0ADYAOAAwADgASQBEAEUAQQA4=&amp;Tipo=2&amp;ST=1&amp;nLang=0</t>
  </si>
  <si>
    <t>https://www.clickideacore.com/ClickHTML5/Visit.aspx?ID=//5CDAEwASwAzADMAMwA0ADgAMwA1ADQASQBEAEUAQQA1=&amp;Tipo=2&amp;ST=1&amp;nLang=0</t>
  </si>
  <si>
    <t>https://www.clickideacore.com/ClickHTML5/Visit.aspx?ID=//5BDAEwASwAzADMAMwA1ADAAMwAzADgASQBEAEUAQQA7=&amp;Tipo=2&amp;ST=1&amp;nLang=0</t>
  </si>
  <si>
    <t>https://www.clickideacore.com/ClickHTML5/Visit.aspx?ID=//54DAEwASwAzADMAMwA2ADgANAA4ADIASQBEAEUAQQAC=&amp;Tipo=2&amp;ST=1&amp;nLang=0</t>
  </si>
  <si>
    <t>https://www.clickideacore.com/ClickHTML5/Visit.aspx?ID=//5ADAEwASwAzADMAMwA2ADYAMAA2ADgASQBEAEUAQQA2=&amp;Tipo=2&amp;ST=1&amp;nLang=0</t>
  </si>
  <si>
    <t>https://www.clickideacore.com/ClickHTML5/Visit.aspx?ID=//5FDAEwASwAzADMAMwA2ADUAMwAwADUASQBEAEUAQQA1=&amp;Tipo=2&amp;ST=1&amp;nLang=0</t>
  </si>
  <si>
    <t>https://www.clickideacore.com/ClickHTML5/Visit.aspx?ID=//5CDAEwASwAzADMAMwA3ADMAMgAxADUASQBEAEUAQQA4=&amp;Tipo=2&amp;ST=1&amp;nLang=0</t>
  </si>
  <si>
    <t>https://www.clickideacore.com/ClickHTML5/Visit.aspx?ID=//52DAEwASwAzADMAMwA2ADkAOAAzADAASQBEAEUAQQAB=&amp;Tipo=2&amp;ST=1&amp;nLang=0</t>
  </si>
  <si>
    <t>https://www.clickideacore.com/ClickHTML5/Visit.aspx?ID=//56DAEwASwAzADMAMwA4ADkANwAzADYASQBEAEUAQQA8=&amp;Tipo=2&amp;ST=1&amp;nLang=0</t>
  </si>
  <si>
    <t>https://www.clickideacore.com/ClickHTML5/Visit.aspx?ID=//54DAEwASwAzADMAMwA4ADkANwA4ADEASQBEAEUAQQA8=&amp;Tipo=2&amp;ST=1&amp;nLang=0</t>
  </si>
  <si>
    <t>https://www.clickideacore.com/ClickHTML5/Visit.aspx?ID=//5CDAEwASwAzADMAMwA5ADIAOQA4ADcASQBEAEUAQQA4=&amp;Tipo=2&amp;ST=1&amp;nLang=0</t>
  </si>
  <si>
    <t>https://www.clickideacore.com/ClickHTML5/Visit.aspx?ID=//50DAEwASwAzADMAMwA5ADQANQAxADcASQBEAEUAQQA1=&amp;Tipo=2&amp;ST=1&amp;nLang=0</t>
  </si>
  <si>
    <t>Frank Alvarez</t>
  </si>
  <si>
    <t>https://www.clickideacore.com/ClickHTML5/Visit.aspx?ID=//5BDAEwASwAzADMANAAwADkAOAA0ADUASQBEAEUAQQA5=&amp;Tipo=2&amp;ST=1&amp;nLang=0</t>
  </si>
  <si>
    <t>https://www.clickideacore.com/ClickHTML5/Visit.aspx?ID=//52DAEwASwAzADMANAAxADAANwAyADQASQBEAEUAQQA2=&amp;Tipo=2&amp;ST=1&amp;nLang=0</t>
  </si>
  <si>
    <t>https://www.clickideacore.com/ClickHTML5/Visit.aspx?ID=//5FDAEwASwAzADMANAAxADAAMAA5ADEASQBEAEUAQQA5=&amp;Tipo=2&amp;ST=1&amp;nLang=0</t>
  </si>
  <si>
    <t>Byron Lopez</t>
  </si>
  <si>
    <t>https://www.clickideacore.com/ClickHTML5/Visit.aspx?ID=//54DAEwASwAzADMANAAxADgANgAzADMASQBEAEUAQQA4=&amp;Tipo=2&amp;ST=1&amp;nLang=0</t>
  </si>
  <si>
    <t>OP-S-062</t>
  </si>
  <si>
    <t>https://www.clickideacore.com/ClickHTML5/Visit.aspx?ID=//5ADAEwASwAzADMANAAxADgAOQAyADcASQBEAEUAQQA9=&amp;Tipo=2&amp;ST=1&amp;nLang=0</t>
  </si>
  <si>
    <t>https://www.clickideacore.com/ClickHTML5/Visit.aspx?ID=//59DAEwASwAzADMANAAxADkAMQA4ADgASQBEAEUAQQAC=&amp;Tipo=2&amp;ST=1&amp;nLang=0</t>
  </si>
  <si>
    <t>https://www.clickideacore.com/ClickHTML5/Visit.aspx?ID=//57DAEwASwAzADMANAAxADkAMQAwADAASQBEAEUAQQA7=&amp;Tipo=2&amp;ST=1&amp;nLang=0</t>
  </si>
  <si>
    <t>https://www.clickideacore.com/ClickHTML5/Visit.aspx?ID=//50DAEwASwAzADMANAAzADQAOQA0ADEASQBEAEUAQQA5=&amp;Tipo=2&amp;ST=1&amp;nLang=0</t>
  </si>
  <si>
    <t>https://www.clickideacore.com/ClickHTML5/Visit.aspx?ID=//57DAEwASwAzADMANAA0ADMANAA1ADUASQBEAEUAQQAE=&amp;Tipo=2&amp;ST=1&amp;nLang=0</t>
  </si>
  <si>
    <t>https://www.clickideacore.com/ClickHTML5/Visit.aspx?ID=//52DAEwASwAzADMANAAzADMAMQA3ADIASQBEAEUAQQAF=&amp;Tipo=2&amp;ST=1&amp;nLang=0</t>
  </si>
  <si>
    <t>https://www.clickideacore.com/ClickHTML5/Visit.aspx?ID=//5FDAEwASwAzADMANAA2ADAAOQAyADQASQBEAEUAQQAD=&amp;Tipo=2&amp;ST=1&amp;nLang=0</t>
  </si>
  <si>
    <t>https://www.clickideacore.com/ClickHTML5/Visit.aspx?ID=//5EDAEwASwAzADMANAA2ADAAOQA4ADEASQBEAEUAQQAF=&amp;Tipo=2&amp;ST=1&amp;nLang=0</t>
  </si>
  <si>
    <t>https://www.clickideacore.com/ClickHTML5/Visit.aspx?ID=//51DAEwASwAzADMANAA2ADUAOAA2ADgASQBEAEUAQQA7=&amp;Tipo=2&amp;ST=1&amp;nLang=0</t>
  </si>
  <si>
    <t>https://www.clickideacore.com/ClickHTML5/Visit.aspx?ID=//57DAEwASwAzADMANAA2ADIANwA1ADEASQBEAEUAQQAD=&amp;Tipo=2&amp;ST=1&amp;nLang=0</t>
  </si>
  <si>
    <t>Hjorge Vizcarra</t>
  </si>
  <si>
    <t>https://www.clickideacore.com/ClickHTML5/Visit.aspx?ID=//51DAEwASwAzADMANAA4ADUANQA5ADAASQBEAEUAQQAC=&amp;Tipo=2&amp;ST=1&amp;nLang=0</t>
  </si>
  <si>
    <t>https://www.clickideacore.com/ClickHTML5/Visit.aspx?ID=//5FDAEwASwAzADMANAA4ADcANgAwADIASQBEAEUAQQA4=&amp;Tipo=2&amp;ST=1&amp;nLang=0</t>
  </si>
  <si>
    <t>https://www.clickideacore.com/ClickHTML5/Visit.aspx?ID=//50DAEwASwAzADMANAA4ADQAMgA5ADAASQBEAEUAQQA6=&amp;Tipo=2&amp;ST=1&amp;nLang=0</t>
  </si>
  <si>
    <t>https://www.clickideacore.com/ClickHTML5/Visit.aspx?ID=//5DDAEwASwAzADMANAA4ADgANAA3ADAASQBEAEUAQQA6=&amp;Tipo=2&amp;ST=1&amp;nLang=0</t>
  </si>
  <si>
    <t>Rodrigo Bascuñan</t>
  </si>
  <si>
    <t>OP-S-0010</t>
  </si>
  <si>
    <t>https://www.clickideacore.com/ClickHTML5/Visit.aspx?ID=//52DAEwASwAzADMANAA4ADUAMwAxADkASQBEAEUAQQA5=&amp;Tipo=2&amp;ST=1&amp;nLang=0</t>
  </si>
  <si>
    <t>https://www.clickideacore.com/ClickHTML5/Visit.aspx?ID=//5BDAEwASwAzADMANQAwADcAOAAwADcASQBEAEUAQQA8=&amp;Tipo=2&amp;ST=1&amp;nLang=0</t>
  </si>
  <si>
    <t>https://www.clickideacore.com/ClickHTML5/Visit.aspx?ID=//5CDAEwASwAzADMANQAwADgANAAxADMASQBEAEUAQQA2=&amp;Tipo=2&amp;ST=1&amp;nLang=0</t>
  </si>
  <si>
    <t>https://www.clickideacore.com/ClickHTML5/Visit.aspx?ID=//59DAEwASwAzADMANQAxADAAMgA0ADcASQBEAEUAQQA9=&amp;Tipo=2&amp;ST=1&amp;nLang=0</t>
  </si>
  <si>
    <t>https://www.clickideacore.com/ClickHTML5/Visit.aspx?ID=//54DAEwASwAzADMANQAyADkAMgAzADAASQBEAEUAQQA0=&amp;Tipo=2&amp;ST=1&amp;nLang=0</t>
  </si>
  <si>
    <t>https://www.clickideacore.com/ClickHTML5/Visit.aspx?ID=//5ADAEwASwAzADMANQAzADEANwA0ADUASQBEAEUAQQA0=&amp;Tipo=2&amp;ST=1&amp;nLang=0</t>
  </si>
  <si>
    <t>https://www.clickideacore.com/ClickHTML5/Visit.aspx?ID=//58DAEwASwAzADMANQAzADIANAAxADIASQBEAEUAQQA7=&amp;Tipo=2&amp;ST=1&amp;nLang=0</t>
  </si>
  <si>
    <t>https://www.clickideacore.com/ClickHTML5/Visit.aspx?ID=//5DDAEwASwAzADMANQAzADMAMgAyADgASQBEAEUAQQA5=&amp;Tipo=2&amp;ST=1&amp;nLang=0</t>
  </si>
  <si>
    <t>https://www.clickideacore.com/ClickHTML5/Visit.aspx?ID=//54DAEwASwAzADMANQA1ADQAOAAwADgASQBEAEUAQQA5=&amp;Tipo=2&amp;ST=1&amp;nLang=0</t>
  </si>
  <si>
    <t>https://www.clickideacore.com/ClickHTML5/Visit.aspx?ID=//5ADAEwASwAzADMANQA1ADAANwA3ADkASQBEAEUAQQA5=&amp;Tipo=2&amp;ST=1&amp;nLang=0</t>
  </si>
  <si>
    <t>https://www.clickideacore.com/ClickHTML5/Visit.aspx?ID=//5BDAEwASwAzADMANQA1ADAANwA2ADgASQBEAEUAQQAE=&amp;Tipo=2&amp;ST=1&amp;nLang=0</t>
  </si>
  <si>
    <t>https://www.clickideacore.com/ClickHTML5/Visit.aspx?ID=//50DAEwASwAzADMANQA0ADkAMgA4ADEASQBEAEUAQQA4=&amp;Tipo=2&amp;ST=1&amp;nLang=0</t>
  </si>
  <si>
    <t>https://www.clickideacore.com/ClickHTML5/Visit.aspx?ID=//54DAEwASwAzADMANQA0ADgANwA3ADgASQBEAEUAQQA9=&amp;Tipo=2&amp;ST=1&amp;nLang=0</t>
  </si>
  <si>
    <t>https://www.clickideacore.com/ClickHTML5/Visit.aspx?ID=//50DAEwASwAzADMANQA1ADAANwA5ADUASQBEAEUAQQA3=&amp;Tipo=2&amp;ST=1&amp;nLang=0</t>
  </si>
  <si>
    <t>https://www.clickideacore.com/ClickHTML5/Visit.aspx?ID=//5EDAEwASwAzADMANQA1ADgANwA5ADIASQBEAEUAQQAE=&amp;Tipo=2&amp;ST=1&amp;nLang=0</t>
  </si>
  <si>
    <t>https://www.clickideacore.com/ClickHTML5/Visit.aspx?ID=//50DAEwASwAzADMANQA1ADkAMAA2ADQASQBEAEUAQQAB=&amp;Tipo=2&amp;ST=1&amp;nLang=0</t>
  </si>
  <si>
    <t>https://www.clickideacore.com/ClickHTML5/Visit.aspx?ID=//57DAEwASwAzADMANQA1ADgAOQA3ADkASQBEAEUAQQAF=&amp;Tipo=2&amp;ST=1&amp;nLang=0</t>
  </si>
  <si>
    <t>https://www.clickideacore.com/ClickHTML5/Visit.aspx?ID=//53DAEwASwAzADMANQA2ADEAOAA2ADgASQBEAEUAQQAD=&amp;Tipo=2&amp;ST=1&amp;nLang=0</t>
  </si>
  <si>
    <t>https://www.clickideacore.com/ClickHTML5/Visit.aspx?ID=//5ADAEwASwAzADMANQA2ADUANwAyADMASQBEAEUAQQAD=&amp;Tipo=2&amp;ST=1&amp;nLang=0</t>
  </si>
  <si>
    <t>https://www.clickideacore.com/ClickHTML5/Visit.aspx?ID=//55DAEwASwAzADMANQA2ADYANAAxADYASQBEAEUAQQA9=&amp;Tipo=2&amp;ST=1&amp;nLang=0</t>
  </si>
  <si>
    <t>https://www.clickideacore.com/ClickHTML5/Visit.aspx?ID=//59DAEwASwAzADMANQA3ADMAOQA0ADAASQBEAEUAQQAB=&amp;Tipo=2&amp;ST=1&amp;nLang=0</t>
  </si>
  <si>
    <t>https://www.clickideacore.com/ClickHTML5/Visit.aspx?ID=//58DAEwASwAzADMANQA3ADgANAAwADAASQBEAEUAQQA5=&amp;Tipo=2&amp;ST=1&amp;nLang=0</t>
  </si>
  <si>
    <t>https://www.clickideacore.com/ClickHTML5/Visit.aspx?ID=//5EDAEwASwAzADMANQA5ADgANAA4ADkASQBEAEUAQQAC=&amp;Tipo=2&amp;ST=1&amp;nLang=0</t>
  </si>
  <si>
    <t>https://www.clickideacore.com/ClickHTML5/Visit.aspx?ID=//54DAEwASwAzADMANQA5ADUAOAAyADUASQBEAEUAQQAE=&amp;Tipo=2&amp;ST=1&amp;nLang=0</t>
  </si>
  <si>
    <t>https://www.clickideacore.com/ClickHTML5/Visit.aspx?ID=//5EDAEwASwAzADMANQA5ADcAMgAzADYASQBEAEUAQQA0=&amp;Tipo=2&amp;ST=1&amp;nLang=0</t>
  </si>
  <si>
    <t>https://www.clickideacore.com/ClickHTML5/Visit.aspx?ID=//58DAEwASwAzADMANgAyADEAMgAxADUASQBEAEUAQQA2=&amp;Tipo=2&amp;ST=1&amp;nLang=0</t>
  </si>
  <si>
    <t>https://www.clickideacore.com/ClickHTML5/Visit.aspx?ID=//5DDAEwASwAzADMANgAyADQAMwAyADIASQBEAEUAQQA5=&amp;Tipo=2&amp;ST=1&amp;nLang=0</t>
  </si>
  <si>
    <t>https://www.clickideacore.com/ClickHTML5/Visit.aspx?ID=//50DAEwASwAzADMANgAyADAANwAzADgASQBEAEUAQQAA=&amp;Tipo=2&amp;ST=1&amp;nLang=0</t>
  </si>
  <si>
    <t>https://www.clickideacore.com/ClickHTML5/Visit.aspx?ID=//51DAEwASwAzADMANgAyADIAMQA0ADEASQBEAEUAQQAA=&amp;Tipo=2&amp;ST=1&amp;nLang=0</t>
  </si>
  <si>
    <t>https://www.clickideacore.com/ClickHTML5/Visit.aspx?ID=//59DAEwASwAzADMANgAyADQAOQA0ADMASQBEAEUAQQAC=&amp;Tipo=2&amp;ST=1&amp;nLang=0</t>
  </si>
  <si>
    <t>Aux Sabado Semana 02</t>
  </si>
  <si>
    <t>Aux Domingo Semana 02</t>
  </si>
  <si>
    <t>https://www.clickideacore.com/ClickHTML5/Visit.aspx?ID=//5FDAEwASwAzADMANgA0ADEANwA2ADIASQBEAEUAQQA2=&amp;Tipo=2&amp;ST=1&amp;nLang=0</t>
  </si>
  <si>
    <t>https://www.clickideacore.com/ClickHTML5/Visit.aspx?ID=//5CDAEwASwAzADMANgA0ADUANQA2ADkASQBEAEUAQQAB=&amp;Tipo=2&amp;ST=1&amp;nLang=0</t>
  </si>
  <si>
    <t>https://www.clickideacore.com/ClickHTML5/Visit.aspx?ID=//59DAEwASwAzADMANgA0ADkANAAxADYASQBEAEUAQQAF=&amp;Tipo=2&amp;ST=1&amp;nLang=0</t>
  </si>
  <si>
    <t>https://www.clickideacore.com/ClickHTML5/Visit.aspx?ID=//59DAEwASwAzADMANgA0ADYAMAAxADQASQBEAEUAQQAA=&amp;Tipo=2&amp;ST=1&amp;nLang=0</t>
  </si>
  <si>
    <t>https://www.clickideacore.com/ClickHTML5/Visit.aspx?ID=//5DDAEwASwAzADMANgA0ADIANwAzADUASQBEAEUAQQA0=&amp;Tipo=2&amp;ST=1&amp;nLang=0</t>
  </si>
  <si>
    <t>https://www.clickideacore.com/ClickHTML5/Visit.aspx?ID=//5ADAEwASwAzADMANgA0ADUANQAxADkASQBEAEUAQQAC=&amp;Tipo=2&amp;ST=1&amp;nLang=0</t>
  </si>
  <si>
    <t>https://www.clickideacore.com/ClickHTML5/Visit.aspx?ID=//59DAEwASwAzADMANgA2ADcAMgAwADcASQBEAEUAQQA8=&amp;Tipo=2&amp;ST=1&amp;nLang=0</t>
  </si>
  <si>
    <t>https://www.clickideacore.com/ClickHTML5/Visit.aspx?ID=//5ADAEwASwAzADMANgA2ADYAOAAwADYASQBEAEUAQQA0=&amp;Tipo=2&amp;ST=1&amp;nLang=0</t>
  </si>
  <si>
    <t>https://www.clickideacore.com/ClickHTML5/Visit.aspx?ID=//56DAEwASwAzADMANgA2ADgAMgA0ADEASQBEAEUAQQAE=&amp;Tipo=2&amp;ST=1&amp;nLang=0</t>
  </si>
  <si>
    <t>https://www.clickideacore.com/ClickHTML5/Visit.aspx?ID=//55DAEwASwAzADMANgA3ADAANAA5ADYASQBEAEUAQQAF=&amp;Tipo=2&amp;ST=1&amp;nLang=0</t>
  </si>
  <si>
    <t>https://www.clickideacore.com/ClickHTML5/Visit.aspx?ID=//5FDAEwASwAzADMANgA4ADUANAAyADEASQBEAEUAQQAD=&amp;Tipo=2&amp;ST=1&amp;nLang=0</t>
  </si>
  <si>
    <t>https://www.clickideacore.com/ClickHTML5/Visit.aspx?ID=//50DAEwASwAzADMANgA4ADYAMwAyADEASQBEAEUAQQA6=&amp;Tipo=2&amp;ST=1&amp;nLang=0</t>
  </si>
  <si>
    <t>https://www.clickideacore.com/ClickHTML5/Visit.aspx?ID=//58DAEwASwAzADMANgA4ADUANgA4ADUASQBEAEUAQQA2=&amp;Tipo=2&amp;ST=1&amp;nLang=0</t>
  </si>
  <si>
    <t>https://www.clickideacore.com/ClickHTML5/Visit.aspx?ID=//50DAEwASwAzADMANgA4ADQAOAA2ADMASQBEAEUAQQAB=&amp;Tipo=2&amp;ST=1&amp;nLang=0</t>
  </si>
  <si>
    <t>https://www.clickideacore.com/ClickHTML5/Visit.aspx?ID=//54DAEwASwAzADMANgA4ADYAMQA0ADMASQBEAEUAQQA3=&amp;Tipo=2&amp;ST=1&amp;nLang=0</t>
  </si>
  <si>
    <t>https://www.clickideacore.com/ClickHTML5/Visit.aspx?ID=//50DAEwASwAzADMANgA5ADUANwAzADUASQBEAEUAQQA9=&amp;Tipo=2&amp;ST=1&amp;nLang=0</t>
  </si>
  <si>
    <t>https://www.clickideacore.com/ClickHTML5/Visit.aspx?ID=//58DAEwASwAzADMANgA5ADQAOAAwADMASQBEAEUAQQAB=&amp;Tipo=2&amp;ST=1&amp;nLang=0</t>
  </si>
  <si>
    <t>https://www.clickideacore.com/ClickHTML5/Visit.aspx?ID=//5EDAEwASwAzADMANgA5ADQAMwAxADAASQBEAEUAQQAC=&amp;Tipo=2&amp;ST=1&amp;nLang=0</t>
  </si>
  <si>
    <t>https://www.clickideacore.com/ClickHTML5/Visit.aspx?ID=//58DAEwASwAzADMANgA5ADUAMAAyADAASQBEAEUAQQA7=&amp;Tipo=2&amp;ST=1&amp;nLang=0</t>
  </si>
  <si>
    <t>https://www.clickideacore.com/ClickHTML5/Visit.aspx?ID=//50DAEwASwAzADMANwAwADgANQA5ADYASQBEAEUAQQAA=&amp;Tipo=2&amp;ST=1&amp;nLang=0</t>
  </si>
  <si>
    <t>https://www.clickideacore.com/ClickHTML5/Visit.aspx?ID=//53DAEwASwAzADMANwAxADQANAAzADMASQBEAEUAQQA2=&amp;Tipo=2&amp;ST=1&amp;nLang=0</t>
  </si>
  <si>
    <t>https://www.clickideacore.com/ClickHTML5/Visit.aspx?ID=//59DAEwASwAzADMANwAzADMANgAyADcASQBEAEUAQQAA=&amp;Tipo=2&amp;ST=1&amp;nLang=0</t>
  </si>
  <si>
    <t>https://www.clickideacore.com/ClickHTML5/Visit.aspx?ID=//56DAEwASwAzADMANwAzADYAMAA0ADYASQBEAEUAQQA1=&amp;Tipo=2&amp;ST=1&amp;nLang=0</t>
  </si>
  <si>
    <t>https://www.clickideacore.com/ClickHTML5/Visit.aspx?ID=//5CDAEwASwAzADMANwAzADgAMQAzADAASQBEAEUAQQAF=&amp;Tipo=2&amp;ST=1&amp;nLang=0</t>
  </si>
  <si>
    <t>https://www.clickideacore.com/ClickHTML5/Visit.aspx?ID=//55DAEwASwAzADMANwA2ADEAMgAyADQASQBEAEUAQQA8=&amp;Tipo=2&amp;ST=1&amp;nLang=0</t>
  </si>
  <si>
    <t>https://www.clickideacore.com/ClickHTML5/Visit.aspx?ID=//5CDAEwASwAzADMANwA1ADgANwA3ADYASQBEAEUAQQA9=&amp;Tipo=2&amp;ST=1&amp;nLang=0</t>
  </si>
  <si>
    <t>https://www.clickideacore.com/ClickHTML5/Visit.aspx?ID=//5FDAEwASwAzADMANwA2ADAAMAA3ADYASQBEAEUAQQA5=&amp;Tipo=2&amp;ST=1&amp;nLang=0</t>
  </si>
  <si>
    <t>https://www.clickideacore.com/ClickHTML5/Visit.aspx?ID=//5EDAEwASwAzADMANwA1ADUAOQAzADUASQBEAEUAQQA9=&amp;Tipo=2&amp;ST=1&amp;nLang=0</t>
  </si>
  <si>
    <t>https://www.clickideacore.com/ClickHTML5/Visit.aspx?ID=//50DAEwASwAzADMANwA1ADcAMQA4ADUASQBEAEUAQQAC=&amp;Tipo=2&amp;ST=1&amp;nLang=0</t>
  </si>
  <si>
    <t>https://www.clickideacore.com/ClickHTML5/Visit.aspx?ID=//50DAEwASwAzADMANwA3ADkANgA3ADQASQBEAEUAQQA6=&amp;Tipo=2&amp;ST=1&amp;nLang=0</t>
  </si>
  <si>
    <t>https://www.clickideacore.com/ClickHTML5/Visit.aspx?ID=//55DAEwASwAzADMANwA4ADQANwA0ADAASQBEAEUAQQA9=&amp;Tipo=2&amp;ST=1&amp;nLang=0</t>
  </si>
  <si>
    <t>https://www.clickideacore.com/ClickHTML5/Visit.aspx?ID=//54DAEwASwAzADMANwA4ADEANwA0ADIASQBEAEUAQQAB=&amp;Tipo=2&amp;ST=1&amp;nLang=0</t>
  </si>
  <si>
    <t>https://www.clickideacore.com/ClickHTML5/Visit.aspx?ID=//5EDAEwASwAzADMANwA4ADQANQA0ADIASQBEAEUAQQAD=&amp;Tipo=2&amp;ST=1&amp;nLang=0</t>
  </si>
  <si>
    <t>https://www.clickideacore.com/ClickHTML5/Visit.aspx?ID=//51DAEwASwAzADMANwA4ADEAMwAyADIASQBEAEUAQQA6=&amp;Tipo=2&amp;ST=1&amp;nLang=0</t>
  </si>
  <si>
    <t>https://www.clickideacore.com/ClickHTML5/Visit.aspx?ID=//55DAEwASwAzADMANwA3ADgANAA2ADkASQBEAEUAQQAE=&amp;Tipo=2&amp;ST=1&amp;nLang=0</t>
  </si>
  <si>
    <t>https://www.clickideacore.com/ClickHTML5/Visit.aspx?ID=//50DAEwASwAzADMAOAAwADAAOQA2ADkASQBEAEUAQQAE=&amp;Tipo=2&amp;ST=1&amp;nLang=0</t>
  </si>
  <si>
    <t>https://www.clickideacore.com/ClickHTML5/Visit.aspx?ID=//5CDAEwASwAzADMAOAAwADQAMgAyADcASQBEAEUAQQA4=&amp;Tipo=2&amp;ST=1&amp;nLang=0</t>
  </si>
  <si>
    <t>https://www.clickideacore.com/ClickHTML5/Visit.aspx?ID=//56DAEwASwAzADMAOAAwADUAOAAxADQASQBEAEUAQQA8=&amp;Tipo=2&amp;ST=1&amp;nLang=0</t>
  </si>
  <si>
    <t>https://www.clickideacore.com/ClickHTML5/Visit.aspx?ID=//55DAEwASwAzADMAOAAwADMANwAzADgASQBEAEUAQQA8=&amp;Tipo=2&amp;ST=1&amp;nLang=0</t>
  </si>
  <si>
    <t>Jorge Viscarra</t>
  </si>
  <si>
    <t>https://www.clickideacore.com/ClickHTML5/Visit.aspx?ID=//59DAEwASwAzADMAOAAyADEAMQAzADUASQBEAEUAQQA5=&amp;Tipo=2&amp;ST=1&amp;nLang=0</t>
  </si>
  <si>
    <t>https://www.clickideacore.com/ClickHTML5/Visit.aspx?ID=//50DAEwASwAzADMAOAAyADAAOQAzADQASQBEAEUAQQAE=&amp;Tipo=2&amp;ST=1&amp;nLang=0</t>
  </si>
  <si>
    <t>https://www.clickideacore.com/ClickHTML5/Visit.aspx?ID=//51DAEwASwAzADMAOAAyADAAMgAyADgASQBEAEUAQQA1=&amp;Tipo=2&amp;ST=1&amp;nLang=0</t>
  </si>
  <si>
    <t>https://www.clickideacore.com/ClickHTML5/Visit.aspx?ID=//54DAEwASwAzADMAOAAyADAAMAAwADAASQBEAEUAQQA0=&amp;Tipo=2&amp;ST=1&amp;nLang=0</t>
  </si>
  <si>
    <t>Roberto Ramirez</t>
  </si>
  <si>
    <t>OP-S-011</t>
  </si>
  <si>
    <t>https://www.clickideacore.com/ClickHTML5/Visit.aspx?ID=//5CDAEwASwAzADMAOAAyADAAMgA3ADMASQBEAEUAQQAB=&amp;Tipo=2&amp;ST=1&amp;nLang=0</t>
  </si>
  <si>
    <t>https://www.clickideacore.com/ClickHTML5/Visit.aspx?ID=//5FDAEwASwAzADMAOAAyADkAOAAxADMASQBEAEUAQQAE=&amp;Tipo=2&amp;ST=1&amp;nLang=0</t>
  </si>
  <si>
    <t>https://www.clickideacore.com/ClickHTML5/Visit.aspx?ID=//5ADAEwASwAzADMAOAAyADkANAA2ADYASQBEAEUAQQA1=&amp;Tipo=2&amp;ST=1&amp;nLang=0</t>
  </si>
  <si>
    <t>https://www.clickideacore.com/ClickHTML5/Visit.aspx?ID=//52DAEwASwAzADMAOAAzADAANAAyADYASQBEAEUAQQA1=&amp;Tipo=2&amp;ST=1&amp;nLang=0</t>
  </si>
  <si>
    <t>https://www.clickideacore.com/ClickHTML5/Visit.aspx?ID=//5CDAEwASwAzADMAOAAyADkANwA4ADYASQBEAEUAQQA9=&amp;Tipo=2&amp;ST=1&amp;nLang=0</t>
  </si>
  <si>
    <t>https://www.clickideacore.com/ClickHTML5/Visit.aspx?ID=//55DAEwASwAzADMAOAAzADUAOQA4ADAASQBEAEUAQQA9=&amp;Tipo=2&amp;ST=1&amp;nLang=0</t>
  </si>
  <si>
    <t>https://www.clickideacore.com/ClickHTML5/Visit.aspx?ID=//5DDAEwASwAzADMAOAAzADcAOQA3ADkASQBEAEUAQQA1=&amp;Tipo=2&amp;ST=1&amp;nLang=0</t>
  </si>
  <si>
    <t>https://www.clickideacore.com/ClickHTML5/Visit.aspx?ID=//54DAEwASwAzADMAOAAzADgAMAAxADcASQBEAEUAQQAF=&amp;Tipo=2&amp;ST=1&amp;nLang=0</t>
  </si>
  <si>
    <t>https://www.clickideacore.com/ClickHTML5/Visit.aspx?ID=//5BDAEwASwAzADMAOAA1ADUANgAxADMASQBEAEUAQQAA=&amp;Tipo=2&amp;ST=1&amp;nLang=0</t>
  </si>
  <si>
    <t>https://www.clickideacore.com/ClickHTML5/Visit.aspx?ID=//5EDAEwASwAzADMAOAA1ADEANQA0ADkASQBEAEUAQQA0=&amp;Tipo=2&amp;ST=1&amp;nLang=0</t>
  </si>
  <si>
    <t>https://www.clickideacore.com/ClickHTML5/Visit.aspx?ID=//50DAEwASwAzADMAOAA2ADEAMAA0ADIASQBEAEUAQQA2=&amp;Tipo=2&amp;ST=1&amp;nLang=0</t>
  </si>
  <si>
    <t>https://www.clickideacore.com/ClickHTML5/Visit.aspx?ID=//57DAEwASwAzADMAOAA1ADgAOQA1ADgASQBEAEUAQQAC=&amp;Tipo=2&amp;ST=1&amp;nLang=0</t>
  </si>
  <si>
    <t>https://www.clickideacore.com/ClickHTML5/Visit.aspx?ID=//50DAEwASwAzADMAOAA3ADYAMQA0ADUASQBEAEUAQQA6=&amp;Tipo=2&amp;ST=1&amp;nLang=0</t>
  </si>
  <si>
    <t>https://www.clickideacore.com/ClickHTML5/Visit.aspx?ID=//57DAEwASwAzADMAOAA4ADAANQA3ADIASQBEAEUAQQA3=&amp;Tipo=2&amp;ST=1&amp;nLang=0</t>
  </si>
  <si>
    <t>https://www.clickideacore.com/ClickHTML5/Visit.aspx?ID=//52DAEwASwAzADMAOAA3ADgAOQA2ADUASQBEAEUAQQA3=&amp;Tipo=2&amp;ST=1&amp;nLang=0</t>
  </si>
  <si>
    <t>https://www.clickideacore.com/ClickHTML5/Visit.aspx?ID=//5ADAEwASwAzADMAOAA4ADQANAA4ADEASQBEAEUAQQA6=&amp;Tipo=2&amp;ST=1&amp;nLang=0</t>
  </si>
  <si>
    <t>https://www.clickideacore.com/ClickHTML5/Visit.aspx?ID=//55DAEwASwAzADMAOAA4ADQAOAA0ADAASQBEAEUAQQA9=&amp;Tipo=2&amp;ST=1&amp;nLang=0</t>
  </si>
  <si>
    <t>https://www.clickideacore.com/ClickHTML5/Visit.aspx?ID=//57DAEwASwAzADMAOQAwADcANwAzADUASQBEAEUAQQAB=&amp;Tipo=2&amp;ST=1&amp;nLang=0</t>
  </si>
  <si>
    <t>https://www.clickideacore.com/ClickHTML5/Visit.aspx?ID=//5BDAEwASwAzADMAOQAwADMAMAAwADUASQBEAEUAQQA6=&amp;Tipo=2&amp;ST=1&amp;nLang=0</t>
  </si>
  <si>
    <t>https://www.clickideacore.com/ClickHTML5/Visit.aspx?ID=//5DDAEwASwAzADMAOQAwADYANwA0ADMASQBEAEUAQQA9=&amp;Tipo=2&amp;ST=1&amp;nLang=0</t>
  </si>
  <si>
    <t>https://www.clickideacore.com/ClickHTML5/Visit.aspx?ID=//57DAEwASwAzADMAOQAwADgANgA3ADkASQBEAEUAQQAE=&amp;Tipo=2&amp;ST=1&amp;nLang=0</t>
  </si>
  <si>
    <t>https://www.clickideacore.com/ClickHTML5/Visit.aspx?ID=//5EDAEwASwAzADMAOQAzADEAMQAyADQASQBEAEUAQQAF=&amp;Tipo=2&amp;ST=1&amp;nLang=0</t>
  </si>
  <si>
    <t>https://www.clickideacore.com/ClickHTML5/Visit.aspx?ID=//5ADAEwASwAzADMAOQAzADIAMAA2ADEASQBEAEUAQQA0=&amp;Tipo=2&amp;ST=1&amp;nLang=0</t>
  </si>
  <si>
    <t>https://www.clickideacore.com/ClickHTML5/Visit.aspx?ID=//5CDAEwASwAzADMAOQAyADgANwAyADYASQBEAEUAQQA7=&amp;Tipo=2&amp;ST=1&amp;nLang=0</t>
  </si>
  <si>
    <t>https://www.clickideacore.com/ClickHTML5/Visit.aspx?ID=//5BDAEwASwAzADMAOQA1ADAAMQA4ADcASQBEAEUAQQAF=&amp;Tipo=2&amp;ST=1&amp;nLang=0</t>
  </si>
  <si>
    <t>https://www.clickideacore.com/ClickHTML5/Visit.aspx?ID=//58DAEwASwAzADMAOQA1ADEAMAA4ADUASQBEAEUAQQA3=&amp;Tipo=2&amp;ST=1&amp;nLang=0</t>
  </si>
  <si>
    <t>https://www.clickideacore.com/ClickHTML5/Visit.aspx?ID=//56DAEwASwAzADMAOQA0ADkAMgA0ADgASQBEAEUAQQAB=&amp;Tipo=2&amp;ST=1&amp;nLang=0</t>
  </si>
  <si>
    <t>https://www.clickideacore.com/ClickHTML5/Visit.aspx?ID=//58DAEwASwAzADMAOQA1ADAANwAzADcASQBEAEUAQQAC=&amp;Tipo=2&amp;ST=1&amp;nLang=0</t>
  </si>
  <si>
    <t>https://www.clickideacore.com/ClickHTML5/Visit.aspx?ID=//59DAEwASwAzADMAOQA1ADgAOAA5ADEASQBEAEUAQQA9=&amp;Tipo=2&amp;ST=1&amp;nLang=0</t>
  </si>
  <si>
    <t>https://www.clickideacore.com/ClickHTML5/Visit.aspx?ID=//50DAEwASwAzADMAOQA1ADgAMgA1ADIASQBEAEUAQQA2=&amp;Tipo=2&amp;ST=1&amp;nLang=0</t>
  </si>
  <si>
    <t>https://www.clickideacore.com/ClickHTML5/Visit.aspx?ID=//56DAEwASwAzADMAOQA1ADkAMAA4ADEASQBEAEUAQQAC=&amp;Tipo=2&amp;ST=1&amp;nLang=0</t>
  </si>
  <si>
    <t>https://www.clickideacore.com/ClickHTML5/Visit.aspx?ID=//59DAEwASwAzADMAOQA1ADkAMQA1ADIASQBEAEUAQQA1=&amp;Tipo=2&amp;ST=1&amp;nLang=0</t>
  </si>
  <si>
    <t>https://www.clickideacore.com/ClickHTML5/Visit.aspx?ID=//5EDAEwASwAzADMAOQA2ADcANgA3ADgASQBEAEUAQQA0=&amp;Tipo=2&amp;ST=1&amp;nLang=0</t>
  </si>
  <si>
    <t>https://www.clickideacore.com/ClickHTML5/Visit.aspx?ID=//54DAEwASwAzADMAOQA3ADcANAAxADUASQBEAEUAQQAD=&amp;Tipo=2&amp;ST=1&amp;nLang=0</t>
  </si>
  <si>
    <t>https://www.clickideacore.com/ClickHTML5/Visit.aspx?ID=//55DAEwASwAzADMAOQA3ADAANgA3ADEASQBEAEUAQQAE=&amp;Tipo=2&amp;ST=1&amp;nLang=0</t>
  </si>
  <si>
    <t>https://www.clickideacore.com/ClickHTML5/Visit.aspx?ID=//5CDAEwASwAzADMAOQA5ADgAOAAzADMASQBEAEUAQQAF=&amp;Tipo=2&amp;ST=1&amp;nLang=0</t>
  </si>
  <si>
    <t>https://www.clickideacore.com/ClickHTML5/Visit.aspx?ID=//56DAEwASwAzADQAMAAwADMANQA4ADYASQBEAEUAQQA4=&amp;Tipo=2&amp;ST=1&amp;nLang=0</t>
  </si>
  <si>
    <t>https://www.clickideacore.com/ClickHTML5/Visit.aspx?ID=//52DAEwASwAzADQAMAAwADgAMgA4ADgASQBEAEUAQQAA=&amp;Tipo=2&amp;ST=1&amp;nLang=0</t>
  </si>
  <si>
    <t>https://www.clickideacore.com/ClickHTML5/Visit.aspx?ID=//5ADAEwASwAzADMAOQA5ADkANAAzADYASQBEAEUAQQAD=&amp;Tipo=2&amp;ST=1&amp;nLang=0</t>
  </si>
  <si>
    <t>https://www.clickideacore.com/ClickHTML5/Visit.aspx?ID=//5EDAEwASwAzADMAOQA5ADkAMQAzADUASQBEAEUAQQAE=&amp;Tipo=2&amp;ST=1&amp;nLang=0</t>
  </si>
  <si>
    <t>https://www.clickideacore.com/ClickHTML5/Visit.aspx?ID=//54DAEwASwAzADQAMAAwADYANAAxADkASQBEAEUAQQA4=&amp;Tipo=2&amp;ST=1&amp;nLang=0</t>
  </si>
  <si>
    <t>https://www.clickideacore.com/ClickHTML5/Visit.aspx?ID=//57DAEwASwAzADQAMAAyADcAMgAxADgASQBEAEUAQQA4=&amp;Tipo=2&amp;ST=1&amp;nLang=0</t>
  </si>
  <si>
    <t>https://www.clickideacore.com/ClickHTML5/Visit.aspx?ID=//58DAEwASwAzADQAMAAzADQAMQA0ADcASQBEAEUAQQA9=&amp;Tipo=2&amp;ST=1&amp;nLang=0</t>
  </si>
  <si>
    <t>https://www.clickideacore.com/ClickHTML5/Visit.aspx?ID=//58DAEwASwAzADQAMAAzADMAOQA2ADkASQBEAEUAQQAD=&amp;Tipo=2&amp;ST=1&amp;nLang=0</t>
  </si>
  <si>
    <t>https://www.clickideacore.com/ClickHTML5/Visit.aspx?ID=//5ADAEwASwAzADQAMAAyADYAMAAzADAASQBEAEUAQQA2=&amp;Tipo=2&amp;ST=1&amp;nLang=0</t>
  </si>
  <si>
    <t>https://www.clickideacore.com/ClickHTML5/Visit.aspx?ID=//53DAEwASwAzADQAMAA1ADkAMgA5ADUASQBEAEUAQQA5=&amp;Tipo=2&amp;ST=1&amp;nLang=0</t>
  </si>
  <si>
    <t>https://www.clickideacore.com/ClickHTML5/Visit.aspx?ID=//52DAEwASwAzADQAMAA1ADAAMAAyADMASQBEAEUAQQAF=&amp;Tipo=2&amp;ST=1&amp;nLang=0</t>
  </si>
  <si>
    <t>https://www.clickideacore.com/ClickHTML5/Visit.aspx?ID=//50DAEwASwAzADQAMAA1ADEAMQAzADYASQBEAEUAQQA9=&amp;Tipo=2&amp;ST=1&amp;nLang=0</t>
  </si>
  <si>
    <t>https://www.clickideacore.com/ClickHTML5/Visit.aspx?ID=//54DAEwASwAzADQAMAA1ADEAOQA4ADgASQBEAEUAQQA2=&amp;Tipo=2&amp;ST=1&amp;nLang=0</t>
  </si>
  <si>
    <t>https://www.clickideacore.com/ClickHTML5/Visit.aspx?ID=//53DAEwASwAzADQAMAA3ADYANQA2ADkASQBEAEUAQQAD=&amp;Tipo=2&amp;ST=1&amp;nLang=0</t>
  </si>
  <si>
    <t>https://www.clickideacore.com/ClickHTML5/Visit.aspx?ID=//53DAEwASwAzADQAMAA4ADEANwA4ADUASQBEAEUAQQA3=&amp;Tipo=2&amp;ST=1&amp;nLang=0</t>
  </si>
  <si>
    <t>https://www.clickideacore.com/ClickHTML5/Visit.aspx?ID=//53DAEwASwAzADQAMAA4ADIANgA3ADAASQBEAEUAQQAE=&amp;Tipo=2&amp;ST=1&amp;nLang=0</t>
  </si>
  <si>
    <t>https://www.clickideacore.com/ClickHTML5/Visit.aspx?ID=//54DAEwASwAzADQAMAA4ADIANgAxADUASQBEAEUAQQAB=&amp;Tipo=2&amp;ST=1&amp;nLang=0</t>
  </si>
  <si>
    <t>https://www.clickideacore.com/ClickHTML5/Visit.aspx?ID=//5FDAEwASwAzADQAMAA4ADIAOAA3ADAASQBEAEUAQQA4=&amp;Tipo=2&amp;ST=1&amp;nLang=0</t>
  </si>
  <si>
    <t>https://www.clickideacore.com/ClickHTML5/Visit.aspx?ID=//50DAEwASwAzADQAMAA4ADIANAA2ADIASQBEAEUAQQA1=&amp;Tipo=2&amp;ST=1&amp;nLang=0</t>
  </si>
  <si>
    <t>https://www.clickideacore.com/ClickHTML5/Visit.aspx?ID=//53DAEwASwAzADQAMAA5ADUANwA1ADIASQBEAEUAQQA2=&amp;Tipo=2&amp;ST=1&amp;nLang=0</t>
  </si>
  <si>
    <t>https://www.clickideacore.com/ClickHTML5/Visit.aspx?ID=//55DAEwASwAzADQAMAA5ADUAMAA2ADYASQBEAEUAQQAE=&amp;Tipo=2&amp;ST=1&amp;nLang=0</t>
  </si>
  <si>
    <t>https://www.clickideacore.com/ClickHTML5/Visit.aspx?ID=//54DAEwASwAzADQAMQAwADYAMAAzADgASQBEAEUAQQA2=&amp;Tipo=2&amp;ST=1&amp;nLang=0</t>
  </si>
  <si>
    <t>https://www.clickideacore.com/ClickHTML5/Visit.aspx?ID=//55DAEwASwAzADQAMQAwADYANQA4ADAASQBEAEUAQQA0=&amp;Tipo=2&amp;ST=1&amp;nLang=0</t>
  </si>
  <si>
    <t>https://www.clickideacore.com/ClickHTML5/Visit.aspx?ID=//5EDAEwASwAzADQAMQAwADUANgA5ADQASQBEAEUAQQA7=&amp;Tipo=2&amp;ST=1&amp;nLang=0</t>
  </si>
  <si>
    <t>https://www.clickideacore.com/ClickHTML5/Visit.aspx?ID=//56DAEwASwAzADQAMQAxADYAOAA3ADkASQBEAEUAQQA5=&amp;Tipo=2&amp;ST=1&amp;nLang=0</t>
  </si>
  <si>
    <t>https://www.clickideacore.com/ClickHTML5/Visit.aspx?ID=//52DAEwASwAzADQAMQAyADgAMAA2ADEASQBEAEUAQQA8=&amp;Tipo=2&amp;ST=1&amp;nLang=0</t>
  </si>
  <si>
    <t>https://www.clickideacore.com/ClickHTML5/Visit.aspx?ID=//57DAEwASwAzADQAMQAyADIANgA0ADEASQBEAEUAQQA8=&amp;Tipo=2&amp;ST=1&amp;nLang=0</t>
  </si>
  <si>
    <t>https://www.clickideacore.com/ClickHTML5/Visit.aspx?ID=//51DAEwASwAzADQAMQA0ADgAMAA1ADgASQBEAEUAQQA1=&amp;Tipo=2&amp;ST=1&amp;nLang=0</t>
  </si>
  <si>
    <t>https://www.clickideacore.com/ClickHTML5/Visit.aspx?ID=//56DAEwASwAzADQAMQA1ADQANgA0ADkASQBEAEUAQQAE=&amp;Tipo=2&amp;ST=1&amp;nLang=0</t>
  </si>
  <si>
    <t>https://www.clickideacore.com/ClickHTML5/Visit.aspx?ID=//5DDAEwASwAzADQAMQA1ADAANAAyADgASQBEAEUAQQAF=&amp;Tipo=2&amp;ST=1&amp;nLang=0</t>
  </si>
  <si>
    <t>https://www.clickideacore.com/ClickHTML5/Visit.aspx?ID=//55DAEwASwAzADQAMQA3ADYAOQAxADMASQBEAEUAQQA1=&amp;Tipo=2&amp;ST=1&amp;nLang=0</t>
  </si>
  <si>
    <t>https://www.clickideacore.com/ClickHTML5/Visit.aspx?ID=//56DAEwASwAzADQAMQA3ADgANgA2ADUASQBEAEUAQQAE=&amp;Tipo=2&amp;ST=1&amp;nLang=0</t>
  </si>
  <si>
    <t>https://www.clickideacore.com/ClickHTML5/Visit.aspx?ID=//5EDAEwASwAzADQAMQA3ADUANAAyADEASQBEAEUAQQAF=&amp;Tipo=2&amp;ST=1&amp;nLang=0</t>
  </si>
  <si>
    <t>https://www.clickideacore.com/ClickHTML5/Visit.aspx?ID=//51DAEwASwAzADQAMgAwADEANwA0ADEASQBEAEUAQQAE=&amp;Tipo=2&amp;ST=1&amp;nLang=0</t>
  </si>
  <si>
    <t>https://www.clickideacore.com/ClickHTML5/Visit.aspx?ID=//56DAEwASwAzADQAMgAwADIAMwA5ADAASQBEAEUAQQA2=&amp;Tipo=2&amp;ST=1&amp;nLang=0</t>
  </si>
  <si>
    <t>https://www.clickideacore.com/ClickHTML5/Visit.aspx?ID=//5DDAEwASwAzADQAMgAwADMAMgAwADQASQBEAEUAQQAD=&amp;Tipo=2&amp;ST=1&amp;nLang=0</t>
  </si>
  <si>
    <t>https://www.clickideacore.com/ClickHTML5/Visit.aspx?ID=//5BDAEwASwAzADQAMQA5ADkANAAyADcASQBEAEUAQQA4=&amp;Tipo=2&amp;ST=1&amp;nLang=0</t>
  </si>
  <si>
    <t>https://www.clickideacore.com/ClickHTML5/Visit.aspx?ID=//52DAEwASwAzADQAMgAyADAAMgAwADgASQBEAEUAQQA8=&amp;Tipo=2&amp;ST=1&amp;nLang=0</t>
  </si>
  <si>
    <t>https://www.clickideacore.com/ClickHTML5/Visit.aspx?ID=//5EDAEwASwAzADQAMgAyADMAOQAwADkASQBEAEUAQQAE=&amp;Tipo=2&amp;ST=1&amp;nLang=0</t>
  </si>
  <si>
    <t>https://www.clickideacore.com/ClickHTML5/Visit.aspx?ID=//50DAEwASwAzADQAMgAyADMAMwAzADAASQBEAEUAQQAE=&amp;Tipo=2&amp;ST=1&amp;nLang=0</t>
  </si>
  <si>
    <t>https://www.clickideacore.com/ClickHTML5/Visit.aspx?ID=//50DAEwASwAzADQAMgAyADIAMwA2ADgASQBEAEUAQQAD=&amp;Tipo=2&amp;ST=1&amp;nLang=0</t>
  </si>
  <si>
    <t>https://www.clickideacore.com/ClickHTML5/Visit.aspx?ID=//5EDAEwASwAzADQAMgAzADcAOAAyADYASQBEAEUAQQAE=&amp;Tipo=2&amp;ST=1&amp;nLang=0</t>
  </si>
  <si>
    <t>https://www.clickideacore.com/ClickHTML5/Visit.aspx?ID=//53DAEwASwAzADQAMgAzADYAOQA1ADUASQBEAEUAQQAA=&amp;Tipo=2&amp;ST=1&amp;nLang=0</t>
  </si>
  <si>
    <t>https://www.clickideacore.com/ClickHTML5/Visit.aspx?ID=//55DAEwASwAzADQAMgAzADYAOQAyADkASQBEAEUAQQAA=&amp;Tipo=2&amp;ST=1&amp;nLang=0</t>
  </si>
  <si>
    <t>https://www.clickideacore.com/ClickHTML5/Visit.aspx?ID=//51DAEwASwAzADQAMgAzADcAOQAzADYASQBEAEUAQQA9=&amp;Tipo=2&amp;ST=1&amp;nLang=0</t>
  </si>
  <si>
    <t xml:space="preserve">Cristian Gonzalez </t>
  </si>
  <si>
    <t>Juan Cuadra</t>
  </si>
  <si>
    <t>https://www.clickideacore.com/ClickHTML5/Visit.aspx?ID=//5BDAEwASwAzADQAMgA0ADYANQAwADQASQBEAEUAQQAC=&amp;Tipo=2&amp;ST=1&amp;nLang=0</t>
  </si>
  <si>
    <t>https://www.clickideacore.com/ClickHTML5/Visit.aspx?ID=//50DAEwASwAzADQAMgA0ADUAOAAzADEASQBEAEUAQQAE=&amp;Tipo=2&amp;ST=1&amp;nLang=0</t>
  </si>
  <si>
    <t>https://www.clickideacore.com/ClickHTML5/Visit.aspx?ID=//57DAEwASwAzADQAMgA0ADYAMQAwADgASQBEAEUAQQAA=&amp;Tipo=2&amp;ST=1&amp;nLang=0</t>
  </si>
  <si>
    <t>https://www.clickideacore.com/ClickHTML5/Visit.aspx?ID=//57DAEwASwAzADQAMgA0ADYAOQA2ADQASQBEAEUAQQA7=&amp;Tipo=2&amp;ST=1&amp;nLang=0</t>
  </si>
  <si>
    <t>Descanso</t>
  </si>
  <si>
    <t>https://www.clickideacore.com/ClickHTML5/Visit.aspx?ID=//5BDAEwASwAzADQAMgA1ADQAMwA0ADAASQBEAEUAQQA4=&amp;Tipo=2&amp;ST=1&amp;nLang=0</t>
  </si>
  <si>
    <t>https://www.clickideacore.com/ClickHTML5/Visit.aspx?ID=//56DAEwASwAzADQAMgA1ADIANwAxADcASQBEAEUAQQA1=&amp;Tipo=2&amp;ST=1&amp;nLang=0</t>
  </si>
  <si>
    <t>https://www.clickideacore.com/ClickHTML5/Visit.aspx?ID=//54DAEwASwAzADQAMgA3ADUANgA0ADEASQBEAEUAQQA5=&amp;Tipo=2&amp;ST=1&amp;nLang=0</t>
  </si>
  <si>
    <t>https://www.clickideacore.com/ClickHTML5/Visit.aspx?ID=//50DAEwASwAzADQAMgA4ADEAMQAzADMASQBEAEUAQQA1=&amp;Tipo=2&amp;ST=1&amp;nLang=0</t>
  </si>
  <si>
    <t>https://www.clickideacore.com/ClickHTML5/Visit.aspx?ID=//50DAEwASwAzADQAMgA3ADYAMAAwADUASQBEAEUAQQA4=&amp;Tipo=2&amp;ST=1&amp;nLang=0</t>
  </si>
  <si>
    <t>https://www.clickideacore.com/ClickHTML5/Visit.aspx?ID=//52DAEwASwAzADQAMgA5ADgANgAwADgASQBEAEUAQQA4=&amp;Tipo=2&amp;ST=1&amp;nLang=0</t>
  </si>
  <si>
    <t>https://www.clickideacore.com/ClickHTML5/Visit.aspx?ID=//57DAEwASwAzADQAMwAwADMAOAAyADYASQBEAEUAQQAD=&amp;Tipo=2&amp;ST=1&amp;nLang=0</t>
  </si>
  <si>
    <t>https://www.clickideacore.com/ClickHTML5/Visit.aspx?ID=//50DAEwASwAzADQAMgA5ADgANwA0ADIASQBEAEUAQQA2=&amp;Tipo=2&amp;ST=1&amp;nLang=0</t>
  </si>
  <si>
    <t>https://www.clickideacore.com/ClickHTML5/Visit.aspx?ID=//5DDAEwASwAzADQAMwAwADAAMQA2ADIASQBEAEUAQQA4=&amp;Tipo=2&amp;ST=1&amp;nLang=0</t>
  </si>
  <si>
    <t>https://www.clickideacore.com/ClickHTML5/Visit.aspx?ID=//5ADAEwASwAzADQAMwAyADMANAA4ADIASQBEAEUAQQA8=&amp;Tipo=2&amp;ST=1&amp;nLang=0</t>
  </si>
  <si>
    <t>https://www.clickideacore.com/ClickHTML5/Visit.aspx?ID=//52DAEwASwAzADQAMwAyADQANwAwADkASQBEAEUAQQAD=&amp;Tipo=2&amp;ST=1&amp;nLang=0</t>
  </si>
  <si>
    <t>https://www.clickideacore.com/ClickHTML5/Visit.aspx?ID=//52DAEwASwAzADQAMwAyADAANwA0ADMASQBEAEUAQQAA=&amp;Tipo=2&amp;ST=1&amp;nLang=0</t>
  </si>
  <si>
    <t>https://www.clickideacore.com/ClickHTML5/Visit.aspx?ID=//5BDAEwASwAzADQAMwAyADYANQA3ADUASQBEAEUAQQA5=&amp;Tipo=2&amp;ST=1&amp;nLang=0</t>
  </si>
  <si>
    <t>https://www.clickideacore.com/ClickHTML5/Visit.aspx?ID=//5ADAEwASwAzADQAMwA0ADgAMAAyADcASQBEAEUAQQAB=&amp;Tipo=2&amp;ST=1&amp;nLang=0</t>
  </si>
  <si>
    <t>https://www.clickideacore.com/ClickHTML5/Visit.aspx?ID=//57DAEwASwAzADQAMwA1ADMAOQAwADMASQBEAEUAQQA7=&amp;Tipo=2&amp;ST=1&amp;nLang=0</t>
  </si>
  <si>
    <t>https://www.clickideacore.com/ClickHTML5/Visit.aspx?ID=//50DAEwASwAzADQAMwA1ADEANgAzADEASQBEAEUAQQA9=&amp;Tipo=2&amp;ST=1&amp;nLang=0</t>
  </si>
  <si>
    <t>https://www.clickideacore.com/ClickHTML5/Visit.aspx?ID=//54DAEwASwAzADQAMwA1ADEAMwA1ADMASQBEAEUAQQAE=&amp;Tipo=2&amp;ST=1&amp;nLang=0</t>
  </si>
  <si>
    <t>https://www.clickideacore.com/ClickHTML5/Visit.aspx?ID=//59DAEwASwAzADQAMwA2ADgAMAAwADIASQBEAEUAQQA0=&amp;Tipo=2&amp;ST=1&amp;nLang=0</t>
  </si>
  <si>
    <t>https://www.clickideacore.com/ClickHTML5/Visit.aspx?ID=//51DAEwASwAzADQAMwA2ADkANQAwADEASQBEAEUAQQAD=&amp;Tipo=2&amp;ST=1&amp;nLang=0</t>
  </si>
  <si>
    <t>https://www.clickideacore.com/ClickHTML5/Visit.aspx?ID=//59DAEwASwAzADQAMwA2ADgAMwAyADMASQBEAEUAQQA2=&amp;Tipo=2&amp;ST=1&amp;nLang=0</t>
  </si>
  <si>
    <t>https://www.clickideacore.com/ClickHTML5/Visit.aspx?ID=//57DAEwASwAzADQAMwA3ADYANwAzADEASQBEAEUAQQA3=&amp;Tipo=2&amp;ST=1&amp;nLang=0</t>
  </si>
  <si>
    <t>https://www.clickideacore.com/ClickHTML5/Visit.aspx?ID=//5DDAEwASwAzADQAMwA3ADcANgA1ADIASQBEAEUAQQA1=&amp;Tipo=2&amp;ST=1&amp;nLang=0</t>
  </si>
  <si>
    <t>https://www.clickideacore.com/ClickHTML5/Visit.aspx?ID=//56DAEwASwAzADQAMwA3ADcAMQA3ADgASQBEAEUAQQA5=&amp;Tipo=2&amp;ST=1&amp;nLang=0</t>
  </si>
  <si>
    <t>https://www.clickideacore.com/ClickHTML5/Visit.aspx?ID=//50DAEwASwAzADQANAAwADAANwA2ADcASQBEAEUAQQAE=&amp;Tipo=2&amp;ST=1&amp;nLang=0</t>
  </si>
  <si>
    <t>https://www.clickideacore.com/ClickHTML5/Visit.aspx?ID=//51DAEwASwAzADQANAAwADkAOQA0ADUASQBEAEUAQQA5=&amp;Tipo=2&amp;ST=1&amp;nLang=0</t>
  </si>
  <si>
    <t>https://www.clickideacore.com/ClickHTML5/Visit.aspx?ID=//5EDAEwASwAzADQANAAwADYANAAwADcASQBEAEUAQQA7=&amp;Tipo=2&amp;ST=1&amp;nLang=0</t>
  </si>
  <si>
    <t>https://www.clickideacore.com/ClickHTML5/Visit.aspx?ID=//57DAEwASwAzADQANAAwADgAMgA3ADgASQBEAEUAQQAF=&amp;Tipo=2&amp;ST=1&amp;nLang=0</t>
  </si>
  <si>
    <t>https://www.clickideacore.com/ClickHTML5/Visit.aspx?ID=//59DAEwASwAzADQANAAyADcAOQA5ADQASQBEAEUAQQA0=&amp;Tipo=2&amp;ST=1&amp;nLang=0</t>
  </si>
  <si>
    <t>https://www.clickideacore.com/ClickHTML5/Visit.aspx?ID=//59DAEwASwAzADQANAAzADAAMQA4ADYASQBEAEUAQQAF=&amp;Tipo=2&amp;ST=1&amp;nLang=0</t>
  </si>
  <si>
    <t>https://www.clickideacore.com/ClickHTML5/Visit.aspx?ID=//5BDAEwASwAzADQANAAzADAANwA2ADMASQBEAEUAQQAF=&amp;Tipo=2&amp;ST=1&amp;nLang=0</t>
  </si>
  <si>
    <t>Servicios</t>
  </si>
  <si>
    <t>https://www.clickideacore.com/ClickHTML5/Visit.aspx?ID=//5FDAEwASwAzADQANAA1ADAAMwA5ADQASQBEAEUAQQAA=&amp;Tipo=2&amp;ST=1&amp;nLang=0</t>
  </si>
  <si>
    <t>https://www.clickideacore.com/ClickHTML5/Visit.aspx?ID=//5DDAEwASwAzADQANAA0ADgANgA4ADMASQBEAEUAQQAF=&amp;Tipo=2&amp;ST=1&amp;nLang=0</t>
  </si>
  <si>
    <t>https://www.clickideacore.com/ClickHTML5/Visit.aspx?ID=//5DDAEwASwAzADQANAA1ADQAMAAwADYASQBEAEUAQQAC=&amp;Tipo=2&amp;ST=1&amp;nLang=0</t>
  </si>
  <si>
    <t>https://www.clickideacore.com/ClickHTML5/Visit.aspx?ID=//54DAEwASwAzADQANAA1ADUAMwA5ADEASQBEAEUAQQA3=&amp;Tipo=2&amp;ST=1&amp;nLang=0</t>
  </si>
  <si>
    <t>https://www.clickideacore.com/ClickHTML5/Visit.aspx?ID=//58DAEwASwAzADQANAA3ADMAOAA5ADEASQBEAEUAQQA3=&amp;Tipo=2&amp;ST=1&amp;nLang=0</t>
  </si>
  <si>
    <t>https://www.clickideacore.com/ClickHTML5/Visit.aspx?ID=//57DAEwASwAzADQANAA3ADYANAA2ADgASQBEAEUAQQAA=&amp;Tipo=2&amp;ST=1&amp;nLang=0</t>
  </si>
  <si>
    <t>https://www.clickideacore.com/ClickHTML5/Visit.aspx?ID=//5EDAEwASwAzADQANAA3ADkANAA1ADUASQBEAEUAQQA3=&amp;Tipo=2&amp;ST=1&amp;nLang=0</t>
  </si>
  <si>
    <t>https://www.clickideacore.com/ClickHTML5/Visit.aspx?ID=//5DDAEwASwAzADQANAA5ADMANgAyADEASQBEAEUAQQA7=&amp;Tipo=2&amp;ST=1&amp;nLang=0</t>
  </si>
  <si>
    <t>https://www.clickideacore.com/ClickHTML5/Visit.aspx?ID=//5ADAEwASwAzADQANAA5ADQAMwA4ADYASQBEAEUAQQAA=&amp;Tipo=2&amp;ST=1&amp;nLang=0</t>
  </si>
  <si>
    <t>https://www.clickideacore.com/ClickHTML5/Visit.aspx?ID=//58DAEwASwAzADQANAA5ADMANwA4ADAASQBEAEUAQQA3=&amp;Tipo=2&amp;ST=1&amp;nLang=0</t>
  </si>
  <si>
    <t>https://www.clickideacore.com/ClickHTML5/Visit.aspx?ID=//5ADAEwASwAzADQANAA5ADQANAA1ADAASQBEAEUAQQAF=&amp;Tipo=2&amp;ST=1&amp;nLang=0</t>
  </si>
  <si>
    <t>https://www.clickideacore.com/ClickHTML5/Visit.aspx?ID=//5CDAEwASwAzADQANQAwADIAMgA2ADkASQBEAEUAQQAE=&amp;Tipo=2&amp;ST=1&amp;nLang=0</t>
  </si>
  <si>
    <t>https://www.clickideacore.com/ClickHTML5/Visit.aspx?ID=//51DAEwASwAzADQANQAwADIANQA2ADAASQBEAEUAQQAB=&amp;Tipo=2&amp;ST=1&amp;nLang=0</t>
  </si>
  <si>
    <t>https://www.clickideacore.com/ClickHTML5/Visit.aspx?ID=//5BDAEwASwAzADQANQAwADIANgAxADMASQBEAEUAQQA3=&amp;Tipo=2&amp;ST=1&amp;nLang=0</t>
  </si>
  <si>
    <t>https://www.clickideacore.com/ClickHTML5/Visit.aspx?ID=//5EDAEwASwAzADQANQAwADIAOQA0ADYASQBEAEUAQQAA=&amp;Tipo=2&amp;ST=1&amp;nLang=0</t>
  </si>
  <si>
    <t>https://www.clickideacore.com/ClickHTML5/Visit.aspx?ID=//59DAEwASwAzADQANQAxADUAMwA0ADQASQBEAEUAQQA6=&amp;Tipo=2&amp;ST=1&amp;nLang=0</t>
  </si>
  <si>
    <t>https://www.clickideacore.com/ClickHTML5/Visit.aspx?ID=//5FDAEwASwAzADQANQAxADcANQAwADYASQBEAEUAQQA8=&amp;Tipo=2&amp;ST=1&amp;nLang=0</t>
  </si>
  <si>
    <t>https://www.clickideacore.com/ClickHTML5/Visit.aspx?ID=//5DDAEwASwAzADQANQAyADYAOAAyADAASQBEAEUAQQA0=&amp;Tipo=2&amp;ST=1&amp;nLang=0</t>
  </si>
  <si>
    <t>https://www.clickideacore.com/ClickHTML5/Visit.aspx?ID=//5FDAEwASwAzADQANQAyADMANAA1ADgASQBEAEUAQQA4=&amp;Tipo=2&amp;ST=1&amp;nLang=0</t>
  </si>
  <si>
    <t>https://www.clickideacore.com/ClickHTML5/Visit.aspx?ID=//5DDAEwASwAzADQANQAxADYAMAA0ADEASQBEAEUAQQA5=&amp;Tipo=2&amp;ST=1&amp;nLang=0</t>
  </si>
  <si>
    <t>https://www.clickideacore.com/ClickHTML5/Visit.aspx?ID=//57DAEwASwAzADQANQA0ADUAOAA0ADIASQBEAEUAQQA6=&amp;Tipo=2&amp;ST=1&amp;nLang=0</t>
  </si>
  <si>
    <t>https://www.clickideacore.com/ClickHTML5/Visit.aspx?ID=//5BDAEwASwAzADQANQA0ADcANQAyADYASQBEAEUAQQA8=&amp;Tipo=2&amp;ST=1&amp;nLang=0</t>
  </si>
  <si>
    <t>https://www.clickideacore.com/ClickHTML5/Visit.aspx?ID=//5BDAEwASwAzADQANQA0ADYANgAzADMASQBEAEUAQQAD=&amp;Tipo=2&amp;ST=1&amp;nLang=0</t>
  </si>
  <si>
    <t>https://www.clickideacore.com/ClickHTML5/Visit.aspx?ID=//57DAEwASwAzADQANQAzADQAMwA2ADUASQBEAEUAQQAB=&amp;Tipo=2&amp;ST=1&amp;nLang=0</t>
  </si>
  <si>
    <t>https://www.clickideacore.com/ClickHTML5/Visit.aspx?ID=//5CDAEwASwAzADQANQA0ADkANAA3ADAASQBEAEUAQQA1=&amp;Tipo=2&amp;ST=1&amp;nLang=0</t>
  </si>
  <si>
    <t>https://www.clickideacore.com/ClickHTML5/Visit.aspx?ID=//52DAEwASwAzADQANQA3ADIAMAA5ADQASQBEAEUAQQA5=&amp;Tipo=2&amp;ST=1&amp;nLang=0</t>
  </si>
  <si>
    <t>https://www.clickideacore.com/ClickHTML5/Visit.aspx?ID=//5ADAEwASwAzADQANQA3ADIANwA0ADYASQBEAEUAQQA7=&amp;Tipo=2&amp;ST=1&amp;nLang=0</t>
  </si>
  <si>
    <t>https://www.clickideacore.com/ClickHTML5/Visit.aspx?ID=//5BDAEwASwAzADQANQA3ADIANQA5ADQASQBEAEUAQQAB=&amp;Tipo=2&amp;ST=1&amp;nLang=0</t>
  </si>
  <si>
    <t>https://www.clickideacore.com/ClickHTML5/Visit.aspx?ID=//5CDAEwASwAzADQANQA2ADEANQA1ADQASQBEAEUAQQA7=&amp;Tipo=2&amp;ST=1&amp;nLang=0</t>
  </si>
  <si>
    <t>https://www.clickideacore.com/ClickHTML5/Visit.aspx?ID=//5DDAEwASwAzADQANQA4ADcANgAzADIASQBEAEUAQQA1=&amp;Tipo=2&amp;ST=1&amp;nLang=0</t>
  </si>
  <si>
    <t>https://www.clickideacore.com/ClickHTML5/Visit.aspx?ID=//5CDAEwASwAzADQANQA5ADEANQA3ADcASQBEAEUAQQAB=&amp;Tipo=2&amp;ST=1&amp;nLang=0</t>
  </si>
  <si>
    <t>https://www.clickideacore.com/ClickHTML5/Visit.aspx?ID=//5ADAEwASwAzADQANQA5ADIAOQA0ADkASQBEAEUAQQAA=&amp;Tipo=2&amp;ST=1&amp;nLang=0</t>
  </si>
  <si>
    <t>https://www.clickideacore.com/ClickHTML5/Visit.aspx?ID=//55DAEwASwAzADQANQA5ADQANAA4ADYASQBEAEUAQQA7=&amp;Tipo=2&amp;ST=1&amp;nLang=0</t>
  </si>
  <si>
    <t>https://www.clickideacore.com/ClickHTML5/Visit.aspx?ID=//5ADAEwASwAzADQANQA5ADMANgAzADUASQBEAEUAQQAD=&amp;Tipo=2&amp;ST=1&amp;nLang=0</t>
  </si>
  <si>
    <t>https://www.clickideacore.com/ClickHTML5/Visit.aspx?ID=//57DAEwASwAzADQANgAxADYANQAzADYASQBEAEUAQQA9=&amp;Tipo=2&amp;ST=1&amp;nLang=0</t>
  </si>
  <si>
    <t>https://www.clickideacore.com/ClickHTML5/Visit.aspx?ID=//55DAEwASwAzADQANgAxADQAMQA3ADcASQBEAEUAQQAF=&amp;Tipo=2&amp;ST=1&amp;nLang=0</t>
  </si>
  <si>
    <t>https://www.clickideacore.com/ClickHTML5/Visit.aspx?ID=//59DAEwASwAzADQANgAxADgAMAA5ADgASQBEAEUAQQAA=&amp;Tipo=2&amp;ST=1&amp;nLang=0</t>
  </si>
  <si>
    <t>https://www.clickideacore.com/ClickHTML5/Visit.aspx?ID=//54DAEwASwAzADQANgAzADYAMAAwADQASQBEAEUAQQAB=&amp;Tipo=2&amp;ST=1&amp;nLang=0</t>
  </si>
  <si>
    <t>https://www.clickideacore.com/ClickHTML5/Visit.aspx?ID=//5EDAEwASwAzADQANgAzADQAOQA5ADYASQBEAEUAQQA8=&amp;Tipo=2&amp;ST=1&amp;nLang=0</t>
  </si>
  <si>
    <t>https://www.clickideacore.com/ClickHTML5/Visit.aspx?ID=//5DDAEwASwAzADQANgAzADUAMQAyADkASQBEAEUAQQA4=&amp;Tipo=2&amp;ST=1&amp;nLang=0</t>
  </si>
  <si>
    <t>https://www.clickideacore.com/ClickHTML5/Visit.aspx?ID=//56DAEwASwAzADQANgAzADUANQA4ADkASQBEAEUAQQA8=&amp;Tipo=2&amp;ST=1&amp;nLang=0</t>
  </si>
  <si>
    <t>https://www.clickideacore.com/ClickHTML5/Visit.aspx?ID=//52DAEwASwAzADQANgA0ADMAOAAyADEASQBEAEUAQQAE=&amp;Tipo=2&amp;ST=1&amp;nLang=0</t>
  </si>
  <si>
    <t>https://www.clickideacore.com/ClickHTML5/Visit.aspx?ID=//57DAEwASwAzADQANgA0ADQAMAAyADYASQBEAEUAQQAD=&amp;Tipo=2&amp;ST=1&amp;nLang=0</t>
  </si>
  <si>
    <t>https://www.clickideacore.com/ClickHTML5/Visit.aspx?ID=//5ADAEwASwAzADQANgA0ADMANAAzADUASQBEAEUAQQAB=&amp;Tipo=2&amp;ST=1&amp;nLang=0</t>
  </si>
  <si>
    <t>Suma de Aux Sabado Semana 02</t>
  </si>
  <si>
    <t>Total Suma de Aux Sabado Semana 02</t>
  </si>
  <si>
    <t>Suma de Aux Domingo Semana 02</t>
  </si>
  <si>
    <t>Total Suma de Aux Domingo Semana 02</t>
  </si>
  <si>
    <t>https://www.clickideacore.com/ClickHTML5/Visit.aspx?ID=//5EDAEwASwAzADQAMwA4ADQAMgAwADQASQBEAEUAQQA8=&amp;Tipo=2&amp;ST=1&amp;nLang=0</t>
  </si>
  <si>
    <t>https://www.clickideacore.com/ClickHTML5/Visit.aspx?ID=//59DAEwASwAzADQAMwA4ADIAOAAzADQASQBEAEUAQQA7=&amp;Tipo=2&amp;ST=1&amp;nLang=0</t>
  </si>
  <si>
    <t>https://www.clickideacore.com/ClickHTML5/Visit.aspx?ID=//58DAEwASwAzADQAMwA4ADUAMQAyADcASQBEAEUAQQAD=&amp;Tipo=2&amp;ST=1&amp;nLang=0</t>
  </si>
  <si>
    <t>https://www.clickideacore.com/ClickHTML5/Visit.aspx?ID=//5EDAEwASwAzADQANgA1ADUANgA4ADIASQBEAEUAQQA3=&amp;Tipo=2&amp;ST=1&amp;nLang=0</t>
  </si>
  <si>
    <t>https://www.clickideacore.com/ClickHTML5/Visit.aspx?ID=//53DAEwASwAzADQANgA1ADUAMwA3ADgASQBEAEUAQQAD=&amp;Tipo=2&amp;ST=1&amp;nLang=0</t>
  </si>
  <si>
    <t>https://www.clickideacore.com/ClickHTML5/Visit.aspx?ID=//58DAEwASwAzADQANgA2ADAANwA4ADYASQBEAEUAQQAF=&amp;Tipo=2&amp;ST=1&amp;nLang=0</t>
  </si>
  <si>
    <t>https://www.clickideacore.com/ClickHTML5/Visit.aspx?ID=//5EDAEwASwAzADQANgA4ADgANwA3ADgASQBEAEUAQQAC=&amp;Tipo=2&amp;ST=1&amp;nLang=0</t>
  </si>
  <si>
    <t>https://www.clickideacore.com/ClickHTML5/Visit.aspx?ID=//57DAEwASwAzADQANgA4ADcANgA0ADcASQBEAEUAQQA6=&amp;Tipo=2&amp;ST=1&amp;nLang=0</t>
  </si>
  <si>
    <t>https://www.clickideacore.com/ClickHTML5/Visit.aspx?ID=//59DAEwASwAzADQANgA4ADYANAAyADQASQBEAEUAQQAD=&amp;Tipo=2&amp;ST=1&amp;nLang=0</t>
  </si>
  <si>
    <t>https://www.clickideacore.com/ClickHTML5/Visit.aspx?ID=//5CDAEwASwAzADQANwAxADEAOQA2ADIASQBEAEUAQQA3=&amp;Tipo=2&amp;ST=1&amp;nLang=0</t>
  </si>
  <si>
    <t>https://www.clickideacore.com/ClickHTML5/Visit.aspx?ID=//51DAEwASwAzADQANwAxADYAOQA3ADQASQBEAEUAQQA0=&amp;Tipo=2&amp;ST=1&amp;nLang=0</t>
  </si>
  <si>
    <t>https://www.clickideacore.com/ClickHTML5/Visit.aspx?ID=//5ADAEwASwAzADQANwAxADYANAA0ADIASQBEAEUAQQAA=&amp;Tipo=2&amp;ST=1&amp;nLang=0</t>
  </si>
  <si>
    <t>https://www.clickideacore.com/ClickHTML5/Visit.aspx?ID=//55DAEwASwAzADQANwAxADYAMwA4ADUASQBEAEUAQQAF=&amp;Tipo=2&amp;ST=1&amp;nLang=0</t>
  </si>
  <si>
    <t>https://www.clickideacore.com/ClickHTML5/Visit.aspx?ID=//5EDAEwASwAzADQANwAzADMANAA0ADIASQBEAEUAQQAB=&amp;Tipo=2&amp;ST=1&amp;nLang=0</t>
  </si>
  <si>
    <t>https://www.clickideacore.com/ClickHTML5/Visit.aspx?ID=//53DAEwASwAzADQANwAzADkAOQA5ADkASQBEAEUAQQAE=&amp;Tipo=2&amp;ST=1&amp;nLang=0</t>
  </si>
  <si>
    <t>https://www.clickideacore.com/ClickHTML5/Visit.aspx?ID=//5EDAEwASwAzADQANwAzADgANAA4ADYASQBEAEUAQQAC=&amp;Tipo=2&amp;ST=1&amp;nLang=0</t>
  </si>
  <si>
    <t>https://www.clickideacore.com/ClickHTML5/Visit.aspx?ID=//51DAEwASwAzADQANwA2ADIANQAxADUASQBEAEUAQQA2=&amp;Tipo=2&amp;ST=1&amp;nLang=0</t>
  </si>
  <si>
    <t>https://www.clickideacore.com/ClickHTML5/Visit.aspx?ID=//58DAEwASwAzADQANwA2ADIAMQAzADYASQBEAEUAQQAF=&amp;Tipo=2&amp;ST=1&amp;nLang=0</t>
  </si>
  <si>
    <t>https://www.clickideacore.com/ClickHTML5/Visit.aspx?ID=//58DAEwASwAzADQANwA1ADkAMwAxADkASQBEAEUAQQAD=&amp;Tipo=2&amp;ST=1&amp;nLang=0</t>
  </si>
  <si>
    <t>https://www.clickideacore.com/ClickHTML5/Visit.aspx?ID=//5FDAEwASwAzADQANwA2ADEAOQAwADIASQBEAEUAQQAF=&amp;Tipo=2&amp;ST=1&amp;nLang=0</t>
  </si>
  <si>
    <t>https://www.clickideacore.com/ClickHTML5/Visit.aspx?ID=//58DAEwASwAzADQANwA3ADcAMAA0ADgASQBEAEUAQQAC=&amp;Tipo=2&amp;ST=1&amp;nLang=0</t>
  </si>
  <si>
    <t>https://www.clickideacore.com/ClickHTML5/Visit.aspx?ID=//5BDAEwASwAzADQANwA3ADkAMAAxADkASQBEAEUAQQA9=&amp;Tipo=2&amp;ST=1&amp;nLang=0</t>
  </si>
  <si>
    <t>https://www.clickideacore.com/ClickHTML5/Visit.aspx?ID=//5BDAEwASwAzADQANwA3ADcANwA4ADQASQBEAEUAQQA1=&amp;Tipo=2&amp;ST=1&amp;nLang=0</t>
  </si>
  <si>
    <t>https://www.clickideacore.com/ClickHTML5/Visit.aspx?ID=//5FDAEwASwAzADQANwA3ADgANQA3ADEASQBEAEUAQQA0=&amp;Tipo=2&amp;ST=1&amp;nLang=0</t>
  </si>
  <si>
    <t>https://www.clickideacore.com/ClickHTML5/Visit.aspx?ID=//54DAEwASwAzADQANwA4ADcAMAAzADgASQBEAEUAQQA6=&amp;Tipo=2&amp;ST=1&amp;nLang=0</t>
  </si>
  <si>
    <t>https://www.clickideacore.com/ClickHTML5/Visit.aspx?ID=//51DAEwASwAzADQANwA4ADcANgA2ADcASQBEAEUAQQAA=&amp;Tipo=2&amp;ST=1&amp;nLang=0</t>
  </si>
  <si>
    <t>https://www.clickideacore.com/ClickHTML5/Visit.aspx?ID=//5EDAEwASwAzADQANwA4ADgAMAA3ADYASQBEAEUAQQA6=&amp;Tipo=2&amp;ST=1&amp;nLang=0</t>
  </si>
  <si>
    <t>https://www.clickideacore.com/ClickHTML5/Visit.aspx?ID=//57DAEwASwAzADQAOAAwADIANgAxADQASQBEAEUAQQA8=&amp;Tipo=2&amp;ST=1&amp;nLang=0</t>
  </si>
  <si>
    <t>https://www.clickideacore.com/ClickHTML5/Visit.aspx?ID=//57DAEwASwAzADQAOAAyADYAMgA1ADkASQBEAEUAQQAC=&amp;Tipo=2&amp;ST=1&amp;nLang=0</t>
  </si>
  <si>
    <t>https://www.clickideacore.com/ClickHTML5/Visit.aspx?ID=//54DAEwASwAzADQAOAAzADMAMAA0ADEASQBEAEUAQQA7=&amp;Tipo=2&amp;ST=1&amp;nLang=0</t>
  </si>
  <si>
    <t>https://www.clickideacore.com/ClickHTML5/Visit.aspx?ID=//52DAEwASwAzADQAOAAyADcAOAA3ADIASQBEAEUAQQA9=&amp;Tipo=2&amp;ST=1&amp;nLang=0</t>
  </si>
  <si>
    <t>https://www.clickideacore.com/ClickHTML5/Visit.aspx?ID=//5EDAEwASwAzADQAOAAyADgAMAA4ADMASQBEAEUAQQA5=&amp;Tipo=2&amp;ST=1&amp;nLang=0</t>
  </si>
  <si>
    <t>https://www.clickideacore.com/ClickHTML5/Visit.aspx?ID=//58DAEwASwAzADQAOAA0ADIANgAzADgASQBEAEUAQQA8=&amp;Tipo=2&amp;ST=1&amp;nLang=0</t>
  </si>
  <si>
    <t>https://www.clickideacore.com/ClickHTML5/Visit.aspx?ID=//5FDAEwASwAzADQAOAA1ADQAOAAwADEASQBEAEUAQQA0=&amp;Tipo=2&amp;ST=1&amp;nLang=0</t>
  </si>
  <si>
    <t>https://www.clickideacore.com/ClickHTML5/Visit.aspx?ID=//54DAEwASwAzADQAOAA1ADQANAAwADAASQBEAEUAQQA1=&amp;Tipo=2&amp;ST=1&amp;nLang=0</t>
  </si>
  <si>
    <t>https://www.clickideacore.com/ClickHTML5/Visit.aspx?ID=//57DAEwASwAzADQAOAA1ADQAMAAwADcASQBEAEUAQQA5=&amp;Tipo=2&amp;ST=1&amp;nLang=0</t>
  </si>
  <si>
    <t>https://www.clickideacore.com/ClickHTML5/Visit.aspx?ID=//56DAEwASwAzADQAOAA1ADMAMgAzADkASQBEAEUAQQAF=&amp;Tipo=2&amp;ST=1&amp;nLang=0</t>
  </si>
  <si>
    <t>https://www.clickideacore.com/ClickHTML5/Visit.aspx?ID=//5DDAEwASwAzADQAOAA3ADcANQA3ADMASQBEAEUAQQA1=&amp;Tipo=2&amp;ST=1&amp;nLang=0</t>
  </si>
  <si>
    <t>https://www.clickideacore.com/ClickHTML5/Visit.aspx?ID=//58DAEwASwAzADQAOAA3ADUANwA2ADEASQBEAEUAQQAF=&amp;Tipo=2&amp;ST=1&amp;nLang=0</t>
  </si>
  <si>
    <t>https://www.clickideacore.com/ClickHTML5/Visit.aspx?ID=//56DAEwASwAzADQAOAA3ADUAOAA3ADYASQBEAEUAQQAF=&amp;Tipo=2&amp;ST=1&amp;nLang=0</t>
  </si>
  <si>
    <t>https://www.clickideacore.com/ClickHTML5/Visit.aspx?ID=//55DAEwASwAzADQAOAA2ADgAMAA4ADkASQBEAEUAQQA8=&amp;Tipo=2&amp;ST=1&amp;nLang=0</t>
  </si>
  <si>
    <t>https://www.clickideacore.com/ClickHTML5/Visit.aspx?ID=//53DAEwASwAzADQAOAA3ADcAMwA2ADgASQBEAEUAQQA0=&amp;Tipo=2&amp;ST=1&amp;nLang=0</t>
  </si>
  <si>
    <t>https://www.clickideacore.com/ClickHTML5/Visit.aspx?ID=//50DAEwASwAzADQAOAA5ADgAMQAxADcASQBEAEUAQQA3=&amp;Tipo=2&amp;ST=1&amp;nLang=0</t>
  </si>
  <si>
    <t>https://www.clickideacore.com/ClickHTML5/Visit.aspx?ID=//5BDAEwASwAzADQAOQAwADAAOAA3ADgASQBEAEUAQQAF=&amp;Tipo=2&amp;ST=1&amp;nLang=0</t>
  </si>
  <si>
    <t>https://www.clickideacore.com/ClickHTML5/Visit.aspx?ID=//58DAEwASwAzADQAOAA5ADkANgA5ADQASQBEAEUAQQA4=&amp;Tipo=2&amp;ST=1&amp;nLang=0</t>
  </si>
  <si>
    <t>https://www.clickideacore.com/ClickHTML5/Visit.aspx?ID=//54DAEwASwAzADQAOAA5ADgANQA2ADUASQBEAEUAQQA7=&amp;Tipo=2&amp;ST=1&amp;nLang=0</t>
  </si>
  <si>
    <t>https://www.clickideacore.com/ClickHTML5/Visit.aspx?ID=//54DAEwASwAzADQAOQAxADUANgAwADEASQBEAEUAQQAB=&amp;Tipo=2&amp;ST=1&amp;nLang=0</t>
  </si>
  <si>
    <t>https://www.clickideacore.com/ClickHTML5/Visit.aspx?ID=//50DAEwASwAzADQAOQAxADMAOQAzADgASQBEAEUAQQA3=&amp;Tipo=2&amp;ST=1&amp;nLang=0</t>
  </si>
  <si>
    <t>https://www.clickideacore.com/ClickHTML5/Visit.aspx?ID=//59DAEwASwAzADQAOQAxADYAMwA5ADEASQBEAEUAQQAB=&amp;Tipo=2&amp;ST=1&amp;nLang=0</t>
  </si>
  <si>
    <t>https://www.clickideacore.com/ClickHTML5/Visit.aspx?ID=//5BDAEwASwAzADQAOQAxADQAMAAxADMASQBEAEUAQQA6=&amp;Tipo=2&amp;ST=1&amp;nLang=0</t>
  </si>
  <si>
    <t>https://www.clickideacore.com/ClickHTML5/Visit.aspx?ID=//5DDAEwASwAzADQAOQAyADMANgA0ADAASQBEAEUAQQAA=&amp;Tipo=2&amp;ST=1&amp;nLang=0</t>
  </si>
  <si>
    <t>https://www.clickideacore.com/ClickHTML5/Visit.aspx?ID=//50DAEwASwAzADQAOQAxADYANAAzADQASQBEAEUAQQAD=&amp;Tipo=2&amp;ST=1&amp;nLang=0</t>
  </si>
  <si>
    <t>https://www.clickideacore.com/ClickHTML5/Visit.aspx?ID=//57DAEwASwAzADQAOQAyADIANgAzADIASQBEAEUAQQA8=&amp;Tipo=2&amp;ST=1&amp;nLang=0</t>
  </si>
  <si>
    <t>https://www.clickideacore.com/ClickHTML5/Visit.aspx?ID=//5EDAEwASwAzADQAOQAyADIANgA5ADIASQBEAEUAQQA3=&amp;Tipo=2&amp;ST=1&amp;nLang=0</t>
  </si>
  <si>
    <t>https://www.clickideacore.com/ClickHTML5/Visit.aspx?ID=//58DAEwASwAzADQAOQAzADUANgAwADkASQBEAEUAQQAA=&amp;Tipo=2&amp;ST=1&amp;nLang=0</t>
  </si>
  <si>
    <t>https://www.clickideacore.com/ClickHTML5/Visit.aspx?ID=//59DAEwASwAzADQAOQAzADkAMwA2ADUASQBEAEUAQQAD=&amp;Tipo=2&amp;ST=1&amp;nLang=0</t>
  </si>
  <si>
    <t>https://www.clickideacore.com/ClickHTML5/Visit.aspx?ID=//55DAEwASwAzADQAOQAzADYAOAA3ADUASQBEAEUAQQA2=&amp;Tipo=2&amp;ST=1&amp;nLang=0</t>
  </si>
  <si>
    <t>https://www.clickideacore.com/ClickHTML5/Visit.aspx?ID=//5DDAEwASwAzADQAOQAzADgAMgA5ADQASQBEAEUAQQA8=&amp;Tipo=2&amp;ST=1&amp;nLang=0</t>
  </si>
  <si>
    <t>https://www.clickideacore.com/ClickHTML5/Visit.aspx?ID=//54DAEwASwAzADQAOQAzADcANgA1ADAASQBEAEUAQQA6=&amp;Tipo=2&amp;ST=1&amp;nLang=0</t>
  </si>
  <si>
    <t>https://www.clickideacore.com/ClickHTML5/Visit.aspx?ID=//5EDAEwASwAzADQAOQA2ADUANwA3ADgASQBEAEUAQQAF=&amp;Tipo=2&amp;ST=1&amp;nLang=0</t>
  </si>
  <si>
    <t>https://www.clickideacore.com/ClickHTML5/Visit.aspx?ID=//56DAEwASwAzADQAOQA2ADUAMAA4ADMASQBEAEUAQQAB=&amp;Tipo=2&amp;ST=1&amp;nLang=0</t>
  </si>
  <si>
    <t>https://www.clickideacore.com/ClickHTML5/Visit.aspx?ID=//57DAEwASwAzADQAOQA2ADIAOQAyADYASQBEAEUAQQA9=&amp;Tipo=2&amp;ST=1&amp;nLang=0</t>
  </si>
  <si>
    <t>https://www.clickideacore.com/ClickHTML5/Visit.aspx?ID=//5FDAEwASwAzADQAOQA1ADgANAA1ADkASQBEAEUAQQA9=&amp;Tipo=2&amp;ST=1&amp;nLang=0</t>
  </si>
  <si>
    <t>https://www.clickideacore.com/ClickHTML5/Visit.aspx?ID=//5FDAEwASwAzADQAOQA3ADgANwA3ADQASQBEAEUAQQA1=&amp;Tipo=2&amp;ST=1&amp;nLang=0</t>
  </si>
  <si>
    <t>https://www.clickideacore.com/ClickHTML5/Visit.aspx?ID=//56DAEwASwAzADQAOQA4ADcAMgA1ADIASQBEAEUAQQA2=&amp;Tipo=2&amp;ST=1&amp;nLang=0</t>
  </si>
  <si>
    <t>https://www.clickideacore.com/ClickHTML5/Visit.aspx?ID=//53DAEwASwAzADQAOQA4ADMANQAwADYASQBEAEUAQQA4=&amp;Tipo=2&amp;ST=1&amp;nLang=0</t>
  </si>
  <si>
    <t>https://www.clickideacore.com/ClickHTML5/Visit.aspx?ID=//56DAEwASwAzADQAOQA5ADgAOAAxADUASQBEAEUAQQAD=&amp;Tipo=2&amp;ST=1&amp;nLang=0</t>
  </si>
  <si>
    <t>https://www.clickideacore.com/ClickHTML5/Visit.aspx?ID=//50DAEwASwAzADQAOQA5ADcANgAxADkASQBEAEUAQQAE=&amp;Tipo=2&amp;ST=1&amp;nLang=0</t>
  </si>
  <si>
    <t>https://www.clickideacore.com/ClickHTML5/Visit.aspx?ID=//5DDAEwASwAzADUAMAAwADMAMQAwADgASQBEAEUAQQAC=&amp;Tipo=2&amp;ST=1&amp;nLang=0</t>
  </si>
  <si>
    <t>https://www.clickideacore.com/ClickHTML5/Visit.aspx?ID=//59DAEwASwAzADUAMAAwADUAMwAyADgASQBEAEUAQQA1=&amp;Tipo=2&amp;ST=1&amp;nLang=0</t>
  </si>
  <si>
    <t>https://www.clickideacore.com/ClickHTML5/Visit.aspx?ID=//5FDAEwASwAzADUAMAAxADgANwA0ADMASQBEAEUAQQAD=&amp;Tipo=2&amp;ST=1&amp;nLang=0</t>
  </si>
  <si>
    <t>https://www.clickideacore.com/ClickHTML5/Visit.aspx?ID=//5FDAEwASwAzADUAMAAyADQAOQAxADUASQBEAEUAQQAE=&amp;Tipo=2&amp;ST=1&amp;nLang=0</t>
  </si>
  <si>
    <t>https://www.clickideacore.com/ClickHTML5/Visit.aspx?ID=//5ADAEwASwAzADUAMAAyADAAMgAwADQASQBEAEUAQQAB=&amp;Tipo=2&amp;ST=1&amp;nLang=0</t>
  </si>
  <si>
    <t>https://www.clickideacore.com/ClickHTML5/Visit.aspx?ID=//54DAEwASwAzADUAMAAyADMANQA5ADcASQBEAEUAQQA3=&amp;Tipo=2&amp;ST=1&amp;nLang=0</t>
  </si>
  <si>
    <t>https://www.clickideacore.com/ClickHTML5/Visit.aspx?ID=//54DAEwASwAzADUAMAAzADcAMwAzADAASQBEAEUAQQA3=&amp;Tipo=2&amp;ST=1&amp;nLang=0</t>
  </si>
  <si>
    <t>https://www.clickideacore.com/ClickHTML5/Visit.aspx?ID=//5CDAEwASwAzADUAMAAzADcANgA5ADcASQBEAEUAQQAF=&amp;Tipo=2&amp;ST=1&amp;nLang=0</t>
  </si>
  <si>
    <t>https://www.clickideacore.com/ClickHTML5/Visit.aspx?ID=//5EDAEwASwAzADUAMAAzADcAMQAzADUASQBEAEUAQQA7=&amp;Tipo=2&amp;ST=1&amp;nLang=0</t>
  </si>
  <si>
    <t>https://www.clickideacore.com/ClickHTML5/Visit.aspx?ID=//55DAEwASwAzADUAMAAzADgANAA1ADIASQBEAEUAQQA9=&amp;Tipo=2&amp;ST=1&amp;nLang=0</t>
  </si>
  <si>
    <t>https://www.clickideacore.com/ClickHTML5/Visit.aspx?ID=//51DAEwASwAzADUAMAA0ADUANgA4ADYASQBEAEUAQQAB=&amp;Tipo=2&amp;ST=1&amp;nLang=0</t>
  </si>
  <si>
    <t>https://www.clickideacore.com/ClickHTML5/Visit.aspx?ID=//5BDAEwASwAzADUAMAA0ADQAMgA0ADUASQBEAEUAQQA7=&amp;Tipo=2&amp;ST=1&amp;nLang=0</t>
  </si>
  <si>
    <t>https://www.clickideacore.com/ClickHTML5/Visit.aspx?ID=//58DAEwASwAzADUAMAA0ADUANwA2ADMASQBEAEUAQQA8=&amp;Tipo=2&amp;ST=1&amp;nLang=0</t>
  </si>
  <si>
    <t>https://www.clickideacore.com/ClickHTML5/Visit.aspx?ID=//5FDAEwASwAzADUAMAA0ADUANQAyADgASQBEAEUAQQA5=&amp;Tipo=2&amp;ST=1&amp;nLang=0</t>
  </si>
  <si>
    <t>https://www.clickideacore.com/ClickHTML5/Visit.aspx?ID=//53DAEwASwAzADUAMAA1ADgANwA0ADkASQBEAEUAQQA1=&amp;Tipo=2&amp;ST=1&amp;nLang=0</t>
  </si>
  <si>
    <t>https://www.clickideacore.com/ClickHTML5/Visit.aspx?ID=//52DAEwASwAzADUAMAA2ADUANwA3ADgASQBEAEUAQQAB=&amp;Tipo=2&amp;ST=1&amp;nLang=0</t>
  </si>
  <si>
    <t>https://www.clickideacore.com/ClickHTML5/Visit.aspx?ID=//5FDAEwASwAzADUAMAA1ADcANwA3ADUASQBEAEUAQQA0=&amp;Tipo=2&amp;ST=1&amp;nLang=0</t>
  </si>
  <si>
    <t>https://www.clickideacore.com/ClickHTML5/Visit.aspx?ID=//5BDAEwASwAzADUAMAA4ADYAMAA0ADYASQBEAEUAQQA5=&amp;Tipo=2&amp;ST=1&amp;nLang=0</t>
  </si>
  <si>
    <t>https://www.clickideacore.com/ClickHTML5/Visit.aspx?ID=//52DAEwASwAzADUAMAA4ADkAOQA4ADgASQBEAEUAQQA1=&amp;Tipo=2&amp;ST=1&amp;nLang=0</t>
  </si>
  <si>
    <t>https://www.clickideacore.com/ClickHTML5/Visit.aspx?ID=//51DAEwASwAzADUAMAA3ADYANAAyADcASQBEAEUAQQAF=&amp;Tipo=2&amp;ST=1&amp;nLang=0</t>
  </si>
  <si>
    <t>https://www.clickideacore.com/ClickHTML5/Visit.aspx?ID=//51DAEwASwAzADUAMAA4ADkAMQAyADUASQBEAEUAQQAB=&amp;Tipo=2&amp;ST=1&amp;nLang=0</t>
  </si>
  <si>
    <t>https://www.clickideacore.com/ClickHTML5/Visit.aspx?ID=//52DAEwASwAzADUAMQAwADYAMwAxADkASQBEAEUAQQAD=&amp;Tipo=2&amp;ST=1&amp;nLang=0</t>
  </si>
  <si>
    <t>https://www.clickideacore.com/ClickHTML5/Visit.aspx?ID=//5EDAEwASwAzADUAMQAwADYAMgAyADcASQBEAEUAQQA2=&amp;Tipo=2&amp;ST=1&amp;nLang=0</t>
  </si>
  <si>
    <t>https://www.clickideacore.com/ClickHTML5/Visit.aspx?ID=//53DAEwASwAzADUAMQAxADIANgAwADEASQBEAEUAQQA8=&amp;Tipo=2&amp;ST=1&amp;nLang=0</t>
  </si>
  <si>
    <t>https://www.clickideacore.com/ClickHTML5/Visit.aspx?ID=//54DAEwASwAzADUAMQAwADkAOAA0ADMASQBEAEUAQQA7=&amp;Tipo=2&amp;ST=1&amp;nLang=0</t>
  </si>
  <si>
    <t>https://www.clickideacore.com/ClickHTML5/Visit.aspx?ID=//57DAEwASwAzADUAMQAyADAAMgA5ADUASQBEAEUAQQA7=&amp;Tipo=2&amp;ST=1&amp;nLang=0</t>
  </si>
  <si>
    <t>https://www.clickideacore.com/ClickHTML5/Visit.aspx?ID=//56DAEwASwAzADUAMQAyADAAMgA3ADAASQBEAEUAQQA4=&amp;Tipo=2&amp;ST=1&amp;nLang=0</t>
  </si>
  <si>
    <t>https://www.clickideacore.com/ClickHTML5/Visit.aspx?ID=//57DAEwASwAzADUAMQAyADEANQAxADIASQBEAEUAQQA8=&amp;Tipo=2&amp;ST=1&amp;nLang=0</t>
  </si>
  <si>
    <t>https://www.clickideacore.com/ClickHTML5/Visit.aspx?ID=//5BDAEwASwAzADUAMQAyADEAOAAwADQASQBEAEUAQQA7=&amp;Tipo=2&amp;ST=1&amp;nLang=0</t>
  </si>
  <si>
    <t>https://www.clickideacore.com/ClickHTML5/Visit.aspx?ID=//56DAEwASwAzADUAMQAxADkANwA2ADkASQBEAEUAQQA0=&amp;Tipo=2&amp;ST=1&amp;nLang=0</t>
  </si>
  <si>
    <t>https://www.clickideacore.com/ClickHTML5/Visit.aspx?ID=//57DAEwASwAzADUAMQA0ADAAMwA0ADUASQBEAEUAQQA0=&amp;Tipo=2&amp;ST=1&amp;nLang=0</t>
  </si>
  <si>
    <t>https://www.clickideacore.com/ClickHTML5/Visit.aspx?ID=//51DAEwASwAzADUAMQA0ADIANAA4ADMASQBEAEUAQQAE=&amp;Tipo=2&amp;ST=1&amp;nLang=0</t>
  </si>
  <si>
    <t>https://www.clickideacore.com/ClickHTML5/Visit.aspx?ID=//5FDAEwASwAzADUAMQA0ADIAMwAyADkASQBEAEUAQQA0=&amp;Tipo=2&amp;ST=1&amp;nLang=0</t>
  </si>
  <si>
    <t>https://www.clickideacore.com/ClickHTML5/Visit.aspx?ID=//5ADAEwASwAzADUAMQA0ADEAMgAyADcASQBEAEUAQQAD=&amp;Tipo=2&amp;ST=1&amp;nLang=0</t>
  </si>
  <si>
    <t>https://www.clickideacore.com/ClickHTML5/Visit.aspx?ID=//5BDAEwASwAzADUAMQA0ADIAOQA1ADEASQBEAEUAQQA8=&amp;Tipo=2&amp;ST=1&amp;nLang=0</t>
  </si>
  <si>
    <t>https://www.clickideacore.com/ClickHTML5/Visit.aspx?ID=//58DAEwASwAzADUAMQA1ADcANAA2ADgASQBEAEUAQQAC=&amp;Tipo=2&amp;ST=1&amp;nLang=0</t>
  </si>
  <si>
    <t>https://www.clickideacore.com/ClickHTML5/Visit.aspx?ID=//56DAEwASwAzADUAMQA1ADcAOAAzADIASQBEAEUAQQAB=&amp;Tipo=2&amp;ST=1&amp;nLang=0</t>
  </si>
  <si>
    <t>Carlos Correa</t>
  </si>
  <si>
    <t>https://www.clickideacore.com/ClickHTML5/Visit.aspx?ID=//56DAEwASwAzADUAMQA2ADQAMwA4ADcASQBEAEUAQQA5=&amp;Tipo=2&amp;ST=1&amp;nLang=0</t>
  </si>
  <si>
    <t>https://www.clickideacore.com/ClickHTML5/Visit.aspx?ID=//5FDAEwASwAzADUAMQA2ADUAMgAxADcASQBEAEUAQQAD=&amp;Tipo=2&amp;ST=1&amp;nLang=0</t>
  </si>
  <si>
    <t>https://www.clickideacore.com/ClickHTML5/Visit.aspx?ID=//54DAEwASwAzADUAMQA3ADgANgA4ADcASQBEAEUAQQAA=&amp;Tipo=2&amp;ST=1&amp;nLang=0</t>
  </si>
  <si>
    <t>https://www.clickideacore.com/ClickHTML5/Visit.aspx?ID=//5BDAEwASwAzADUAMQA4ADgAMAA4ADcASQBEAEUAQQA1=&amp;Tipo=2&amp;ST=1&amp;nLang=0</t>
  </si>
  <si>
    <t>Elias Llancaqueo</t>
  </si>
  <si>
    <t>https://www.clickideacore.com/ClickHTML5/Visit.aspx?ID=//5FDAEwASwAzADUAMQA4ADYAMQA5ADQASQBEAEUAQQAB=&amp;Tipo=2&amp;ST=1&amp;nLang=0</t>
  </si>
  <si>
    <t>https://www.clickideacore.com/ClickHTML5/Visit.aspx?ID=//54DAEwASwAzADUAMQA3ADgAOQAxADcASQBEAEUAQQA3=&amp;Tipo=2&amp;ST=1&amp;nLang=0</t>
  </si>
  <si>
    <t>https://www.clickideacore.com/ClickHTML5/Visit.aspx?ID=//53DAEwASwAzADUAMQA3ADcANwA3ADMASQBEAEUAQQA0=&amp;Tipo=2&amp;ST=1&amp;nLang=0</t>
  </si>
  <si>
    <t>Sin Producción</t>
  </si>
  <si>
    <t>https://www.clickideacore.com/ClickHTML5/Visit.aspx?ID=//5DDAEwASwAzADUAMgAzADQAMwA1ADYASQBEAEUAQQA6=&amp;Tipo=2&amp;ST=1&amp;nLang=0</t>
  </si>
  <si>
    <t>https://www.clickideacore.com/ClickHTML5/Visit.aspx?ID=//5EDAEwASwAzADUAMgAyADkANQAzADQASQBEAEUAQQAE=&amp;Tipo=2&amp;ST=1&amp;nLang=0</t>
  </si>
  <si>
    <t>https://www.clickideacore.com/ClickHTML5/Visit.aspx?ID=//54DAEwASwAzADUAMgAzADIAMQA2ADAASQBEAEUAQQAE=&amp;Tipo=2&amp;ST=1&amp;nLang=0</t>
  </si>
  <si>
    <t>https://www.clickideacore.com/ClickHTML5/Visit.aspx?ID=//5BDAEwASwAzADUAMgAwADMAOQA2ADQASQBEAEUAQQA9=&amp;Tipo=2&amp;ST=1&amp;nLang=0</t>
  </si>
  <si>
    <t>https://www.clickideacore.com/ClickHTML5/Visit.aspx?ID=//50DAEwASwAzADUAMgAwADUAMAA1ADcASQBEAEUAQQAE=&amp;Tipo=2&amp;ST=1&amp;nLang=0</t>
  </si>
  <si>
    <t>https://www.clickideacore.com/ClickHTML5/Visit.aspx?ID=//52DAEwASwAzADUAMgAwADgAOQA5ADcASQBEAEUAQQAE=&amp;Tipo=2&amp;ST=1&amp;nLang=0</t>
  </si>
  <si>
    <t>https://www.clickideacore.com/ClickHTML5/Visit.aspx?ID=//53DAEwASwAzADUAMgAwADYANwA5ADQASQBEAEUAQQA9=&amp;Tipo=2&amp;ST=1&amp;nLang=0</t>
  </si>
  <si>
    <t>https://www.clickideacore.com/ClickHTML5/Visit.aspx?ID=//52DAEwASwAzADUAMgA1ADEANAAyADkASQBEAEUAQQA9=&amp;Tipo=2&amp;ST=1&amp;nLang=0</t>
  </si>
  <si>
    <t>https://www.clickideacore.com/ClickHTML5/Visit.aspx?ID=//53DAEwASwAzADUAMgA1ADAAMgAxADcASQBEAEUAQQAD=&amp;Tipo=2&amp;ST=1&amp;nLang=0</t>
  </si>
  <si>
    <t>https://www.clickideacore.com/ClickHTML5/Visit.aspx?ID=//5DDAEwASwAzADUAMgA1ADMANAA5ADkASQBEAEUAQQA2=&amp;Tipo=2&amp;ST=1&amp;nLang=0</t>
  </si>
  <si>
    <t>https://www.clickideacore.com/ClickHTML5/Visit.aspx?ID=//55DAEwASwAzADUAMgA1ADIAOAAzADQASQBEAEUAQQAC=&amp;Tipo=2&amp;ST=1&amp;nLang=0</t>
  </si>
  <si>
    <t>https://www.clickideacore.com/ClickHTML5/Visit.aspx?ID=//5FDAEwASwAzADUAMgA1ADUAMQAzADMASQBEAEUAQQA8=&amp;Tipo=2&amp;ST=1&amp;nLang=0</t>
  </si>
  <si>
    <t>https://www.clickideacore.com/ClickHTML5/Visit.aspx?ID=//5ADAEwASwAzADUAMgA3ADEAMQAwADIASQBEAEUAQQAD=&amp;Tipo=2&amp;ST=1&amp;nLang=0</t>
  </si>
  <si>
    <t>https://www.clickideacore.com/ClickHTML5/Visit.aspx?ID=//52DAEwASwAzADUAMgA3ADQANQA4ADMASQBEAEUAQQA4=&amp;Tipo=2&amp;ST=1&amp;nLang=0</t>
  </si>
  <si>
    <t>https://www.clickideacore.com/ClickHTML5/Visit.aspx?ID=//5BDAEwASwAzADUAMgA3ADMAOAAzADUASQBEAEUAQQAA=&amp;Tipo=2&amp;ST=1&amp;nLang=0</t>
  </si>
  <si>
    <t>https://www.clickideacore.com/ClickHTML5/Visit.aspx?ID=//5CDAEwASwAzADUAMgA3ADUAMQA0ADgASQBEAEUAQQA2=&amp;Tipo=2&amp;ST=1&amp;nLang=0</t>
  </si>
  <si>
    <t>https://www.clickideacore.com/ClickHTML5/Visit.aspx?ID=//58DAEwASwAzADUAMgA5ADAANwA2ADUASQBEAEUAQQA0=&amp;Tipo=2&amp;ST=1&amp;nLang=0</t>
  </si>
  <si>
    <t>https://www.clickideacore.com/ClickHTML5/Visit.aspx?ID=//52DAEwASwAzADUAMgA5ADEAMgA2ADkASQBEAEUAQQA4=&amp;Tipo=2&amp;ST=1&amp;nLang=0</t>
  </si>
  <si>
    <t>https://www.clickideacore.com/ClickHTML5/Visit.aspx?ID=//55DAEwASwAzADUAMgA4ADkAMAA2ADYASQBEAEUAQQA1=&amp;Tipo=2&amp;ST=1&amp;nLang=0</t>
  </si>
  <si>
    <t>https://www.clickideacore.com/ClickHTML5/Visit.aspx?ID=//5CDAEwASwAzADUAMgA4ADkANQA1ADkASQBEAEUAQQA0=&amp;Tipo=2&amp;ST=1&amp;nLang=0</t>
  </si>
  <si>
    <t>https://www.clickideacore.com/ClickHTML5/Visit.aspx?ID=//5BDAEwASwAzADUAMgA5ADgANQAyADUASQBEAEUAQQAA=&amp;Tipo=2&amp;ST=1&amp;nLang=0</t>
  </si>
  <si>
    <t>https://www.clickideacore.com/ClickHTML5/Visit.aspx?ID=//5CDAEwASwAzADUAMgA5ADgAOQAzADAASQBEAEUAQQAA=&amp;Tipo=2&amp;ST=1&amp;nLang=0</t>
  </si>
  <si>
    <t>https://www.clickideacore.com/ClickHTML5/Visit.aspx?ID=//5DDAEwASwAzADUAMgA5ADgANgAyADkASQBEAEUAQQAD=&amp;Tipo=2&amp;ST=1&amp;nLang=0</t>
  </si>
  <si>
    <t>https://www.clickideacore.com/ClickHTML5/Visit.aspx?ID=//5ADAEwASwAzADUAMwAwADAAMAA5ADEASQBEAEUAQQA0=&amp;Tipo=2&amp;ST=1&amp;nLang=0</t>
  </si>
  <si>
    <t>https://www.clickideacore.com/ClickHTML5/Visit.aspx?ID=//53DAEwASwAzADUAMwAwADcAMgAzADgASQBEAEUAQQAE=&amp;Tipo=2&amp;ST=1&amp;nLang=0</t>
  </si>
  <si>
    <t>https://www.clickideacore.com/ClickHTML5/Visit.aspx?ID=//5FDAEwASwAzADUAMwAxADcANQAxADQASQBEAEUAQQAE=&amp;Tipo=2&amp;ST=1&amp;nLang=0</t>
  </si>
  <si>
    <t>https://www.clickideacore.com/ClickHTML5/Visit.aspx?ID=//5ADAEwASwAzADUAMwAyADYANwAyADgASQBEAEUAQQAE=&amp;Tipo=2&amp;ST=1&amp;nLang=0</t>
  </si>
  <si>
    <t>https://www.clickideacore.com/ClickHTML5/Visit.aspx?ID=//5FDAEwASwAzADUAMwAyADcAMQAxADgASQBEAEUAQQA4=&amp;Tipo=2&amp;ST=1&amp;nLang=0</t>
  </si>
  <si>
    <t>https://www.clickideacore.com/ClickHTML5/Visit.aspx?ID=//58DAEwASwAzADUAMwAyADIANAA5ADUASQBEAEUAQQA4=&amp;Tipo=2&amp;ST=1&amp;nLang=0</t>
  </si>
  <si>
    <t>https://www.clickideacore.com/ClickHTML5/Visit.aspx?ID=//52DAEwASwAzADUAMwAxADgAMQA2ADEASQBEAEUAQQAD=&amp;Tipo=2&amp;ST=1&amp;nLang=0</t>
  </si>
  <si>
    <t>https://www.clickideacore.com/ClickHTML5/Visit.aspx?ID=//54DAEwASwAzADUAMwAyADgAMwA4ADIASQBEAEUAQQAF=&amp;Tipo=2&amp;ST=1&amp;nLang=0</t>
  </si>
  <si>
    <t>https://www.clickideacore.com/ClickHTML5/Visit.aspx?ID=//5EDAEwASwAzADUAMwA0ADkANAAwADEASQBEAEUAQQA6=&amp;Tipo=2&amp;ST=1&amp;nLang=0</t>
  </si>
  <si>
    <t>https://www.clickideacore.com/ClickHTML5/Visit.aspx?ID=//54DAEwASwAzADUAMwA1ADQAOQAwADIASQBEAEUAQQA5=&amp;Tipo=2&amp;ST=1&amp;nLang=0</t>
  </si>
  <si>
    <t>https://www.clickideacore.com/ClickHTML5/Visit.aspx?ID=//59DAEwASwAzADUAMwA1ADQAMwAzADcASQBEAEUAQQA6=&amp;Tipo=2&amp;ST=1&amp;nLang=0</t>
  </si>
  <si>
    <t>https://www.clickideacore.com/ClickHTML5/Visit.aspx?ID=//54DAEwASwAzADUAMwA1ADMAOQA4ADMASQBEAEUAQQA4=&amp;Tipo=2&amp;ST=1&amp;nLang=0</t>
  </si>
  <si>
    <t>https://www.clickideacore.com/ClickHTML5/Visit.aspx?ID=//57DAEwASwAzADUAMwA3ADMAMAA4ADkASQBEAEUAQQA7=&amp;Tipo=2&amp;ST=1&amp;nLang=0</t>
  </si>
  <si>
    <t>https://www.clickideacore.com/ClickHTML5/Visit.aspx?ID=//53DAEwASwAzADUAMwA3ADAAMwA0ADQASQBEAEUAQQAE=&amp;Tipo=2&amp;ST=1&amp;nLang=0</t>
  </si>
  <si>
    <t>https://www.clickideacore.com/ClickHTML5/Visit.aspx?ID=//5ADAEwASwAzADUANAAwADAAMwA4ADEASQBEAEUAQQA1=&amp;Tipo=2&amp;ST=1&amp;nLang=0</t>
  </si>
  <si>
    <t>https://www.clickideacore.com/ClickHTML5/Visit.aspx?ID=//5EDAEwASwAzADUAMwA5ADYANQAxADMASQBEAEUAQQA3=&amp;Tipo=2&amp;ST=1&amp;nLang=0</t>
  </si>
  <si>
    <t>https://www.clickideacore.com/ClickHTML5/Visit.aspx?ID=//53DAEwASwAzADUAMwA5ADYANwAzADgASQBEAEUAQQA3=&amp;Tipo=2&amp;ST=1&amp;nLang=0</t>
  </si>
  <si>
    <t>https://www.clickideacore.com/ClickHTML5/Visit.aspx?ID=//59DAEwASwAzADUAMwA5ADQAOQA3ADIASQBEAEUAQQA9=&amp;Tipo=2&amp;ST=1&amp;nLang=0</t>
  </si>
  <si>
    <t>Libre Cumpleaños</t>
  </si>
  <si>
    <t>https://www.clickideacore.com/ClickHTML5/Visit.aspx?ID=//57DAEwASwAzADUANAAxADQAOQAyADEASQBEAEUAQQA2=&amp;Tipo=2&amp;ST=1&amp;nLang=0</t>
  </si>
  <si>
    <t>https://www.clickideacore.com/ClickHTML5/Visit.aspx?ID=//55DAEwASwAzADUANAAxADMAOAA1ADAASQBEAEUAQQAE=&amp;Tipo=2&amp;ST=1&amp;nLang=0</t>
  </si>
  <si>
    <t>https://www.clickideacore.com/ClickHTML5/Visit.aspx?ID=//51DAEwASwAzADUANAAxADMAOAA4ADUASQBEAEUAQQA0=&amp;Tipo=2&amp;ST=1&amp;nLang=0</t>
  </si>
  <si>
    <t>https://www.clickideacore.com/ClickHTML5/Visit.aspx?ID=//5CDAEwASwAzADUANAAxADUANgA2ADMASQBEAEUAQQAF=&amp;Tipo=2&amp;ST=1&amp;nLang=0</t>
  </si>
  <si>
    <t>https://www.clickideacore.com/ClickHTML5/Visit.aspx?ID=//5FDAEwASwAzADUANAAyADMANAA1ADkASQBEAEUAQQA7=&amp;Tipo=2&amp;ST=1&amp;nLang=0</t>
  </si>
  <si>
    <t>https://www.clickideacore.com/ClickHTML5/Visit.aspx?ID=//54DAEwASwAzADUANAAyADIAOAAwADQASQBEAEUAQQA9=&amp;Tipo=2&amp;ST=1&amp;nLang=0</t>
  </si>
  <si>
    <t>https://www.clickideacore.com/ClickHTML5/Visit.aspx?ID=//59DAEwASwAzADUANAAyADIAMgA1ADEASQBEAEUAQQAC=&amp;Tipo=2&amp;ST=1&amp;nLang=0</t>
  </si>
  <si>
    <t>https://www.clickideacore.com/ClickHTML5/Visit.aspx?ID=//57DAEwASwAzADUANAAyADIAOQA2ADAASQBEAEUAQQA5=&amp;Tipo=2&amp;ST=1&amp;nLang=0</t>
  </si>
  <si>
    <t>https://www.clickideacore.com/ClickHTML5/Visit.aspx?ID=//54DAEwASwAzADUANAAzADQANAA2ADIASQBEAEUAQQA3=&amp;Tipo=2&amp;ST=1&amp;nLang=0</t>
  </si>
  <si>
    <t>https://www.clickideacore.com/ClickHTML5/Visit.aspx?ID=//5BDAEwASwAzADUANAAzADgAMQA2ADgASQBEAEUAQQA5=&amp;Tipo=2&amp;ST=1&amp;nLang=0</t>
  </si>
  <si>
    <t>https://www.clickideacore.com/ClickHTML5/Visit.aspx?ID=//54DAEwASwAzADUANAA0ADMAOAA1ADEASQBEAEUAQQA3=&amp;Tipo=2&amp;ST=1&amp;nLang=0</t>
  </si>
  <si>
    <t>https://www.clickideacore.com/ClickHTML5/Visit.aspx?ID=//5CDAEwASwAzADUANAA0ADQAMAA3ADgASQBEAEUAQQA9=&amp;Tipo=2&amp;ST=1&amp;nLang=0</t>
  </si>
  <si>
    <t>https://www.clickideacore.com/ClickHTML5/Visit.aspx?ID=//5BDAEwASwAzADUANAAzADgAMQA2ADAASQBEAEUAQQA3=&amp;Tipo=2&amp;ST=1&amp;nLang=0</t>
  </si>
  <si>
    <t>https://www.clickideacore.com/ClickHTML5/Visit.aspx?ID=//55DAEwASwAzADUANAA0ADIANQAwADgASQBEAEUAQQAE=&amp;Tipo=2&amp;ST=1&amp;nLang=0</t>
  </si>
  <si>
    <t>https://www.clickideacore.com/ClickHTML5/Visit.aspx?ID=//56DAEwASwAzADUANAA2ADMAMQAzADIASQBEAEUAQQAC=&amp;Tipo=2&amp;ST=1&amp;nLang=0</t>
  </si>
  <si>
    <t>https://www.clickideacore.com/ClickHTML5/Visit.aspx?ID=//5FDAEwASwAzADUANAA2ADMAMwA1ADQASQBEAEUAQQA7=&amp;Tipo=2&amp;ST=1&amp;nLang=0</t>
  </si>
  <si>
    <t>https://www.clickideacore.com/ClickHTML5/Visit.aspx?ID=//58DAEwASwAzADUANAA2ADcAMQA4ADgASQBEAEUAQQA7=&amp;Tipo=2&amp;ST=1&amp;nLang=0</t>
  </si>
  <si>
    <t>https://www.clickideacore.com/ClickHTML5/Visit.aspx?ID=//5FDAEwASwAzADUANAA2ADYANAA2ADIASQBEAEUAQQA2=&amp;Tipo=2&amp;ST=1&amp;nLang=0</t>
  </si>
  <si>
    <t>https://www.clickideacore.com/ClickHTML5/Visit.aspx?ID=//5CDAEwASwAzADUANAA4ADYAMQA1ADYASQBEAEUAQQAB=&amp;Tipo=2&amp;ST=1&amp;nLang=0</t>
  </si>
  <si>
    <t>https://www.clickideacore.com/ClickHTML5/Visit.aspx?ID=//56DAEwASwAzADUANAA5ADAAMwA5ADYASQBEAEUAQQA6=&amp;Tipo=2&amp;ST=1&amp;nLang=0</t>
  </si>
  <si>
    <t>https://www.clickideacore.com/ClickHTML5/Visit.aspx?ID=//59DAEwASwAzADUANAA4ADQANQAyADcASQBEAEUAQQA5=&amp;Tipo=2&amp;ST=1&amp;nLang=0</t>
  </si>
  <si>
    <t>https://www.clickideacore.com/ClickHTML5/Visit.aspx?ID=//52DAEwASwAzADUANAA4ADcAOQA1ADIASQBEAEUAQQA7=&amp;Tipo=2&amp;ST=1&amp;nLang=0</t>
  </si>
  <si>
    <t>https://www.clickideacore.com/ClickHTML5/Visit.aspx?ID=//51DAEwASwAzADUANAA5ADIANAA3ADUASQBEAEUAQQAE=&amp;Tipo=2&amp;ST=1&amp;nLang=0</t>
  </si>
  <si>
    <t>https://www.clickideacore.com/ClickHTML5/Visit.aspx?ID=//59DAEwASwAzADUANQAxADAANgAxADMASQBEAEUAQQA0=&amp;Tipo=2&amp;ST=1&amp;nLang=0</t>
  </si>
  <si>
    <t>https://www.clickideacore.com/ClickHTML5/Visit.aspx?ID=//5ADAEwASwAzADUANQAwADEAMAA3ADQASQBEAEUAQQA4=&amp;Tipo=2&amp;ST=1&amp;nLang=0</t>
  </si>
  <si>
    <t>https://www.clickideacore.com/ClickHTML5/Visit.aspx?ID=//5BDAEwASwAzADUANQAxADEAOAA4ADcASQBEAEUAQQA6=&amp;Tipo=2&amp;ST=1&amp;nLang=0</t>
  </si>
  <si>
    <t>https://www.clickideacore.com/ClickHTML5/Visit.aspx?ID=//52DAEwASwAzADUANQAxADEAMQAwADkASQBEAEUAQQAD=&amp;Tipo=2&amp;ST=1&amp;nLang=0</t>
  </si>
  <si>
    <t>https://www.clickideacore.com/ClickHTML5/Visit.aspx?ID=//54DAEwASwAzADUANQAxADAAOQA1ADQASQBEAEUAQQA1=&amp;Tipo=2&amp;ST=1&amp;nLang=0</t>
  </si>
  <si>
    <t>https://www.clickideacore.com/ClickHTML5/Visit.aspx?ID=//53DAEwASwAzADUANQAzADEANgA4ADYASQBEAEUAQQAE=&amp;Tipo=2&amp;ST=1&amp;nLang=0</t>
  </si>
  <si>
    <t>https://www.clickideacore.com/ClickHTML5/Visit.aspx?ID=//52DAEwASwAzADUANQAzADMAOQA0ADAASQBEAEUAQQA7=&amp;Tipo=2&amp;ST=1&amp;nLang=0</t>
  </si>
  <si>
    <t>https://www.clickideacore.com/ClickHTML5/Visit.aspx?ID=//50DAEwASwAzADUANQAzADMANwA3ADYASQBEAEUAQQA6=&amp;Tipo=2&amp;ST=1&amp;nLang=0</t>
  </si>
  <si>
    <t>https://www.clickideacore.com/ClickHTML5/Visit.aspx?ID=//5CDAEwASwAzADUANQAzADMAOQA0ADgASQBEAEUAQQA5=&amp;Tipo=2&amp;ST=1&amp;nLang=0</t>
  </si>
  <si>
    <t>https://www.clickideacore.com/ClickHTML5/Visit.aspx?ID=//59DAEwASwAzADUANQA0ADcAOAAxADkASQBEAEUAQQA8=&amp;Tipo=2&amp;ST=1&amp;nLang=0</t>
  </si>
  <si>
    <t>https://www.clickideacore.com/ClickHTML5/Visit.aspx?ID=//50DAEwASwAzADUANQA0ADgAMwAzADIASQBEAEUAQQA7=&amp;Tipo=2&amp;ST=1&amp;nLang=0</t>
  </si>
  <si>
    <t>https://www.clickideacore.com/ClickHTML5/Visit.aspx?ID=//5BDAEwASwAzADUANQA0ADkAMQAxADEASQBEAEUAQQA2=&amp;Tipo=2&amp;ST=1&amp;nLang=0</t>
  </si>
  <si>
    <t>https://www.clickideacore.com/ClickHTML5/Visit.aspx?ID=//5BDAEwASwAzADUANQA0ADgAMwAyADkASQBEAEUAQQA6=&amp;Tipo=2&amp;ST=1&amp;nLang=0</t>
  </si>
  <si>
    <t>https://www.clickideacore.com/ClickHTML5/Visit.aspx?ID=//5CDAEwASwAzADUANQA1ADcAOAA4ADkASQBEAEUAQQA2=&amp;Tipo=2&amp;ST=1&amp;nLang=0</t>
  </si>
  <si>
    <t>https://www.clickideacore.com/ClickHTML5/Visit.aspx?ID=//56DAEwASwAzADUANQA1ADcANgA1ADYASQBEAEUAQQA3=&amp;Tipo=2&amp;ST=1&amp;nLang=0</t>
  </si>
  <si>
    <t>https://www.clickideacore.com/ClickHTML5/Visit.aspx?ID=//54DAEwASwAzADUANQA1ADcAOAA5ADkASQBEAEUAQQAF=&amp;Tipo=2&amp;ST=1&amp;nLang=0</t>
  </si>
  <si>
    <t>https://www.clickideacore.com/ClickHTML5/Visit.aspx?ID=//54DAEwASwAzADUANQA1ADcAOAAxADAASQBEAEUAQQAA=&amp;Tipo=2&amp;ST=1&amp;nLang=0</t>
  </si>
  <si>
    <t>https://www.clickideacore.com/ClickHTML5/Visit.aspx?ID=//5EDAEwASwAzADUANQA2ADgAOAA0ADQASQBEAEUAQQA0=&amp;Tipo=2&amp;ST=1&amp;nLang=0</t>
  </si>
  <si>
    <t>https://www.clickideacore.com/ClickHTML5/Visit.aspx?ID=//53DAEwASwAzADUANQA3ADgAOAA1ADQASQBEAEUAQQA9=&amp;Tipo=2&amp;ST=1&amp;nLang=0</t>
  </si>
  <si>
    <t>https://www.clickideacore.com/ClickHTML5/Visit.aspx?ID=//57DAEwASwAzADUANQA3ADYAMgA0ADQASQBEAEUAQQA7=&amp;Tipo=2&amp;ST=1&amp;nLang=0</t>
  </si>
  <si>
    <t>https://www.clickideacore.com/ClickHTML5/Visit.aspx?ID=//55DAEwASwAzADUANQA3ADgAMgA5ADIASQBEAEUAQQA6=&amp;Tipo=2&amp;ST=1&amp;nLang=0</t>
  </si>
  <si>
    <t>https://www.clickideacore.com/ClickHTML5/Visit.aspx?ID=//53DAEwASwAzADUANQA3ADAAMAA0ADkASQBEAEUAQQA2=&amp;Tipo=2&amp;ST=1&amp;nLang=0</t>
  </si>
  <si>
    <t>https://www.clickideacore.com/ClickHTML5/Visit.aspx?ID=//5FDAEwASwAzADUANQA3ADAAOAA2ADcASQBEAEUAQQAB=&amp;Tipo=2&amp;ST=1&amp;nLang=0</t>
  </si>
  <si>
    <t>Alejandro escobar</t>
  </si>
  <si>
    <t>https://www.clickideacore.com/ClickHTML5/Visit.aspx?ID=//5BDAEwASwAzADUANgAwADEANgA3ADcASQBEAEUAQQAF=&amp;Tipo=2&amp;ST=1&amp;nLang=0</t>
  </si>
  <si>
    <t>https://www.clickideacore.com/ClickHTML5/Visit.aspx?ID=//55DAEwASwAzADUANgAwADEAOAAxADMASQBEAEUAQQA1=&amp;Tipo=2&amp;ST=1&amp;nLang=0</t>
  </si>
  <si>
    <t>https://www.clickideacore.com/ClickHTML5/Visit.aspx?ID=//5FDAEwASwAzADUANQA5ADgAMwA5ADQASQBEAEUAQQAA=&amp;Tipo=2&amp;ST=1&amp;nLang=0</t>
  </si>
  <si>
    <t>https://www.clickideacore.com/ClickHTML5/Visit.aspx?ID=//51DAEwASwAzADUANgAwADMAMAAwADQASQBEAEUAQQAF=&amp;Tipo=2&amp;ST=1&amp;nLang=0</t>
  </si>
  <si>
    <t>Permiso</t>
  </si>
  <si>
    <t>https://www.clickideacore.com/ClickHTML5/Visit.aspx?ID=//5ADAEwASwAzADUANgAyADQAMgAwADUASQBEAEUAQQA8=&amp;Tipo=2&amp;ST=1&amp;nLang=0</t>
  </si>
  <si>
    <t>https://www.clickideacore.com/ClickHTML5/Visit.aspx?ID=//5EDAEwASwAzADUANgAyADcAMwA5ADYASQBEAEUAQQAB=&amp;Tipo=2&amp;ST=1&amp;nLang=0</t>
  </si>
  <si>
    <t>https://www.clickideacore.com/ClickHTML5/Visit.aspx?ID=//52DAEwASwAzADUANgAyADEAOAA5ADEASQBEAEUAQQAB=&amp;Tipo=2&amp;ST=1&amp;nLang=0</t>
  </si>
  <si>
    <t>OP-DYR-00001</t>
  </si>
  <si>
    <t>https://www.clickideacore.com/ClickHTML5/Visit.aspx?ID=//59DAEwASwAzADUANgAyADUAOQA2ADMASQBEAEUAQQA9=&amp;Tipo=2&amp;ST=1&amp;nLang=0</t>
  </si>
  <si>
    <t>https://www.clickideacore.com/ClickHTML5/Visit.aspx?ID=//53DAEwASwAzADUANgAyADcANwA5ADMASQBEAEUAQQA8=&amp;Tipo=2&amp;ST=1&amp;nLang=0</t>
  </si>
  <si>
    <t>https://www.clickideacore.com/ClickHTML5/Visit.aspx?ID=//58DAEwASwAzADUANgA1ADAAOQAyADUASQBEAEUAQQA9=&amp;Tipo=2&amp;ST=1&amp;nLang=0</t>
  </si>
  <si>
    <t>https://www.clickideacore.com/ClickHTML5/Visit.aspx?ID=//59DAEwASwAzADUANgA0ADUAMgA3ADMASQBEAEUAQQA5=&amp;Tipo=2&amp;ST=1&amp;nLang=0</t>
  </si>
  <si>
    <t>https://www.clickideacore.com/ClickHTML5/Visit.aspx?ID=//50DAEwASwAzADUANgA1ADAAMwAzADYASQBEAEUAQQAD=&amp;Tipo=2&amp;ST=1&amp;nLang=0</t>
  </si>
  <si>
    <t>https://www.clickideacore.com/ClickHTML5/Visit.aspx?ID=//5BDAEwASwAzADUANgA0ADcAOAA2ADUASQBEAEUAQQA9=&amp;Tipo=2&amp;ST=1&amp;nLang=0</t>
  </si>
  <si>
    <t>https://www.clickideacore.com/ClickHTML5/Visit.aspx?ID=//56DAEwASwAzADUANgA1ADAANwAxADYASQBEAEUAQQAA=&amp;Tipo=2&amp;ST=1&amp;nLang=0</t>
  </si>
  <si>
    <t>Victor Reyes</t>
  </si>
  <si>
    <t>https://www.clickideacore.com/ClickHTML5/Visit.aspx?ID=//53DAEwASwAzADUANgA2ADcAOAA0ADkASQBEAEUAQQAA=&amp;Tipo=2&amp;ST=1&amp;nLang=0</t>
  </si>
  <si>
    <t>https://www.clickideacore.com/ClickHTML5/Visit.aspx?ID=//5ADAEwASwAzADUANgA2ADUAMgAzADgASQBEAEUAQQA0=&amp;Tipo=2&amp;ST=1&amp;nLang=0</t>
  </si>
  <si>
    <t>https://www.clickideacore.com/ClickHTML5/Visit.aspx?ID=//52DAEwASwAzADUANgA2ADgAOQA5ADAASQBEAEUAQQA3=&amp;Tipo=2&amp;ST=1&amp;nLang=0</t>
  </si>
  <si>
    <t>https://www.clickideacore.com/ClickHTML5/Visit.aspx?ID=//5BDAEwASwAzADUANgA2ADUANQAxADAASQBEAEUAQQAE=&amp;Tipo=2&amp;ST=1&amp;nLang=0</t>
  </si>
  <si>
    <t>https://www.clickideacore.com/ClickHTML5/Visit.aspx?ID=//57DAEwASwAzADUANgA4ADYANwA5ADUASQBEAEUAQQA0=&amp;Tipo=2&amp;ST=1&amp;nLang=0</t>
  </si>
  <si>
    <t>https://www.clickideacore.com/ClickHTML5/Visit.aspx?ID=//51DAEwASwAzADUANgA4ADcANwAwADMASQBEAEUAQQA8=&amp;Tipo=2&amp;ST=1&amp;nLang=0</t>
  </si>
  <si>
    <t>https://www.clickideacore.com/ClickHTML5/Visit.aspx?ID=//56DAEwASwAzADUANgA4ADYAMgAwADQASQBEAEUAQQA8=&amp;Tipo=2&amp;ST=1&amp;nLang=0</t>
  </si>
  <si>
    <t>https://www.clickideacore.com/ClickHTML5/Visit.aspx?ID=//5ADAEwASwAzADUANgA4ADUAOAA3ADcASQBEAEUAQQAF=&amp;Tipo=2&amp;ST=1&amp;nLang=0</t>
  </si>
  <si>
    <t>https://www.clickideacore.com/ClickHTML5/Visit.aspx?ID=//57DAEwASwAzADUANgA4ADYAMgAwADAASQBEAEUAQQAA=&amp;Tipo=2&amp;ST=1&amp;nLang=0</t>
  </si>
  <si>
    <t>https://www.clickideacore.com/ClickHTML5/Visit.aspx?ID=//5FDAEwASwAzADUANgA5ADMANgAxADkASQBEAEUAQQAB=&amp;Tipo=2&amp;ST=1&amp;nLang=0</t>
  </si>
  <si>
    <t>https://www.clickideacore.com/ClickHTML5/Visit.aspx?ID=//52DAEwASwAzADUANgA5ADMAOQA1ADgASQBEAEUAQQAE=&amp;Tipo=2&amp;ST=1&amp;nLang=0</t>
  </si>
  <si>
    <t>https://www.clickideacore.com/ClickHTML5/Visit.aspx?ID=//5DDAEwASwAzADUANgA5ADQAMAAzADgASQBEAEUAQQA7=&amp;Tipo=2&amp;ST=1&amp;nLang=0</t>
  </si>
  <si>
    <t>https://www.clickideacore.com/ClickHTML5/Visit.aspx?ID=//54DAEwASwAzADUANgA5ADMANwAxADcASQBEAEUAQQAA=&amp;Tipo=2&amp;ST=1&amp;nLang=0</t>
  </si>
  <si>
    <t>https://www.clickideacore.com/ClickHTML5/Visit.aspx?ID=//58DAEwASwAzADUANgA5ADQANQA3ADkASQBEAEUAQQAB=&amp;Tipo=2&amp;ST=1&amp;nLang=0</t>
  </si>
  <si>
    <t>https://www.clickideacore.com/ClickHTML5/Visit.aspx?ID=//51DAEwASwAzADUANwAwADQAMAA5ADEASQBEAEUAQQAA=&amp;Tipo=2&amp;ST=1&amp;nLang=0</t>
  </si>
  <si>
    <t>https://www.clickideacore.com/ClickHTML5/Visit.aspx?ID=//5EDAEwASwAzADUANwAxADcAOQA0ADIASQBEAEUAQQA1=&amp;Tipo=2&amp;ST=1&amp;nLang=0</t>
  </si>
  <si>
    <t>https://www.clickideacore.com/ClickHTML5/Visit.aspx?ID=//58DAEwASwAzADUANwAxADMAMAA2ADgASQBEAEUAQQAB=&amp;Tipo=2&amp;ST=1&amp;nLang=0</t>
  </si>
  <si>
    <t>https://www.clickideacore.com/ClickHTML5/Visit.aspx?ID=//54DAEwASwAzADUANwAxADYAMAA1ADUASQBEAEUAQQA3=&amp;Tipo=2&amp;ST=1&amp;nLang=0</t>
  </si>
  <si>
    <t>https://www.clickideacore.com/ClickHTML5/Visit.aspx?ID=//58DAEwASwAzADUANwAwADEAMgAwADAASQBEAEUAQQA4=&amp;Tipo=2&amp;ST=1&amp;nLang=0</t>
  </si>
  <si>
    <t>https://www.clickideacore.com/ClickHTML5/Visit.aspx?ID=//51DAEwASwAzADUANwAzADUAMQA3ADkASQBEAEUAQQAD=&amp;Tipo=2&amp;ST=1&amp;nLang=0</t>
  </si>
  <si>
    <t>https://www.clickideacore.com/ClickHTML5/Visit.aspx?ID=//50DAEwASwAzADUANwAzADkAOQA2ADkASQBEAEUAQQA3=&amp;Tipo=2&amp;ST=1&amp;nLang=0</t>
  </si>
  <si>
    <t>https://www.clickideacore.com/ClickHTML5/Visit.aspx?ID=//54DAEwASwAzADUANwAzADQAMwAxADkASQBEAEUAQQA1=&amp;Tipo=2&amp;ST=1&amp;nLang=0</t>
  </si>
  <si>
    <t>https://www.clickideacore.com/ClickHTML5/Visit.aspx?ID=//5DDAEwASwAzADUANwA0ADAANQA4ADIASQBEAEUAQQA0=&amp;Tipo=2&amp;ST=1&amp;nLang=0</t>
  </si>
  <si>
    <t>https://www.clickideacore.com/ClickHTML5/Visit.aspx?ID=//55DAEwASwAzADUANwAzADUANwA1ADQASQBEAEUAQQAE=&amp;Tipo=2&amp;ST=1&amp;nLang=0</t>
  </si>
  <si>
    <t>https://www.clickideacore.com/ClickHTML5/Visit.aspx?ID=//50DAEwASwAzADUANwAzADQANAAxADkASQBEAEUAQQA3=&amp;Tipo=2&amp;ST=1&amp;nLang=0</t>
  </si>
  <si>
    <t>https://www.clickideacore.com/ClickHTML5/Visit.aspx?ID=//54DAEwASwAzADUANwA2ADIANwAzADcASQBEAEUAQQA7=&amp;Tipo=2&amp;ST=1&amp;nLang=0</t>
  </si>
  <si>
    <t>https://www.clickideacore.com/ClickHTML5/Visit.aspx?ID=//55DAEwASwAzADUANwA1ADUAMAA1ADQASQBEAEUAQQA4=&amp;Tipo=2&amp;ST=1&amp;nLang=0</t>
  </si>
  <si>
    <t>https://www.clickideacore.com/ClickHTML5/Visit.aspx?ID=//56DAEwASwAzADUANwA2ADEAMwA3ADcASQBEAEUAQQA7=&amp;Tipo=2&amp;ST=1&amp;nLang=0</t>
  </si>
  <si>
    <t>https://www.clickideacore.com/ClickHTML5/Visit.aspx?ID=//5BDAEwASwAzADUANwA2ADIANAA3ADMASQBEAEUAQQA2=&amp;Tipo=2&amp;ST=1&amp;nLang=0</t>
  </si>
  <si>
    <t>https://www.clickideacore.com/ClickHTML5/Visit.aspx?ID=//5DDAEwASwAzADUANwA3ADcAMgA1ADAASQBEAEUAQQA8=&amp;Tipo=2&amp;ST=1&amp;nLang=0</t>
  </si>
  <si>
    <t>https://www.clickideacore.com/ClickHTML5/Visit.aspx?ID=//57DAEwASwAzADUANwA4ADIANQA3ADIASQBEAEUAQQA2=&amp;Tipo=2&amp;ST=1&amp;nLang=0</t>
  </si>
  <si>
    <t>https://www.clickideacore.com/ClickHTML5/Visit.aspx?ID=//52DAEwASwAzADUANwA3ADcANgA4ADQASQBEAEUAQQA6=&amp;Tipo=2&amp;ST=1&amp;nLang=0</t>
  </si>
  <si>
    <t>https://www.clickideacore.com/ClickHTML5/Visit.aspx?ID=//55DAEwASwAzADUANwA3ADgAMAA2ADUASQBEAEUAQQA3=&amp;Tipo=2&amp;ST=1&amp;nLang=0</t>
  </si>
  <si>
    <t>https://www.clickideacore.com/ClickHTML5/Visit.aspx?ID=//51DAEwASwAzADUANwA4ADIAOQA0ADgASQBEAEUAQQAE=&amp;Tipo=2&amp;ST=1&amp;nLang=0</t>
  </si>
  <si>
    <t>https://www.clickideacore.com/ClickHTML5/Visit.aspx?ID=//59DAEwASwAzADUAOAAwADIAMgAxADMASQBEAEUAQQA7=&amp;Tipo=2&amp;ST=1&amp;nLang=0</t>
  </si>
  <si>
    <t>https://www.clickideacore.com/ClickHTML5/Visit.aspx?ID=//5EDAEwASwAzADUAOAAwADQAMgA2ADQASQBEAEUAQQA9=&amp;Tipo=2&amp;ST=1&amp;nLang=0</t>
  </si>
  <si>
    <t>https://www.clickideacore.com/ClickHTML5/Visit.aspx?ID=//5DDAEwASwAzADUAOAAwADUANAA1ADIASQBEAEUAQQAA=&amp;Tipo=2&amp;ST=1&amp;nLang=0</t>
  </si>
  <si>
    <t>https://www.clickideacore.com/ClickHTML5/Visit.aspx?ID=//51DAEwASwAzADUAOAAwADMANQA0ADYASQBEAEUAQQAF=&amp;Tipo=2&amp;ST=1&amp;nLang=0</t>
  </si>
  <si>
    <t>https://www.clickideacore.com/ClickHTML5/Visit.aspx?ID=//5EDAEwASwAzADUAOAAwADIAMQA5ADYASQBEAEUAQQA9=&amp;Tipo=2&amp;ST=1&amp;nLang=0</t>
  </si>
  <si>
    <t>https://www.clickideacore.com/ClickHTML5/Visit.aspx?ID=//59DAEwASwAzADUAOAAxADgANAA1ADYASQBEAEUAQQA1=&amp;Tipo=2&amp;ST=1&amp;nLang=0</t>
  </si>
  <si>
    <t>https://www.clickideacore.com/ClickHTML5/Visit.aspx?ID=//5FDAEwASwAzADUAOAAxADkAOQA0ADUASQBEAEUAQQAC=&amp;Tipo=2&amp;ST=1&amp;nLang=0</t>
  </si>
  <si>
    <t>https://www.clickideacore.com/ClickHTML5/Visit.aspx?ID=//5DDAEwASwAzADUAOAAyADAAMQA0ADEASQBEAEUAQQA1=&amp;Tipo=2&amp;ST=1&amp;nLang=0</t>
  </si>
  <si>
    <t>https://www.clickideacore.com/ClickHTML5/Visit.aspx?ID=//5EDAEwASwAzADUAOAAxADkANgAwADQASQBEAEUAQQA2=&amp;Tipo=2&amp;ST=1&amp;nLang=0</t>
  </si>
  <si>
    <t>https://www.clickideacore.com/ClickHTML5/Visit.aspx?ID=//58DAEwASwAzADUAOAAxADkANAA5ADYASQBEAEUAQQA0=&amp;Tipo=2&amp;ST=1&amp;nLang=0</t>
  </si>
  <si>
    <t>https://www.clickideacore.com/ClickHTML5/Visit.aspx?ID=//5EDAEwASwAzADUAOAAyADcAMgA5ADYASQBEAEUAQQA2=&amp;Tipo=2&amp;ST=1&amp;nLang=0</t>
  </si>
  <si>
    <t>https://www.clickideacore.com/ClickHTML5/Visit.aspx?ID=//50DAEwASwAzADUAOAAyADcAOAA1ADAASQBEAEUAQQA6=&amp;Tipo=2&amp;ST=1&amp;nLang=0</t>
  </si>
  <si>
    <t>https://www.clickideacore.com/ClickHTML5/Visit.aspx?ID=//53DAEwASwAzADUAOAAyADcAOAAzADkASQBEAEUAQQA4=&amp;Tipo=2&amp;ST=1&amp;nLang=0</t>
  </si>
  <si>
    <t>https://www.clickideacore.com/ClickHTML5/Visit.aspx?ID=//51DAEwASwAzADUAOAAyADcANgAzADIASQBEAEUAQQAF=&amp;Tipo=2&amp;ST=1&amp;nLang=0</t>
  </si>
  <si>
    <t>https://www.clickideacore.com/ClickHTML5/Visit.aspx?ID=//51DAEwASwAzADUAOAAyADcAMwAxADUASQBEAEUAQQA0=&amp;Tipo=2&amp;ST=1&amp;nLang=0</t>
  </si>
  <si>
    <t>https://www.clickideacore.com/ClickHTML5/Visit.aspx?ID=//5BDAEwASwAzADUAOAA0ADIANAA0ADAASQBEAEUAQQAD=&amp;Tipo=2&amp;ST=1&amp;nLang=0</t>
  </si>
  <si>
    <t>https://www.clickideacore.com/ClickHTML5/Visit.aspx?ID=//59DAEwASwAzADUAOAA0ADYANAAyADUASQBEAEUAQQAC=&amp;Tipo=2&amp;ST=1&amp;nLang=0</t>
  </si>
  <si>
    <t>Luis Acevedo</t>
  </si>
  <si>
    <t>https://www.clickideacore.com/ClickHTML5/Visit.aspx?ID=//54DAEwASwAzADUAOAA0ADkANAAyADIASQBEAEUAQQA1=&amp;Tipo=2&amp;ST=1&amp;nLang=0</t>
  </si>
  <si>
    <t>https://www.clickideacore.com/ClickHTML5/Visit.aspx?ID=//53DAEwASwAzADUAOAA0ADQAMAA5ADkASQBEAEUAQQA1=&amp;Tipo=2&amp;ST=1&amp;nLang=0</t>
  </si>
  <si>
    <t>https://www.clickideacore.com/ClickHTML5/Visit.aspx?ID=//53DAEwASwAzADUAOAA0ADEAOAA1ADQASQBEAEUAQQAD=&amp;Tipo=2&amp;ST=1&amp;nLang=0</t>
  </si>
  <si>
    <t>https://www.clickideacore.com/ClickHTML5/Visit.aspx?ID=//58DAEwASwAzADUAOAA0ADgANQA0ADgASQBEAEUAQQA2=&amp;Tipo=2&amp;ST=1&amp;nLang=0</t>
  </si>
  <si>
    <t>Alexander Marchant</t>
  </si>
  <si>
    <t>https://www.clickideacore.com/ClickHTML5/Visit.aspx?ID=//51DAEwASwAzADUAOAA3ADAAOAA0ADcASQBEAEUAQQA4=&amp;Tipo=2&amp;ST=1&amp;nLang=0</t>
  </si>
  <si>
    <t>https://www.clickideacore.com/ClickHTML5/Visit.aspx?ID=//5BDAEwASwAzADUAOAA3ADUAMgA2ADEASQBEAEUAQQAD=&amp;Tipo=2&amp;ST=1&amp;nLang=0</t>
  </si>
  <si>
    <t>https://www.clickideacore.com/ClickHTML5/Visit.aspx?ID=//56DAEwASwAzADUAOAA3ADIAMgA0ADMASQBEAEUAQQAC=&amp;Tipo=2&amp;ST=1&amp;nLang=0</t>
  </si>
  <si>
    <t>https://www.clickideacore.com/ClickHTML5/Visit.aspx?ID=//5EDAEwASwAzADUAOAA2ADcAMQAyADYASQBEAEUAQQAC=&amp;Tipo=2&amp;ST=1&amp;nLang=0</t>
  </si>
  <si>
    <t>https://www.clickideacore.com/ClickHTML5/Visit.aspx?ID=//5FDAEwASwAzADUAOAA2ADgANQA5ADcASQBEAEUAQQAF=&amp;Tipo=2&amp;ST=1&amp;nLang=0</t>
  </si>
  <si>
    <t>https://www.clickideacore.com/ClickHTML5/Visit.aspx?ID=//50DAEwASwAzADUAOAA2ADcANgA4ADUASQBEAEUAQQA0=&amp;Tipo=2&amp;ST=1&amp;nLang=0</t>
  </si>
  <si>
    <t>https://www.clickideacore.com/ClickHTML5/Visit.aspx?ID=//58DAEwASwAzADUAOAA3ADAAOAAxADMASQBEAEUAQQA9=&amp;Tipo=2&amp;ST=1&amp;nLang=0</t>
  </si>
  <si>
    <t>https://www.clickideacore.com/ClickHTML5/Visit.aspx?ID=//5DDAEwASwAzADUAOAA5ADgAOAA2ADMASQBEAEUAQQAA=&amp;Tipo=2&amp;ST=1&amp;nLang=0</t>
  </si>
  <si>
    <t>https://www.clickideacore.com/ClickHTML5/Visit.aspx?ID=//52DAEwASwAzADUAOAA5ADcAMAA1ADgASQBEAEUAQQA6=&amp;Tipo=2&amp;ST=1&amp;nLang=0</t>
  </si>
  <si>
    <t>https://www.clickideacore.com/ClickHTML5/Visit.aspx?ID=//58DAEwASwAzADUAOAA5ADgANAA0ADYASQBEAEUAQQA4=&amp;Tipo=2&amp;ST=1&amp;nLang=0</t>
  </si>
  <si>
    <t>https://www.clickideacore.com/ClickHTML5/Visit.aspx?ID=//56DAEwASwAzADUAOAA5ADkAMwAwADIASQBEAEUAQQAB=&amp;Tipo=2&amp;ST=1&amp;nLang=0</t>
  </si>
  <si>
    <t>https://www.clickideacore.com/ClickHTML5/Visit.aspx?ID=//5FDAEwASwAzADUAOAA5ADMANwA1ADEASQBEAEUAQQA7=&amp;Tipo=2&amp;ST=1&amp;nLang=0</t>
  </si>
  <si>
    <t>https://www.clickideacore.com/ClickHTML5/Visit.aspx?ID=//50DAEwASwAzADUAOQAyADAANwA3ADgASQBEAEUAQQA2=&amp;Tipo=2&amp;ST=1&amp;nLang=0</t>
  </si>
  <si>
    <t>https://www.clickideacore.com/ClickHTML5/Visit.aspx?ID=//58DAEwASwAzADUAOQAyADIAMAAxADMASQBEAEUAQQAB=&amp;Tipo=2&amp;ST=1&amp;nLang=0</t>
  </si>
  <si>
    <t>https://www.clickideacore.com/ClickHTML5/Visit.aspx?ID=//50DAEwASwAzADUAOQAyADUAMgA3ADAASQBEAEUAQQA0=&amp;Tipo=2&amp;ST=1&amp;nLang=0</t>
  </si>
  <si>
    <t>https://www.clickideacore.com/ClickHTML5/Visit.aspx?ID=//58DAEwASwAzADUAOQAyADIAMAA3ADcASQBEAEUAQQA8=&amp;Tipo=2&amp;ST=1&amp;nLang=0</t>
  </si>
  <si>
    <t>https://www.clickideacore.com/ClickHTML5/Visit.aspx?ID=//5DDAEwASwAzADUAOQAxADcAMgAwADUASQBEAEUAQQAC=&amp;Tipo=2&amp;ST=1&amp;nLang=0</t>
  </si>
  <si>
    <t>https://www.clickideacore.com/ClickHTML5/Visit.aspx?ID=//50DAEwASwAzADUAOQA0ADEAMgAwADIASQBEAEUAQQAD=&amp;Tipo=2&amp;ST=1&amp;nLang=0</t>
  </si>
  <si>
    <t>https://www.clickideacore.com/ClickHTML5/Visit.aspx?ID=//5CDAEwASwAzADUAOQA0ADMAMwA0ADEASQBEAEUAQQA6=&amp;Tipo=2&amp;ST=1&amp;nLang=0</t>
  </si>
  <si>
    <t>https://www.clickideacore.com/ClickHTML5/Visit.aspx?ID=//5BDAEwASwAzADUAOQA0ADAAMQAyADYASQBEAEUAQQAA=&amp;Tipo=2&amp;ST=1&amp;nLang=0</t>
  </si>
  <si>
    <t>https://www.clickideacore.com/ClickHTML5/Visit.aspx?ID=//54DAEwASwAzADUAOQAzADgAMgA1ADYASQBEAEUAQQA2=&amp;Tipo=2&amp;ST=1&amp;nLang=0</t>
  </si>
  <si>
    <t>https://www.clickideacore.com/ClickHTML5/Visit.aspx?ID=//55DAEwASwAzADUAOQAzADgANAA0ADUASQBEAEUAQQA1=&amp;Tipo=2&amp;ST=1&amp;nLang=0</t>
  </si>
  <si>
    <t>https://www.clickideacore.com/ClickHTML5/Visit.aspx?ID=//5FDAEwASwAzADUAOQA1ADYAMAA4ADMASQBEAEUAQQA6=&amp;Tipo=2&amp;ST=1&amp;nLang=0</t>
  </si>
  <si>
    <t>https://www.clickideacore.com/ClickHTML5/Visit.aspx?ID=//54DAEwASwAzADUAOQA1ADcAMgAwADgASQBEAEUAQQA9=&amp;Tipo=2&amp;ST=1&amp;nLang=0</t>
  </si>
  <si>
    <t>https://www.clickideacore.com/ClickHTML5/Visit.aspx?ID=//5EDAEwASwAzADUAOQA1ADYANgA5ADQASQBEAEUAQQA3=&amp;Tipo=2&amp;ST=1&amp;nLang=0</t>
  </si>
  <si>
    <t>https://www.clickideacore.com/ClickHTML5/Visit.aspx?ID=//51DAEwASwAzADUAOQA1ADYAMgA0ADgASQBEAEUAQQA9=&amp;Tipo=2&amp;ST=1&amp;nLang=0</t>
  </si>
  <si>
    <t>https://www.clickideacore.com/ClickHTML5/Visit.aspx?ID=//57DAEwASwAzADUAOQA1ADUAMQAwADIASQBEAEUAQQA6=&amp;Tipo=2&amp;ST=1&amp;nLang=0</t>
  </si>
  <si>
    <t>https://www.clickideacore.com/ClickHTML5/Visit.aspx?ID=//56DAEwASwAzADUAOQA2ADQAMAAxADgASQBEAEUAQQAC=&amp;Tipo=2&amp;ST=1&amp;nLang=0</t>
  </si>
  <si>
    <t>https://www.clickideacore.com/ClickHTML5/Visit.aspx?ID=//55DAEwASwAzADUAOQA2ADUAMwAyADAASQBEAEUAQQAC=&amp;Tipo=2&amp;ST=1&amp;nLang=0</t>
  </si>
  <si>
    <t>https://www.clickideacore.com/ClickHTML5/Visit.aspx?ID=//59DAEwASwAzADUAOQA2ADQAMQA1ADcASQBEAEUAQQAC=&amp;Tipo=2&amp;ST=1&amp;nLang=0</t>
  </si>
  <si>
    <t>https://www.clickideacore.com/ClickHTML5/Visit.aspx?ID=//55DAEwASwAzADUAOQA2ADMANgAzADQASQBEAEUAQQAE=&amp;Tipo=2&amp;ST=1&amp;nLang=0</t>
  </si>
  <si>
    <t>https://www.clickideacore.com/ClickHTML5/Visit.aspx?ID=//5EDAEwASwAzADUAOQA2ADMANAA2ADMASQBEAEUAQQAF=&amp;Tipo=2&amp;ST=1&amp;nLang=0</t>
  </si>
  <si>
    <t>https://www.clickideacore.com/ClickHTML5/Visit.aspx?ID=//5CDAEwASwAzADUAOQA4ADIANwAyADIASQBEAEUAQQA9=&amp;Tipo=2&amp;ST=1&amp;nLang=0</t>
  </si>
  <si>
    <t>https://www.clickideacore.com/ClickHTML5/Visit.aspx?ID=//5CDAEwASwAzADUAOQA4ADMANQAxADgASQBEAEUAQQA7=&amp;Tipo=2&amp;ST=1&amp;nLang=0</t>
  </si>
  <si>
    <t>https://www.clickideacore.com/ClickHTML5/Visit.aspx?ID=//5BDAEwASwAzADUAOQA4ADYAMQAyADkASQBEAEUAQQA2=&amp;Tipo=2&amp;ST=1&amp;nLang=0</t>
  </si>
  <si>
    <t>https://www.clickideacore.com/ClickHTML5/Visit.aspx?ID=//59DAEwASwAzADUAOQA4ADYAMwA3ADYASQBEAEUAQQA7=&amp;Tipo=2&amp;ST=1&amp;nLang=0</t>
  </si>
  <si>
    <t>https://www.clickideacore.com/ClickHTML5/Visit.aspx?ID=//5EDAEwASwAzADUAOQA4ADUAOAA2ADIASQBEAEUAQQAE=&amp;Tipo=2&amp;ST=1&amp;nLang=0</t>
  </si>
  <si>
    <t>Osman Perez</t>
  </si>
  <si>
    <t>https://www.clickideacore.com/ClickHTML5/Visit.aspx?ID=//59DAEwASwAzADUAOQA4ADIAMgA1ADYASQBEAEUAQQA8=&amp;Tipo=2&amp;ST=1&amp;nLang=0</t>
  </si>
  <si>
    <t>https://www.clickideacore.com/ClickHTML5/Visit.aspx?ID=//51DAEwASwAzADUAOQA4ADAAOQA2ADYASQBEAEUAQQA4=&amp;Tipo=2&amp;ST=1&amp;nLang=0</t>
  </si>
  <si>
    <t>https://www.clickideacore.com/ClickHTML5/Visit.aspx?ID=//50DAEwASwAzADUAOQA4ADUAMQA1ADEASQBEAEUAQQAD=&amp;Tipo=2&amp;ST=1&amp;nLang=0</t>
  </si>
  <si>
    <t>https://www.clickideacore.com/ClickHTML5/Visit.aspx?ID=//5DDAEwASwAzADYAMAAwADUAMQA4ADQASQBEAEUAQQA1=&amp;Tipo=2&amp;ST=1&amp;nLang=0</t>
  </si>
  <si>
    <t>https://www.clickideacore.com/ClickHTML5/Visit.aspx?ID=//58DAEwASwAzADUAOQA5ADgAOAA1ADAASQBEAEUAQQA6=&amp;Tipo=2&amp;ST=1&amp;nLang=0</t>
  </si>
  <si>
    <t>https://www.clickideacore.com/ClickHTML5/Visit.aspx?ID=//50DAEwASwAzADYAMAAwADcAOAA3ADUASQBEAEUAQQA3=&amp;Tipo=2&amp;ST=1&amp;nLang=0</t>
  </si>
  <si>
    <t>https://www.clickideacore.com/ClickHTML5/Visit.aspx?ID=//5DDAEwASwAzADYAMAAwADkAMQA2ADkASQBEAEUAQQAB=&amp;Tipo=2&amp;ST=1&amp;nLang=0</t>
  </si>
  <si>
    <t>https://www.clickideacore.com/ClickHTML5/Visit.aspx?ID=//56DAEwASwAzADUAOQA5ADgAOAAzADgASQBEAEUAQQA9=&amp;Tipo=2&amp;ST=1&amp;nLang=0</t>
  </si>
  <si>
    <t>https://www.clickideacore.com/ClickHTML5/Visit.aspx?ID=//55DAEwASwAzADYAMAAwADMAMgAwADcASQBEAEUAQQA9=&amp;Tipo=2&amp;ST=1&amp;nLang=0</t>
  </si>
  <si>
    <t>https://www.clickideacore.com/ClickHTML5/Visit.aspx?ID=//59DAEwASwAzADYAMAAxADEAMgA5ADEASQBEAEUAQQA0=&amp;Tipo=2&amp;ST=1&amp;nLang=0</t>
  </si>
  <si>
    <t>https://www.clickideacore.com/ClickHTML5/Visit.aspx?ID=//55DAEwASwAzADYAMAAyADcANgA4ADgASQBEAEUAQQAB=&amp;Tipo=2&amp;ST=1&amp;nLang=0</t>
  </si>
  <si>
    <t>https://www.clickideacore.com/ClickHTML5/Visit.aspx?ID=//53DAEwASwAzADYAMAAzADIAOAA4ADAASQBEAEUAQQA9=&amp;Tipo=2&amp;ST=1&amp;nLang=0</t>
  </si>
  <si>
    <t>https://www.clickideacore.com/ClickHTML5/Visit.aspx?ID=//52DAEwASwAzADYAMAA1ADUAMwA3ADkASQBEAEUAQQA0=&amp;Tipo=2&amp;ST=1&amp;nLang=0</t>
  </si>
  <si>
    <t xml:space="preserve">Sin Producción </t>
  </si>
  <si>
    <t>https://www.clickideacore.com/ClickHTML5/Visit.aspx?ID=//5ADAEwASwAzADYAMAA0ADYANgA4ADkASQBEAEUAQQAA=&amp;Tipo=2&amp;ST=1&amp;nLang=0</t>
  </si>
  <si>
    <t>https://www.clickideacore.com/ClickHTML5/Visit.aspx?ID=//5FDAEwASwAzADYAMAA0ADgAMgA0ADkASQBEAEUAQQA7=&amp;Tipo=2&amp;ST=1&amp;nLang=0</t>
  </si>
  <si>
    <t>https://www.clickideacore.com/ClickHTML5/Visit.aspx?ID=//52DAEwASwAzADYAMAA1ADMAOAA5ADcASQBEAEUAQQAE=&amp;Tipo=2&amp;ST=1&amp;nLang=0</t>
  </si>
  <si>
    <t>https://www.clickideacore.com/ClickHTML5/Visit.aspx?ID=//5DDAEwASwAzADYAMAA0ADgANgA0ADMASQBEAEUAQQA3=&amp;Tipo=2&amp;ST=1&amp;nLang=0</t>
  </si>
  <si>
    <t>https://www.clickideacore.com/ClickHTML5/Visit.aspx?ID=//5FDAEwASwAzADYAMAA3ADIANQA2ADQASQBEAEUAQQA2=&amp;Tipo=2&amp;ST=1&amp;nLang=0</t>
  </si>
  <si>
    <t>https://www.clickideacore.com/ClickHTML5/Visit.aspx?ID=//56DAEwASwAzADYAMAA3ADQANgA1ADcASQBEAEUAQQA8=&amp;Tipo=2&amp;ST=1&amp;nLang=0</t>
  </si>
  <si>
    <t>https://www.clickideacore.com/ClickHTML5/Visit.aspx?ID=//52DAEwASwAzADYAMAA3ADMAMAAyADYASQBEAEUAQQA0=&amp;Tipo=2&amp;ST=1&amp;nLang=0</t>
  </si>
  <si>
    <t>https://www.clickideacore.com/ClickHTML5/Visit.aspx?ID=//54DAEwASwAzADYAMAA3ADIAMwA5ADEASQBEAEUAQQA8=&amp;Tipo=2&amp;ST=1&amp;nLang=0</t>
  </si>
  <si>
    <t>https://www.clickideacore.com/ClickHTML5/Visit.aspx?ID=//53DAEwASwAzADYAMAA3ADQAMwA5ADUASQBEAEUAQQAE=&amp;Tipo=2&amp;ST=1&amp;nLang=0</t>
  </si>
  <si>
    <t>https://www.clickideacore.com/ClickHTML5/Visit.aspx?ID=//54DAEwASwAzADYAMAA4ADcANgA5ADQASQBEAEUAQQA7=&amp;Tipo=2&amp;ST=1&amp;nLang=0</t>
  </si>
  <si>
    <t>https://www.clickideacore.com/ClickHTML5/Visit.aspx?ID=//54DAEwASwAzADYAMAA4ADkAOQA0ADUASQBEAEUAQQAE=&amp;Tipo=2&amp;ST=1&amp;nLang=0</t>
  </si>
  <si>
    <t>https://www.clickideacore.com/ClickHTML5/Visit.aspx?ID=//5CDAEwASwAzADYAMAA4ADgANgA5ADkASQBEAEUAQQA5=&amp;Tipo=2&amp;ST=1&amp;nLang=0</t>
  </si>
  <si>
    <t>https://www.clickideacore.com/ClickHTML5/Visit.aspx?ID=//5FDAEwASwAzADYAMAA4ADgAOAAzADEASQBEAEUAQQA9=&amp;Tipo=2&amp;ST=1&amp;nLang=0</t>
  </si>
  <si>
    <t>https://www.clickideacore.com/ClickHTML5/Visit.aspx?ID=//59DAEwASwAzADYAMAA5ADYANAAxADcASQBEAEUAQQAD=&amp;Tipo=2&amp;ST=1&amp;nLang=0</t>
  </si>
  <si>
    <t>https://www.clickideacore.com/ClickHTML5/Visit.aspx?ID=//50DAEwASwAzADYAMAA5ADYAMgA1ADkASQBEAEUAQQAE=&amp;Tipo=2&amp;ST=1&amp;nLang=0</t>
  </si>
  <si>
    <t>https://www.clickideacore.com/ClickHTML5/Visit.aspx?ID=//56DAEwASwAzADYAMAA5ADUAOAA5ADYASQBEAEUAQQA0=&amp;Tipo=2&amp;ST=1&amp;nLang=0</t>
  </si>
  <si>
    <t>https://www.clickideacore.com/ClickHTML5/Visit.aspx?ID=//59DAEwASwAzADYAMAA5ADYAMgAxADYASQBEAEUAQQAD=&amp;Tipo=2&amp;ST=1&amp;nLang=0</t>
  </si>
  <si>
    <t>https://www.clickideacore.com/ClickHTML5/Visit.aspx?ID=//58DAEwASwAzADYAMAA5ADYAMQAyADEASQBEAEUAQQA8=&amp;Tipo=2&amp;ST=1&amp;nLang=0</t>
  </si>
  <si>
    <t>https://www.clickideacore.com/ClickHTML5/Visit.aspx?ID=//57DAEwASwAzADYAMQAwADQAOQA0ADYASQBEAEUAQQA6=&amp;Tipo=2&amp;ST=1&amp;nLang=0</t>
  </si>
  <si>
    <t>https://www.clickideacore.com/ClickHTML5/Visit.aspx?ID=//5DDAEwASwAzADYAMQAwADYAMgAzADUASQBEAEUAQQAF=&amp;Tipo=2&amp;ST=1&amp;nLang=0</t>
  </si>
  <si>
    <t>Permiso Matrimonio</t>
  </si>
  <si>
    <t>https://www.clickideacore.com/ClickHTML5/Visit.aspx?ID=//5ADAEwASwAzADYAMQAzADIANwA5ADAASQBEAEUAQQAD=&amp;Tipo=2&amp;ST=1&amp;nLang=0</t>
  </si>
  <si>
    <t>https://www.clickideacore.com/ClickHTML5/Visit.aspx?ID=//55DAEwASwAzADYAMQAzADMAOAA5ADIASQBEAEUAQQA2=&amp;Tipo=2&amp;ST=1&amp;nLang=0</t>
  </si>
  <si>
    <t>https://www.clickideacore.com/ClickHTML5/Visit.aspx?ID=//5BDAEwASwAzADYAMQAzADQANQAzADUASQBEAEUAQQAA=&amp;Tipo=2&amp;ST=1&amp;nLang=0</t>
  </si>
  <si>
    <t>https://www.clickideacore.com/ClickHTML5/Visit.aspx?ID=//5BDAEwASwAzADYAMQAzADgANAAwADYASQBEAEUAQQA3=&amp;Tipo=2&amp;ST=1&amp;nLang=0</t>
  </si>
  <si>
    <t>https://www.clickideacore.com/ClickHTML5/Visit.aspx?ID=//53DAEwASwAzADYAMQA2ADAAMgAwADEASQBEAEUAQQA4=&amp;Tipo=2&amp;ST=1&amp;nLang=0</t>
  </si>
  <si>
    <t>https://www.clickideacore.com/ClickHTML5/Visit.aspx?ID=//55DAEwASwAzADYAMQA1ADkAOAAxADUASQBEAEUAQQA1=&amp;Tipo=2&amp;ST=1&amp;nLang=0</t>
  </si>
  <si>
    <t>https://www.clickideacore.com/ClickHTML5/Visit.aspx?ID=//55DAEwASwAzADYAMQA2ADMANQAyADcASQBEAEUAQQA5=&amp;Tipo=2&amp;ST=1&amp;nLang=0</t>
  </si>
  <si>
    <t>https://www.clickideacore.com/ClickHTML5/Visit.aspx?ID=//54DAEwASwAzADYAMQA1ADgANgA4ADEASQBEAEUAQQAC=&amp;Tipo=2&amp;ST=1&amp;nLang=0</t>
  </si>
  <si>
    <t>https://www.clickideacore.com/ClickHTML5/Visit.aspx?ID=//54DAEwASwAzADYAMQA1ADYAOQAxADgASQBEAEUAQQAD=&amp;Tipo=2&amp;ST=1&amp;nLang=0</t>
  </si>
  <si>
    <t>https://www.clickideacore.com/ClickHTML5/Visit.aspx?ID=//5CDAEwASwAzADYAMQA1ADkAOAA2ADkASQBEAEUAQQA4=&amp;Tipo=2&amp;ST=1&amp;nLang=0</t>
  </si>
  <si>
    <t>https://www.clickideacore.com/ClickHTML5/Visit.aspx?ID=//53DAEwASwAzADYAMQA4ADIANwA5ADgASQBEAEUAQQAD=&amp;Tipo=2&amp;ST=1&amp;nLang=0</t>
  </si>
  <si>
    <t>https://www.clickideacore.com/ClickHTML5/Visit.aspx?ID=//53DAEwASwAzADYAMQA4ADcAMgAyADIASQBEAEUAQQA4=&amp;Tipo=2&amp;ST=1&amp;nLang=0</t>
  </si>
  <si>
    <t>https://www.clickideacore.com/ClickHTML5/Visit.aspx?ID=//5FDAEwASwAzADYAMQA4ADAANAAxADYASQBEAEUAQQAC=&amp;Tipo=2&amp;ST=1&amp;nLang=0</t>
  </si>
  <si>
    <t>https://www.clickideacore.com/ClickHTML5/Visit.aspx?ID=//57DAEwASwAzADYAMQA3ADYANwA4ADQASQBEAEUAQQA7=&amp;Tipo=2&amp;ST=1&amp;nLang=0</t>
  </si>
  <si>
    <t>https://www.clickideacore.com/ClickHTML5/Visit.aspx?ID=//5DDAEwASwAzADYAMgAxADAAMwA4ADAASQBEAEUAQQA5=&amp;Tipo=2&amp;ST=1&amp;nLang=0</t>
  </si>
  <si>
    <t>https://www.clickideacore.com/ClickHTML5/Visit.aspx?ID=//52DAEwASwAzADYAMgAxADAAMwA2ADUASQBEAEUAQQA3=&amp;Tipo=2&amp;ST=1&amp;nLang=0</t>
  </si>
  <si>
    <t>https://www.clickideacore.com/ClickHTML5/Visit.aspx?ID=//5ADAEwASwAzADYAMgAwADcANgA0ADcASQBEAEUAQQA4=&amp;Tipo=2&amp;ST=1&amp;nLang=0</t>
  </si>
  <si>
    <t>https://www.clickideacore.com/ClickHTML5/Visit.aspx?ID=//5DDAEwASwAzADYAMgAwADgAMwA2ADUASQBEAEUAQQA6=&amp;Tipo=2&amp;ST=1&amp;nLang=0</t>
  </si>
  <si>
    <t>https://www.clickideacore.com/ClickHTML5/Visit.aspx?ID=//5ADAEwASwAzADYAMgAwADUANwAxADAASQBEAEUAQQA8=&amp;Tipo=2&amp;ST=1&amp;nLang=0</t>
  </si>
  <si>
    <t>https://www.clickideacore.com/ClickHTML5/Visit.aspx?ID=//5BDAEwASwAzADYAMgAxADEAMwA1ADAASQBEAEUAQQAF=&amp;Tipo=2&amp;ST=1&amp;nLang=0</t>
  </si>
  <si>
    <t>https://www.clickideacore.com/ClickHTML5/Visit.aspx?ID=//53DAEwASwAzADYAMgAyADMANAA0ADkASQBEAEUAQQA1=&amp;Tipo=2&amp;ST=1&amp;nLang=0</t>
  </si>
  <si>
    <t>https://www.clickideacore.com/ClickHTML5/Visit.aspx?ID=//50DAEwASwAzADYAMgAyADMAMAAxADgASQBEAEUAQQA1=&amp;Tipo=2&amp;ST=1&amp;nLang=0</t>
  </si>
  <si>
    <t>https://www.clickideacore.com/ClickHTML5/Visit.aspx?ID=//5DDAEwASwAzADYAMgAyADMANQA3ADkASQBEAEUAQQA6=&amp;Tipo=2&amp;ST=1&amp;nLang=0</t>
  </si>
  <si>
    <t>https://www.clickideacore.com/ClickHTML5/Visit.aspx?ID=//5FDAEwASwAzADYAMgAyADMAMAA1ADUASQBEAEUAQQA6=&amp;Tipo=2&amp;ST=1&amp;nLang=0</t>
  </si>
  <si>
    <t>https://www.clickideacore.com/ClickHTML5/Visit.aspx?ID=//5CDAEwASwAzADYAMgAyADQAOQA4ADMASQBEAEUAQQAA=&amp;Tipo=2&amp;ST=1&amp;nLang=0</t>
  </si>
  <si>
    <t>https://www.clickideacore.com/ClickHTML5/Visit.aspx?ID=//57DAEwASwAzADYAMgAyADQAOQA4ADAASQBEAEUAQQAC=&amp;Tipo=2&amp;ST=1&amp;nLang=0</t>
  </si>
  <si>
    <t>https://www.clickideacore.com/ClickHTML5/Visit.aspx?ID=//59DAEwASwAzADYAMgAzADEAMgA5ADEASQBEAEUAQQAF=&amp;Tipo=2&amp;ST=1&amp;nLang=0</t>
  </si>
  <si>
    <t>https://www.clickideacore.com/ClickHTML5/Visit.aspx?ID=//5BDAEwASwAzADYAMgAzADAAOQAyADMASQBEAEUAQQAF=&amp;Tipo=2&amp;ST=1&amp;nLang=0</t>
  </si>
  <si>
    <t>https://www.clickideacore.com/ClickHTML5/Visit.aspx?ID=//55DAEwASwAzADYAMgAzADEAMgA0ADkASQBEAEUAQQA2=&amp;Tipo=2&amp;ST=1&amp;nLang=0</t>
  </si>
  <si>
    <t>https://www.clickideacore.com/ClickHTML5/Visit.aspx?ID=//55DAEwASwAzADYAMgA0ADUANgAyADAASQBEAEUAQQA8=&amp;Tipo=2&amp;ST=1&amp;nLang=0</t>
  </si>
  <si>
    <t>https://www.clickideacore.com/ClickHTML5/Visit.aspx?ID=//5FDAEwASwAzADYAMgA1ADIAOQA4ADkASQBEAEUAQQAB=&amp;Tipo=2&amp;ST=1&amp;nLang=0</t>
  </si>
  <si>
    <t>https://www.clickideacore.com/ClickHTML5/Visit.aspx?ID=//56DAEwASwAzADYAMgA1ADQAMAA0ADMASQBEAEUAQQAA=&amp;Tipo=2&amp;ST=1&amp;nLang=0</t>
  </si>
  <si>
    <t>https://www.clickideacore.com/ClickHTML5/Visit.aspx?ID=//57DAEwASwAzADYAMgA0ADcANAA1ADgASQBEAEUAQQAA=&amp;Tipo=2&amp;ST=1&amp;nLang=0</t>
  </si>
  <si>
    <t>https://www.clickideacore.com/ClickHTML5/Visit.aspx?ID=//51DAEwASwAzADYAMgA0ADcAMwAzADEASQBEAEUAQQA8=&amp;Tipo=2&amp;ST=1&amp;nLang=0</t>
  </si>
  <si>
    <t>https://www.clickideacore.com/ClickHTML5/Visit.aspx?ID=//56DAEwASwAzADYAMgA1ADQAOAA2ADYASQBEAEUAQQA8=&amp;Tipo=2&amp;ST=1&amp;nLang=0</t>
  </si>
  <si>
    <t>https://www.clickideacore.com/ClickHTML5/Visit.aspx?ID=//59DAEwASwAzADYAMgA3ADAANQAwADgASQBEAEUAQQA0=&amp;Tipo=2&amp;ST=1&amp;nLang=0</t>
  </si>
  <si>
    <t>https://www.clickideacore.com/ClickHTML5/Visit.aspx?ID=//53DAEwASwAzADYAMgA3ADAAOAA0ADAASQBEAEUAQQAC=&amp;Tipo=2&amp;ST=1&amp;nLang=0</t>
  </si>
  <si>
    <t>https://www.clickideacore.com/ClickHTML5/Visit.aspx?ID=//59DAEwASwAzADYAMgA3ADMAOQA0ADkASQBEAEUAQQAA=&amp;Tipo=2&amp;ST=1&amp;nLang=0</t>
  </si>
  <si>
    <t>https://www.clickideacore.com/ClickHTML5/Visit.aspx?ID=//59DAEwASwAzADYAMgA3ADEANAA4ADIASQBEAEUAQQAC=&amp;Tipo=2&amp;ST=1&amp;nLang=0</t>
  </si>
  <si>
    <t>https://www.clickideacore.com/ClickHTML5/Visit.aspx?ID=//5BDAEwASwAzADYAMgA3ADIAMgAxADEASQBEAEUAQQAF=&amp;Tipo=2&amp;ST=1&amp;nLang=0</t>
  </si>
  <si>
    <t>https://www.clickideacore.com/ClickHTML5/Visit.aspx?ID=//5ADAEwASwAzADYAMgA5ADUAMAA3ADQASQBEAEUAQQA2=&amp;Tipo=2&amp;ST=1&amp;nLang=0</t>
  </si>
  <si>
    <t>https://www.clickideacore.com/ClickHTML5/Visit.aspx?ID=//58DAEwASwAzADYAMwAwADEANAAxADkASQBEAEUAQQA8=&amp;Tipo=2&amp;ST=1&amp;nLang=0</t>
  </si>
  <si>
    <t>https://www.clickideacore.com/ClickHTML5/Visit.aspx?ID=//53DAEwASwAzADYAMwAwADAAMwA1ADcASQBEAEUAQQAB=&amp;Tipo=2&amp;ST=1&amp;nLang=0</t>
  </si>
  <si>
    <t>https://www.clickideacore.com/ClickHTML5/Visit.aspx?ID=//55DAEwASwAzADYAMwAyADEAMgA2ADcASQBEAEUAQQA6=&amp;Tipo=2&amp;ST=1&amp;nLang=0</t>
  </si>
  <si>
    <t>https://www.clickideacore.com/ClickHTML5/Visit.aspx?ID=//59DAEwASwAzADYAMwAyADUANwAwADQASQBEAEUAQQA8=&amp;Tipo=2&amp;ST=1&amp;nLang=0</t>
  </si>
  <si>
    <t>https://www.clickideacore.com/ClickHTML5/Visit.aspx?ID=//50DAEwASwAzADYAMwAxADYAOQA3ADUASQBEAEUAQQAD=&amp;Tipo=2&amp;ST=1&amp;nLang=0</t>
  </si>
  <si>
    <t>https://www.clickideacore.com/ClickHTML5/Visit.aspx?ID=//5BDAEwASwAzADYAMwAxADgAMwA0ADMASQBEAEUAQQAE=&amp;Tipo=2&amp;ST=1&amp;nLang=0</t>
  </si>
  <si>
    <t>https://www.clickideacore.com/ClickHTML5/Visit.aspx?ID=//54DAEwASwAzADYAMwAyADAANgA0ADcASQBEAEUAQQA6=&amp;Tipo=2&amp;ST=1&amp;nLang=0</t>
  </si>
  <si>
    <t>https://www.clickideacore.com/ClickHTML5/Visit.aspx?ID=//5CDAEwASwAzADYAMwAyADQANAAzADMASQBEAEUAQQAE=&amp;Tipo=2&amp;ST=1&amp;nLang=0</t>
  </si>
  <si>
    <t>https://www.clickideacore.com/ClickHTML5/Visit.aspx?ID=//58DAEwASwAzADYAMwAzADkANgA1ADkASQBEAEUAQQAA=&amp;Tipo=2&amp;ST=1&amp;nLang=0</t>
  </si>
  <si>
    <t>https://www.clickideacore.com/ClickHTML5/Visit.aspx?ID=//5EDAEwASwAzADYAMwA0ADMAOAA1ADMASQBEAEUAQQA4=&amp;Tipo=2&amp;ST=1&amp;nLang=0</t>
  </si>
  <si>
    <t>https://www.clickideacore.com/ClickHTML5/Visit.aspx?ID=//5DDAEwASwAzADYAMwA0ADcANgA2ADEASQBEAEUAQQAB=&amp;Tipo=2&amp;ST=1&amp;nLang=0</t>
  </si>
  <si>
    <t>https://www.clickideacore.com/ClickHTML5/Visit.aspx?ID=//52DAEwASwAzADYAMwA0ADMANwA2ADYASQBEAEUAQQA7=&amp;Tipo=2&amp;ST=1&amp;nLang=0</t>
  </si>
  <si>
    <t>https://www.clickideacore.com/ClickHTML5/Visit.aspx?ID=//55DAEwASwAzADYAMwA0ADMAOQA3ADcASQBEAEUAQQA9=&amp;Tipo=2&amp;ST=1&amp;nLang=0</t>
  </si>
  <si>
    <t>https://www.clickideacore.com/ClickHTML5/Visit.aspx?ID=//54DAEwASwAzADYAMwA0ADgANQA0ADcASQBEAEUAQQA7=&amp;Tipo=2&amp;ST=1&amp;nLang=0</t>
  </si>
  <si>
    <t>https://www.clickideacore.com/ClickHTML5/Visit.aspx?ID=//50DAEwASwAzADYAMwA1ADkAMAA4ADkASQBEAEUAQQA3=&amp;Tipo=2&amp;ST=1&amp;nLang=0</t>
  </si>
  <si>
    <t>https://www.clickideacore.com/ClickHTML5/Visit.aspx?ID=//5DDAEwASwAzADYAMwA1ADkANAA3ADAASQBEAEUAQQA2=&amp;Tipo=2&amp;ST=1&amp;nLang=0</t>
  </si>
  <si>
    <t>https://www.clickideacore.com/ClickHTML5/Visit.aspx?ID=//52DAEwASwAzADYAMwA1ADkAOAA3ADIASQBEAEUAQQA9=&amp;Tipo=2&amp;ST=1&amp;nLang=0</t>
  </si>
  <si>
    <t>https://www.clickideacore.com/ClickHTML5/Visit.aspx?ID=//5CDAEwASwAzADYAMwA1ADgANgA4ADAASQBEAEUAQQA9=&amp;Tipo=2&amp;ST=1&amp;nLang=0</t>
  </si>
  <si>
    <t>https://www.clickideacore.com/ClickHTML5/Visit.aspx?ID=//52DAEwASwAzADYAMwA1ADgANwAxADQASQBEAEUAQQAE=&amp;Tipo=2&amp;ST=1&amp;nLang=0</t>
  </si>
  <si>
    <t>https://www.clickideacore.com/ClickHTML5/Visit.aspx?ID=//52DAEwASwAzADYAMwA1ADkAMwAzADMASQBEAEUAQQA5=&amp;Tipo=2&amp;ST=1&amp;nLang=0</t>
  </si>
  <si>
    <t>https://www.clickideacore.com/ClickHTML5/Visit.aspx?ID=//57DAEwASwAzADYAMwA2ADYANQAzADgASQBEAEUAQQA5=&amp;Tipo=2&amp;ST=1&amp;nLang=0</t>
  </si>
  <si>
    <t>https://www.clickideacore.com/ClickHTML5/Visit.aspx?ID=//5CDAEwASwAzADYAMwA2ADYAOAAxADUASQBEAEUAQQA6=&amp;Tipo=2&amp;ST=1&amp;nLang=0</t>
  </si>
  <si>
    <t>https://www.clickideacore.com/ClickHTML5/Visit.aspx?ID=//55DAEwASwAzADYAMwA2ADcAMwA5ADUASQBEAEUAQQAC=&amp;Tipo=2&amp;ST=1&amp;nLang=0</t>
  </si>
  <si>
    <t>https://www.clickideacore.com/ClickHTML5/Visit.aspx?ID=//5ADAEwASwAzADYAMwA2ADYANwA3ADkASQBEAEUAQQAE=&amp;Tipo=2&amp;ST=1&amp;nLang=0</t>
  </si>
  <si>
    <t>https://www.clickideacore.com/ClickHTML5/Visit.aspx?ID=//58DAEwASwAzADYAMwA2ADcAMwAxADEASQBEAEUAQQA4=&amp;Tipo=2&amp;ST=1&amp;nLang=0</t>
  </si>
  <si>
    <t>https://www.clickideacore.com/ClickHTML5/Visit.aspx?ID=//5DDAEwASwAzADYAMwA3ADMAMAAyADkASQBEAEUAQQA8=&amp;Tipo=2&amp;ST=1&amp;nLang=0</t>
  </si>
  <si>
    <t>https://www.clickideacore.com/ClickHTML5/Visit.aspx?ID=//52DAEwASwAzADYAMwA3ADUANAA5ADYASQBEAEUAQQAE=&amp;Tipo=2&amp;ST=1&amp;nLang=0</t>
  </si>
  <si>
    <t>https://www.clickideacore.com/ClickHTML5/Visit.aspx?ID=//50DAEwASwAzADYAMwA3ADcAOQA3ADUASQBEAEUAQQA6=&amp;Tipo=2&amp;ST=1&amp;nLang=0</t>
  </si>
  <si>
    <t>https://www.clickideacore.com/ClickHTML5/Visit.aspx?ID=//57DAEwASwAzADYAMwA3ADMANwA3ADEASQBEAEUAQQAE=&amp;Tipo=2&amp;ST=1&amp;nLang=0</t>
  </si>
  <si>
    <t>https://www.clickideacore.com/ClickHTML5/Visit.aspx?ID=//5EDAEwASwAzADYAMwA3ADYAMQAxADEASQBEAEUAQQA8=&amp;Tipo=2&amp;ST=1&amp;nLang=0</t>
  </si>
  <si>
    <t>https://www.clickideacore.com/ClickHTML5/Visit.aspx?ID=//52DAEwASwAzADYAMwA5ADkANAAzADEASQBEAEUAQQA8=&amp;Tipo=2&amp;ST=1&amp;nLang=0</t>
  </si>
  <si>
    <t>https://www.clickideacore.com/ClickHTML5/Visit.aspx?ID=//5ADAEwASwAzADYAMwA5ADkAMwA1ADIASQBEAEUAQQAF=&amp;Tipo=2&amp;ST=1&amp;nLang=0</t>
  </si>
  <si>
    <t>https://www.clickideacore.com/ClickHTML5/Visit.aspx?ID=//50DAEwASwAzADYAMwA5ADMANwAxADUASQBEAEUAQQA7=&amp;Tipo=2&amp;ST=1&amp;nLang=0</t>
  </si>
  <si>
    <t>https://www.clickideacore.com/ClickHTML5/Visit.aspx?ID=//52DAEwASwAzADYAMwA5ADUAMgA5ADQASQBEAEUAQQAB=&amp;Tipo=2&amp;ST=1&amp;nLang=0</t>
  </si>
  <si>
    <t>https://www.clickideacore.com/ClickHTML5/Visit.aspx?ID=//5BDAEwASwAzADYAMwA5ADYAMAAyADUASQBEAEUAQQAB=&amp;Tipo=2&amp;ST=1&amp;nLang=0</t>
  </si>
  <si>
    <t>https://www.clickideacore.com/ClickHTML5/Visit.aspx?ID=//58DAEwASwAzADYAMwA5ADQANAAxADEASQBEAEUAQQA0=&amp;Tipo=2&amp;ST=1&amp;nLang=0</t>
  </si>
  <si>
    <t>https://www.clickideacore.com/ClickHTML5/Visit.aspx?ID=//51DAEwASwAzADYANAAxADUAMAA5ADYASQBEAEUAQQA0=&amp;Tipo=2&amp;ST=1&amp;nLang=0</t>
  </si>
  <si>
    <t>https://www.clickideacore.com/ClickHTML5/Visit.aspx?ID=//52DAEwASwAzADYANAAxADYANQA5ADIASQBEAEUAQQA1=&amp;Tipo=2&amp;ST=1&amp;nLang=0</t>
  </si>
  <si>
    <t>https://www.clickideacore.com/ClickHTML5/Visit.aspx?ID=//59DAEwASwAzADYANAAyADIAMQAwADIASQBEAEUAQQA5=&amp;Tipo=2&amp;ST=1&amp;nLang=0</t>
  </si>
  <si>
    <t>https://www.clickideacore.com/ClickHTML5/Visit.aspx?ID=//5ADAEwASwAzADYANAAxADgANwAxADYASQBEAEUAQQA7=&amp;Tipo=2&amp;ST=1&amp;nLang=0</t>
  </si>
  <si>
    <t>https://www.clickideacore.com/ClickHTML5/Visit.aspx?ID=//5DDAEwASwAzADYANAAxADIAOQAxADgASQBEAEUAQQA3=&amp;Tipo=2&amp;ST=1&amp;nLang=0</t>
  </si>
  <si>
    <t>https://www.clickideacore.com/ClickHTML5/Visit.aspx?ID=//50DAEwASwAzADYANAAxADcAOAA1ADgASQBEAEUAQQA0=&amp;Tipo=2&amp;ST=1&amp;nLang=0</t>
  </si>
  <si>
    <t>https://www.clickideacore.com/ClickHTML5/Visit.aspx?ID=//50DAEwASwAzADYANAA0ADEAMAA0ADUASQBEAEUAQQA1=&amp;Tipo=2&amp;ST=1&amp;nLang=0</t>
  </si>
  <si>
    <t>https://www.clickideacore.com/ClickHTML5/Visit.aspx?ID=//5DDAEwASwAzADYANAA0ADAAMQAzADkASQBEAEUAQQA1=&amp;Tipo=2&amp;ST=1&amp;nLang=0</t>
  </si>
  <si>
    <t>https://www.clickideacore.com/ClickHTML5/Visit.aspx?ID=//52DAEwASwAzADYANAA0ADMAMgA5ADUASQBEAEUAQQAE=&amp;Tipo=2&amp;ST=1&amp;nLang=0</t>
  </si>
  <si>
    <t>https://www.clickideacore.com/ClickHTML5/Visit.aspx?ID=//50DAEwASwAzADYANAAzADgAOAA2ADIASQBEAEUAQQA9=&amp;Tipo=2&amp;ST=1&amp;nLang=0</t>
  </si>
  <si>
    <t>https://www.clickideacore.com/ClickHTML5/Visit.aspx?ID=//5ADAEwASwAzADYANAA0ADEAMgA5ADUASQBEAEUAQQA3=&amp;Tipo=2&amp;ST=1&amp;nLang=0</t>
  </si>
  <si>
    <t>https://www.clickideacore.com/ClickHTML5/Visit.aspx?ID=//5DDAEwASwAzADYANAA0ADMAMwA2ADEASQBEAEUAQQAA=&amp;Tipo=2&amp;ST=1&amp;nLang=0</t>
  </si>
  <si>
    <t>https://www.clickideacore.com/ClickHTML5/Visit.aspx?ID=//51DAEwASwAzADYANAA2ADMANQAxADgASQBEAEUAQQA0=&amp;Tipo=2&amp;ST=1&amp;nLang=0</t>
  </si>
  <si>
    <t>https://www.clickideacore.com/ClickHTML5/Visit.aspx?ID=//5ADAEwASwAzADYANAA2ADcAMwAxADgASQBEAEUAQQA7=&amp;Tipo=2&amp;ST=1&amp;nLang=0</t>
  </si>
  <si>
    <t>https://www.clickideacore.com/ClickHTML5/Visit.aspx?ID=//51DAEwASwAzADYANAA2ADMAMgA2ADQASQBEAEUAQQA6=&amp;Tipo=2&amp;ST=1&amp;nLang=0</t>
  </si>
  <si>
    <t>https://www.clickideacore.com/ClickHTML5/Visit.aspx?ID=//56DAEwASwAzADYANAA2ADYAMgAzADUASQBEAEUAQQA3=&amp;Tipo=2&amp;ST=1&amp;nLang=0</t>
  </si>
  <si>
    <t>https://www.clickideacore.com/ClickHTML5/Visit.aspx?ID=//5FDAEwASwAzADYANAA1ADgAMgA4ADMASQBEAEUAQQAD=&amp;Tipo=2&amp;ST=1&amp;nLang=0</t>
  </si>
  <si>
    <t>https://www.clickideacore.com/ClickHTML5/Visit.aspx?ID=//50DAEwASwAzADYANQAwADgAOAAzADgASQBEAEUAQQA1=&amp;Tipo=2&amp;ST=1&amp;nLang=0</t>
  </si>
  <si>
    <t>https://www.clickideacore.com/ClickHTML5/Visit.aspx?ID=//5FDAEwASwAzADYANAA3ADkANwA4ADgASQBEAEUAQQA2=&amp;Tipo=2&amp;ST=1&amp;nLang=0</t>
  </si>
  <si>
    <t>https://www.clickideacore.com/ClickHTML5/Visit.aspx?ID=//52DAEwASwAzADYANAA4ADAAMgAzADEASQBEAEUAQQA3=&amp;Tipo=2&amp;ST=1&amp;nLang=0</t>
  </si>
  <si>
    <t>https://www.clickideacore.com/ClickHTML5/Visit.aspx?ID=//58DAEwASwAzADYANAA4ADIAMgAwADcASQBEAEUAQQAD=&amp;Tipo=2&amp;ST=1&amp;nLang=0</t>
  </si>
  <si>
    <t>https://www.clickideacore.com/ClickHTML5/Visit.aspx?ID=//53DAEwASwAzADYANAA4ADAAMgA3ADUASQBEAEUAQQAE=&amp;Tipo=2&amp;ST=1&amp;nLang=0</t>
  </si>
  <si>
    <t>https://www.clickideacore.com/ClickHTML5/Visit.aspx?ID=//50DAEwASwAzADYANAA3ADkANAA3ADcASQBEAEUAQQAC=&amp;Tipo=2&amp;ST=1&amp;nLang=0</t>
  </si>
  <si>
    <t>https://www.clickideacore.com/ClickHTML5/Visit.aspx?ID=//56DAEwASwAzADYANAA4ADgANwA0ADQASQBEAEUAQQA4=&amp;Tipo=2&amp;ST=1&amp;nLang=0</t>
  </si>
  <si>
    <t>https://www.clickideacore.com/ClickHTML5/Visit.aspx?ID=//5FDAEwASwAzADYANAA4ADgAMQA0ADcASQBEAEUAQQAC=&amp;Tipo=2&amp;ST=1&amp;nLang=0</t>
  </si>
  <si>
    <t>https://www.clickideacore.com/ClickHTML5/Visit.aspx?ID=//56DAEwASwAzADYANAA4ADgANgAyADMASQBEAEUAQQA8=&amp;Tipo=2&amp;ST=1&amp;nLang=0</t>
  </si>
  <si>
    <t>https://www.clickideacore.com/ClickHTML5/Visit.aspx?ID=//51DAEwASwAzADYANAA4ADcAOQAyADMASQBEAEUAQQA8=&amp;Tipo=2&amp;ST=1&amp;nLang=0</t>
  </si>
  <si>
    <t>https://www.clickideacore.com/ClickHTML5/Visit.aspx?ID=//5CDAEwASwAzADYANAA4ADkAMQA2ADAASQBEAEUAQQA0=&amp;Tipo=2&amp;ST=1&amp;nLang=0</t>
  </si>
  <si>
    <t>https://www.clickideacore.com/ClickHTML5/Visit.aspx?ID=//59DAEwASwAzADYANQAwADUANwA0ADIASQBEAEUAQQA1=&amp;Tipo=2&amp;ST=1&amp;nLang=0</t>
  </si>
  <si>
    <t>https://www.clickideacore.com/ClickHTML5/Visit.aspx?ID=//59DAEwASwAzADYANQAwADgANwA3ADkASQBEAEUAQQA9=&amp;Tipo=2&amp;ST=1&amp;nLang=0</t>
  </si>
  <si>
    <t>https://www.clickideacore.com/ClickHTML5/Visit.aspx?ID=//51DAEwASwAzADYANQAxADIAMQA2ADgASQBEAEUAQQA5=&amp;Tipo=2&amp;ST=1&amp;nLang=0</t>
  </si>
  <si>
    <t>https://www.clickideacore.com/ClickHTML5/Visit.aspx?ID=//53DAEwASwAzADYANQAwADYAMQAxADUASQBEAEUAQQA7=&amp;Tipo=2&amp;ST=1&amp;nLang=0</t>
  </si>
  <si>
    <t>https://www.clickideacore.com/ClickHTML5/Visit.aspx?ID=//54DAEwASwAzADYANQAwADMAOAAxADEASQBEAEUAQQA2=&amp;Tipo=2&amp;ST=1&amp;nLang=0</t>
  </si>
  <si>
    <t>https://www.clickideacore.com/ClickHTML5/Visit.aspx?ID=//55DAEwASwAzADYANAA5ADkANAA1ADgASQBEAEUAQQA4=&amp;Tipo=2&amp;ST=1&amp;nLang=0</t>
  </si>
  <si>
    <t>https://www.clickideacore.com/ClickHTML5/Visit.aspx?ID=//57DAEwASwAzADYANQAwADgAOAA0ADUASQBEAEUAQQA3=&amp;Tipo=2&amp;ST=1&amp;nLang=0</t>
  </si>
  <si>
    <t>https://www.clickideacore.com/ClickHTML5/Visit.aspx?ID=//58DAEwASwAzADYANQAyADgANgAyADUASQBEAEUAQQA5=&amp;Tipo=2&amp;ST=1&amp;nLang=0</t>
  </si>
  <si>
    <t>https://www.clickideacore.com/ClickHTML5/Visit.aspx?ID=//5ADAEwASwAzADYANQAyADkAMAA5ADcASQBEAEUAQQAB=&amp;Tipo=2&amp;ST=1&amp;nLang=0</t>
  </si>
  <si>
    <t>https://www.clickideacore.com/ClickHTML5/Visit.aspx?ID=//56DAEwASwAzADYANQAzADUAMgA4ADgASQBEAEUAQQA6=&amp;Tipo=2&amp;ST=1&amp;nLang=0</t>
  </si>
  <si>
    <t>https://www.clickideacore.com/ClickHTML5/Visit.aspx?ID=//53DAEwASwAzADYANQAyADAANgAyADAASQBEAEUAQQA4=&amp;Tipo=2&amp;ST=1&amp;nLang=0</t>
  </si>
  <si>
    <t>https://www.clickideacore.com/ClickHTML5/Visit.aspx?ID=//52DAEwASwAzADYANQA1ADQAMQA0ADYASQBEAEUAQQA1=&amp;Tipo=2&amp;ST=1&amp;nLang=0</t>
  </si>
  <si>
    <t>https://www.clickideacore.com/ClickHTML5/Visit.aspx?ID=//55DAEwASwAzADYANQA1ADYAMwA5ADkASQBEAEUAQQA3=&amp;Tipo=2&amp;ST=1&amp;nLang=0</t>
  </si>
  <si>
    <t>https://www.clickideacore.com/ClickHTML5/Visit.aspx?ID=//5EDAEwASwAzADYANQA1ADMANwAzADQASQBEAEUAQQAA=&amp;Tipo=2&amp;ST=1&amp;nLang=0</t>
  </si>
  <si>
    <t>https://www.clickideacore.com/ClickHTML5/Visit.aspx?ID=//5BDAEwASwAzADYANQA1ADQAOQAxADUASQBEAEUAQQA8=&amp;Tipo=2&amp;ST=1&amp;nLang=0</t>
  </si>
  <si>
    <t>https://www.clickideacore.com/ClickHTML5/Visit.aspx?ID=//50DAEwASwAzADYANQA1ADUAMgA0ADgASQBEAEUAQQA2=&amp;Tipo=2&amp;ST=1&amp;nLang=0</t>
  </si>
  <si>
    <t>https://www.clickideacore.com/ClickHTML5/Visit.aspx?ID=//58DAEwASwAzADYANQA3ADYAMgAwADAASQBEAEUAQQA9=&amp;Tipo=2&amp;ST=1&amp;nLang=0</t>
  </si>
  <si>
    <t>https://www.clickideacore.com/ClickHTML5/Visit.aspx?ID=//54DAEwASwAzADYANQA3ADUAMAAyADAASQBEAEUAQQA8=&amp;Tipo=2&amp;ST=1&amp;nLang=0</t>
  </si>
  <si>
    <t>https://www.clickideacore.com/ClickHTML5/Visit.aspx?ID=//5FDAEwASwAzADYANQA3ADQANwAyADcASQBEAEUAQQA8=&amp;Tipo=2&amp;ST=1&amp;nLang=0</t>
  </si>
  <si>
    <t>https://www.clickideacore.com/ClickHTML5/Visit.aspx?ID=//59DAEwASwAzADYANQA3ADgAMAA4ADAASQBEAEUAQQA4=&amp;Tipo=2&amp;ST=1&amp;nLang=0</t>
  </si>
  <si>
    <t>https://www.clickideacore.com/ClickHTML5/Visit.aspx?ID=//52DAEwASwAzADYANQA3ADcAMgA2ADEASQBEAEUAQQAB=&amp;Tipo=2&amp;ST=1&amp;nLang=0</t>
  </si>
  <si>
    <t>https://www.clickideacore.com/ClickHTML5/Visit.aspx?ID=//5DDAEwASwAzADYANQA3ADgANAA4ADQASQBEAEUAQQAC=&amp;Tipo=2&amp;ST=1&amp;nLang=0</t>
  </si>
  <si>
    <t>https://www.clickideacore.com/ClickHTML5/Visit.aspx?ID=//50DAEwASwAzADYANgAwADEANQAxADMASQBEAEUAQQA5=&amp;Tipo=2&amp;ST=1&amp;nLang=0</t>
  </si>
  <si>
    <t>https://www.clickideacore.com/ClickHTML5/Visit.aspx?ID=//52DAEwASwAzADYANgAwADEAMQA2ADIASQBEAEUAQQAA=&amp;Tipo=2&amp;ST=1&amp;nLang=0</t>
  </si>
  <si>
    <t>https://www.clickideacore.com/ClickHTML5/Visit.aspx?ID=//58DAEwASwAzADYANgAwADAANAA2ADUASQBEAEUAQQAB=&amp;Tipo=2&amp;ST=1&amp;nLang=0</t>
  </si>
  <si>
    <t>https://www.clickideacore.com/ClickHTML5/Visit.aspx?ID=//54DAEwASwAzADYANQA5ADkAMgA4ADYASQBEAEUAQQA6=&amp;Tipo=2&amp;ST=1&amp;nLang=0</t>
  </si>
  <si>
    <t>https://www.clickideacore.com/ClickHTML5/Visit.aspx?ID=//5BDAEwASwAzADYANgAwADEANQA3ADMASQBEAEUAQQA3=&amp;Tipo=2&amp;ST=1&amp;nLang=0</t>
  </si>
  <si>
    <t>https://www.clickideacore.com/ClickHTML5/Visit.aspx?ID=//57DAEwASwAzADYANgAxADUAOQAxADAASQBEAEUAQQAA=&amp;Tipo=2&amp;ST=1&amp;nLang=0</t>
  </si>
  <si>
    <t>https://www.clickideacore.com/ClickHTML5/Visit.aspx?ID=//52DAEwASwAzADYANgAxADQAOQA0ADgASQBEAEUAQQAA=&amp;Tipo=2&amp;ST=1&amp;nLang=0</t>
  </si>
  <si>
    <t>https://www.clickideacore.com/ClickHTML5/Visit.aspx?ID=//52DAEwASwAzADYANgAxADUAOAAzADkASQBEAEUAQQA3=&amp;Tipo=2&amp;ST=1&amp;nLang=0</t>
  </si>
  <si>
    <t>https://www.clickideacore.com/ClickHTML5/Visit.aspx?ID=//50DAEwASwAzADYANgAxADUANwA3ADgASQBEAEUAQQAB=&amp;Tipo=2&amp;ST=1&amp;nLang=0</t>
  </si>
  <si>
    <t>https://www.clickideacore.com/ClickHTML5/Visit.aspx?ID=//54DAEwASwAzADYANgAxADYAMQA0ADcASQBEAEUAQQA5=&amp;Tipo=2&amp;ST=1&amp;nLang=0</t>
  </si>
  <si>
    <t>https://www.clickideacore.com/ClickHTML5/Visit.aspx?ID=//52DAEwASwAzADYANgAyADMANQAyADIASQBEAEUAQQAC=&amp;Tipo=2&amp;ST=1&amp;nLang=0</t>
  </si>
  <si>
    <t>https://www.clickideacore.com/ClickHTML5/Visit.aspx?ID=//5FDAEwASwAzADYANgAyADMAOAAwADQASQBEAEUAQQA3=&amp;Tipo=2&amp;ST=1&amp;nLang=0</t>
  </si>
  <si>
    <t>https://www.clickideacore.com/ClickHTML5/Visit.aspx?ID=//57DAEwASwAzADYANgAyADMAOQAxADkASQBEAEUAQQA7=&amp;Tipo=2&amp;ST=1&amp;nLang=0</t>
  </si>
  <si>
    <t>https://www.clickideacore.com/ClickHTML5/Visit.aspx?ID=//59DAEwASwAzADYANgAyADMAOQAyADcASQBEAEUAQQA1=&amp;Tipo=2&amp;ST=1&amp;nLang=0</t>
  </si>
  <si>
    <t>https://www.clickideacore.com/ClickHTML5/Visit.aspx?ID=//50DAEwASwAzADYANgAyADMANwAzADYASQBEAEUAQQA9=&amp;Tipo=2&amp;ST=1&amp;nLang=0</t>
  </si>
  <si>
    <t>https://www.clickideacore.com/ClickHTML5/Visit.aspx?ID=//5ADAEwASwAzADYANgAzADQAMgAwADIASQBEAEUAQQA4=&amp;Tipo=2&amp;ST=1&amp;nLang=0</t>
  </si>
  <si>
    <t>https://www.clickideacore.com/ClickHTML5/Visit.aspx?ID=//55DAEwASwAzADYANgAzADcAOAA1ADgASQBEAEUAQQA4=&amp;Tipo=2&amp;ST=1&amp;nLang=0</t>
  </si>
  <si>
    <t>https://www.clickideacore.com/ClickHTML5/Visit.aspx?ID=//58DAEwASwAzADYANgAzADcAOQA2ADEASQBEAEUAQQA2=&amp;Tipo=2&amp;ST=1&amp;nLang=0</t>
  </si>
  <si>
    <t>https://www.clickideacore.com/ClickHTML5/Visit.aspx?ID=//54DAEwASwAzADYANgAzADcAMwAzADIASQBEAEUAQQA9=&amp;Tipo=2&amp;ST=1&amp;nLang=0</t>
  </si>
  <si>
    <t>https://www.clickideacore.com/ClickHTML5/Visit.aspx?ID=//52DAEwASwAzADYANgA2ADUAMwAzADAASQBEAEUAQQAC=&amp;Tipo=2&amp;ST=1&amp;nLang=0</t>
  </si>
  <si>
    <t>https://www.clickideacore.com/ClickHTML5/Visit.aspx?ID=//54DAEwASwAzADYANgA2ADQAMQA0ADUASQBEAEUAQQA8=&amp;Tipo=2&amp;ST=1&amp;nLang=0</t>
  </si>
  <si>
    <t>https://www.clickideacore.com/ClickHTML5/Visit.aspx?ID=//56DAEwASwAzADYANgA2ADMAMQA4ADcASQBEAEUAQQA3=&amp;Tipo=2&amp;ST=1&amp;nLang=0</t>
  </si>
  <si>
    <t>https://www.clickideacore.com/ClickHTML5/Visit.aspx?ID=//5ADAEwASwAzADYANgA2ADQANwAzADgASQBEAEUAQQA2=&amp;Tipo=2&amp;ST=1&amp;nLang=0</t>
  </si>
  <si>
    <t>https://www.clickideacore.com/ClickHTML5/Visit.aspx?ID=//57DAEwASwAzADYANgA1ADkANwA4ADcASQBEAEUAQQA9=&amp;Tipo=2&amp;ST=1&amp;nLang=0</t>
  </si>
  <si>
    <t>https://www.clickideacore.com/ClickHTML5/Visit.aspx?ID=//54DAEwASwAzADYANgA2ADUAMQA0ADAASQBEAEUAQQA7=&amp;Tipo=2&amp;ST=1&amp;nLang=0</t>
  </si>
  <si>
    <t>https://www.clickideacore.com/ClickHTML5/Visit.aspx?ID=//5ADAEwASwAzADYANgA4ADUANQA1ADYASQBEAEUAQQA1=&amp;Tipo=2&amp;ST=1&amp;nLang=0</t>
  </si>
  <si>
    <t>https://www.clickideacore.com/ClickHTML5/Visit.aspx?ID=//54DAEwASwAzADYANgA4ADUAMgAxADIASQBEAEUAQQA4=&amp;Tipo=2&amp;ST=1&amp;nLang=0</t>
  </si>
  <si>
    <t>https://www.clickideacore.com/ClickHTML5/Visit.aspx?ID=//5CDAEwASwAzADYANgA4ADkANgAyADEASQBEAEUAQQAF=&amp;Tipo=2&amp;ST=1&amp;nLang=0</t>
  </si>
  <si>
    <t>https://www.clickideacore.com/ClickHTML5/Visit.aspx?ID=//58DAEwASwAzADYANgA4ADcANAAyADkASQBEAEUAQQA5=&amp;Tipo=2&amp;ST=1&amp;nLang=0</t>
  </si>
  <si>
    <t>https://www.clickideacore.com/ClickHTML5/Visit.aspx?ID=//5CDAEwASwAzADYANgA4ADUANwAxADgASQBEAEUAQQA6=&amp;Tipo=2&amp;ST=1&amp;nLang=0</t>
  </si>
  <si>
    <t>https://www.clickideacore.com/ClickHTML5/Visit.aspx?ID=//5FDAEwASwAzADYANgA4ADgAMQAyADgASQBEAEUAQQA5=&amp;Tipo=2&amp;ST=1&amp;nLang=0</t>
  </si>
  <si>
    <t>https://www.clickideacore.com/ClickHTML5/Visit.aspx?ID=//59DAEwASwAzADYANwAwADMAOAA0ADMASQBEAEUAQQAE=&amp;Tipo=2&amp;ST=1&amp;nLang=0</t>
  </si>
  <si>
    <t>https://www.clickideacore.com/ClickHTML5/Visit.aspx?ID=//5FDAEwASwAzADYANwAwADcANQA4ADMASQBEAEUAQQA1=&amp;Tipo=2&amp;ST=1&amp;nLang=0</t>
  </si>
  <si>
    <t>https://www.clickideacore.com/ClickHTML5/Visit.aspx?ID=//5FDAEwASwAzADYANwAwADkANQAwADcASQBEAEUAQQAA=&amp;Tipo=2&amp;ST=1&amp;nLang=0</t>
  </si>
  <si>
    <t>https://www.clickideacore.com/ClickHTML5/Visit.aspx?ID=//5DDAEwASwAzADYANwAwADYAMQA0ADAASQBEAEUAQQA2=&amp;Tipo=2&amp;ST=1&amp;nLang=0</t>
  </si>
  <si>
    <t>https://www.clickideacore.com/ClickHTML5/Visit.aspx?ID=//56DAEwASwAzADYANwAwADkAMgA1ADUASQBEAEUAQQA7=&amp;Tipo=2&amp;ST=1&amp;nLang=0</t>
  </si>
  <si>
    <t>https://www.clickideacore.com/ClickHTML5/Visit.aspx?ID=//59DAEwASwAzADYANwAwADEAMgAwADkASQBEAEUAQQA5=&amp;Tipo=2&amp;ST=1&amp;nLang=0</t>
  </si>
  <si>
    <t>https://www.clickideacore.com/ClickHTML5/Visit.aspx?ID=//54DAEwASwAzADYANwAyADYAMAA3ADIASQBEAEUAQQA2=&amp;Tipo=2&amp;ST=1&amp;nLang=0</t>
  </si>
  <si>
    <t>https://www.clickideacore.com/ClickHTML5/Visit.aspx?ID=//55DAEwASwAzADYANwAyADIANAA0ADcASQBEAEUAQQAB=&amp;Tipo=2&amp;ST=1&amp;nLang=0</t>
  </si>
  <si>
    <t>https://www.clickideacore.com/ClickHTML5/Visit.aspx?ID=//56DAEwASwAzADYANwAyADcAMwAxADMASQBEAEUAQQA4=&amp;Tipo=2&amp;ST=1&amp;nLang=0</t>
  </si>
  <si>
    <t>https://www.clickideacore.com/ClickHTML5/Visit.aspx?ID=//5CDAEwASwAzADYANwAyADYANgA4ADIASQBEAEUAQQA7=&amp;Tipo=2&amp;ST=1&amp;nLang=0</t>
  </si>
  <si>
    <t>https://www.clickideacore.com/ClickHTML5/Visit.aspx?ID=//5FDAEwASwAzADYANwA0ADAAOAAzADEASQBEAEUAQQA4=&amp;Tipo=2&amp;ST=1&amp;nLang=0</t>
  </si>
  <si>
    <t>https://www.clickideacore.com/ClickHTML5/Visit.aspx?ID=//50DAEwASwAzADYANwA0ADAAOAA0ADEASQBEAEUAQQAD=&amp;Tipo=2&amp;ST=1&amp;nLang=0</t>
  </si>
  <si>
    <t>https://www.clickideacore.com/ClickHTML5/Visit.aspx?ID=//5CDAEwASwAzADYANwA0ADAAOQA5ADMASQBEAEUAQQAF=&amp;Tipo=2&amp;ST=1&amp;nLang=0</t>
  </si>
  <si>
    <t>https://www.clickideacore.com/ClickHTML5/Visit.aspx?ID=//5BDAEwASwAzADYANwA0ADcAOQA2ADAASQBEAEUAQQA5=&amp;Tipo=2&amp;ST=1&amp;nLang=0</t>
  </si>
  <si>
    <t>https://www.clickideacore.com/ClickHTML5/Visit.aspx?ID=//5CDAEwASwAzADYANwA0ADcANQA0ADYASQBEAEUAQQA4=&amp;Tipo=2&amp;ST=1&amp;nLang=0</t>
  </si>
  <si>
    <t>https://www.clickideacore.com/ClickHTML5/Visit.aspx?ID=//58DAEwASwAzADYANwA0ADcANQA5ADcASQBEAEUAQQAF=&amp;Tipo=2&amp;ST=1&amp;nLang=0</t>
  </si>
  <si>
    <t>https://www.clickideacore.com/ClickHTML5/Visit.aspx?ID=//5ADAEwASwAzADYANwA0ADcANwA5ADAASQBEAEUAQQAE=&amp;Tipo=2&amp;ST=1&amp;nLang=0</t>
  </si>
  <si>
    <t>https://www.clickideacore.com/ClickHTML5/Visit.aspx?ID=//52DAEwASwAzADYANwA1ADQAMwA0ADIASQBEAEUAQQA7=&amp;Tipo=2&amp;ST=1&amp;nLang=0</t>
  </si>
  <si>
    <t>https://www.clickideacore.com/ClickHTML5/Visit.aspx?ID=//5FDAEwASwAzADYANwA1ADQAOQAyADYASQBEAEUAQQA6=&amp;Tipo=2&amp;ST=1&amp;nLang=0</t>
  </si>
  <si>
    <t>https://www.clickideacore.com/ClickHTML5/Visit.aspx?ID=//53DAEwASwAzADYANwA1ADUANwA4ADEASQBEAEUAQQAE=&amp;Tipo=2&amp;ST=1&amp;nLang=0</t>
  </si>
  <si>
    <t>https://www.clickideacore.com/ClickHTML5/Visit.aspx?ID=//5BDAEwASwAzADYANwA1ADIAOQA5ADUASQBEAEUAQQA9=&amp;Tipo=2&amp;ST=1&amp;nLang=0</t>
  </si>
  <si>
    <t>Servicio</t>
  </si>
  <si>
    <t>https://www.clickideacore.com/ClickHTML5/Visit.aspx?ID=//59DAEwASwAzADYANwA3ADEAOQAwADkASQBEAEUAQQA4=&amp;Tipo=2&amp;ST=1&amp;nLang=0</t>
  </si>
  <si>
    <t>https://www.clickideacore.com/ClickHTML5/Visit.aspx?ID=//5ADAEwASwAzADYANwA3ADkAOQA0ADEASQBEAEUAQQA3=&amp;Tipo=2&amp;ST=1&amp;nLang=0</t>
  </si>
  <si>
    <t>https://www.clickideacore.com/ClickHTML5/Visit.aspx?ID=//56DAEwASwAzADYANwA3ADQAMgA2ADQASQBEAEUAQQA5=&amp;Tipo=2&amp;ST=1&amp;nLang=0</t>
  </si>
  <si>
    <t>https://www.clickideacore.com/ClickHTML5/Visit.aspx?ID=//5BDAEwASwAzADYANwA3ADkAOAA2ADkASQBEAEUAQQA7=&amp;Tipo=2&amp;ST=1&amp;nLang=0</t>
  </si>
  <si>
    <t>https://www.clickideacore.com/ClickHTML5/Visit.aspx?ID=//52DAEwASwAzADYAOAAwADQAMgA0ADcASQBEAEUAQQA8=&amp;Tipo=2&amp;ST=1&amp;nLang=0</t>
  </si>
  <si>
    <t>https://www.clickideacore.com/ClickHTML5/Visit.aspx?ID=//5BDAEwASwAzADYANwA5ADcAMgAwADYASQBEAEUAQQA8=&amp;Tipo=2&amp;ST=1&amp;nLang=0</t>
  </si>
  <si>
    <t>https://www.clickideacore.com/ClickHTML5/Visit.aspx?ID=//58DAEwASwAzADYANwA5ADcANAA5ADkASQBEAEUAQQAE=&amp;Tipo=2&amp;ST=1&amp;nLang=0</t>
  </si>
  <si>
    <t>https://www.clickideacore.com/ClickHTML5/Visit.aspx?ID=//56DAEwASwAzADYANwA5ADYANQA5ADAASQBEAEUAQQA1=&amp;Tipo=2&amp;ST=1&amp;nLang=0</t>
  </si>
  <si>
    <t>https://www.clickideacore.com/ClickHTML5/Visit.aspx?ID=//59DAEwASwAzADYAOAAwADAANQAyADMASQBEAEUAQQA4=&amp;Tipo=2&amp;ST=1&amp;nLang=0</t>
  </si>
  <si>
    <t>https://www.clickideacore.com/ClickHTML5/Visit.aspx?ID=//50DAEwASwAzADYAOAAxADgAMwA5ADQASQBEAEUAQQAC=&amp;Tipo=2&amp;ST=1&amp;nLang=0</t>
  </si>
  <si>
    <t>https://www.clickideacore.com/ClickHTML5/Visit.aspx?ID=//55DAEwASwAzADYAOAAxADkANgA2ADYASQBEAEUAQQA9=&amp;Tipo=2&amp;ST=1&amp;nLang=0</t>
  </si>
  <si>
    <t>https://www.clickideacore.com/ClickHTML5/Visit.aspx?ID=//56DAEwASwAzADYAOAAyADAANAA3ADgASQBEAEUAQQA1=&amp;Tipo=2&amp;ST=1&amp;nLang=0</t>
  </si>
  <si>
    <t>https://www.clickideacore.com/ClickHTML5/Visit.aspx?ID=//5ADAEwASwAzADYAOAAyADYAOQA1ADIASQBEAEUAQQA0=&amp;Tipo=2&amp;ST=1&amp;nLang=0</t>
  </si>
  <si>
    <t>https://www.clickideacore.com/ClickHTML5/Visit.aspx?ID=//53DAEwASwAzADYAOAAxADcAMgA5ADIASQBEAEUAQQAF=&amp;Tipo=2&amp;ST=1&amp;nLang=0</t>
  </si>
  <si>
    <t>https://www.clickideacore.com/ClickHTML5/Visit.aspx?ID=//55DAEwASwAzADYAOAAyADEAOAA3ADgASQBEAEUAQQAE=&amp;Tipo=2&amp;ST=1&amp;nLang=0</t>
  </si>
  <si>
    <t>https://www.clickideacore.com/ClickHTML5/Visit.aspx?ID=//50DAEwASwAzADYAOAAyADcAMgA5ADkASQBEAEUAQQA8=&amp;Tipo=2&amp;ST=1&amp;nLang=0</t>
  </si>
  <si>
    <t>https://www.clickideacore.com/ClickHTML5/Visit.aspx?ID=//53DAEwASwAzADYAOAA0ADQAOQAzADMASQBEAEUAQQA6=&amp;Tipo=2&amp;ST=1&amp;nLang=0</t>
  </si>
  <si>
    <t>https://www.clickideacore.com/ClickHTML5/Visit.aspx?ID=//51DAEwASwAzADYAOAAzADkAMwA4ADcASQBEAEUAQQA1=&amp;Tipo=2&amp;ST=1&amp;nLang=0</t>
  </si>
  <si>
    <t>https://www.clickideacore.com/ClickHTML5/Visit.aspx?ID=//52DAEwASwAzADYAOAA0ADgANwAyADEASQBEAEUAQQA0=&amp;Tipo=2&amp;ST=1&amp;nLang=0</t>
  </si>
  <si>
    <t>https://www.clickideacore.com/ClickHTML5/Visit.aspx?ID=//5CDAEwASwAzADYAOAA0ADIAOAA3ADIASQBEAEUAQQA2=&amp;Tipo=2&amp;ST=1&amp;nLang=0</t>
  </si>
  <si>
    <t>https://www.clickideacore.com/ClickHTML5/Visit.aspx?ID=//5EDAEwASwAzADYAOAA0ADcANQA0ADYASQBEAEUAQQAE=&amp;Tipo=2&amp;ST=1&amp;nLang=0</t>
  </si>
  <si>
    <t>https://www.clickideacore.com/ClickHTML5/Visit.aspx?ID=//5EDAEwASwAzADYAOAA0ADkAMAAxADEASQBEAEUAQQA0=&amp;Tipo=2&amp;ST=1&amp;nLang=0</t>
  </si>
  <si>
    <t>https://www.clickideacore.com/ClickHTML5/Visit.aspx?ID=//55DAEwASwAzADYAOAA2ADQAOAAwADgASQBEAEUAQQA2=&amp;Tipo=2&amp;ST=1&amp;nLang=0</t>
  </si>
  <si>
    <t>https://www.clickideacore.com/ClickHTML5/Visit.aspx?ID=//59DAEwASwAzADYAOAA2ADQANQA3ADgASQBEAEUAQQAB=&amp;Tipo=2&amp;ST=1&amp;nLang=0</t>
  </si>
  <si>
    <t>https://www.clickideacore.com/ClickHTML5/Visit.aspx?ID=//52DAEwASwAzADYAOAA2ADQANQA0ADYASQBEAEUAQQA9=&amp;Tipo=2&amp;ST=1&amp;nLang=0</t>
  </si>
  <si>
    <t>https://www.clickideacore.com/ClickHTML5/Visit.aspx?ID=//57DAEwASwAzADYAOAA2ADMANgAyADUASQBEAEUAQQAA=&amp;Tipo=2&amp;ST=1&amp;nLang=0</t>
  </si>
  <si>
    <t>https://www.clickideacore.com/ClickHTML5/Visit.aspx?ID=//58DAEwASwAzADYAOAA2ADQAMAA2ADEASQBEAEUAQQA3=&amp;Tipo=2&amp;ST=1&amp;nLang=0</t>
  </si>
  <si>
    <t>https://www.clickideacore.com/ClickHTML5/Visit.aspx?ID=//57DAEwASwAzADYAOAA3ADEAMgAzADcASQBEAEUAQQAF=&amp;Tipo=2&amp;ST=1&amp;nLang=0</t>
  </si>
  <si>
    <t>https://www.clickideacore.com/ClickHTML5/Visit.aspx?ID=//52DAEwASwAzADYAOAA3ADIAMgAwADYASQBEAEUAQQA8=&amp;Tipo=2&amp;ST=1&amp;nLang=0</t>
  </si>
  <si>
    <t>https://www.clickideacore.com/ClickHTML5/Visit.aspx?ID=//5CDAEwASwAzADYAOAA3ADEAMwA5ADgASQBEAEUAQQA0=&amp;Tipo=2&amp;ST=1&amp;nLang=0</t>
  </si>
  <si>
    <t>https://www.clickideacore.com/ClickHTML5/Visit.aspx?ID=//58DAEwASwAzADYAOAA3ADEAMwA2ADQASQBEAEUAQQAE=&amp;Tipo=2&amp;ST=1&amp;nLang=0</t>
  </si>
  <si>
    <t>https://www.clickideacore.com/ClickHTML5/Visit.aspx?ID=//51DAEwASwAzADYAOAA3ADEANgAzADQASQBEAEUAQQAD=&amp;Tipo=2&amp;ST=1&amp;nLang=0</t>
  </si>
  <si>
    <t>https://www.clickideacore.com/ClickHTML5/Visit.aspx?ID=//52DAEwASwAzADYAOAA4ADEAMwA1ADIASQBEAEUAQQAC=&amp;Tipo=2&amp;ST=1&amp;nLang=0</t>
  </si>
  <si>
    <t>https://www.clickideacore.com/ClickHTML5/Visit.aspx?ID=//52DAEwASwAzADYAOAA4ADUAMgA2ADkASQBEAEUAQQAC=&amp;Tipo=2&amp;ST=1&amp;nLang=0</t>
  </si>
  <si>
    <t>https://www.clickideacore.com/ClickHTML5/Visit.aspx?ID=//53DAEwASwAzADYAOAA3ADkAOQAwADIASQBEAEUAQQA3=&amp;Tipo=2&amp;ST=1&amp;nLang=0</t>
  </si>
  <si>
    <t>https://www.clickideacore.com/ClickHTML5/Visit.aspx?ID=//5EDAEwASwAzADYAOAA4ADMAOAA3ADUASQBEAEUAQQA1=&amp;Tipo=2&amp;ST=1&amp;nLang=0</t>
  </si>
  <si>
    <t>https://www.clickideacore.com/ClickHTML5/Visit.aspx?ID=//5DDAEwASwAzADYAOQAxADMAMgA0ADQASQBEAEUAQQAC=&amp;Tipo=2&amp;ST=1&amp;nLang=0</t>
  </si>
  <si>
    <t>https://www.clickideacore.com/ClickHTML5/Visit.aspx?ID=//58DAEwASwAzADYAOQAxADkANAA3ADgASQBEAEUAQQA7=&amp;Tipo=2&amp;ST=1&amp;nLang=0</t>
  </si>
  <si>
    <t>https://www.clickideacore.com/ClickHTML5/Visit.aspx?ID=//5ADAEwASwAzADYAOQAxADIANQAxADEASQBEAEUAQQA7=&amp;Tipo=2&amp;ST=1&amp;nLang=0</t>
  </si>
  <si>
    <t>https://www.clickideacore.com/ClickHTML5/Visit.aspx?ID=//54DAEwASwAzADYAOQAwADYANwA4ADkASQBEAEUAQQA1=&amp;Tipo=2&amp;ST=1&amp;nLang=0</t>
  </si>
  <si>
    <t>https://www.clickideacore.com/ClickHTML5/Visit.aspx?ID=//5BDAEwASwAzADYAOQAxADQANwA4ADYASQBEAEUAQQA0=&amp;Tipo=2&amp;ST=1&amp;nLang=0</t>
  </si>
  <si>
    <t>Libre compensatorio</t>
  </si>
  <si>
    <t>https://www.clickideacore.com/ClickHTML5/Visit.aspx?ID=//5DDAEwASwAzADYAOQA0ADMANgA5ADAASQBEAEUAQQA1=&amp;Tipo=2&amp;ST=1&amp;nLang=0</t>
  </si>
  <si>
    <t>https://www.clickideacore.com/ClickHTML5/Visit.aspx?ID=//5DDAEwASwAzADYAOQAzADQAMQAyADcASQBEAEUAQQAE=&amp;Tipo=2&amp;ST=1&amp;nLang=0</t>
  </si>
  <si>
    <t>https://www.clickideacore.com/ClickHTML5/Visit.aspx?ID=//55DAEwASwAzADYAOQA0ADAAMgAzADIASQBEAEUAQQAF=&amp;Tipo=2&amp;ST=1&amp;nLang=0</t>
  </si>
  <si>
    <t>https://www.clickideacore.com/ClickHTML5/Visit.aspx?ID=//5ADAEwASwAzADYAOQAzADcANQAxADIASQBEAEUAQQA8=&amp;Tipo=2&amp;ST=1&amp;nLang=0</t>
  </si>
  <si>
    <t>https://www.clickideacore.com/ClickHTML5/Visit.aspx?ID=//50DAEwASwAzADYAOQA0ADAAMgA1ADkASQBEAEUAQQAA=&amp;Tipo=2&amp;ST=1&amp;nLang=0</t>
  </si>
  <si>
    <t>https://www.clickideacore.com/ClickHTML5/Visit.aspx?ID=//5DDAEwASwAzADYAOQA1ADkAMQAzADMASQBEAEUAQQA3=&amp;Tipo=2&amp;ST=1&amp;nLang=0</t>
  </si>
  <si>
    <t>https://www.clickideacore.com/ClickHTML5/Visit.aspx?ID=//5FDAEwASwAzADYAOQA2ADYAMgA1ADQASQBEAEUAQQA1=&amp;Tipo=2&amp;ST=1&amp;nLang=0</t>
  </si>
  <si>
    <t>https://www.clickideacore.com/ClickHTML5/Visit.aspx?ID=//58DAEwASwAzADYAOQA2ADcANwA5ADUASQBEAEUAQQAD=&amp;Tipo=2&amp;ST=1&amp;nLang=0</t>
  </si>
  <si>
    <t>https://www.clickideacore.com/ClickHTML5/Visit.aspx?ID=//5EDAEwASwAzADYAOQA2ADMAOQAyADcASQBEAEUAQQA3=&amp;Tipo=2&amp;ST=1&amp;nLang=0</t>
  </si>
  <si>
    <t>https://www.clickideacore.com/ClickHTML5/Visit.aspx?ID=//5BDAEwASwAzADYAOQA2ADUAMgA0ADMASQBEAEUAQQA2=&amp;Tipo=2&amp;ST=1&amp;nLang=0</t>
  </si>
  <si>
    <t>https://www.clickideacore.com/ClickHTML5/Visit.aspx?ID=//58DAEwASwAzADYAOQA3ADkANQA4ADUASQBEAEUAQQA3=&amp;Tipo=2&amp;ST=1&amp;nLang=0</t>
  </si>
  <si>
    <t>https://www.clickideacore.com/ClickHTML5/Visit.aspx?ID=//55DAEwASwAzADYAOQA5ADAANgAwADQASQBEAEUAQQA0=&amp;Tipo=2&amp;ST=1&amp;nLang=0</t>
  </si>
  <si>
    <t>https://www.clickideacore.com/ClickHTML5/Visit.aspx?ID=//5BDAEwASwAzADYAOQA4ADYAMwA2ADQASQBEAEUAQQA9=&amp;Tipo=2&amp;ST=1&amp;nLang=0</t>
  </si>
  <si>
    <t>https://www.clickideacore.com/ClickHTML5/Visit.aspx?ID=//51DAEwASwAzADYAOQA4ADYAOQA4ADMASQBEAEUAQQAE=&amp;Tipo=2&amp;ST=1&amp;nLang=0</t>
  </si>
  <si>
    <t>https://www.clickideacore.com/ClickHTML5/Visit.aspx?ID=//52DAEwASwAzADYAOQA4ADUAMAAxADMASQBEAEUAQQA2=&amp;Tipo=2&amp;ST=1&amp;nLang=0</t>
  </si>
  <si>
    <t>OP-S-126</t>
  </si>
  <si>
    <t>https://www.clickideacore.com/ClickHTML5/Visit.aspx?ID=//57DAEwASwAzADYAOQA4ADIAOAA5ADIASQBEAEUAQQA2=&amp;Tipo=2&amp;ST=1&amp;nLang=0</t>
  </si>
  <si>
    <t>Libre cumpleaños</t>
  </si>
  <si>
    <t>https://www.clickideacore.com/ClickHTML5/Visit.aspx?ID=//5DDAEwASwAzADcAMAAwADUANgAwADUASQBEAEUAQQA0=&amp;Tipo=2&amp;ST=1&amp;nLang=0</t>
  </si>
  <si>
    <t>https://www.clickideacore.com/ClickHTML5/Visit.aspx?ID=//5EDAEwASwAzADcAMAAwADMAMgAxADAASQBEAEUAQQA6=&amp;Tipo=2&amp;ST=1&amp;nLang=0</t>
  </si>
  <si>
    <t>https://www.clickideacore.com/ClickHTML5/Visit.aspx?ID=//5DDAEwASwAzADcAMAAwADQAOQAwADcASQBEAEUAQQA8=&amp;Tipo=2&amp;ST=1&amp;nLang=0</t>
  </si>
  <si>
    <t>https://www.clickideacore.com/ClickHTML5/Visit.aspx?ID=//5EDAEwASwAzADcAMAAwADIAOAA2ADMASQBEAEUAQQAC=&amp;Tipo=2&amp;ST=1&amp;nLang=0</t>
  </si>
  <si>
    <t>Michael Troncoso</t>
  </si>
  <si>
    <t>https://www.clickideacore.com/ClickHTML5/Visit.aspx?ID=//5EDAEwASwAzADcAMAAxADEANQA2ADgASQBEAEUAQQA3=&amp;Tipo=2&amp;ST=1&amp;nLang=0</t>
  </si>
  <si>
    <t>https://www.clickideacore.com/ClickHTML5/Visit.aspx?ID=//59DAEwASwAzADcAMAAxADEAOQAzADQASQBEAEUAQQA9=&amp;Tipo=2&amp;ST=1&amp;nLang=0</t>
  </si>
  <si>
    <t>https://www.clickideacore.com/ClickHTML5/Visit.aspx?ID=//54DAEwASwAzADcAMAAxADIAMgAwADIASQBEAEUAQQAB=&amp;Tipo=2&amp;ST=1&amp;nLang=0</t>
  </si>
  <si>
    <t>https://www.clickideacore.com/ClickHTML5/Visit.aspx?ID=//53DAEwASwAzADcAMAAxADMAOQAxADUASQBEAEUAQQA5=&amp;Tipo=2&amp;ST=1&amp;nLang=0</t>
  </si>
  <si>
    <t>https://www.clickideacore.com/ClickHTML5/Visit.aspx?ID=//56DAEwASwAzADcAMAAxADgAOQA1ADkASQBEAEUAQQA0=&amp;Tipo=2&amp;ST=1&amp;nLang=0</t>
  </si>
  <si>
    <t>https://www.clickideacore.com/ClickHTML5/Visit.aspx?ID=//5CDAEwASwAzADcAMAAxADgANQA3ADIASQBEAEUAQQA2=&amp;Tipo=2&amp;ST=1&amp;nLang=0</t>
  </si>
  <si>
    <t>https://www.clickideacore.com/ClickHTML5/Visit.aspx?ID=//53DAEwASwAzADcAMAAyADIAMAAxADUASQBEAEUAQQAB=&amp;Tipo=2&amp;ST=1&amp;nLang=0</t>
  </si>
  <si>
    <t>https://www.clickideacore.com/ClickHTML5/Visit.aspx?ID=//5CDAEwASwAzADcAMAAyADAAOAA2ADYASQBEAEUAQQA7=&amp;Tipo=2&amp;ST=1&amp;nLang=0</t>
  </si>
  <si>
    <t>https://www.clickideacore.com/ClickHTML5/Visit.aspx?ID=//51DAEwASwAzADcAMAAzADcAOAA5ADkASQBEAEUAQQA8=&amp;Tipo=2&amp;ST=1&amp;nLang=0</t>
  </si>
  <si>
    <t>https://www.clickideacore.com/ClickHTML5/Visit.aspx?ID=//58DAEwASwAzADcAMAAzADkAOQA4ADIASQBEAEUAQQA1=&amp;Tipo=2&amp;ST=1&amp;nLang=0</t>
  </si>
  <si>
    <t>https://www.clickideacore.com/ClickHTML5/Visit.aspx?ID=//52DAEwASwAzADcAMAAzADQAMgAxADAASQBEAEUAQQAA=&amp;Tipo=2&amp;ST=1&amp;nLang=0</t>
  </si>
  <si>
    <t>https://www.clickideacore.com/ClickHTML5/Visit.aspx?ID=//57DAEwASwAzADcAMAAzADkAMgA4ADgASQBEAEUAQQAB=&amp;Tipo=2&amp;ST=1&amp;nLang=0</t>
  </si>
  <si>
    <t>https://www.clickideacore.com/ClickHTML5/Visit.aspx?ID=//53DAEwASwAzADcAMAAzADgANAA1ADkASQBEAEUAQQA2=&amp;Tipo=2&amp;ST=1&amp;nLang=0</t>
  </si>
  <si>
    <t>https://www.clickideacore.com/ClickHTML5/Visit.aspx?ID=//56DAEwASwAzADcAMAA2ADcAMwA2ADkASQBEAEUAQQAA=&amp;Tipo=2&amp;ST=1&amp;nLang=0</t>
  </si>
  <si>
    <t>https://www.clickideacore.com/ClickHTML5/Visit.aspx?ID=//5ADAEwASwAzADcAMAA2ADYAMgA3ADMASQBEAEUAQQAD=&amp;Tipo=2&amp;ST=1&amp;nLang=0</t>
  </si>
  <si>
    <t>https://www.clickideacore.com/ClickHTML5/Visit.aspx?ID=//5FDAEwASwAzADcAMAA5ADEANwA4ADYASQBEAEUAQQA5=&amp;Tipo=2&amp;ST=1&amp;nLang=0</t>
  </si>
  <si>
    <t>https://www.clickideacore.com/ClickHTML5/Visit.aspx?ID=//59DAEwASwAzADcAMAA5ADIANAA3ADQASQBEAEUAQQA7=&amp;Tipo=2&amp;ST=1&amp;nLang=0</t>
  </si>
  <si>
    <t>https://www.clickideacore.com/ClickHTML5/Visit.aspx?ID=//54DAEwASwAzADcAMAA5ADIAOQAyADIASQBEAEUAQQA2=&amp;Tipo=2&amp;ST=1&amp;nLang=0</t>
  </si>
  <si>
    <t>https://www.clickideacore.com/ClickHTML5/Visit.aspx?ID=//5DDAEwASwAzADcAMAA5ADEANgAzADAASQBEAEUAQQAA=&amp;Tipo=2&amp;ST=1&amp;nLang=0</t>
  </si>
  <si>
    <t>Alejandro Escoar</t>
  </si>
  <si>
    <t>https://www.clickideacore.com/ClickHTML5/Visit.aspx?ID=//59DAEwASwAzADcAMQAxADcANwA0ADAASQBEAEUAQQA3=&amp;Tipo=2&amp;ST=1&amp;nLang=0</t>
  </si>
  <si>
    <t>https://www.clickideacore.com/ClickHTML5/Visit.aspx?ID=//5FDAEwASwAzADcAMQAxADYANgA2ADMASQBEAEUAQQA0=&amp;Tipo=2&amp;ST=1&amp;nLang=0</t>
  </si>
  <si>
    <t>https://www.clickideacore.com/ClickHTML5/Visit.aspx?ID=//55DAEwASwAzADcAMQAxADcAMwA1ADEASQBEAEUAQQA8=&amp;Tipo=2&amp;ST=1&amp;nLang=0</t>
  </si>
  <si>
    <t>https://www.clickideacore.com/ClickHTML5/Visit.aspx?ID=//5FDAEwASwAzADcAMQAxADYAMwA2ADUASQBEAEUAQQA7=&amp;Tipo=2&amp;ST=1&amp;nLang=0</t>
  </si>
  <si>
    <t>https://www.clickideacore.com/ClickHTML5/Visit.aspx?ID=//52DAEwASwAzADcAMQAxADEAMgA2ADgASQBEAEUAQQA9=&amp;Tipo=2&amp;ST=1&amp;nLang=0</t>
  </si>
  <si>
    <t>https://www.clickideacore.com/ClickHTML5/Visit.aspx?ID=//51DAEwASwAzADcAMQAxADMAMwA2ADUASQBEAEUAQQA5=&amp;Tipo=2&amp;ST=1&amp;nLang=0</t>
  </si>
  <si>
    <t>https://www.clickideacore.com/ClickHTML5/Visit.aspx?ID=//51DAEwASwAzADcAMQAzADIANQAxADkASQBEAEUAQQA6=&amp;Tipo=2&amp;ST=1&amp;nLang=0</t>
  </si>
  <si>
    <t>https://www.clickideacore.com/ClickHTML5/Visit.aspx?ID=//55DAEwASwAzADcAMQAzADMANgAzADEASQBEAEUAQQAA=&amp;Tipo=2&amp;ST=1&amp;nLang=0</t>
  </si>
  <si>
    <t>https://www.clickideacore.com/ClickHTML5/Visit.aspx?ID=//5ADAEwASwAzADcAMQAzADEAOQA3ADYASQBEAEUAQQA4=&amp;Tipo=2&amp;ST=1&amp;nLang=0</t>
  </si>
  <si>
    <t>https://www.clickideacore.com/ClickHTML5/Visit.aspx?ID=//5FDAEwASwAzADcAMQAzADIAMAAyADEASQBEAEUAQQA8=&amp;Tipo=2&amp;ST=1&amp;nLang=0</t>
  </si>
  <si>
    <t>https://www.clickideacore.com/ClickHTML5/Visit.aspx?ID=//56DAEwASwAzADcAMQA0ADAANAA5ADkASQBEAEUAQQA7=&amp;Tipo=2&amp;ST=1&amp;nLang=0</t>
  </si>
  <si>
    <t>https://www.clickideacore.com/ClickHTML5/Visit.aspx?ID=//57DAEwASwAzADcAMQA0ADAAOQA0ADMASQBEAEUAQQA0=&amp;Tipo=2&amp;ST=1&amp;nLang=0</t>
  </si>
  <si>
    <t>https://www.clickideacore.com/ClickHTML5/Visit.aspx?ID=//5BDAEwASwAzADcAMQA0ADAANAAyADcASQBEAEUAQQA9=&amp;Tipo=2&amp;ST=1&amp;nLang=0</t>
  </si>
  <si>
    <t>https://www.clickideacore.com/ClickHTML5/Visit.aspx?ID=//53DAEwASwAzADcAMQA0ADEAMQA3ADYASQBEAEUAQQA9=&amp;Tipo=2&amp;ST=1&amp;nLang=0</t>
  </si>
  <si>
    <t>https://www.clickideacore.com/ClickHTML5/Visit.aspx?ID=//5BDAEwASwAzADcAMQA1ADMAMwAyADkASQBEAEUAQQA4=&amp;Tipo=2&amp;ST=1&amp;nLang=0</t>
  </si>
  <si>
    <t>https://www.clickideacore.com/ClickHTML5/Visit.aspx?ID=//56DAEwASwAzADcAMQA1ADEAOQA4ADEASQBEAEUAQQA7=&amp;Tipo=2&amp;ST=1&amp;nLang=0</t>
  </si>
  <si>
    <t>https://www.clickideacore.com/ClickHTML5/Visit.aspx?ID=//5ADAEwASwAzADcAMQA0ADkANAAyADkASQBEAEUAQQA9=&amp;Tipo=2&amp;ST=1&amp;nLang=0</t>
  </si>
  <si>
    <t>https://www.clickideacore.com/ClickHTML5/Visit.aspx?ID=//51DAEwASwAzADcAMQA1ADQANgA4ADUASQBEAEUAQQAB=&amp;Tipo=2&amp;ST=1&amp;nLang=0</t>
  </si>
  <si>
    <t>https://www.clickideacore.com/ClickHTML5/Visit.aspx?ID=//56DAEwASwAzADcAMQA4ADEANgAxADQASQBEAEUAQQA1=&amp;Tipo=2&amp;ST=1&amp;nLang=0</t>
  </si>
  <si>
    <t>https://www.clickideacore.com/ClickHTML5/Visit.aspx?ID=//58DAEwASwAzADcAMQA4ADcANgAzADkASQBEAEUAQQA2=&amp;Tipo=2&amp;ST=1&amp;nLang=0</t>
  </si>
  <si>
    <t>https://www.clickideacore.com/ClickHTML5/Visit.aspx?ID=//5EDAEwASwAzADcAMQA4ADkAOAA5ADAASQBEAEUAQQA6=&amp;Tipo=2&amp;ST=1&amp;nLang=0</t>
  </si>
  <si>
    <t>https://www.clickideacore.com/ClickHTML5/Visit.aspx?ID=//5DDAEwASwAzADcAMQA4ADgAMQA1ADAASQBEAEUAQQA7=&amp;Tipo=2&amp;ST=1&amp;nLang=0</t>
  </si>
  <si>
    <t>https://www.clickideacore.com/ClickHTML5/Visit.aspx?ID=//5CDAEwASwAzADcAMQA4ADIANgA0ADEASQBEAEUAQQAF=&amp;Tipo=2&amp;ST=1&amp;nLang=0</t>
  </si>
  <si>
    <t>https://www.clickideacore.com/ClickHTML5/Visit.aspx?ID=//56DAEwASwAzADcAMQA4ADEAMwA5ADUASQBEAEUAQQA1=&amp;Tipo=2&amp;ST=1&amp;nLang=0</t>
  </si>
  <si>
    <t>https://www.clickideacore.com/ClickHTML5/Visit.aspx?ID=//54DAEwASwAzADcAMgAxADEAMgA2ADAASQBEAEUAQQA8=&amp;Tipo=2&amp;ST=1&amp;nLang=0</t>
  </si>
  <si>
    <t>https://www.clickideacore.com/ClickHTML5/Visit.aspx?ID=//56DAEwASwAzADcAMgAwADkANAA3ADUASQBEAEUAQQA2=&amp;Tipo=2&amp;ST=1&amp;nLang=0</t>
  </si>
  <si>
    <t>https://www.clickideacore.com/ClickHTML5/Visit.aspx?ID=//56DAEwASwAzADcAMgAwADkAMQA5ADAASQBEAEUAQQA4=&amp;Tipo=2&amp;ST=1&amp;nLang=0</t>
  </si>
  <si>
    <t>https://www.clickideacore.com/ClickHTML5/Visit.aspx?ID=//50DAEwASwAzADcAMgAwADEANQA0ADcASQBEAEUAQQA1=&amp;Tipo=2&amp;ST=1&amp;nLang=0</t>
  </si>
  <si>
    <t>https://www.clickideacore.com/ClickHTML5/Visit.aspx?ID=//54DAEwASwAzADcAMgAxADIAMgA3ADcASQBEAEUAQQAB=&amp;Tipo=2&amp;ST=1&amp;nLang=0</t>
  </si>
  <si>
    <t>https://www.clickideacore.com/ClickHTML5/Visit.aspx?ID=//55DAEwASwAzADcAMgAyADUANwAwADQASQBEAEUAQQAB=&amp;Tipo=2&amp;ST=1&amp;nLang=0</t>
  </si>
  <si>
    <t>https://www.clickideacore.com/ClickHTML5/Visit.aspx?ID=//5DDAEwASwAzADcAMgAzADcANwAwADYASQBEAEUAQQA4=&amp;Tipo=2&amp;ST=1&amp;nLang=0</t>
  </si>
  <si>
    <t>https://www.clickideacore.com/ClickHTML5/Visit.aspx?ID=//58DAEwASwAzADcAMgAzADQANwA0ADYASQBEAEUAQQAE=&amp;Tipo=2&amp;ST=1&amp;nLang=0</t>
  </si>
  <si>
    <t>https://www.clickideacore.com/ClickHTML5/Visit.aspx?ID=//5BDAEwASwAzADcAMgAzADcANQAwADgASQBEAEUAQQA0=&amp;Tipo=2&amp;ST=1&amp;nLang=0</t>
  </si>
  <si>
    <t>https://www.clickideacore.com/ClickHTML5/Visit.aspx?ID=//53DAEwASwAzADcAMgAzADEANAA5ADYASQBEAEUAQQA6=&amp;Tipo=2&amp;ST=1&amp;nLang=0</t>
  </si>
  <si>
    <t>https://www.clickideacore.com/ClickHTML5/Visit.aspx?ID=//5EDAEwASwAzADcAMgAzADYANAAyADkASQBEAEUAQQA7=&amp;Tipo=2&amp;ST=1&amp;nLang=0</t>
  </si>
  <si>
    <t>https://www.clickideacore.com/ClickHTML5/Visit.aspx?ID=//55DAEwASwAzADcAMgAzADcAMgA4ADYASQBEAEUAQQA5=&amp;Tipo=2&amp;ST=1&amp;nLang=0</t>
  </si>
  <si>
    <t>https://www.clickideacore.com/ClickHTML5/Visit.aspx?ID=//5BDAEwASwAzADcAMgA1ADgANAA1ADgASQBEAEUAQQA2=&amp;Tipo=2&amp;ST=1&amp;nLang=0</t>
  </si>
  <si>
    <t>https://www.clickideacore.com/ClickHTML5/Visit.aspx?ID=//58DAEwASwAzADcAMgA2ADAAMwA4ADIASQBEAEUAQQA1=&amp;Tipo=2&amp;ST=1&amp;nLang=0</t>
  </si>
  <si>
    <t>https://www.clickideacore.com/ClickHTML5/Visit.aspx?ID=//57DAEwASwAzADcAMgA1ADcANAA3ADAASQBEAEUAQQA4=&amp;Tipo=2&amp;ST=1&amp;nLang=0</t>
  </si>
  <si>
    <t>https://www.clickideacore.com/ClickHTML5/Visit.aspx?ID=//55DAEwASwAzADcAMgA1ADcAOQAzADEASQBEAEUAQQA0=&amp;Tipo=2&amp;ST=1&amp;nLang=0</t>
  </si>
  <si>
    <t>https://www.clickideacore.com/ClickHTML5/Visit.aspx?ID=//5ADAEwASwAzADcAMgA1ADcAMAAwADQASQBEAEUAQQAF=&amp;Tipo=2&amp;ST=1&amp;nLang=0</t>
  </si>
  <si>
    <t>https://www.clickideacore.com/ClickHTML5/Visit.aspx?ID=//53DAEwASwAzADcAMgA3ADQAMQA5ADMASQBEAEUAQQAC=&amp;Tipo=2&amp;ST=1&amp;nLang=0</t>
  </si>
  <si>
    <t>https://www.clickideacore.com/ClickHTML5/Visit.aspx?ID=//5DDAEwASwAzADcAMgA3ADMAMQA1ADgASQBEAEUAQQAC=&amp;Tipo=2&amp;ST=1&amp;nLang=0</t>
  </si>
  <si>
    <t>https://www.clickideacore.com/ClickHTML5/Visit.aspx?ID=//50DAEwASwAzADcAMgA3ADMAMQAyADMASQBEAEUAQQA8=&amp;Tipo=2&amp;ST=1&amp;nLang=0</t>
  </si>
  <si>
    <t>https://www.clickideacore.com/ClickHTML5/Visit.aspx?ID=//52DAEwASwAzADcAMgA4ADIANQAwADUASQBEAEUAQQA8=&amp;Tipo=2&amp;ST=1&amp;nLang=0</t>
  </si>
  <si>
    <t>https://www.clickideacore.com/ClickHTML5/Visit.aspx?ID=//5ADAEwASwAzADcAMgA4ADIAOQA4ADYASQBEAEUAQQA8=&amp;Tipo=2&amp;ST=1&amp;nLang=0</t>
  </si>
  <si>
    <t>https://www.clickideacore.com/ClickHTML5/Visit.aspx?ID=//5ADAEwASwAzADcAMgA4ADEAOQA2ADIASQBEAEUAQQA8=&amp;Tipo=2&amp;ST=1&amp;nLang=0</t>
  </si>
  <si>
    <t>https://www.clickideacore.com/ClickHTML5/Visit.aspx?ID=//5DDAEwASwAzADcAMgA4ADIAMwA1ADUASQBEAEUAQQAF=&amp;Tipo=2&amp;ST=1&amp;nLang=0</t>
  </si>
  <si>
    <t>https://www.clickideacore.com/ClickHTML5/Visit.aspx?ID=//5ADAEwASwAzADcAMgA5ADUAMAA0ADYASQBEAEUAQQA7=&amp;Tipo=2&amp;ST=1&amp;nLang=0</t>
  </si>
  <si>
    <t>https://www.clickideacore.com/ClickHTML5/Visit.aspx?ID=//52DAEwASwAzADcAMwAwADAAMAAwADIASQBEAEUAQQAE=&amp;Tipo=2&amp;ST=1&amp;nLang=0</t>
  </si>
  <si>
    <t>https://www.clickideacore.com/ClickHTML5/Visit.aspx?ID=//51DAEwASwAzADcAMgA5ADYANgA5ADQASQBEAEUAQQA2=&amp;Tipo=2&amp;ST=1&amp;nLang=0</t>
  </si>
  <si>
    <t>https://www.clickideacore.com/ClickHTML5/Visit.aspx?ID=//5ADAEwASwAzADcAMgA5ADUAMQA2ADMASQBEAEUAQQAA=&amp;Tipo=2&amp;ST=1&amp;nLang=0</t>
  </si>
  <si>
    <t>https://www.clickideacore.com/ClickHTML5/Visit.aspx?ID=//5EDAEwASwAzADcAMwAyADYAOQA0ADEASQBEAEUAQQAF=&amp;Tipo=2&amp;ST=1&amp;nLang=0</t>
  </si>
  <si>
    <t>https://www.clickideacore.com/ClickHTML5/Visit.aspx?ID=//5CDAEwASwAzADcAMwAyADQAMwA3ADYASQBEAEUAQQA7=&amp;Tipo=2&amp;ST=1&amp;nLang=0</t>
  </si>
  <si>
    <t>https://www.clickideacore.com/ClickHTML5/Visit.aspx?ID=//55DAEwASwAzADcAMwAyADAANAA1ADUASQBEAEUAQQAC=&amp;Tipo=2&amp;ST=1&amp;nLang=0</t>
  </si>
  <si>
    <t>https://www.clickideacore.com/ClickHTML5/Visit.aspx?ID=//5BDAEwASwAzADcAMwAyADEAMAA2ADUASQBEAEUAQQAD=&amp;Tipo=2&amp;ST=1&amp;nLang=0</t>
  </si>
  <si>
    <t>https://www.clickideacore.com/ClickHTML5/Visit.aspx?ID=//52DAEwASwAzADcAMwA1ADAANwA5ADkASQBEAEUAQQA4=&amp;Tipo=2&amp;ST=1&amp;nLang=0</t>
  </si>
  <si>
    <t>https://www.clickideacore.com/ClickHTML5/Visit.aspx?ID=//56DAEwASwAzADcAMwA0ADkAMgAyADYASQBEAEUAQQA1=&amp;Tipo=2&amp;ST=1&amp;nLang=0</t>
  </si>
  <si>
    <t>https://www.clickideacore.com/ClickHTML5/Visit.aspx?ID=//56DAEwASwAzADcAMwA0ADcAMwAzADEASQBEAEUAQQA7=&amp;Tipo=2&amp;ST=1&amp;nLang=0</t>
  </si>
  <si>
    <t>https://www.clickideacore.com/ClickHTML5/Visit.aspx?ID=//51DAEwASwAzADcAMwA0ADkAMAA0ADQASQBEAEUAQQA4=&amp;Tipo=2&amp;ST=1&amp;nLang=0</t>
  </si>
  <si>
    <t>https://www.clickideacore.com/ClickHTML5/Visit.aspx?ID=//55DAEwASwAzADcAMwA3ADMAOQA5ADUASQBEAEUAQQAB=&amp;Tipo=2&amp;ST=1&amp;nLang=0</t>
  </si>
  <si>
    <t>https://www.clickideacore.com/ClickHTML5/Visit.aspx?ID=//54DAEwASwAzADcAMwA3ADIANgA1ADcASQBEAEUAQQAE=&amp;Tipo=2&amp;ST=1&amp;nLang=0</t>
  </si>
  <si>
    <t>https://www.clickideacore.com/ClickHTML5/Visit.aspx?ID=//5EDAEwASwAzADcAMwA2ADkANAAyADAASQBEAEUAQQA6=&amp;Tipo=2&amp;ST=1&amp;nLang=0</t>
  </si>
  <si>
    <t>https://www.clickideacore.com/ClickHTML5/Visit.aspx?ID=//55DAEwASwAzADcAMwA2ADcAMwA3ADcASQBEAEUAQQAB=&amp;Tipo=2&amp;ST=1&amp;nLang=0</t>
  </si>
  <si>
    <t>https://www.clickideacore.com/ClickHTML5/Visit.aspx?ID=//52DAEwASwAzADcAMwA3ADMANAA5ADgASQBEAEUAQQA1=&amp;Tipo=2&amp;ST=1&amp;nLang=0</t>
  </si>
  <si>
    <t>https://www.clickideacore.com/ClickHTML5/Visit.aspx?ID=//57DAEwASwAzADcAMwA3ADQANgAwADEASQBEAEUAQQA7=&amp;Tipo=2&amp;ST=1&amp;nLang=0</t>
  </si>
  <si>
    <t>https://www.clickideacore.com/ClickHTML5/Visit.aspx?ID=//56DAEwASwAzADcAMwA5ADYANwA0ADQASQBEAEUAQQA1=&amp;Tipo=2&amp;ST=1&amp;nLang=0</t>
  </si>
  <si>
    <t>OP-S-010</t>
  </si>
  <si>
    <t>https://www.clickideacore.com/ClickHTML5/Visit.aspx?ID=//5ADAEwASwAzADcAMwA4ADIANwA4ADEASQBEAEUAQQAB=&amp;Tipo=2&amp;ST=1&amp;nLang=0</t>
  </si>
  <si>
    <t>https://www.clickideacore.com/ClickHTML5/Visit.aspx?ID=//5BDAEwASwAzADcAMwA5ADMANQAzADkASQBEAEUAQQA6=&amp;Tipo=2&amp;ST=1&amp;nLang=0</t>
  </si>
  <si>
    <t>https://www.clickideacore.com/ClickHTML5/Visit.aspx?ID=//53DAEwASwAzADcAMwA5ADUANgA5ADgASQBEAEUAQQA7=&amp;Tipo=2&amp;ST=1&amp;nLang=0</t>
  </si>
  <si>
    <t>https://www.clickideacore.com/ClickHTML5/Visit.aspx?ID=//54DAEwASwAzADcANAAwADgANQA1ADgASQBEAEUAQQA7=&amp;Tipo=2&amp;ST=1&amp;nLang=0</t>
  </si>
  <si>
    <t>https://www.clickideacore.com/ClickHTML5/Visit.aspx?ID=//57DAEwASwAzADcANAAwADkAMgAyADQASQBEAEUAQQAB=&amp;Tipo=2&amp;ST=1&amp;nLang=0</t>
  </si>
  <si>
    <t>https://www.clickideacore.com/ClickHTML5/Visit.aspx?ID=//56DAEwASwAzADcANAAwADgAOAA4ADcASQBEAEUAQQA8=&amp;Tipo=2&amp;ST=1&amp;nLang=0</t>
  </si>
  <si>
    <t>https://www.clickideacore.com/ClickHTML5/Visit.aspx?ID=//5BDAEwASwAzADcANAAwADgAMwA2ADkASQBEAEUAQQA3=&amp;Tipo=2&amp;ST=1&amp;nLang=0</t>
  </si>
  <si>
    <t>https://www.clickideacore.com/ClickHTML5/Visit.aspx?ID=//54DAEwASwAzADcANAAwADkANAA2ADIASQBEAEUAQQA8=&amp;Tipo=2&amp;ST=1&amp;nLang=0</t>
  </si>
  <si>
    <t>https://www.clickideacore.com/ClickHTML5/Visit.aspx?ID=//58DAEwASwAzADcANAAxADYAOQA2ADkASQBEAEUAQQA6=&amp;Tipo=2&amp;ST=1&amp;nLang=0</t>
  </si>
  <si>
    <t>https://www.clickideacore.com/ClickHTML5/Visit.aspx?ID=//5ADAEwASwAzADcANAAyADYAOAAzADkASQBEAEUAQQAE=&amp;Tipo=2&amp;ST=1&amp;nLang=0</t>
  </si>
  <si>
    <t>https://www.clickideacore.com/ClickHTML5/Visit.aspx?ID=//59DAEwASwAzADcANAAxADYAMwA5ADIASQBEAEUAQQA4=&amp;Tipo=2&amp;ST=1&amp;nLang=0</t>
  </si>
  <si>
    <t>https://www.clickideacore.com/ClickHTML5/Visit.aspx?ID=//53DAEwASwAzADcANAAxADYAMQA3ADYASQBEAEUAQQA9=&amp;Tipo=2&amp;ST=1&amp;nLang=0</t>
  </si>
  <si>
    <t>https://www.clickideacore.com/ClickHTML5/Visit.aspx?ID=//52DAEwASwAzADcANAAxADYANAAzADgASQBEAEUAQQA4=&amp;Tipo=2&amp;ST=1&amp;nLang=0</t>
  </si>
  <si>
    <t>https://www.clickideacore.com/ClickHTML5/Visit.aspx?ID=//59DAEwASwAzADcANAA0ADYAMQA3ADIASQBEAEUAQQAD=&amp;Tipo=2&amp;ST=1&amp;nLang=0</t>
  </si>
  <si>
    <t>https://www.clickideacore.com/ClickHTML5/Visit.aspx?ID=//57DAEwASwAzADcANAA0ADIANwAzADcASQBEAEUAQQA7=&amp;Tipo=2&amp;ST=1&amp;nLang=0</t>
  </si>
  <si>
    <t>https://www.clickideacore.com/ClickHTML5/Visit.aspx?ID=//5ADAEwASwAzADcANAA0ADcANQA0ADMASQBEAEUAQQAA=&amp;Tipo=2&amp;ST=1&amp;nLang=0</t>
  </si>
  <si>
    <t>https://www.clickideacore.com/ClickHTML5/Visit.aspx?ID=//51DAEwASwAzADcANAA0ADgAMQA4ADQASQBEAEUAQQA8=&amp;Tipo=2&amp;ST=1&amp;nLang=0</t>
  </si>
  <si>
    <t>https://www.clickideacore.com/ClickHTML5/Visit.aspx?ID=//59DAEwASwAzADcANAA0ADYAMQA1ADkASQBEAEUAQQA2=&amp;Tipo=2&amp;ST=1&amp;nLang=0</t>
  </si>
  <si>
    <t>Rodrigo Arenas</t>
  </si>
  <si>
    <t>https://www.clickideacore.com/ClickHTML5/Visit.aspx?ID=//50DAEwASwAzADcANAA3ADEAMwAwADQASQBEAEUAQQA1=&amp;Tipo=2&amp;ST=1&amp;nLang=0</t>
  </si>
  <si>
    <t>https://www.clickideacore.com/ClickHTML5/Visit.aspx?ID=//58DAEwASwAzADcANAA2ADYAMwAzADgASQBEAEUAQQAB=&amp;Tipo=2&amp;ST=1&amp;nLang=0</t>
  </si>
  <si>
    <t>https://www.clickideacore.com/ClickHTML5/Visit.aspx?ID=//55DAEwASwAzADcANAA2ADcAOQA3ADUASQBEAEUAQQAB=&amp;Tipo=2&amp;ST=1&amp;nLang=0</t>
  </si>
  <si>
    <t>https://www.clickideacore.com/ClickHTML5/Visit.aspx?ID=//5BDAEwASwAzADcANAA3ADIAMQA4ADMASQBEAEUAQQA0=&amp;Tipo=2&amp;ST=1&amp;nLang=0</t>
  </si>
  <si>
    <t>https://www.clickideacore.com/ClickHTML5/Visit.aspx?ID=//53DAEwASwAzADcANAA3ADEAMwA2ADYASQBEAEUAQQAD=&amp;Tipo=2&amp;ST=1&amp;nLang=0</t>
  </si>
  <si>
    <t>https://www.clickideacore.com/ClickHTML5/Visit.aspx?ID=//54DAEwASwAzADcANAA2ADgAMwAzADkASQBEAEUAQQA9=&amp;Tipo=2&amp;ST=1&amp;nLang=0</t>
  </si>
  <si>
    <t>https://www.clickideacore.com/ClickHTML5/Visit.aspx?ID=//54DAEwASwAzADcANAA5ADIANwA0ADkASQBEAEUAQQA6=&amp;Tipo=2&amp;ST=1&amp;nLang=0</t>
  </si>
  <si>
    <t>https://www.clickideacore.com/ClickHTML5/Visit.aspx?ID=//5EDAEwASwAzADcANAA5ADMAMgA1ADQASQBEAEUAQQA8=&amp;Tipo=2&amp;ST=1&amp;nLang=0</t>
  </si>
  <si>
    <t>https://www.clickideacore.com/ClickHTML5/Visit.aspx?ID=//5FDAEwASwAzADcANAA5ADQAOQA4ADcASQBEAEUAQQA0=&amp;Tipo=2&amp;ST=1&amp;nLang=0</t>
  </si>
  <si>
    <t>https://www.clickideacore.com/ClickHTML5/Visit.aspx?ID=//5EDAEwASwAzADcANAA4ADkANAAxADYASQBEAEUAQQA5=&amp;Tipo=2&amp;ST=1&amp;nLang=0</t>
  </si>
  <si>
    <t>https://www.clickideacore.com/ClickHTML5/Visit.aspx?ID=//5CDAEwASwAzADcANAA5ADAANAA2ADYASQBEAEUAQQA1=&amp;Tipo=2&amp;ST=1&amp;nLang=0</t>
  </si>
  <si>
    <t>Mario Nuevo</t>
  </si>
  <si>
    <t>https://www.clickideacore.com/ClickHTML5/Visit.aspx?ID=//5BDAEwASwAzADcANAA5ADAAMQA4ADIASQBEAEUAQQAF=&amp;Tipo=2&amp;ST=1&amp;nLang=0</t>
  </si>
  <si>
    <t>https://www.clickideacore.com/ClickHTML5/Visit.aspx?ID=//57DAEwASwAzADcANAA5ADEAMgA4ADIASQBEAEUAQQA8=&amp;Tipo=2&amp;ST=1&amp;nLang=0</t>
  </si>
  <si>
    <t>https://www.clickideacore.com/ClickHTML5/Visit.aspx?ID=//50DAEwASwAzADcANQAxADUAOQA0ADEASQBEAEUAQQA1=&amp;Tipo=2&amp;ST=1&amp;nLang=0</t>
  </si>
  <si>
    <t>https://www.clickideacore.com/ClickHTML5/Visit.aspx?ID=//55DAEwASwAzADcANQAxADIAMwA4ADIASQBEAEUAQQA4=&amp;Tipo=2&amp;ST=1&amp;nLang=0</t>
  </si>
  <si>
    <t>https://www.clickideacore.com/ClickHTML5/Visit.aspx?ID=//50DAEwASwAzADcANQAxADEAOAAyADQASQBEAEUAQQA0=&amp;Tipo=2&amp;ST=1&amp;nLang=0</t>
  </si>
  <si>
    <t>https://www.clickideacore.com/ClickHTML5/Visit.aspx?ID=//52DAEwASwAzADcANQAxADYAOQAzADIASQBEAEUAQQAB=&amp;Tipo=2&amp;ST=1&amp;nLang=0</t>
  </si>
  <si>
    <t>https://www.clickideacore.com/ClickHTML5/Visit.aspx?ID=//54DAEwASwAzADcANQAxADcAMwA1ADcASQBEAEUAQQA2=&amp;Tipo=2&amp;ST=1&amp;nLang=0</t>
  </si>
  <si>
    <t>https://www.clickideacore.com/ClickHTML5/Visit.aspx?ID=//57DAEwASwAzADcANQAxADcAOQAxADgASQBEAEUAQQAD=&amp;Tipo=2&amp;ST=1&amp;nLang=0</t>
  </si>
  <si>
    <t>https://www.clickideacore.com/ClickHTML5/Visit.aspx?ID=//5CDAEwASwAzADcANQAwADgANwAwADkASQBEAEUAQQA1=&amp;Tipo=2&amp;ST=1&amp;nLang=0</t>
  </si>
  <si>
    <t>https://www.clickideacore.com/ClickHTML5/Visit.aspx?ID=//53DAEwASwAzADcANQA2ADIANwA0ADQASQBEAEUAQQAF=&amp;Tipo=2&amp;ST=1&amp;nLang=0</t>
  </si>
  <si>
    <t>https://www.clickideacore.com/ClickHTML5/Visit.aspx?ID=//56DAEwASwAzADcANQAzADEANAA3ADkASQBEAEUAQQA4=&amp;Tipo=2&amp;ST=1&amp;nLang=0</t>
  </si>
  <si>
    <t>https://www.clickideacore.com/ClickHTML5/Visit.aspx?ID=//5EDAEwASwAzADcANQAyADkAMAAwADEASQBEAEUAQQA2=&amp;Tipo=2&amp;ST=1&amp;nLang=0</t>
  </si>
  <si>
    <t>https://www.clickideacore.com/ClickHTML5/Visit.aspx?ID=//5DDAEwASwAzADcANQAzADIAMAAyADkASQBEAEUAQQA9=&amp;Tipo=2&amp;ST=1&amp;nLang=0</t>
  </si>
  <si>
    <t>https://www.clickideacore.com/ClickHTML5/Visit.aspx?ID=//54DAEwASwAzADcANQAzADAAOAA3ADIASQBEAEUAQQAE=&amp;Tipo=2&amp;ST=1&amp;nLang=0</t>
  </si>
  <si>
    <t>https://www.clickideacore.com/ClickHTML5/Visit.aspx?ID=//54DAEwASwAzADcANQAzADAAMgA4ADgASQBEAEUAQQA0=&amp;Tipo=2&amp;ST=1&amp;nLang=0</t>
  </si>
  <si>
    <t>https://www.clickideacore.com/ClickHTML5/Visit.aspx?ID=//58DAEwASwAzADcANQAzADAAOQAwADUASQBEAEUAQQA9=&amp;Tipo=2&amp;ST=1&amp;nLang=0</t>
  </si>
  <si>
    <t>https://www.clickideacore.com/ClickHTML5/Visit.aspx?ID=//57DAEwASwAzADcANQAzADgAMgA5ADkASQBEAEUAQQAB=&amp;Tipo=2&amp;ST=1&amp;nLang=0</t>
  </si>
  <si>
    <t>https://www.clickideacore.com/ClickHTML5/Visit.aspx?ID=//5ADAEwASwAzADcANQAzADkAMgAyADQASQBEAEUAQQA2=&amp;Tipo=2&amp;ST=1&amp;nLang=0</t>
  </si>
  <si>
    <t>https://www.clickideacore.com/ClickHTML5/Visit.aspx?ID=//5FDAEwASwAzADcANQAzADgANAAyADgASQBEAEUAQQAF=&amp;Tipo=2&amp;ST=1&amp;nLang=0</t>
  </si>
  <si>
    <t>https://www.clickideacore.com/ClickHTML5/Visit.aspx?ID=//52DAEwASwAzADcANQAzADgAMQAzADgASQBEAEUAQQA8=&amp;Tipo=2&amp;ST=1&amp;nLang=0</t>
  </si>
  <si>
    <t>https://www.clickideacore.com/ClickHTML5/Visit.aspx?ID=//5EDAEwASwAzADcANQAzADgANAAyADAASQBEAEUAQQAF=&amp;Tipo=2&amp;ST=1&amp;nLang=0</t>
  </si>
  <si>
    <t>https://www.clickideacore.com/ClickHTML5/Visit.aspx?ID=//59DAEwASwAzADcANQA2ADAANAA3ADEASQBEAEUAQQAB=&amp;Tipo=2&amp;ST=1&amp;nLang=0</t>
  </si>
  <si>
    <t>https://www.clickideacore.com/ClickHTML5/Visit.aspx?ID=//5ADAEwASwAzADcANQA1ADkAOQA3ADQASQBEAEUAQQA9=&amp;Tipo=2&amp;ST=1&amp;nLang=0</t>
  </si>
  <si>
    <t>https://www.clickideacore.com/ClickHTML5/Visit.aspx?ID=//58DAEwASwAzADcANQA4ADEAMwAzADUASQBEAEUAQQA3=&amp;Tipo=2&amp;ST=1&amp;nLang=0</t>
  </si>
  <si>
    <t>https://www.clickideacore.com/ClickHTML5/Visit.aspx?ID=//5DDAEwASwAzADcANQA4ADIAMAA4ADMASQBEAEUAQQA2=&amp;Tipo=2&amp;ST=1&amp;nLang=0</t>
  </si>
  <si>
    <t>https://www.clickideacore.com/ClickHTML5/Visit.aspx?ID=//5CDAEwASwAzADcANQA4ADEANgA0ADcASQBEAEUAQQAA=&amp;Tipo=2&amp;ST=1&amp;nLang=0</t>
  </si>
  <si>
    <t>https://www.clickideacore.com/ClickHTML5/Visit.aspx?ID=//5ADAEwASwAzADcANQA4ADIANAA2ADcASQBEAEUAQQA2=&amp;Tipo=2&amp;ST=1&amp;nLang=0</t>
  </si>
  <si>
    <t>https://www.clickideacore.com/ClickHTML5/Visit.aspx?ID=//58DAEwASwAzADcANQA4ADIANAA4ADMASQBEAEUAQQAE=&amp;Tipo=2&amp;ST=1&amp;nLang=0</t>
  </si>
  <si>
    <t>https://www.clickideacore.com/ClickHTML5/Visit.aspx?ID=//5BDAEwASwAzADcANQA3ADgANwA0ADAASQBEAEUAQQAE=&amp;Tipo=2&amp;ST=1&amp;nLang=0</t>
  </si>
  <si>
    <t>https://www.clickideacore.com/ClickHTML5/Visit.aspx?ID=//59DAEwASwAzADcANQA3ADkANAAxADcASQBEAEUAQQA1=&amp;Tipo=2&amp;ST=1&amp;nLang=0</t>
  </si>
  <si>
    <t>Raul Toledo</t>
  </si>
  <si>
    <t>https://www.clickideacore.com/ClickHTML5/Visit.aspx?ID=//50DAEwASwAzADcANgAwADEANwA4ADAASQBEAEUAQQA1=&amp;Tipo=2&amp;ST=1&amp;nLang=0</t>
  </si>
  <si>
    <t>https://www.clickideacore.com/ClickHTML5/Visit.aspx?ID=//58DAEwASwAzADcANgAwADAAMgA3ADYASQBEAEUAQQAD=&amp;Tipo=2&amp;ST=1&amp;nLang=0</t>
  </si>
  <si>
    <t>https://www.clickideacore.com/ClickHTML5/Visit.aspx?ID=//5DDAEwASwAzADcANgAwADQAMQA4ADUASQBEAEUAQQA7=&amp;Tipo=2&amp;ST=1&amp;nLang=0</t>
  </si>
  <si>
    <t>https://www.clickideacore.com/ClickHTML5/Visit.aspx?ID=//57DAEwASwAzADcANgAwADIAMAA5ADcASQBEAEUAQQA3=&amp;Tipo=2&amp;ST=1&amp;nLang=0</t>
  </si>
  <si>
    <t>https://www.clickideacore.com/ClickHTML5/Visit.aspx?ID=//56DAEwASwAzADcANgAwADIAMAA2ADEASQBEAEUAQQAB=&amp;Tipo=2&amp;ST=1&amp;nLang=0</t>
  </si>
  <si>
    <t>https://www.clickideacore.com/ClickHTML5/Visit.aspx?ID=//57DAEwASwAzADcANQA5ADcAMQAyADYASQBEAEUAQQAB=&amp;Tipo=2&amp;ST=1&amp;nLang=0</t>
  </si>
  <si>
    <t>https://www.clickideacore.com/ClickHTML5/Visit.aspx?ID=//53DAEwASwAzADcANgAyADIAMAAzADkASQBEAEUAQQAD=&amp;Tipo=2&amp;ST=1&amp;nLang=0</t>
  </si>
  <si>
    <t>https://www.clickideacore.com/ClickHTML5/Visit.aspx?ID=//55DAEwASwAzADcANgAyADIANQA1ADgASQBEAEUAQQA9=&amp;Tipo=2&amp;ST=1&amp;nLang=0</t>
  </si>
  <si>
    <t>https://www.clickideacore.com/ClickHTML5/Visit.aspx?ID=//5CDAEwASwAzADcANgAyADUAOAAyADgASQBEAEUAQQA3=&amp;Tipo=2&amp;ST=1&amp;nLang=0</t>
  </si>
  <si>
    <t>https://www.clickideacore.com/ClickHTML5/Visit.aspx?ID=//57DAEwASwAzADcANgAxADgANwAyADIASQBEAEUAQQAC=&amp;Tipo=2&amp;ST=1&amp;nLang=0</t>
  </si>
  <si>
    <t>https://www.clickideacore.com/ClickHTML5/Visit.aspx?ID=//53DAEwASwAzADcANgAyADUAOAA1ADAASQBEAEUAQQAD=&amp;Tipo=2&amp;ST=1&amp;nLang=0</t>
  </si>
  <si>
    <t>https://www.clickideacore.com/ClickHTML5/Visit.aspx?ID=//53DAEwASwAzADcANgAyADQANAA2ADMASQBEAEUAQQAB=&amp;Tipo=2&amp;ST=1&amp;nLang=0</t>
  </si>
  <si>
    <t>https://www.clickideacore.com/ClickHTML5/Visit.aspx?ID=//5BDAEwASwAzADcANgAyADEAMgAzADIASQBEAEUAQQA6=&amp;Tipo=2&amp;ST=1&amp;nLang=0</t>
  </si>
  <si>
    <t>Falta</t>
  </si>
  <si>
    <t>https://www.clickideacore.com/ClickHTML5/Visit.aspx?ID=//5EDAEwASwAzADcANgA0ADYAMAAwADcASQBEAEUAQQA2=&amp;Tipo=2&amp;ST=1&amp;nLang=0</t>
  </si>
  <si>
    <t>https://www.clickideacore.com/ClickHTML5/Visit.aspx?ID=//56DAEwASwAzADcANgA0ADMAMAAxADIASQBEAEUAQQA1=&amp;Tipo=2&amp;ST=1&amp;nLang=0</t>
  </si>
  <si>
    <t>https://www.clickideacore.com/ClickHTML5/Visit.aspx?ID=//52DAEwASwAzADcANgA0ADgAMAAzADIASQBEAEUAQQAE=&amp;Tipo=2&amp;ST=1&amp;nLang=0</t>
  </si>
  <si>
    <t>https://www.clickideacore.com/ClickHTML5/Visit.aspx?ID=//5BDAEwASwAzADcANgA0ADgAMgAwADkASQBEAEUAQQA3=&amp;Tipo=2&amp;ST=1&amp;nLang=0</t>
  </si>
  <si>
    <t>https://www.clickideacore.com/ClickHTML5/Visit.aspx?ID=//54DAEwASwAzADcANgA0ADQAOAAxADMASQBEAEUAQQAE=&amp;Tipo=2&amp;ST=1&amp;nLang=0</t>
  </si>
  <si>
    <t>https://www.clickideacore.com/ClickHTML5/Visit.aspx?ID=//5FDAEwASwAzADcANgA0ADcAOQA5ADEASQBEAEUAQQAF=&amp;Tipo=2&amp;ST=1&amp;nLang=0</t>
  </si>
  <si>
    <t>https://www.clickideacore.com/ClickHTML5/Visit.aspx?ID=//5FDAEwASwAzADcANgA1ADgAMwA1ADEASQBEAEUAQQA8=&amp;Tipo=2&amp;ST=1&amp;nLang=0</t>
  </si>
  <si>
    <t>https://www.clickideacore.com/ClickHTML5/Visit.aspx?ID=//5BDAEwASwAzADcANgA1ADkANQAxADMASQBEAEUAQQAA=&amp;Tipo=2&amp;ST=1&amp;nLang=0</t>
  </si>
  <si>
    <t>https://www.clickideacore.com/ClickHTML5/Visit.aspx?ID=//53DAEwASwAzADcANgA0ADgANQAyADcASQBEAEUAQQAF=&amp;Tipo=2&amp;ST=1&amp;nLang=0</t>
  </si>
  <si>
    <t>https://www.clickideacore.com/ClickHTML5/Visit.aspx?ID=//55DAEwASwAzADcANgA1ADkAMgAxADEASQBEAEUAQQA4=&amp;Tipo=2&amp;ST=1&amp;nLang=0</t>
  </si>
  <si>
    <t>https://www.clickideacore.com/ClickHTML5/Visit.aspx?ID=//53DAEwASwAzADcANgA1ADkAMQA0ADIASQBEAEUAQQA0=&amp;Tipo=2&amp;ST=1&amp;nLang=0</t>
  </si>
  <si>
    <t>https://www.clickideacore.com/ClickHTML5/Visit.aspx?ID=//57DAEwASwAzADcANgA1ADgAMQA2ADgASQBEAEUAQQA7=&amp;Tipo=2&amp;ST=1&amp;nLang=0</t>
  </si>
  <si>
    <t>https://www.clickideacore.com/ClickHTML5/Visit.aspx?ID=//56DAEwASwAzADcANgA2ADcAMQAwADYASQBEAEUAQQA4=&amp;Tipo=2&amp;ST=1&amp;nLang=0</t>
  </si>
  <si>
    <t>https://www.clickideacore.com/ClickHTML5/Visit.aspx?ID=//51DAEwASwAzADcANgA2ADYAMgA3ADUASQBEAEUAQQA7=&amp;Tipo=2&amp;ST=1&amp;nLang=0</t>
  </si>
  <si>
    <t>https://www.clickideacore.com/ClickHTML5/Visit.aspx?ID=//5DDAEwASwAzADcANgA2ADYANAAxADAASQBEAEUAQQA5=&amp;Tipo=2&amp;ST=1&amp;nLang=0</t>
  </si>
  <si>
    <t>https://www.clickideacore.com/ClickHTML5/Visit.aspx?ID=//51DAEwASwAzADcANgA2ADUANQAzADUASQBEAEUAQQAA=&amp;Tipo=2&amp;ST=1&amp;nLang=0</t>
  </si>
  <si>
    <t>https://www.clickideacore.com/ClickHTML5/Visit.aspx?ID=//54DAEwASwAzADcANgA2ADAAOAA4ADMASQBEAEUAQQA9=&amp;Tipo=2&amp;ST=1&amp;nLang=0</t>
  </si>
  <si>
    <t>https://www.clickideacore.com/ClickHTML5/Visit.aspx?ID=//52DAEwASwAzADcANgA2ADUAOAAyADAASQBEAEUAQQA3=&amp;Tipo=2&amp;ST=1&amp;nLang=0</t>
  </si>
  <si>
    <t>https://www.clickideacore.com/ClickHTML5/Visit.aspx?ID=//5CDAEwASwAzADcANgA2ADYAMgA4ADAASQBEAEUAQQA6=&amp;Tipo=2&amp;ST=1&amp;nLang=0</t>
  </si>
  <si>
    <t>Jesus Barrera</t>
  </si>
  <si>
    <t>Gerald Aguayo</t>
  </si>
  <si>
    <t>Daniel Escobar</t>
  </si>
  <si>
    <t>Boris López</t>
  </si>
  <si>
    <t>https://www.clickideacore.com/ClickHTML5/Visit.aspx?ID=//5DDAEwASwAzADcANgA4ADEAOQA0ADUASQBEAEUAQQA1=&amp;Tipo=2&amp;ST=1&amp;nLang=0</t>
  </si>
  <si>
    <t>https://www.clickideacore.com/ClickHTML5/Visit.aspx?ID=//53DAEwASwAzADcANgA4ADAANwA3ADEASQBEAEUAQQAC=&amp;Tipo=2&amp;ST=1&amp;nLang=0</t>
  </si>
  <si>
    <t>https://www.clickideacore.com/ClickHTML5/Visit.aspx?ID=//5BDAEwASwAzADcANgA4ADQANwA5ADcASQBEAEUAQQAF=&amp;Tipo=2&amp;ST=1&amp;nLang=0</t>
  </si>
  <si>
    <t>https://www.clickideacore.com/ClickHTML5/Visit.aspx?ID=//57DAEwASwAzADcANgA4ADUAOQA1ADUASQBEAEUAQQAA=&amp;Tipo=2&amp;ST=1&amp;nLang=0</t>
  </si>
  <si>
    <t>https://www.clickideacore.com/ClickHTML5/Visit.aspx?ID=//55DAEwASwAzADcANwAwADIAMAA4ADgASQBEAEUAQQA3=&amp;Tipo=2&amp;ST=1&amp;nLang=0</t>
  </si>
  <si>
    <t>https://www.clickideacore.com/ClickHTML5/Visit.aspx?ID=//57DAEwASwAzADcANwAwADQAOQA2ADUASQBEAEUAQQAD=&amp;Tipo=2&amp;ST=1&amp;nLang=0</t>
  </si>
  <si>
    <t>https://www.clickideacore.com/ClickHTML5/Visit.aspx?ID=//5ADAEwASwAzADcANwAwADkANgAxADkASQBEAEUAQQA1=&amp;Tipo=2&amp;ST=1&amp;nLang=0</t>
  </si>
  <si>
    <t>https://www.clickideacore.com/ClickHTML5/Visit.aspx?ID=//53DAEwASwAzADcANwAwADcAMQAzADgASQBEAEUAQQAD=&amp;Tipo=2&amp;ST=1&amp;nLang=0</t>
  </si>
  <si>
    <t>https://www.clickideacore.com/ClickHTML5/Visit.aspx?ID=//53DAEwASwAzADcANwAwADEANwAxADUASQBEAEUAQQA2=&amp;Tipo=2&amp;ST=1&amp;nLang=0</t>
  </si>
  <si>
    <t>https://www.clickideacore.com/ClickHTML5/Visit.aspx?ID=//50DAEwASwAzADcANwAyADIANAA0ADEASQBEAEUAQQA0=&amp;Tipo=2&amp;ST=1&amp;nLang=0</t>
  </si>
  <si>
    <t>https://www.clickideacore.com/ClickHTML5/Visit.aspx?ID=//53DAEwASwAzADcANwA4ADQANwA2ADAASQBEAEUAQQA8=&amp;Tipo=2&amp;ST=1&amp;nLang=0</t>
  </si>
  <si>
    <t>https://www.clickideacore.com/ClickHTML5/Visit.aspx?ID=//5FDAEwASwAzADcANwAyADIAMwAwADUASQBEAEUAQQA1=&amp;Tipo=2&amp;ST=1&amp;nLang=0</t>
  </si>
  <si>
    <t>https://www.clickideacore.com/ClickHTML5/Visit.aspx?ID=//50DAEwASwAzADcANwAyADIAOAAzADkASQBEAEUAQQAB=&amp;Tipo=2&amp;ST=1&amp;nLang=0</t>
  </si>
  <si>
    <t>https://www.clickideacore.com/ClickHTML5/Visit.aspx?ID=//52DAEwASwAzADcANwAyADQAMwAwADAASQBEAEUAQQA4=&amp;Tipo=2&amp;ST=1&amp;nLang=0</t>
  </si>
  <si>
    <t>https://www.clickideacore.com/ClickHTML5/Visit.aspx?ID=//58DAEwASwAzADcANwAyADMAMQAxADEASQBEAEUAQQA8=&amp;Tipo=2&amp;ST=1&amp;nLang=0</t>
  </si>
  <si>
    <t>https://www.clickideacore.com/ClickHTML5/Visit.aspx?ID=//50DAEwASwAzADcANwAyADgAMgA0ADQASQBEAEUAQQA7=&amp;Tipo=2&amp;ST=1&amp;nLang=0</t>
  </si>
  <si>
    <t>https://www.clickideacore.com/ClickHTML5/Visit.aspx?ID=//58DAEwASwAzADcANwAyADkANwA4ADgASQBEAEUAQQAD=&amp;Tipo=2&amp;ST=1&amp;nLang=0</t>
  </si>
  <si>
    <t>https://www.clickideacore.com/ClickHTML5/Visit.aspx?ID=//5ADAEwASwAzADcANwAyADgAOAAzADUASQBEAEUAQQAB=&amp;Tipo=2&amp;ST=1&amp;nLang=0</t>
  </si>
  <si>
    <t>https://www.clickideacore.com/ClickHTML5/Visit.aspx?ID=//5EDAEwASwAzADcANwA0ADMAMgA4ADAASQBEAEUAQQA0=&amp;Tipo=2&amp;ST=1&amp;nLang=0</t>
  </si>
  <si>
    <t>https://www.clickideacore.com/ClickHTML5/Visit.aspx?ID=//55DAEwASwAzADcANwA0ADIANQA1ADkASQBEAEUAQQAC=&amp;Tipo=2&amp;ST=1&amp;nLang=0</t>
  </si>
  <si>
    <t>https://www.clickideacore.com/ClickHTML5/Visit.aspx?ID=//56DAEwASwAzADcANwA0ADQAMAAyADkASQBEAEUAQQA0=&amp;Tipo=2&amp;ST=1&amp;nLang=0</t>
  </si>
  <si>
    <t>https://www.clickideacore.com/ClickHTML5/Visit.aspx?ID=//54DAEwASwAzADcANwA0ADUANwA1ADYASQBEAEUAQQAC=&amp;Tipo=2&amp;ST=1&amp;nLang=0</t>
  </si>
  <si>
    <t>https://www.clickideacore.com/ClickHTML5/Visit.aspx?ID=//5CDAEwASwAzADcANwA0ADIAMQA3ADEASQBEAEUAQQA2=&amp;Tipo=2&amp;ST=1&amp;nLang=0</t>
  </si>
  <si>
    <t>https://www.clickideacore.com/ClickHTML5/Visit.aspx?ID=//57DAEwASwAzADcANwA0ADAAOQA3ADIASQBEAEUAQQA2=&amp;Tipo=2&amp;ST=1&amp;nLang=0</t>
  </si>
  <si>
    <t>https://www.clickideacore.com/ClickHTML5/Visit.aspx?ID=//5CDAEwASwAzADcANwA1ADcAOQA0ADMASQBEAEUAQQA9=&amp;Tipo=2&amp;ST=1&amp;nLang=0</t>
  </si>
  <si>
    <t>https://www.clickideacore.com/ClickHTML5/Visit.aspx?ID=//56DAEwASwAzADcANwA1ADgANQAyADUASQBEAEUAQQAA=&amp;Tipo=2&amp;ST=1&amp;nLang=0</t>
  </si>
  <si>
    <t>https://www.clickideacore.com/ClickHTML5/Visit.aspx?ID=//5ADAEwASwAzADcANwA1ADgANwAxADcASQBEAEUAQQA6=&amp;Tipo=2&amp;ST=1&amp;nLang=0</t>
  </si>
  <si>
    <t>https://www.clickideacore.com/ClickHTML5/Visit.aspx?ID=//50DAEwASwAzADcANwA1ADcAMwAxADEASQBEAEUAQQA0=&amp;Tipo=2&amp;ST=1&amp;nLang=0</t>
  </si>
  <si>
    <t>https://www.clickideacore.com/ClickHTML5/Visit.aspx?ID=//55DAEwASwAzADcANwA1ADgAMQAyADMASQBEAEUAQQA2=&amp;Tipo=2&amp;ST=1&amp;nLang=0</t>
  </si>
  <si>
    <t>https://www.clickideacore.com/ClickHTML5/Visit.aspx?ID=//5DDAEwASwAzADcANwA2ADQANgAwADUASQBEAEUAQQA7=&amp;Tipo=2&amp;ST=1&amp;nLang=0</t>
  </si>
  <si>
    <t>https://www.clickideacore.com/ClickHTML5/Visit.aspx?ID=//5BDAEwASwAzADcANwA2ADUANAAyADAASQBEAEUAQQA8=&amp;Tipo=2&amp;ST=1&amp;nLang=0</t>
  </si>
  <si>
    <t>https://www.clickideacore.com/ClickHTML5/Visit.aspx?ID=//57DAEwASwAzADcANwA2ADQAOAAzADIASQBEAEUAQQAA=&amp;Tipo=2&amp;ST=1&amp;nLang=0</t>
  </si>
  <si>
    <t>https://www.clickideacore.com/ClickHTML5/Visit.aspx?ID=//5DDAEwASwAzADcANwA2ADQAMgA4ADAASQBEAEUAQQA7=&amp;Tipo=2&amp;ST=1&amp;nLang=0</t>
  </si>
  <si>
    <t>https://www.clickideacore.com/ClickHTML5/Visit.aspx?ID=//5EDAEwASwAzADcANwA2ADQAOQA5ADEASQBEAEUAQQAE=&amp;Tipo=2&amp;ST=1&amp;nLang=0</t>
  </si>
  <si>
    <t>Cumpleaños</t>
  </si>
  <si>
    <t>https://www.clickideacore.com/ClickHTML5/Visit.aspx?ID=//5FDAEwASwAzADcANwA5ADcANQA1ADIASQBEAEUAQQA3=&amp;Tipo=2&amp;ST=1&amp;nLang=0</t>
  </si>
  <si>
    <t>Nelson Paredes</t>
  </si>
  <si>
    <t>https://www.clickideacore.com/ClickHTML5/Visit.aspx?ID=//57DAEwASwAzADcANwA5ADkAMQAwADYASQBEAEUAQQAA=&amp;Tipo=2&amp;ST=1&amp;nLang=0</t>
  </si>
  <si>
    <t>https://www.clickideacore.com/ClickHTML5/Visit.aspx?ID=//53DAEwASwAzADcAOAAwADAAOAA2ADkASQBEAEUAQQA4=&amp;Tipo=2&amp;ST=1&amp;nLang=0</t>
  </si>
  <si>
    <t>https://www.clickideacore.com/ClickHTML5/Visit.aspx?ID=//5EDAEwASwAzADcANwA5ADQAOQAwADkASQBEAEUAQQA1=&amp;Tipo=2&amp;ST=1&amp;nLang=0</t>
  </si>
  <si>
    <t>https://www.clickideacore.com/ClickHTML5/Visit.aspx?ID=//5CDAEwASwAzADcANwA5ADYANgA1ADEASQBEAEUAQQA0=&amp;Tipo=2&amp;ST=1&amp;nLang=0</t>
  </si>
  <si>
    <t>https://www.clickideacore.com/ClickHTML5/Visit.aspx?ID=//56DAEwASwAzADcAOAAxADAAOQA2ADUASQBEAEUAQQA2=&amp;Tipo=2&amp;ST=1&amp;nLang=0</t>
  </si>
  <si>
    <t>https://www.clickideacore.com/ClickHTML5/Visit.aspx?ID=//5FDAEwASwAzADcAOAAxADEAMQA5ADQASQBEAEUAQQA1=&amp;Tipo=2&amp;ST=1&amp;nLang=0</t>
  </si>
  <si>
    <t>https://www.clickideacore.com/ClickHTML5/Visit.aspx?ID=//57DAEwASwAzADcAOAAxADEAMwA1ADMASQBEAEUAQQAD=&amp;Tipo=2&amp;ST=1&amp;nLang=0</t>
  </si>
  <si>
    <t>https://www.clickideacore.com/ClickHTML5/Visit.aspx?ID=//54DAEwASwAzADcAOAAxADEAMAAwADgASQBEAEUAQQA5=&amp;Tipo=2&amp;ST=1&amp;nLang=0</t>
  </si>
  <si>
    <t>Sin Produccion</t>
  </si>
  <si>
    <t>https://www.clickideacore.com/ClickHTML5/Visit.aspx?ID=//5DDAEwASwAzADcAOAAxADYANAA2ADUASQBEAEUAQQA0=&amp;Tipo=2&amp;ST=1&amp;nLang=0</t>
  </si>
  <si>
    <t>https://www.clickideacore.com/ClickHTML5/Visit.aspx?ID=//5EDAEwASwAzADcAOAAxADYAMAA3ADYASQBEAEUAQQA2=&amp;Tipo=2&amp;ST=1&amp;nLang=0</t>
  </si>
  <si>
    <t>https://www.clickideacore.com/ClickHTML5/Visit.aspx?ID=//5BDAEwASwAzADcAOAAxADYANQA1ADIASQBEAEUAQQAF=&amp;Tipo=2&amp;ST=1&amp;nLang=0</t>
  </si>
  <si>
    <t>https://www.clickideacore.com/ClickHTML5/Visit.aspx?ID=//5BDAEwASwAzADcAOAAxADYANAAwADgASQBEAEUAQQA2=&amp;Tipo=2&amp;ST=1&amp;nLang=0</t>
  </si>
  <si>
    <t>https://www.clickideacore.com/ClickHTML5/Visit.aspx?ID=//59DAEwASwAzADcAOAAzADIAMAAwADcASQBEAEUAQQA6=&amp;Tipo=2&amp;ST=1&amp;nLang=0</t>
  </si>
  <si>
    <t>https://www.clickideacore.com/ClickHTML5/Visit.aspx?ID=//5EDAEwASwAzADcAOAAyADYAOQAxADIASQBEAEUAQQA9=&amp;Tipo=2&amp;ST=1&amp;nLang=0</t>
  </si>
  <si>
    <t>https://www.clickideacore.com/ClickHTML5/Visit.aspx?ID=//59DAEwASwAzADcAOAAyADcANgA4ADMASQBEAEUAQQA0=&amp;Tipo=2&amp;ST=1&amp;nLang=0</t>
  </si>
  <si>
    <t>https://www.clickideacore.com/ClickHTML5/Visit.aspx?ID=//50DAEwASwAzADcAOAAyADcANQAwADkASQBEAEUAQQA1=&amp;Tipo=2&amp;ST=1&amp;nLang=0</t>
  </si>
  <si>
    <t>https://www.clickideacore.com/ClickHTML5/Visit.aspx?ID=//53DAEwASwAzADcAOAAzADEAMQA1ADQASQBEAEUAQQA0=&amp;Tipo=2&amp;ST=1&amp;nLang=0</t>
  </si>
  <si>
    <t>https://www.clickideacore.com/ClickHTML5/Visit.aspx?ID=//50DAEwASwAzADcAOAA0ADEAMAA5ADMASQBEAEUAQQAB=&amp;Tipo=2&amp;ST=1&amp;nLang=0</t>
  </si>
  <si>
    <t>OP-S-009</t>
  </si>
  <si>
    <t>https://www.clickideacore.com/ClickHTML5/Visit.aspx?ID=//56DAEwASwAzADcAOAAzADkANgA0ADQASQBEAEUAQQAF=&amp;Tipo=2&amp;ST=1&amp;nLang=0</t>
  </si>
  <si>
    <t>https://www.clickideacore.com/ClickHTML5/Visit.aspx?ID=//55DAEwASwAzADcAOAAzADkANgA2ADkASQBEAEUAQQAA=&amp;Tipo=2&amp;ST=1&amp;nLang=0</t>
  </si>
  <si>
    <t>https://www.clickideacore.com/ClickHTML5/Visit.aspx?ID=//57DAEwASwAzADcAOAAzADkAMwA0ADMASQBEAEUAQQA6=&amp;Tipo=2&amp;ST=1&amp;nLang=0</t>
  </si>
  <si>
    <t>https://www.clickideacore.com/ClickHTML5/Visit.aspx?ID=//5DDAEwASwAzADcAOAAzADkAOAAwADgASQBEAEUAQQAD=&amp;Tipo=2&amp;ST=1&amp;nLang=0</t>
  </si>
  <si>
    <t>https://www.clickideacore.com/ClickHTML5/Visit.aspx?ID=//51DAEwASwAzADcAOAA0ADUANQAzADkASQBEAEUAQQAD=&amp;Tipo=2&amp;ST=1&amp;nLang=0</t>
  </si>
  <si>
    <t>https://www.clickideacore.com/ClickHTML5/Visit.aspx?ID=//5CDAEwASwAzADcAOAA0ADYAMAAzADAASQBEAEUAQQA0=&amp;Tipo=2&amp;ST=1&amp;nLang=0</t>
  </si>
  <si>
    <t>https://www.clickideacore.com/ClickHTML5/Visit.aspx?ID=//5BDAEwASwAzADcAOAA0ADUAMQA3ADkASQBEAEUAQQA8=&amp;Tipo=2&amp;ST=1&amp;nLang=0</t>
  </si>
  <si>
    <t>https://www.clickideacore.com/ClickHTML5/Visit.aspx?ID=//5CDAEwASwAzADcAOAA0ADUAOQA2ADYASQBEAEUAQQA8=&amp;Tipo=2&amp;ST=1&amp;nLang=0</t>
  </si>
  <si>
    <t>https://www.clickideacore.com/ClickHTML5/Visit.aspx?ID=//57DAEwASwAzADcAOAA2ADQANAA2ADkASQBEAEUAQQA3=&amp;Tipo=2&amp;ST=1&amp;nLang=0</t>
  </si>
  <si>
    <t>https://www.clickideacore.com/ClickHTML5/Visit.aspx?ID=//5DDAEwASwAzADcAOAA2ADQAMAAzADIASQBEAEUAQQAD=&amp;Tipo=2&amp;ST=1&amp;nLang=0</t>
  </si>
  <si>
    <t>https://www.clickideacore.com/ClickHTML5/Visit.aspx?ID=//54DAEwASwAzADcAOAA2ADQANAA1ADQASQBEAEUAQQA3=&amp;Tipo=2&amp;ST=1&amp;nLang=0</t>
  </si>
  <si>
    <t>https://www.clickideacore.com/ClickHTML5/Visit.aspx?ID=//5FDAEwASwAzADcAOAA2ADAAMQA2ADIASQBEAEUAQQA4=&amp;Tipo=2&amp;ST=1&amp;nLang=0</t>
  </si>
  <si>
    <t>https://www.clickideacore.com/ClickHTML5/Visit.aspx?ID=//53DAEwASwAzADcAOAA3ADgANAA3ADcASQBEAEUAQQA7=&amp;Tipo=2&amp;ST=1&amp;nLang=0</t>
  </si>
  <si>
    <t>https://www.clickideacore.com/ClickHTML5/Visit.aspx?ID=//55DAEwASwAzADcAOAA3ADkANgAzADgASQBEAEUAQQAB=&amp;Tipo=2&amp;ST=1&amp;nLang=0</t>
  </si>
  <si>
    <t>https://www.clickideacore.com/ClickHTML5/Visit.aspx?ID=//50DAEwASwAzADcAOAA4ADMAMwAyADkASQBEAEUAQQA5=&amp;Tipo=2&amp;ST=1&amp;nLang=0</t>
  </si>
  <si>
    <t>https://www.clickideacore.com/ClickHTML5/Visit.aspx?ID=//5ADAEwASwAzADcAOAA3ADkANQA3ADIASQBEAEUAQQA1=&amp;Tipo=2&amp;ST=1&amp;nLang=0</t>
  </si>
  <si>
    <t>https://www.clickideacore.com/ClickHTML5/Visit.aspx?ID=//50DAEwASwAzADcAOAA3ADYAMAAwADIASQBEAEUAQQAA=&amp;Tipo=2&amp;ST=1&amp;nLang=0</t>
  </si>
  <si>
    <t>https://www.clickideacore.com/ClickHTML5/Visit.aspx?ID=//57DAEwASwAzADcAOAA3ADcAMwAwADgASQBEAEUAQQAA=&amp;Tipo=2&amp;ST=1&amp;nLang=0</t>
  </si>
  <si>
    <t>https://www.clickideacore.com/ClickHTML5/Visit.aspx?ID=//5EDAEwASwAzADcAOAA5ADgAMgA5ADMASQBEAEUAQQA9=&amp;Tipo=2&amp;ST=1&amp;nLang=0</t>
  </si>
  <si>
    <t>https://www.clickideacore.com/ClickHTML5/Visit.aspx?ID=//53DAEwASwAzADcAOQAwADMANwAzADcASQBEAEUAQQA1=&amp;Tipo=2&amp;ST=1&amp;nLang=0</t>
  </si>
  <si>
    <t>https://www.clickideacore.com/ClickHTML5/Visit.aspx?ID=//51DAEwASwAzADcAOQAwADUAMQAwADQASQBEAEUAQQA8=&amp;Tipo=2&amp;ST=1&amp;nLang=0</t>
  </si>
  <si>
    <t>https://www.clickideacore.com/ClickHTML5/Visit.aspx?ID=//56DAEwASwAzADcAOQAwADUAOAAxADAASQBEAEUAQQA2=&amp;Tipo=2&amp;ST=1&amp;nLang=0</t>
  </si>
  <si>
    <t>https://www.clickideacore.com/ClickHTML5/Visit.aspx?ID=//55DAEwASwAzADcAOQAwADEAMAAzADEASQBEAEUAQQA4=&amp;Tipo=2&amp;ST=1&amp;nLang=0</t>
  </si>
  <si>
    <t>https://www.clickideacore.com/ClickHTML5/Visit.aspx?ID=//50DAEwASwAzADcAOQAxADcANQA1ADMASQBEAEUAQQA4=&amp;Tipo=2&amp;ST=1&amp;nLang=0</t>
  </si>
  <si>
    <t>https://www.clickideacore.com/ClickHTML5/Visit.aspx?ID=//52DAEwASwAzADcAOQAyADQANAA4ADYASQBEAEUAQQA3=&amp;Tipo=2&amp;ST=1&amp;nLang=0</t>
  </si>
  <si>
    <t>Rodrigo Arcos</t>
  </si>
  <si>
    <t>https://www.clickideacore.com/ClickHTML5/Visit.aspx?ID=//55DAEwASwAzADcAOQA3ADEAOAAyADUASQBEAEUAQQA7=&amp;Tipo=2&amp;ST=1&amp;nLang=0</t>
  </si>
  <si>
    <t>https://www.clickideacore.com/ClickHTML5/Visit.aspx?ID=//5BDAEwASwAzADcAOQAyADMAOQAwADAASQBEAEUAQQAD=&amp;Tipo=2&amp;ST=1&amp;nLang=0</t>
  </si>
  <si>
    <t>Raul Parra</t>
  </si>
  <si>
    <t>https://www.clickideacore.com/ClickHTML5/Visit.aspx?ID=//5FDAEwASwAzADcAOQAyADQAOAA4ADEASQBEAEUAQQA7=&amp;Tipo=2&amp;ST=1&amp;nLang=0</t>
  </si>
  <si>
    <t>https://www.clickideacore.com/ClickHTML5/Visit.aspx?ID=//52DAEwASwAzADcAOQAyADEANQAxADQASQBEAEUAQQAD=&amp;Tipo=2&amp;ST=1&amp;nLang=0</t>
  </si>
  <si>
    <t>https://www.clickideacore.com/ClickHTML5/Visit.aspx?ID=//5EDAEwASwAzADcAOQA0ADQAMgA0ADIASQBEAEUAQQA3=&amp;Tipo=2&amp;ST=1&amp;nLang=0</t>
  </si>
  <si>
    <t>https://www.clickideacore.com/ClickHTML5/Visit.aspx?ID=//55DAEwASwAzADcAOQA0ADYAMAAxADYASQBEAEUAQQAD=&amp;Tipo=2&amp;ST=1&amp;nLang=0</t>
  </si>
  <si>
    <t>https://www.clickideacore.com/ClickHTML5/Visit.aspx?ID=//54DAEwASwAzADcAOQA0ADAAMgA1ADIASQBEAEUAQQAF=&amp;Tipo=2&amp;ST=1&amp;nLang=0</t>
  </si>
  <si>
    <t>https://www.clickideacore.com/ClickHTML5/Visit.aspx?ID=//51DAEwASwAzADcAOQA0ADEANQA4ADAASQBEAEUAQQAE=&amp;Tipo=2&amp;ST=1&amp;nLang=0</t>
  </si>
  <si>
    <t>https://www.clickideacore.com/ClickHTML5/Visit.aspx?ID=//59DAEwASwAzADcAOQA0ADEANAAyADUASQBEAEUAQQA3=&amp;Tipo=2&amp;ST=1&amp;nLang=0</t>
  </si>
  <si>
    <t>https://www.clickideacore.com/ClickHTML5/Visit.aspx?ID=//5CDAEwASwAzADcAOQA1ADYAMAAxADMASQBEAEUAQQA8=&amp;Tipo=2&amp;ST=1&amp;nLang=0</t>
  </si>
  <si>
    <t>https://www.clickideacore.com/ClickHTML5/Visit.aspx?ID=//51DAEwASwAzADcAOQA1ADgAMQA4ADUASQBEAEUAQQA2=&amp;Tipo=2&amp;ST=1&amp;nLang=0</t>
  </si>
  <si>
    <t>https://www.clickideacore.com/ClickHTML5/Visit.aspx?ID=//5FDAEwASwAzADcAOQA1ADcANgA4ADcASQBEAEUAQQA6=&amp;Tipo=2&amp;ST=1&amp;nLang=0</t>
  </si>
  <si>
    <t>https://www.clickideacore.com/ClickHTML5/Visit.aspx?ID=//55DAEwASwAzADcAOQA1ADcAOAA0ADAASQBEAEUAQQA4=&amp;Tipo=2&amp;ST=1&amp;nLang=0</t>
  </si>
  <si>
    <t>https://www.clickideacore.com/ClickHTML5/Visit.aspx?ID=//50DAEwASwAzADcAOQA1ADcAMAAzADIASQBEAEUAQQAA=&amp;Tipo=2&amp;ST=1&amp;nLang=0</t>
  </si>
  <si>
    <t>https://www.clickideacore.com/ClickHTML5/Visit.aspx?ID=//5BDAEwASwAzADcAOQA1ADYAOAA2ADkASQBEAEUAQQAD=&amp;Tipo=2&amp;ST=1&amp;nLang=0</t>
  </si>
  <si>
    <t>https://www.clickideacore.com/ClickHTML5/Visit.aspx?ID=//54DAEwASwAzADcAOQA2ADMANQA1ADgASQBEAEUAQQA1=&amp;Tipo=2&amp;ST=1&amp;nLang=0</t>
  </si>
  <si>
    <t>https://www.clickideacore.com/ClickHTML5/Visit.aspx?ID=//5CDAEwASwAzADcAOQA2ADIAMwA5ADgASQBEAEUAQQA6=&amp;Tipo=2&amp;ST=1&amp;nLang=0</t>
  </si>
  <si>
    <t>https://www.clickideacore.com/ClickHTML5/Visit.aspx?ID=//5ADAEwASwAzADcAOQA2ADQANAA0ADQASQBEAEUAQQAD=&amp;Tipo=2&amp;ST=1&amp;nLang=0</t>
  </si>
  <si>
    <t>https://www.clickideacore.com/ClickHTML5/Visit.aspx?ID=//5ADAEwASwAzADcAOQA2ADMAMQA3ADMASQBEAEUAQQAB=&amp;Tipo=2&amp;ST=1&amp;nLang=0</t>
  </si>
  <si>
    <t>https://www.clickideacore.com/ClickHTML5/Visit.aspx?ID=//59DAEwASwAzADcAOQA2ADQAMgA1ADQASQBEAEUAQQA5=&amp;Tipo=2&amp;ST=1&amp;nLang=0</t>
  </si>
  <si>
    <t>https://www.clickideacore.com/ClickHTML5/Visit.aspx?ID=//56DAEwASwAzADcAOQA2ADQAMAAxADkASQBEAEUAQQAA=&amp;Tipo=2&amp;ST=1&amp;nLang=0</t>
  </si>
  <si>
    <t>https://www.clickideacore.com/ClickHTML5/Visit.aspx?ID=//53DAEwASwAzADcAOQA3ADEANAA2ADYASQBEAEUAQQAA=&amp;Tipo=2&amp;ST=1&amp;nLang=0</t>
  </si>
  <si>
    <t>https://www.clickideacore.com/ClickHTML5/Visit.aspx?ID=//5FDAEwASwAzADcAOQA3ADEAOAAzADAASQBEAEUAQQA1=&amp;Tipo=2&amp;ST=1&amp;nLang=0</t>
  </si>
  <si>
    <t>https://www.clickideacore.com/ClickHTML5/Visit.aspx?ID=//56DAEwASwAzADcAOQA3ADIANwA1ADMASQBEAEUAQQAE=&amp;Tipo=2&amp;ST=1&amp;nLang=0</t>
  </si>
  <si>
    <t>https://www.clickideacore.com/ClickHTML5/Visit.aspx?ID=//55DAEwASwAzADcAOQA3ADMAMgA0ADYASQBEAEUAQQA5=&amp;Tipo=2&amp;ST=1&amp;nLang=0</t>
  </si>
  <si>
    <t>https://www.clickideacore.com/ClickHTML5/Visit.aspx?ID=//50DAEwASwAzADcAOQA3ADMAMQA2ADEASQBEAEUAQQA4=&amp;Tipo=2&amp;ST=1&amp;nLang=0</t>
  </si>
  <si>
    <t>https://www.clickideacore.com/ClickHTML5/Visit.aspx?ID=//5BDAEwASwAzADcAOQA3ADQANgAyADcASQBEAEUAQQA3=&amp;Tipo=2&amp;ST=1&amp;nLang=0</t>
  </si>
  <si>
    <t>https://www.clickideacore.com/ClickHTML5/Visit.aspx?ID=//5BDAEwASwAzADcAOQA3ADMAMQA0ADcASQBEAEUAQQA6=&amp;Tipo=2&amp;ST=1&amp;nLang=0</t>
  </si>
  <si>
    <t>https://www.clickideacore.com/ClickHTML5/Visit.aspx?ID=//5ADAEwASwAzADcAOQA5ADAAMgA5ADQASQBEAEUAQQAB=&amp;Tipo=2&amp;ST=1&amp;nLang=0</t>
  </si>
  <si>
    <t>https://www.clickideacore.com/ClickHTML5/Visit.aspx?ID=//5ADAEwASwAzADcAOQA5ADIAOQAyADAASQBEAEUAQQAB=&amp;Tipo=2&amp;ST=1&amp;nLang=0</t>
  </si>
  <si>
    <t>https://www.clickideacore.com/ClickHTML5/Visit.aspx?ID=//59DAEwASwAzADcAOQA4ADgAOQA1ADkASQBEAEUAQQA3=&amp;Tipo=2&amp;ST=1&amp;nLang=0</t>
  </si>
  <si>
    <t>https://www.clickideacore.com/ClickHTML5/Visit.aspx?ID=//5FDAEwASwAzADcAOQA5ADAAMAA3ADQASQBEAEUAQQAD=&amp;Tipo=2&amp;ST=1&amp;nLang=0</t>
  </si>
  <si>
    <t>https://www.clickideacore.com/ClickHTML5/Visit.aspx?ID=//53DAEwASwAzADcAOQA4ADYAOAA1ADAASQBEAEUAQQAE=&amp;Tipo=2&amp;ST=1&amp;nLang=0</t>
  </si>
  <si>
    <t>https://www.clickideacore.com/ClickHTML5/Visit.aspx?ID=//57DAEwASwAzADgAMAAxADYAMQAzADQASQBEAEUAQQA5=&amp;Tipo=2&amp;ST=1&amp;nLang=0</t>
  </si>
  <si>
    <t>https://www.clickideacore.com/ClickHTML5/Visit.aspx?ID=//55DAEwASwAzADgAMAAxADQAMgA1ADAASQBEAEUAQQA8=&amp;Tipo=2&amp;ST=1&amp;nLang=0</t>
  </si>
  <si>
    <t>https://www.clickideacore.com/ClickHTML5/Visit.aspx?ID=//54DAEwASwAzADgAMAAxADEANgAxADMASQBEAEUAQQA5=&amp;Tipo=2&amp;ST=1&amp;nLang=0</t>
  </si>
  <si>
    <t>https://www.clickideacore.com/ClickHTML5/Visit.aspx?ID=//5ADAEwASwAzADgAMAAwADkAMgAyADQASQBEAEUAQQAD=&amp;Tipo=2&amp;ST=1&amp;nLang=0</t>
  </si>
  <si>
    <t>https://www.clickideacore.com/ClickHTML5/Visit.aspx?ID=//59DAEwASwAzADgAMAAyADkAMAA3ADQASQBEAEUAQQAE=&amp;Tipo=2&amp;ST=1&amp;nLang=0</t>
  </si>
  <si>
    <t>https://www.clickideacore.com/ClickHTML5/Visit.aspx?ID=//58DAEwASwAzADgAMAAyADgANQA1ADcASQBEAEUAQQA3=&amp;Tipo=2&amp;ST=1&amp;nLang=0</t>
  </si>
  <si>
    <t>https://www.clickideacore.com/ClickHTML5/Visit.aspx?ID=//58DAEwASwAzADgAMAAzADUAOQA5ADkASQBEAEUAQQAD=&amp;Tipo=2&amp;ST=1&amp;nLang=0</t>
  </si>
  <si>
    <t>https://www.clickideacore.com/ClickHTML5/Visit.aspx?ID=//56DAEwASwAzADgAMAAzADcANgA5ADYASQBEAEUAQQA5=&amp;Tipo=2&amp;ST=1&amp;nLang=0</t>
  </si>
  <si>
    <t>https://www.clickideacore.com/ClickHTML5/Visit.aspx?ID=//54DAEwASwAzADgAMAAzADMAOAA5ADIASQBEAEUAQQA8=&amp;Tipo=2&amp;ST=1&amp;nLang=0</t>
  </si>
  <si>
    <t>https://www.clickideacore.com/ClickHTML5/Visit.aspx?ID=//53DAEwASwAzADgAMAAzADkAOAAzADgASQBEAEUAQQA2=&amp;Tipo=2&amp;ST=1&amp;nLang=0</t>
  </si>
  <si>
    <t>https://www.clickideacore.com/ClickHTML5/Visit.aspx?ID=//58DAEwASwAzADgAMAAzADQANAA2ADEASQBEAEUAQQAB=&amp;Tipo=2&amp;ST=1&amp;nLang=0</t>
  </si>
  <si>
    <t>https://www.clickideacore.com/ClickHTML5/Visit.aspx?ID=//5EDAEwASwAzADgAMAA1ADAAMAA0ADIASQBEAEUAQQA5=&amp;Tipo=2&amp;ST=1&amp;nLang=0</t>
  </si>
  <si>
    <t>OP-S-007</t>
  </si>
  <si>
    <t>https://www.clickideacore.com/ClickHTML5/Visit.aspx?ID=//5FDAEwASwAzADgAMAA1ADYAMQAyADcASQBEAEUAQQA8=&amp;Tipo=2&amp;ST=1&amp;nLang=0</t>
  </si>
  <si>
    <t>https://www.clickideacore.com/ClickHTML5/Visit.aspx?ID=//5DDAEwASwAzADgAMAA2ADEAMgA0ADMASQBEAEUAQQA1=&amp;Tipo=2&amp;ST=1&amp;nLang=0</t>
  </si>
  <si>
    <t>https://www.clickideacore.com/ClickHTML5/Visit.aspx?ID=//55DAEwASwAzADgAMAA1ADMANAAxADAASQBEAEUAQQA8=&amp;Tipo=2&amp;ST=1&amp;nLang=0</t>
  </si>
  <si>
    <t>https://www.clickideacore.com/ClickHTML5/Visit.aspx?ID=//5EDAEwASwAzADgAMAA1ADUAMQA0ADUASQBEAEUAQQA1=&amp;Tipo=2&amp;ST=1&amp;nLang=0</t>
  </si>
  <si>
    <t>https://www.clickideacore.com/ClickHTML5/Visit.aspx?ID=//50DAEwASwAzADgAMAA1ADMAMwA1ADQASQBEAEUAQQA1=&amp;Tipo=2&amp;ST=1&amp;nLang=0</t>
  </si>
  <si>
    <t>https://www.clickideacore.com/ClickHTML5/Visit.aspx?ID=//5CDAEwASwAzADgAMAA3ADMAMAA4ADcASQBEAEUAQQAA=&amp;Tipo=2&amp;ST=1&amp;nLang=0</t>
  </si>
  <si>
    <t>https://www.clickideacore.com/ClickHTML5/Visit.aspx?ID=//5BDAEwASwAzADgAMAA3ADIANgAxADgASQBEAEUAQQAF=&amp;Tipo=2&amp;ST=1&amp;nLang=0</t>
  </si>
  <si>
    <t>https://www.clickideacore.com/ClickHTML5/Visit.aspx?ID=//54DAEwASwAzADgAMAA3ADIAOAA5ADIASQBEAEUAQQA9=&amp;Tipo=2&amp;ST=1&amp;nLang=0</t>
  </si>
  <si>
    <t>https://www.clickideacore.com/ClickHTML5/Visit.aspx?ID=//56DAEwASwAzADgAMAA3ADIAMQA2ADEASQBEAEUAQQAF=&amp;Tipo=2&amp;ST=1&amp;nLang=0</t>
  </si>
  <si>
    <t>https://www.clickideacore.com/ClickHTML5/Visit.aspx?ID=//51DAEwASwAzADgAMAA3ADIAMgAwADIASQBEAEUAQQAC=&amp;Tipo=2&amp;ST=1&amp;nLang=0</t>
  </si>
  <si>
    <t>https://www.clickideacore.com/ClickHTML5/Visit.aspx?ID=//55DAEwASwAzADgAMAA3ADIAMgAyADAASQBEAEUAQQAE=&amp;Tipo=2&amp;ST=1&amp;nLang=0</t>
  </si>
  <si>
    <t>https://www.clickideacore.com/ClickHTML5/Visit.aspx?ID=//50DAEwASwAzADgAMAA3ADgANwA2ADUASQBEAEUAQQA0=&amp;Tipo=2&amp;ST=1&amp;nLang=0</t>
  </si>
  <si>
    <t>https://www.clickideacore.com/ClickHTML5/Visit.aspx?ID=//5FDAEwASwAzADgAMAA3ADkAMwA2ADEASQBEAEUAQQA7=&amp;Tipo=2&amp;ST=1&amp;nLang=0</t>
  </si>
  <si>
    <t>https://www.clickideacore.com/ClickHTML5/Visit.aspx?ID=//57DAEwASwAzADgAMAA3ADgANwA1ADAASQBEAEUAQQA8=&amp;Tipo=2&amp;ST=1&amp;nLang=0</t>
  </si>
  <si>
    <t>https://www.clickideacore.com/ClickHTML5/Visit.aspx?ID=//58DAEwASwAzADgAMAA5ADQAOAA3ADIASQBEAEUAQQAA=&amp;Tipo=2&amp;ST=1&amp;nLang=0</t>
  </si>
  <si>
    <t>https://www.clickideacore.com/ClickHTML5/Visit.aspx?ID=//5EDAEwASwAzADgAMAA4ADkANAAyADEASQBEAEUAQQA8=&amp;Tipo=2&amp;ST=1&amp;nLang=0</t>
  </si>
  <si>
    <t>https://www.clickideacore.com/ClickHTML5/Visit.aspx?ID=//58DAEwASwAzADgAMAA4ADAAMAA1ADIASQBEAEUAQQA3=&amp;Tipo=2&amp;ST=1&amp;nLang=0</t>
  </si>
  <si>
    <t>https://www.clickideacore.com/ClickHTML5/Visit.aspx?ID=//5FDAEwASwAzADgAMAA5ADQANAA2ADkASQBEAEUAQQA4=&amp;Tipo=2&amp;ST=1&amp;nLang=0</t>
  </si>
  <si>
    <t>https://www.clickideacore.com/ClickHTML5/Visit.aspx?ID=//53DAEwASwAzADgAMAA5ADMANwA4ADEASQBEAEUAQQA1=&amp;Tipo=2&amp;ST=1&amp;nLang=0</t>
  </si>
  <si>
    <t>https://www.clickideacore.com/ClickHTML5/Visit.aspx?ID=//5EDAEwASwAzADgAMAA5ADEAOQA3ADMASQBEAEUAQQAA=&amp;Tipo=2&amp;ST=1&amp;nLang=0</t>
  </si>
  <si>
    <t>https://www.clickideacore.com/ClickHTML5/Visit.aspx?ID=//5EDAEwASwAzADgAMQAxADgAMwA3ADYASQBEAEUAQQA8=&amp;Tipo=2&amp;ST=1&amp;nLang=0</t>
  </si>
  <si>
    <t>https://www.clickideacore.com/ClickHTML5/Visit.aspx?ID=//52DAEwASwAzADgAMQAyADQANwAzADIASQBEAEUAQQAB=&amp;Tipo=2&amp;ST=1&amp;nLang=0</t>
  </si>
  <si>
    <t>https://www.clickideacore.com/ClickHTML5/Visit.aspx?ID=//57DAEwASwAzADgAMQAxADcANwAwADAASQBEAEUAQQAC=&amp;Tipo=2&amp;ST=1&amp;nLang=0</t>
  </si>
  <si>
    <t>https://www.clickideacore.com/ClickHTML5/Visit.aspx?ID=//5DDAEwASwAzADgAMQAxADgANwAzADkASQBEAEUAQQAC=&amp;Tipo=2&amp;ST=1&amp;nLang=0</t>
  </si>
  <si>
    <t>https://www.clickideacore.com/ClickHTML5/Visit.aspx?ID=//5EDAEwASwAzADgAMQA0ADYAMAA0ADQASQBEAEUAQQAC=&amp;Tipo=2&amp;ST=1&amp;nLang=0</t>
  </si>
  <si>
    <t>https://www.clickideacore.com/ClickHTML5/Visit.aspx?ID=//5DDAEwASwAzADgAMQA0ADcAMwA3ADYASQBEAEUAQQAC=&amp;Tipo=2&amp;ST=1&amp;nLang=0</t>
  </si>
  <si>
    <t>https://www.clickideacore.com/ClickHTML5/Visit.aspx?ID=//53DAEwASwAzADgAMQA0ADgAMQA3ADQASQBEAEUAQQAA=&amp;Tipo=2&amp;ST=1&amp;nLang=0</t>
  </si>
  <si>
    <t>https://www.clickideacore.com/ClickHTML5/Visit.aspx?ID=//51DAEwASwAzADgAMQA0ADQAOAA5ADMASQBEAEUAQQA7=&amp;Tipo=2&amp;ST=1&amp;nLang=0</t>
  </si>
  <si>
    <t>https://www.clickideacore.com/ClickHTML5/Visit.aspx?ID=//55DAEwASwAzADgAMQAzADgAOAA4ADgASQBEAEUAQQA2=&amp;Tipo=2&amp;ST=1&amp;nLang=0</t>
  </si>
  <si>
    <t>https://www.clickideacore.com/ClickHTML5/Visit.aspx?ID=//57DAEwASwAzADgAMQA2ADYAMQAwADAASQBEAEUAQQA9=&amp;Tipo=2&amp;ST=1&amp;nLang=0</t>
  </si>
  <si>
    <t>https://www.clickideacore.com/ClickHTML5/Visit.aspx?ID=//5CDAEwASwAzADgAMQA2ADYAMQAwADIASQBEAEUAQQA1=&amp;Tipo=2&amp;ST=1&amp;nLang=0</t>
  </si>
  <si>
    <t>https://www.clickideacore.com/ClickHTML5/Visit.aspx?ID=//50DAEwASwAzADgAMQA2ADkANQA3ADQASQBEAEUAQQAD=&amp;Tipo=2&amp;ST=1&amp;nLang=0</t>
  </si>
  <si>
    <t>https://www.clickideacore.com/ClickHTML5/Visit.aspx?ID=//53DAEwASwAzADgAMQA2ADkANAA2ADMASQBEAEUAQQA8=&amp;Tipo=2&amp;ST=1&amp;nLang=0</t>
  </si>
  <si>
    <t>https://www.clickideacore.com/ClickHTML5/Visit.aspx?ID=//5EDAEwASwAzADgAMQA2ADMANgA0ADYASQBEAEUAQQAE=&amp;Tipo=2&amp;ST=1&amp;nLang=0</t>
  </si>
  <si>
    <t>https://www.clickideacore.com/ClickHTML5/Visit.aspx?ID=//5FDAEwASwAzADgAMQA3ADEAMgA5ADYASQBEAEUAQQAF=&amp;Tipo=2&amp;ST=1&amp;nLang=0</t>
  </si>
  <si>
    <t>https://www.clickideacore.com/ClickHTML5/Visit.aspx?ID=//52DAEwASwAzADgAMQA2ADAAMgA3ADIASQBEAEUAQQA3=&amp;Tipo=2&amp;ST=1&amp;nLang=0</t>
  </si>
  <si>
    <t>https://www.clickideacore.com/ClickHTML5/Visit.aspx?ID=//5EDAEwASwAzADgAMQA5ADEAMQA1ADEASQBEAEUAQQA3=&amp;Tipo=2&amp;ST=1&amp;nLang=0</t>
  </si>
  <si>
    <t>https://www.clickideacore.com/ClickHTML5/Visit.aspx?ID=//51DAEwASwAzADgAMQA5ADAANAA0ADMASQBEAEUAQQAA=&amp;Tipo=2&amp;ST=1&amp;nLang=0</t>
  </si>
  <si>
    <t>https://www.clickideacore.com/ClickHTML5/Visit.aspx?ID=//5CDAEwASwAzADgAMQA4ADkAMgA3ADUASQBEAEUAQQA3=&amp;Tipo=2&amp;ST=1&amp;nLang=0</t>
  </si>
  <si>
    <t>https://www.clickideacore.com/ClickHTML5/Visit.aspx?ID=//59DAEwASwAzADgAMQA4ADkANgAyADkASQBEAEUAQQA3=&amp;Tipo=2&amp;ST=1&amp;nLang=0</t>
  </si>
  <si>
    <t>https://www.clickideacore.com/ClickHTML5/Visit.aspx?ID=//59DAEwASwAzADgAMQA5ADEANgA0ADgASQBEAEUAQQA0=&amp;Tipo=2&amp;ST=1&amp;nLang=0</t>
  </si>
  <si>
    <t>https://www.clickideacore.com/ClickHTML5/Visit.aspx?ID=//5DDAEwASwAzADgAMQA5ADEAOAAyADEASQBEAEUAQQA2=&amp;Tipo=2&amp;ST=1&amp;nLang=0</t>
  </si>
  <si>
    <t>https://www.clickideacore.com/ClickHTML5/Visit.aspx?ID=//57DAEwASwAzADgAMQA4ADEANwAzADAASQBEAEUAQQA9=&amp;Tipo=2&amp;ST=1&amp;nLang=0</t>
  </si>
  <si>
    <t>https://www.clickideacore.com/ClickHTML5/Visit.aspx?ID=//5EDAEwASwAzADgAMgAwADUANQAxADkASQBEAEUAQQA5=&amp;Tipo=2&amp;ST=1&amp;nLang=0</t>
  </si>
  <si>
    <t>https://www.clickideacore.com/ClickHTML5/Visit.aspx?ID=//55DAEwASwAzADgAMgAwADYAMQAzADkASQBEAEUAQQA8=&amp;Tipo=2&amp;ST=1&amp;nLang=0</t>
  </si>
  <si>
    <t>https://www.clickideacore.com/ClickHTML5/Visit.aspx?ID=//5FDAEwASwAzADgAMgAwADcAMAA2ADQASQBEAEUAQQAE=&amp;Tipo=2&amp;ST=1&amp;nLang=0</t>
  </si>
  <si>
    <t>https://www.clickideacore.com/ClickHTML5/Visit.aspx?ID=//52DAEwASwAzADgAMgAwADUAOQA4ADEASQBEAEUAQQA2=&amp;Tipo=2&amp;ST=1&amp;nLang=0</t>
  </si>
  <si>
    <t>https://www.clickideacore.com/ClickHTML5/Visit.aspx?ID=//5EDAEwASwAzADgAMgAwADcAMgAxADMASQBEAEUAQQAB=&amp;Tipo=2&amp;ST=1&amp;nLang=0</t>
  </si>
  <si>
    <t>https://www.clickideacore.com/ClickHTML5/Visit.aspx?ID=//5ADAEwASwAzADgAMgAxADUANQAxADUASQBEAEUAQQA2=&amp;Tipo=2&amp;ST=1&amp;nLang=0</t>
  </si>
  <si>
    <t>https://www.clickideacore.com/ClickHTML5/Visit.aspx?ID=//54DAEwASwAzADgAMgAxADUAMgA3ADMASQBEAEUAQQAE=&amp;Tipo=2&amp;ST=1&amp;nLang=0</t>
  </si>
  <si>
    <t>https://www.clickideacore.com/ClickHTML5/Visit.aspx?ID=//52DAEwASwAzADgAMgAzADgAMgA1ADkASQBEAEUAQQA5=&amp;Tipo=2&amp;ST=1&amp;nLang=0</t>
  </si>
  <si>
    <t>https://www.clickideacore.com/ClickHTML5/Visit.aspx?ID=//5BDAEwASwAzADgAMgAzADQAOAAxADMASQBEAEUAQQA9=&amp;Tipo=2&amp;ST=1&amp;nLang=0</t>
  </si>
  <si>
    <t>https://www.clickideacore.com/ClickHTML5/Visit.aspx?ID=//5DDAEwASwAzADgAMgAyADkAOAAxADUASQBEAEUAQQA1=&amp;Tipo=2&amp;ST=1&amp;nLang=0</t>
  </si>
  <si>
    <t>https://www.clickideacore.com/ClickHTML5/Visit.aspx?ID=//51DAEwASwAzADgAMgAzADAAMQAyADkASQBEAEUAQQAF=&amp;Tipo=2&amp;ST=1&amp;nLang=0</t>
  </si>
  <si>
    <t>https://www.clickideacore.com/ClickHTML5/Visit.aspx?ID=//5DDAEwASwAzADgAMgAyADIAMQA1ADgASQBEAEUAQQA0=&amp;Tipo=2&amp;ST=1&amp;nLang=0</t>
  </si>
  <si>
    <t>https://www.clickideacore.com/ClickHTML5/Visit.aspx?ID=//53DAEwASwAzADgAMgA1ADgAOAA3ADIASQBEAEUAQQAB=&amp;Tipo=2&amp;ST=1&amp;nLang=0</t>
  </si>
  <si>
    <t>https://www.clickideacore.com/ClickHTML5/Visit.aspx?ID=//53DAEwASwAzADgAMgA1ADYAMQAzADUASQBEAEUAQQA1=&amp;Tipo=2&amp;ST=1&amp;nLang=0</t>
  </si>
  <si>
    <t>https://www.clickideacore.com/ClickHTML5/Visit.aspx?ID=//5EDAEwASwAzADgAMgA1ADYANwAwADMASQBEAEUAQQA4=&amp;Tipo=2&amp;ST=1&amp;nLang=0</t>
  </si>
  <si>
    <t>https://www.clickideacore.com/ClickHTML5/Visit.aspx?ID=//5EDAEwASwAzADgAMgA1ADQANwAxADkASQBEAEUAQQAC=&amp;Tipo=2&amp;ST=1&amp;nLang=0</t>
  </si>
  <si>
    <t>https://www.clickideacore.com/ClickHTML5/Visit.aspx?ID=//54DAEwASwAzADgAMgA3ADgANwAyADkASQBEAEUAQQA6=&amp;Tipo=2&amp;ST=1&amp;nLang=0</t>
  </si>
  <si>
    <t>Daniel Diaz</t>
  </si>
  <si>
    <t>https://www.clickideacore.com/ClickHTML5/Visit.aspx?ID=//51DAEwASwAzADgAMgA3ADkAMwA0ADcASQBEAEUAQQA9=&amp;Tipo=2&amp;ST=1&amp;nLang=0</t>
  </si>
  <si>
    <t>https://www.clickideacore.com/ClickHTML5/Visit.aspx?ID=//5CDAEwASwAzADgAMgA4ADIANgA3ADkASQBEAEUAQQAF=&amp;Tipo=2&amp;ST=1&amp;nLang=0</t>
  </si>
  <si>
    <t>https://www.clickideacore.com/ClickHTML5/Visit.aspx?ID=//55DAEwASwAzADgAMwAwADMANQA2ADIASQBEAEUAQQA4=&amp;Tipo=2&amp;ST=1&amp;nLang=0</t>
  </si>
  <si>
    <t>https://www.clickideacore.com/ClickHTML5/Visit.aspx?ID=//5EDAEwASwAzADgAMwAwADIAMwA3ADEASQBEAEUAQQA8=&amp;Tipo=2&amp;ST=1&amp;nLang=0</t>
  </si>
  <si>
    <t>https://www.clickideacore.com/ClickHTML5/Visit.aspx?ID=//5ADAEwASwAzADgAMwAwADMANgA5ADMASQBEAEUAQQA3=&amp;Tipo=2&amp;ST=1&amp;nLang=0</t>
  </si>
  <si>
    <t>https://www.clickideacore.com/ClickHTML5/Visit.aspx?ID=//59DAEwASwAzADgAMwAwADgANgA4ADkASQBEAEUAQQAF=&amp;Tipo=2&amp;ST=1&amp;nLang=0</t>
  </si>
  <si>
    <t>https://www.clickideacore.com/ClickHTML5/Visit.aspx?ID=//5ADAEwASwAzADgAMgA5ADkAMAAwADAASQBEAEUAQQA0=&amp;Tipo=2&amp;ST=1&amp;nLang=0</t>
  </si>
  <si>
    <t>https://www.clickideacore.com/ClickHTML5/Visit.aspx?ID=//5EDAEwASwAzADgAMwAwADcAMwAxADUASQBEAEUAQQAF=&amp;Tipo=2&amp;ST=1&amp;nLang=0</t>
  </si>
  <si>
    <t>https://www.clickideacore.com/ClickHTML5/Visit.aspx?ID=//53DAEwASwAzADgAMwAyADUAOAAyADgASQBEAEUAQQAB=&amp;Tipo=2&amp;ST=1&amp;nLang=0</t>
  </si>
  <si>
    <t>https://www.clickideacore.com/ClickHTML5/Visit.aspx?ID=//5ADAEwASwAzADgAMwAyADgAOQAzADIASQBEAEUAQQA2=&amp;Tipo=2&amp;ST=1&amp;nLang=0</t>
  </si>
  <si>
    <t>https://www.clickideacore.com/ClickHTML5/Visit.aspx?ID=//5EDAEwASwAzADgAMwAyADgANwAxADEASQBEAEUAQQA9=&amp;Tipo=2&amp;ST=1&amp;nLang=0</t>
  </si>
  <si>
    <t>https://www.clickideacore.com/ClickHTML5/Visit.aspx?ID=//54DAEwASwAzADgAMwAyADQANgA2ADcASQBEAEUAQQA9=&amp;Tipo=2&amp;ST=1&amp;nLang=0</t>
  </si>
  <si>
    <t>https://www.clickideacore.com/ClickHTML5/Visit.aspx?ID=//5ADAEwASwAzADgAMwAyADQAMQAzADIASQBEAEUAQQAD=&amp;Tipo=2&amp;ST=1&amp;nLang=0</t>
  </si>
  <si>
    <t>https://www.clickideacore.com/ClickHTML5/Visit.aspx?ID=//5CDAEwASwAzADgAMwAyADQAOQAyADQASQBEAEUAQQA5=&amp;Tipo=2&amp;ST=1&amp;nLang=0</t>
  </si>
  <si>
    <t>https://www.clickideacore.com/ClickHTML5/Visit.aspx?ID=//5FDAEwASwAzADgAMwAxADgAOAAxADQASQBEAEUAQQA1=&amp;Tipo=2&amp;ST=1&amp;nLang=0</t>
  </si>
  <si>
    <t>https://www.clickideacore.com/ClickHTML5/Visit.aspx?ID=//51DAEwASwAzADgAMwA0ADIAMwAxADQASQBEAEUAQQA9=&amp;Tipo=2&amp;ST=1&amp;nLang=0</t>
  </si>
  <si>
    <t>https://www.clickideacore.com/ClickHTML5/Visit.aspx?ID=//57DAEwASwAzADgAMwA0ADEAOQA3ADAASQBEAEUAQQAA=&amp;Tipo=2&amp;ST=1&amp;nLang=0</t>
  </si>
  <si>
    <t>https://www.clickideacore.com/ClickHTML5/Visit.aspx?ID=//5FDAEwASwAzADgAMwA0ADIANQAyADAASQBEAEUAQQA5=&amp;Tipo=2&amp;ST=1&amp;nLang=0</t>
  </si>
  <si>
    <t>https://www.clickideacore.com/ClickHTML5/Visit.aspx?ID=//52DAEwASwAzADgAMwA0ADIANQA5ADAASQBEAEUAQQAB=&amp;Tipo=2&amp;ST=1&amp;nLang=0</t>
  </si>
  <si>
    <t>https://www.clickideacore.com/ClickHTML5/Visit.aspx?ID=//5CDAEwASwAzADgAMwA0ADEAMwA5ADYASQBEAEUAQQA6=&amp;Tipo=2&amp;ST=1&amp;nLang=0</t>
  </si>
  <si>
    <t>https://www.clickideacore.com/ClickHTML5/Visit.aspx?ID=//50DAEwASwAzADgAMwA1ADEANgAwADQASQBEAEUAQQAE=&amp;Tipo=2&amp;ST=1&amp;nLang=0</t>
  </si>
  <si>
    <t>https://www.clickideacore.com/ClickHTML5/Visit.aspx?ID=//56DAEwASwAzADgAMwA1ADEAMgA0ADUASQBEAEUAQQAB=&amp;Tipo=2&amp;ST=1&amp;nLang=0</t>
  </si>
  <si>
    <t>https://www.clickideacore.com/ClickHTML5/Visit.aspx?ID=//53DAEwASwAzADgAMwA1ADAANQA2ADAASQBEAEUAQQA3=&amp;Tipo=2&amp;ST=1&amp;nLang=0</t>
  </si>
  <si>
    <t>https://www.clickideacore.com/ClickHTML5/Visit.aspx?ID=//56DAEwASwAzADgAMwA1ADAANwAzADUASQBEAEUAQQAC=&amp;Tipo=2&amp;ST=1&amp;nLang=0</t>
  </si>
  <si>
    <t>https://www.clickideacore.com/ClickHTML5/Visit.aspx?ID=//57DAEwASwAzADgAMwA1ADEAMQAyADkASQBEAEUAQQA7=&amp;Tipo=2&amp;ST=1&amp;nLang=0</t>
  </si>
  <si>
    <t>https://www.clickideacore.com/ClickHTML5/Visit.aspx?ID=//55DAEwASwAzADgAMwA1ADAANgA4ADkASQBEAEUAQQA9=&amp;Tipo=2&amp;ST=1&amp;nLang=0</t>
  </si>
  <si>
    <t>https://www.clickideacore.com/ClickHTML5/Visit.aspx?ID=//5BDAEwASwAzADgAMwA2ADEAOAAxADYASQBEAEUAQQA8=&amp;Tipo=2&amp;ST=1&amp;nLang=0</t>
  </si>
  <si>
    <t>https://www.clickideacore.com/ClickHTML5/Visit.aspx?ID=//57DAEwASwAzADgAMwA2ADcANQA5ADUASQBEAEUAQQAE=&amp;Tipo=2&amp;ST=1&amp;nLang=0</t>
  </si>
  <si>
    <t>https://www.clickideacore.com/ClickHTML5/Visit.aspx?ID=//5EDAEwASwAzADgAMwA2ADcAOAA5ADMASQBEAEUAQQAC=&amp;Tipo=2&amp;ST=1&amp;nLang=0</t>
  </si>
  <si>
    <t>https://www.clickideacore.com/ClickHTML5/Visit.aspx?ID=//5FDAEwASwAzADgAMwA2ADMAMAA0ADkASQBEAEUAQQA5=&amp;Tipo=2&amp;ST=1&amp;nLang=0</t>
  </si>
  <si>
    <t>https://www.clickideacore.com/ClickHTML5/Visit.aspx?ID=//52DAEwASwAzADgAMwA1ADkAOQAxADcASQBEAEUAQQAA=&amp;Tipo=2&amp;ST=1&amp;nLang=0</t>
  </si>
  <si>
    <t>https://www.clickideacore.com/ClickHTML5/Visit.aspx?ID=//52DAEwASwAzADgAMwA5ADYANgAzADcASQBEAEUAQQA3=&amp;Tipo=2&amp;ST=1&amp;nLang=0</t>
  </si>
  <si>
    <t>https://www.clickideacore.com/ClickHTML5/Visit.aspx?ID=//5ADAEwASwAzADgAMwA4ADUAOAAwADAASQBEAEUAQQA8=&amp;Tipo=2&amp;ST=1&amp;nLang=0</t>
  </si>
  <si>
    <t>https://www.clickideacore.com/ClickHTML5/Visit.aspx?ID=//50DAEwASwAzADgAMwA5ADAAOAA0ADIASQBEAEUAQQAB=&amp;Tipo=2&amp;ST=1&amp;nLang=0</t>
  </si>
  <si>
    <t>https://www.clickideacore.com/ClickHTML5/Visit.aspx?ID=//5CDAEwASwAzADgAMwA5ADEAMQAxADcASQBEAEUAQQA8=&amp;Tipo=2&amp;ST=1&amp;nLang=0</t>
  </si>
  <si>
    <t>https://www.clickideacore.com/ClickHTML5/Visit.aspx?ID=//57DAEwASwAzADgAMwA5ADAAMwA5ADMASQBEAEUAQQA5=&amp;Tipo=2&amp;ST=1&amp;nLang=0</t>
  </si>
  <si>
    <t>https://www.clickideacore.com/ClickHTML5/Visit.aspx?ID=//5BDAEwASwAzADgANAAxADIAMQA0ADMASQBEAEUAQQA7=&amp;Tipo=2&amp;ST=1&amp;nLang=0</t>
  </si>
  <si>
    <t>https://www.clickideacore.com/ClickHTML5/Visit.aspx?ID=//52DAEwASwAzADgANAAxADQAMwAxADMASQBEAEUAQQAF=&amp;Tipo=2&amp;ST=1&amp;nLang=0</t>
  </si>
  <si>
    <t>https://www.clickideacore.com/ClickHTML5/Visit.aspx?ID=//58DAEwASwAzADgANAAxADUAMAA2ADkASQBEAEUAQQA8=&amp;Tipo=2&amp;ST=1&amp;nLang=0</t>
  </si>
  <si>
    <t>https://www.clickideacore.com/ClickHTML5/Visit.aspx?ID=//5FDAEwASwAzADgANAA0ADIAOAA2ADQASQBEAEUAQQA4=&amp;Tipo=2&amp;ST=1&amp;nLang=0</t>
  </si>
  <si>
    <t>https://www.clickideacore.com/ClickHTML5/Visit.aspx?ID=//59DAEwASwAzADgANAA0ADQANwA4ADkASQBEAEUAQQA5=&amp;Tipo=2&amp;ST=1&amp;nLang=0</t>
  </si>
  <si>
    <t>https://www.clickideacore.com/ClickHTML5/Visit.aspx?ID=//58DAEwASwAzADgANAAzADkAOAAyADMASQBEAEUAQQA9=&amp;Tipo=2&amp;ST=1&amp;nLang=0</t>
  </si>
  <si>
    <t>https://www.clickideacore.com/ClickHTML5/Visit.aspx?ID=//5DDAEwASwAzADgANAA0ADMANgAzADYASQBEAEUAQQA7=&amp;Tipo=2&amp;ST=1&amp;nLang=0</t>
  </si>
  <si>
    <t>https://www.clickideacore.com/ClickHTML5/Visit.aspx?ID=//5FDAEwASwAzADgANAAzADkAMAAyADQASQBEAEUAQQA0=&amp;Tipo=2&amp;ST=1&amp;nLang=0</t>
  </si>
  <si>
    <t>https://www.clickideacore.com/ClickHTML5/Visit.aspx?ID=//51DAEwASwAzADgANAA0ADAAMAA1ADQASQBEAEUAQQA7=&amp;Tipo=2&amp;ST=1&amp;nLang=0</t>
  </si>
  <si>
    <t>https://www.clickideacore.com/ClickHTML5/Visit.aspx?ID=//53DAEwASwAzADgANAAzADUAOAA4ADgASQBEAEUAQQA9=&amp;Tipo=2&amp;ST=1&amp;nLang=0</t>
  </si>
  <si>
    <t>https://www.clickideacore.com/ClickHTML5/Visit.aspx?ID=//5FDAEwASwAzADgANAA0ADEAMQA5ADYASQBEAEUAQQA9=&amp;Tipo=2&amp;ST=1&amp;nLang=0</t>
  </si>
  <si>
    <t>https://www.clickideacore.com/ClickHTML5/Visit.aspx?ID=//5DDAEwASwAzADgANAA1ADgANgAxADIASQBEAEUAQQAD=&amp;Tipo=2&amp;ST=1&amp;nLang=0</t>
  </si>
  <si>
    <t>https://www.clickideacore.com/ClickHTML5/Visit.aspx?ID=//52DAEwASwAzADgANAA1ADcAOAA3ADMASQBEAEUAQQA7=&amp;Tipo=2&amp;ST=1&amp;nLang=0</t>
  </si>
  <si>
    <t>https://www.clickideacore.com/ClickHTML5/Visit.aspx?ID=//5BDAEwASwAzADgANAA2ADUAMAAzADQASQBEAEUAQQA3=&amp;Tipo=2&amp;ST=1&amp;nLang=0</t>
  </si>
  <si>
    <t>https://www.clickideacore.com/ClickHTML5/Visit.aspx?ID=//50DAEwASwAzADgANAA2ADEAMgA3ADcASQBEAEUAQQA0=&amp;Tipo=2&amp;ST=1&amp;nLang=0</t>
  </si>
  <si>
    <t>https://www.clickideacore.com/ClickHTML5/Visit.aspx?ID=//51DAEwASwAzADgANAA2ADMANAAwADMASQBEAEUAQQAD=&amp;Tipo=2&amp;ST=1&amp;nLang=0</t>
  </si>
  <si>
    <t>https://www.clickideacore.com/ClickHTML5/Visit.aspx?ID=//59DAEwASwAzADgANAA4ADAAMAAwADAASQBEAEUAQQAD=&amp;Tipo=2&amp;ST=1&amp;nLang=0</t>
  </si>
  <si>
    <t>https://www.clickideacore.com/ClickHTML5/Visit.aspx?ID=//5BDAEwASwAzADgANAA3ADgANQA0ADQASQBEAEUAQQAC=&amp;Tipo=2&amp;ST=1&amp;nLang=0</t>
  </si>
  <si>
    <t>https://www.clickideacore.com/ClickHTML5/Visit.aspx?ID=//57DAEwASwAzADgANAA4ADAAOQA2ADAASQBEAEUAQQAD=&amp;Tipo=2&amp;ST=1&amp;nLang=0</t>
  </si>
  <si>
    <t>https://www.clickideacore.com/ClickHTML5/Visit.aspx?ID=//51DAEwASwAzADgANAA3ADcAOQA4ADgASQBEAEUAQQAD=&amp;Tipo=2&amp;ST=1&amp;nLang=0</t>
  </si>
  <si>
    <t>https://www.clickideacore.com/ClickHTML5/Visit.aspx?ID=//54DAEwASwAzADgANAA4ADgAMwA3ADcASQBEAEUAQQA6=&amp;Tipo=2&amp;ST=1&amp;nLang=0</t>
  </si>
  <si>
    <t>https://www.clickideacore.com/ClickHTML5/Visit.aspx?ID=//5EDAEwASwAzADgANAA4ADYAOQA2ADMASQBEAEUAQQA2=&amp;Tipo=2&amp;ST=1&amp;nLang=0</t>
  </si>
  <si>
    <t>https://www.clickideacore.com/ClickHTML5/Visit.aspx?ID=//58DAEwASwAzADgANAA4ADcAMQA2ADcASQBEAEUAQQA7=&amp;Tipo=2&amp;ST=1&amp;nLang=0</t>
  </si>
  <si>
    <t>https://www.clickideacore.com/ClickHTML5/Visit.aspx?ID=//5DDAEwASwAzADgANAA4ADcANAAzADMASQBEAEUAQQAC=&amp;Tipo=2&amp;ST=1&amp;nLang=0</t>
  </si>
  <si>
    <t>https://www.clickideacore.com/ClickHTML5/Visit.aspx?ID=//56DAEwASwAzADgANQAwADgANQAyADYASQBEAEUAQQA5=&amp;Tipo=2&amp;ST=1&amp;nLang=0</t>
  </si>
  <si>
    <t>https://www.clickideacore.com/ClickHTML5/Visit.aspx?ID=//59DAEwASwAzADgANQAwADIAOAA4ADMASQBEAEUAQQAB=&amp;Tipo=2&amp;ST=1&amp;nLang=0</t>
  </si>
  <si>
    <t>https://www.clickideacore.com/ClickHTML5/Visit.aspx?ID=//54DAEwASwAzADgANAA5ADkAMQA4ADUASQBEAEUAQQA1=&amp;Tipo=2&amp;ST=1&amp;nLang=0</t>
  </si>
  <si>
    <t>https://www.clickideacore.com/ClickHTML5/Visit.aspx?ID=//53DAEwASwAzADgANAA4ADkANAA1ADYASQBEAEUAQQA6=&amp;Tipo=2&amp;ST=1&amp;nLang=0</t>
  </si>
  <si>
    <t>https://www.clickideacore.com/ClickHTML5/Visit.aspx?ID=//59DAEwASwAzADgANQAzADIANwA5ADgASQBEAEUAQQA1=&amp;Tipo=2&amp;ST=1&amp;nLang=0</t>
  </si>
  <si>
    <t>https://www.clickideacore.com/ClickHTML5/Visit.aspx?ID=//50DAEwASwAzADgANQAyADkAMwA3ADEASQBEAEUAQQAB=&amp;Tipo=2&amp;ST=1&amp;nLang=0</t>
  </si>
  <si>
    <t>https://www.clickideacore.com/ClickHTML5/Visit.aspx?ID=//57DAEwASwAzADgANQAzADEANwA3ADEASQBEAEUAQQAC=&amp;Tipo=2&amp;ST=1&amp;nLang=0</t>
  </si>
  <si>
    <t>https://www.clickideacore.com/ClickHTML5/Visit.aspx?ID=//59DAEwASwAzADgANQAzADEAOQAzADgASQBEAEUAQQA4=&amp;Tipo=2&amp;ST=1&amp;nLang=0</t>
  </si>
  <si>
    <t>https://www.clickideacore.com/ClickHTML5/Visit.aspx?ID=//52DAEwASwAzADgANQAyADkAMwAzADYASQBEAEUAQQAF=&amp;Tipo=2&amp;ST=1&amp;nLang=0</t>
  </si>
  <si>
    <t>https://www.clickideacore.com/ClickHTML5/Visit.aspx?ID=//54DAEwASwAzADgANQAzADEANwA3ADIASQBEAEUAQQA2=&amp;Tipo=2&amp;ST=1&amp;nLang=0</t>
  </si>
  <si>
    <t>https://www.clickideacore.com/ClickHTML5/Visit.aspx?ID=//5CDAEwASwAzADgANQA1ADkAMwA4ADkASQBEAEUAQQAE=&amp;Tipo=2&amp;ST=1&amp;nLang=0</t>
  </si>
  <si>
    <t>https://www.clickideacore.com/ClickHTML5/Visit.aspx?ID=//52DAEwASwAzADgANQA1ADcAOAA0ADQASQBEAEUAQQA5=&amp;Tipo=2&amp;ST=1&amp;nLang=0</t>
  </si>
  <si>
    <t>https://www.clickideacore.com/ClickHTML5/Visit.aspx?ID=//5EDAEwASwAzADgANQA1ADYAOQA4ADMASQBEAEUAQQAF=&amp;Tipo=2&amp;ST=1&amp;nLang=0</t>
  </si>
  <si>
    <t>OP-S-77</t>
  </si>
  <si>
    <t>https://www.clickideacore.com/ClickHTML5/Visit.aspx?ID=//56DAEwASwAzADgANQA1ADQAMQA4ADEASQBEAEUAQQAE=&amp;Tipo=2&amp;ST=1&amp;nLang=0</t>
  </si>
  <si>
    <t>https://www.clickideacore.com/ClickHTML5/Visit.aspx?ID=//56DAEwASwAzADgANQA1ADAANwA5ADkASQBEAEUAQQA9=&amp;Tipo=2&amp;ST=1&amp;nLang=0</t>
  </si>
  <si>
    <t>https://www.clickideacore.com/ClickHTML5/Visit.aspx?ID=//5FDAEwASwAzADgANQA3ADUANAA3ADYASQBEAEUAQQA1=&amp;Tipo=2&amp;ST=1&amp;nLang=0</t>
  </si>
  <si>
    <t>https://www.clickideacore.com/ClickHTML5/Visit.aspx?ID=//50DAEwASwAzADgANQA3ADcAMAA5ADQASQBEAEUAQQAF=&amp;Tipo=2&amp;ST=1&amp;nLang=0</t>
  </si>
  <si>
    <t>https://www.clickideacore.com/ClickHTML5/Visit.aspx?ID=//57DAEwASwAzADgANQA3ADEANgAyADQASQBEAEUAQQA9=&amp;Tipo=2&amp;ST=1&amp;nLang=0</t>
  </si>
  <si>
    <t>https://www.clickideacore.com/ClickHTML5/Visit.aspx?ID=//52DAEwASwAzADgANQA3ADcANAA3ADgASQBEAEUAQQA9=&amp;Tipo=2&amp;ST=1&amp;nLang=0</t>
  </si>
  <si>
    <t>https://www.clickideacore.com/ClickHTML5/Visit.aspx?ID=//53DAEwASwAzADgANQA4ADIANgAyADYASQBEAEUAQQA2=&amp;Tipo=2&amp;ST=1&amp;nLang=0</t>
  </si>
  <si>
    <t>https://www.clickideacore.com/ClickHTML5/Visit.aspx?ID=//57DAEwASwAzADgANgAwADIAMAA5ADEASQBEAEUAQQA2=&amp;Tipo=2&amp;ST=1&amp;nLang=0</t>
  </si>
  <si>
    <t>https://www.clickideacore.com/ClickHTML5/Visit.aspx?ID=//5EDAEwASwAzADgANQA5ADkAMgA5ADAASQBEAEUAQQAC=&amp;Tipo=2&amp;ST=1&amp;nLang=0</t>
  </si>
  <si>
    <t>https://www.clickideacore.com/ClickHTML5/Visit.aspx?ID=//5FDAEwASwAzADgANgAwADAAMgA2ADIASQBEAEUAQQAC=&amp;Tipo=2&amp;ST=1&amp;nLang=0</t>
  </si>
  <si>
    <t>https://www.clickideacore.com/ClickHTML5/Visit.aspx?ID=//55DAEwASwAzADgANgAwADMAMwAzADYASQBEAEUAQQAA=&amp;Tipo=2&amp;ST=1&amp;nLang=0</t>
  </si>
  <si>
    <t>https://www.clickideacore.com/ClickHTML5/Visit.aspx?ID=//58DAEwASwAzADgANQA5ADgAMAAwADkASQBEAEUAQQA5=&amp;Tipo=2&amp;ST=1&amp;nLang=0</t>
  </si>
  <si>
    <t>https://www.clickideacore.com/ClickHTML5/Visit.aspx?ID=//5BDAEwASwAzADgANgAwADMAMgA4ADEASQBEAEUAQQA7=&amp;Tipo=2&amp;ST=1&amp;nLang=0</t>
  </si>
  <si>
    <t>https://www.clickideacore.com/ClickHTML5/Visit.aspx?ID=//55DAEwASwAzADgANgAxADcAMwAwADAASQBEAEUAQQA3=&amp;Tipo=2&amp;ST=1&amp;nLang=0</t>
  </si>
  <si>
    <t>https://www.clickideacore.com/ClickHTML5/Visit.aspx?ID=//5CDAEwASwAzADgANgAxADgANAAwADEASQBEAEUAQQA9=&amp;Tipo=2&amp;ST=1&amp;nLang=0</t>
  </si>
  <si>
    <t>https://www.clickideacore.com/ClickHTML5/Visit.aspx?ID=//5BDAEwASwAzADgANgAxADcAMQAyADUASQBEAEUAQQA6=&amp;Tipo=2&amp;ST=1&amp;nLang=0</t>
  </si>
  <si>
    <t>https://www.clickideacore.com/ClickHTML5/Visit.aspx?ID=//56DAEwASwAzADgANgAxADUAMwAyADAASQBEAEUAQQAE=&amp;Tipo=2&amp;ST=1&amp;nLang=0</t>
  </si>
  <si>
    <t>https://www.clickideacore.com/ClickHTML5/Visit.aspx?ID=//5BDAEwASwAzADgANgAxADgAMQA5ADIASQBEAEUAQQAC=&amp;Tipo=2&amp;ST=1&amp;nLang=0</t>
  </si>
  <si>
    <t>https://www.clickideacore.com/ClickHTML5/Visit.aspx?ID=//5EDAEwASwAzADgANgAyADUAMgA4ADcASQBEAEUAQQA5=&amp;Tipo=2&amp;ST=1&amp;nLang=0</t>
  </si>
  <si>
    <t>https://www.clickideacore.com/ClickHTML5/Visit.aspx?ID=//50DAEwASwAzADgANgAyADYAMAA1ADYASQBEAEUAQQA1=&amp;Tipo=2&amp;ST=1&amp;nLang=0</t>
  </si>
  <si>
    <t>https://www.clickideacore.com/ClickHTML5/Visit.aspx?ID=//5CDAEwASwAzADgANgAyADUAMwA3ADMASQBEAEUAQQA3=&amp;Tipo=2&amp;ST=1&amp;nLang=0</t>
  </si>
  <si>
    <t>https://www.clickideacore.com/ClickHTML5/Visit.aspx?ID=//59DAEwASwAzADgANgAyADYANgA3ADAASQBEAEUAQQAF=&amp;Tipo=2&amp;ST=1&amp;nLang=0</t>
  </si>
  <si>
    <t>https://www.clickideacore.com/ClickHTML5/Visit.aspx?ID=//51DAEwASwAzADgANgAyADcAMAA1ADIASQBEAEUAQQAD=&amp;Tipo=2&amp;ST=1&amp;nLang=0</t>
  </si>
  <si>
    <t>https://www.clickideacore.com/ClickHTML5/Visit.aspx?ID=//53DAEwASwAzADgANgAzADkAOAAyADIASQBEAEUAQQA0=&amp;Tipo=2&amp;ST=1&amp;nLang=0</t>
  </si>
  <si>
    <t>https://www.clickideacore.com/ClickHTML5/Visit.aspx?ID=//5CDAEwASwAzADgANgAzADgAOQA4ADcASQBEAEUAQQA8=&amp;Tipo=2&amp;ST=1&amp;nLang=0</t>
  </si>
  <si>
    <t>https://www.clickideacore.com/ClickHTML5/Visit.aspx?ID=//5ADAEwASwAzADgANgAzADkANAAwADEASQBEAEUAQQAA=&amp;Tipo=2&amp;ST=1&amp;nLang=0</t>
  </si>
  <si>
    <t>https://www.clickideacore.com/ClickHTML5/Visit.aspx?ID=//52DAEwASwAzADgANgA2ADcAMQAxADIASQBEAEUAQQAA=&amp;Tipo=2&amp;ST=1&amp;nLang=0</t>
  </si>
  <si>
    <t>https://www.clickideacore.com/ClickHTML5/Visit.aspx?ID=//5EDAEwASwAzADgANgA2ADQAOQA1ADIASQBEAEUAQQA5=&amp;Tipo=2&amp;ST=1&amp;nLang=0</t>
  </si>
  <si>
    <t>https://www.clickideacore.com/ClickHTML5/Visit.aspx?ID=//5CDAEwASwAzADgANgA3ADIAMQA1ADYASQBEAEUAQQA1=&amp;Tipo=2&amp;ST=1&amp;nLang=0</t>
  </si>
  <si>
    <t>https://www.clickideacore.com/ClickHTML5/Visit.aspx?ID=//50DAEwASwAzADgANgA2ADcAMwAzADEASQBEAEUAQQA3=&amp;Tipo=2&amp;ST=1&amp;nLang=0</t>
  </si>
  <si>
    <t>https://www.clickideacore.com/ClickHTML5/Visit.aspx?ID=//5ADAEwASwAzADgANgA3ADUANgAxADUASQBEAEUAQQAD=&amp;Tipo=2&amp;ST=1&amp;nLang=0</t>
  </si>
  <si>
    <t>https://www.clickideacore.com/ClickHTML5/Visit.aspx?ID=//5DDAEwASwAzADgANgA2ADcAMAAxADEASQBEAEUAQQAA=&amp;Tipo=2&amp;ST=1&amp;nLang=0</t>
  </si>
  <si>
    <t>https://www.clickideacore.com/ClickHTML5/Visit.aspx?ID=//56DAEwASwAzADgANgA5ADEANgAxADMASQBEAEUAQQA2=&amp;Tipo=2&amp;ST=1&amp;nLang=0</t>
  </si>
  <si>
    <t>https://www.clickideacore.com/ClickHTML5/Visit.aspx?ID=//5ADAEwASwAzADgANgA4ADQANwA5ADUASQBEAEUAQQA3=&amp;Tipo=2&amp;ST=1&amp;nLang=0</t>
  </si>
  <si>
    <t>https://www.clickideacore.com/ClickHTML5/Visit.aspx?ID=//5DDAEwASwAzADgANgA5ADIANQA5ADcASQBEAEUAQQA1=&amp;Tipo=2&amp;ST=1&amp;nLang=0</t>
  </si>
  <si>
    <t>https://www.clickideacore.com/ClickHTML5/Visit.aspx?ID=//5EDAEwASwAzADgANgA5ADMAOAA0ADgASQBEAEUAQQAA=&amp;Tipo=2&amp;ST=1&amp;nLang=0</t>
  </si>
  <si>
    <t>https://www.clickideacore.com/ClickHTML5/Visit.aspx?ID=//5CDAEwASwAzADgANgA5ADAAMQAxADEASQBEAEUAQQA0=&amp;Tipo=2&amp;ST=1&amp;nLang=0</t>
  </si>
  <si>
    <t>https://www.clickideacore.com/ClickHTML5/Visit.aspx?ID=//5BDAEwASwAzADgANwAxADYANgAzADUASQBEAEUAQQAD=&amp;Tipo=2&amp;ST=1&amp;nLang=0</t>
  </si>
  <si>
    <t>https://www.clickideacore.com/ClickHTML5/Visit.aspx?ID=//51DAEwASwAzADgANwAyADAANQA5ADEASQBEAEUAQQAA=&amp;Tipo=2&amp;ST=1&amp;nLang=0</t>
  </si>
  <si>
    <t>https://www.clickideacore.com/ClickHTML5/Visit.aspx?ID=//50DAEwASwAzADgANwAxADUAOQAwADUASQBEAEUAQQA6=&amp;Tipo=2&amp;ST=1&amp;nLang=0</t>
  </si>
  <si>
    <t>https://www.clickideacore.com/ClickHTML5/Visit.aspx?ID=//58DAEwASwAzADgANwAxADcANgA4ADQASQBEAEUAQQA8=&amp;Tipo=2&amp;ST=1&amp;nLang=0</t>
  </si>
  <si>
    <t>https://www.clickideacore.com/ClickHTML5/Visit.aspx?ID=//53DAEwASwAzADgANwAxADQANwAzADMASQBEAEUAQQA8=&amp;Tipo=2&amp;ST=1&amp;nLang=0</t>
  </si>
  <si>
    <t>https://www.clickideacore.com/ClickHTML5/Visit.aspx?ID=//53DAEwASwAzADgANwAxADQANQA4ADAASQBEAEUAQQA6=&amp;Tipo=2&amp;ST=1&amp;nLang=0</t>
  </si>
  <si>
    <t>22-ene</t>
  </si>
  <si>
    <t>23-ene</t>
  </si>
  <si>
    <t>24-ene</t>
  </si>
  <si>
    <t>25-ene</t>
  </si>
  <si>
    <t>26-ene</t>
  </si>
  <si>
    <t>27-ene</t>
  </si>
  <si>
    <t>28-ene</t>
  </si>
  <si>
    <t>29-ene</t>
  </si>
  <si>
    <t>30-ene</t>
  </si>
  <si>
    <t>31-ene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</si>
  <si>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</si>
  <si>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</si>
  <si>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</si>
  <si>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</si>
  <si>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</si>
  <si>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</si>
  <si>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</si>
  <si>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</si>
  <si>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</si>
  <si>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</si>
  <si>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</si>
  <si>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</si>
  <si>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</si>
  <si>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</si>
  <si>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</si>
  <si>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</si>
  <si>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</si>
  <si>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</si>
  <si>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</si>
  <si>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21-feb</t>
  </si>
  <si>
    <t>https://www.clickideacore.com/ClickHTML5/Visit.aspx?ID=//5ADAEwASwAzADgANwA0ADUANwA3ADkASQBEAEUAQQAC=&amp;Tipo=2&amp;ST=1&amp;nLang=0</t>
  </si>
  <si>
    <t>https://www.clickideacore.com/ClickHTML5/Visit.aspx?ID=//54DAEwASwAzADgANwAzADgAOAA5ADgASQBEAEUAQQA3=&amp;Tipo=2&amp;ST=1&amp;nLang=0</t>
  </si>
  <si>
    <t>https://www.clickideacore.com/ClickHTML5/Visit.aspx?ID=//5DDAEwASwAzADgANwA0ADMAMQAwADIASQBEAEUAQQAF=&amp;Tipo=2&amp;ST=1&amp;nLang=0</t>
  </si>
  <si>
    <t>https://www.clickideacore.com/ClickHTML5/Visit.aspx?ID=//56DAEwASwAzADgANwAzADkANAAwADMASQBEAEUAQQAB=&amp;Tipo=2&amp;ST=1&amp;nLang=0</t>
  </si>
  <si>
    <t>https://www.clickideacore.com/ClickHTML5/Visit.aspx?ID=//57DAEwASwAzADgANwA0ADUANAA5ADQASQBEAEUAQQA5=&amp;Tipo=2&amp;ST=1&amp;nLang=0</t>
  </si>
  <si>
    <t>https://www.clickideacore.com/ClickHTML5/Visit.aspx?ID=//50DAEwASwAzADgANwAzADgANAAwADEASQBEAEUAQQA8=&amp;Tipo=2&amp;ST=1&amp;nLang=0</t>
  </si>
  <si>
    <t>20-feb</t>
  </si>
  <si>
    <t>https://www.clickideacore.com/ClickHTML5/Visit.aspx?ID=//50DAEwASwAzADgANwA2ADgANwAxADAASQBEAEUAQQAA=&amp;Tipo=2&amp;ST=1&amp;nLang=0</t>
  </si>
  <si>
    <t>https://www.clickideacore.com/ClickHTML5/Visit.aspx?ID=//5CDAEwASwAzADgANwA2ADgANQAzADgASQBEAEUAQQA3=&amp;Tipo=2&amp;ST=1&amp;nLang=0</t>
  </si>
  <si>
    <t>https://www.clickideacore.com/ClickHTML5/Visit.aspx?ID=//5CDAEwASwAzADgANwA2ADcAOQAyADEASQBEAEUAQQA6=&amp;Tipo=2&amp;ST=1&amp;nLang=0</t>
  </si>
  <si>
    <t>https://www.clickideacore.com/ClickHTML5/Visit.aspx?ID=//55DAEwASwAzADgANwA2ADgAOQAxADIASQBEAEUAQQAD=&amp;Tipo=2&amp;ST=1&amp;nLang=0</t>
  </si>
  <si>
    <t>https://www.clickideacore.com/ClickHTML5/Visit.aspx?ID=//50DAEwASwAzADgANwA2ADIANAA2ADUASQBEAEUAQQAA=&amp;Tipo=2&amp;ST=1&amp;nLang=0</t>
  </si>
  <si>
    <t>https://www.clickideacore.com/ClickHTML5/Visit.aspx?ID=//5ADAEwASwAzADgANwA4ADAAMQA2ADIASQBEAEUAQQAB=&amp;Tipo=2&amp;ST=1&amp;nLang=0</t>
  </si>
  <si>
    <t>https://www.clickideacore.com/ClickHTML5/Visit.aspx?ID=//5DDAEwASwAzADgANwA5ADMANwAxADAASQBEAEUAQQA3=&amp;Tipo=2&amp;ST=1&amp;nLang=0</t>
  </si>
  <si>
    <t>https://www.clickideacore.com/ClickHTML5/Visit.aspx?ID=//56DAEwASwAzADgANwA5ADQAOAA2ADMASQBEAEUAQQAE=&amp;Tipo=2&amp;ST=1&amp;nLang=0</t>
  </si>
  <si>
    <t>https://www.clickideacore.com/ClickHTML5/Visit.aspx?ID=//5EDAEwASwAzADgANwA5ADIAMAAzADUASQBEAEUAQQA0=&amp;Tipo=2&amp;ST=1&amp;nLang=0</t>
  </si>
  <si>
    <t>https://www.clickideacore.com/ClickHTML5/Visit.aspx?ID=//5DDAEwASwAzADgANwA4ADUAMQA0ADMASQBEAEUAQQA0=&amp;Tipo=2&amp;ST=1&amp;nLang=0</t>
  </si>
  <si>
    <t>Daiel Diaz</t>
  </si>
  <si>
    <t>https://www.clickideacore.com/ClickHTML5/Visit.aspx?ID=//58DAEwASwAzADgAOAAwADkANwA3ADMASQBEAEUAQQAA=&amp;Tipo=2&amp;ST=1&amp;nLang=0</t>
  </si>
  <si>
    <t>https://www.clickideacore.com/ClickHTML5/Visit.aspx?ID=//52DAEwASwAzADgAOAAxADAAMAA5ADMASQBEAEUAQQAF=&amp;Tipo=2&amp;ST=1&amp;nLang=0</t>
  </si>
  <si>
    <t>https://www.clickideacore.com/ClickHTML5/Visit.aspx?ID=//5ADAEwASwAzADgAOAAxADEAMwAxADIASQBEAEUAQQA7=&amp;Tipo=2&amp;ST=1&amp;nLang=0</t>
  </si>
  <si>
    <t>https://www.clickideacore.com/ClickHTML5/Visit.aspx?ID=//5EDAEwASwAzADgAOAAxADgAMAA3ADgASQBEAEUAQQA5=&amp;Tipo=2&amp;ST=1&amp;nLang=0</t>
  </si>
  <si>
    <t>Luis Cubillos</t>
  </si>
  <si>
    <t>https://www.clickideacore.com/ClickHTML5/Visit.aspx?ID=//5DDAEwASwAzADgAOAAxADAANAAzADUASQBEAEUAQQA3=&amp;Tipo=2&amp;ST=1&amp;nLang=0</t>
  </si>
  <si>
    <t>https://www.clickideacore.com/ClickHTML5/Visit.aspx?ID=//57DAEwASwAzADgAOAAxADEANgAwADkASQBEAEUAQQA4=&amp;Tipo=2&amp;ST=1&amp;nLang=0</t>
  </si>
  <si>
    <t>https://www.clickideacore.com/ClickHTML5/Visit.aspx?ID=//57DAEwASwAzADgAOAAzADYAOQA2ADEASQBEAEUAQQA9=&amp;Tipo=2&amp;ST=1&amp;nLang=0</t>
  </si>
  <si>
    <t>https://www.clickideacore.com/ClickHTML5/Visit.aspx?ID=//5ADAEwASwAzADgAOAAzADMANQA5ADgASQBEAEUAQQA5=&amp;Tipo=2&amp;ST=1&amp;nLang=0</t>
  </si>
  <si>
    <t>https://www.clickideacore.com/ClickHTML5/Visit.aspx?ID=//5CDAEwASwAzADgAOAA0ADIAMAAyADAASQBEAEUAQQA7=&amp;Tipo=2&amp;ST=1&amp;nLang=0</t>
  </si>
  <si>
    <t>https://www.clickideacore.com/ClickHTML5/Visit.aspx?ID=//53DAEwASwAzADgAOAAzADUANQA5ADMASQBEAEUAQQA4=&amp;Tipo=2&amp;ST=1&amp;nLang=0</t>
  </si>
  <si>
    <t>https://www.clickideacore.com/ClickHTML5/Visit.aspx?ID=//55DAEwASwAzADgAOAAzADQAMwA3ADEASQBEAEUAQQA5=&amp;Tipo=2&amp;ST=1&amp;nLang=0</t>
  </si>
  <si>
    <t>https://www.clickideacore.com/ClickHTML5/Visit.aspx?ID=//55DAEwASwAzADgAOAA2ADAAMgA5ADcASQBEAEUAQQA7=&amp;Tipo=2&amp;ST=1&amp;nLang=0</t>
  </si>
  <si>
    <t>https://www.clickideacore.com/ClickHTML5/Visit.aspx?ID=//5DDAEwASwAzADgAOAA2ADgAMgAwADYASQBEAEUAQQAC=&amp;Tipo=2&amp;ST=1&amp;nLang=0</t>
  </si>
  <si>
    <t>https://www.clickideacore.com/ClickHTML5/Visit.aspx?ID=//52DAEwASwAzADgAOAA2ADIAMwA4ADcASQBEAEUAQQAD=&amp;Tipo=2&amp;ST=1&amp;nLang=0</t>
  </si>
  <si>
    <t>https://www.clickideacore.com/ClickHTML5/Visit.aspx?ID=//5ADAEwASwAzADgAOAA2ADAAMwAyADcASQBEAEUAQQAA=&amp;Tipo=2&amp;ST=1&amp;nLang=0</t>
  </si>
  <si>
    <t>https://www.clickideacore.com/ClickHTML5/Visit.aspx?ID=//50DAEwASwAzADgAOAA2ADkAMgA2ADEASQBEAEUAQQA9=&amp;Tipo=2&amp;ST=1&amp;nLang=0</t>
  </si>
  <si>
    <t>https://www.clickideacore.com/ClickHTML5/Visit.aspx?ID=//54DAEwASwAzADgAOAA2ADIAOQAwADgASQBEAEUAQQA8=&amp;Tipo=2&amp;ST=1&amp;nLang=0</t>
  </si>
  <si>
    <t>https://www.clickideacore.com/ClickHTML5/Visit.aspx?ID=//5ADAEwASwAzADgAOAA4ADYAOQAwADcASQBEAEUAQQAE=&amp;Tipo=2&amp;ST=1&amp;nLang=0</t>
  </si>
  <si>
    <t>https://www.clickideacore.com/ClickHTML5/Visit.aspx?ID=//5CDAEwASwAzADgAOAA5ADEAOQAwADEASQBEAEUAQQA5=&amp;Tipo=2&amp;ST=1&amp;nLang=0</t>
  </si>
  <si>
    <t>https://www.clickideacore.com/ClickHTML5/Visit.aspx?ID=//50DAEwASwAzADgAOAA5ADAANwAwADIASQBEAEUAQQA9=&amp;Tipo=2&amp;ST=1&amp;nLang=0</t>
  </si>
  <si>
    <t>https://www.clickideacore.com/ClickHTML5/Visit.aspx?ID=//57DAEwASwAzADgAOAA5ADEAMAA1ADkASQBEAEUAQQA2=&amp;Tipo=2&amp;ST=1&amp;nLang=0</t>
  </si>
  <si>
    <t>https://www.clickideacore.com/ClickHTML5/Visit.aspx?ID=//57DAEwASwAzADgAOAA4ADgAOAA3ADQASQBEAEUAQQA8=&amp;Tipo=2&amp;ST=1&amp;nLang=0</t>
  </si>
  <si>
    <t>https://www.clickideacore.com/ClickHTML5/Visit.aspx?ID=//57DAEwASwAzADgAOQAxADEAMgAxADMASQBEAEUAQQAE=&amp;Tipo=2&amp;ST=1&amp;nLang=0</t>
  </si>
  <si>
    <t>https://www.clickideacore.com/ClickHTML5/Visit.aspx?ID=//5FDAEwASwAzADgAOQAxADAAOAAwADYASQBEAEUAQQA4=&amp;Tipo=2&amp;ST=1&amp;nLang=0</t>
  </si>
  <si>
    <t>https://www.clickideacore.com/ClickHTML5/Visit.aspx?ID=//56DAEwASwAzADgAOQAwADkANAA2ADQASQBEAEUAQQA9=&amp;Tipo=2&amp;ST=1&amp;nLang=0</t>
  </si>
  <si>
    <t>https://www.clickideacore.com/ClickHTML5/Visit.aspx?ID=//5ADAEwASwAzADgAOQAwADkAMgAzADIASQBEAEUAQQA9=&amp;Tipo=2&amp;ST=1&amp;nLang=0</t>
  </si>
  <si>
    <t>https://www.clickideacore.com/ClickHTML5/Visit.aspx?ID=//5DDAEwASwAzADgAOQAwADkANAA1ADYASQBEAEUAQQA5=&amp;Tipo=2&amp;ST=1&amp;nLang=0</t>
  </si>
  <si>
    <t>https://www.clickideacore.com/ClickHTML5/Visit.aspx?ID=//5BDAEwASwAzADgAOQAwADkAMAA1ADQASQBEAEUAQQA6=&amp;Tipo=2&amp;ST=1&amp;nLang=0</t>
  </si>
  <si>
    <t>https://www.clickideacore.com/ClickHTML5/Visit.aspx?ID=//56DAEwASwAzADgAOQAxADgANwA0ADAASQBEAEUAQQAA=&amp;Tipo=2&amp;ST=1&amp;nLang=0</t>
  </si>
  <si>
    <t>https://www.clickideacore.com/ClickHTML5/Visit.aspx?ID=//50DAEwASwAzADgAOQAxADkANAA5ADYASQBEAEUAQQAE=&amp;Tipo=2&amp;ST=1&amp;nLang=0</t>
  </si>
  <si>
    <t>https://www.clickideacore.com/ClickHTML5/Visit.aspx?ID=//5EDAEwASwAzADgAOQAxADkAMgAxADkASQBEAEUAQQA5=&amp;Tipo=2&amp;ST=1&amp;nLang=0</t>
  </si>
  <si>
    <t>https://www.clickideacore.com/ClickHTML5/Visit.aspx?ID=//5CDAEwASwAzADgAOQAxADkANgA0ADEASQBEAEUAQQA7=&amp;Tipo=2&amp;ST=1&amp;nLang=0</t>
  </si>
  <si>
    <t>https://www.clickideacore.com/ClickHTML5/Visit.aspx?ID=//52DAEwASwAzADgAOQAyADgAMwA1ADcASQBEAEUAQQA2=&amp;Tipo=2&amp;ST=1&amp;nLang=0</t>
  </si>
  <si>
    <t>https://www.clickideacore.com/ClickHTML5/Visit.aspx?ID=//5DDAEwASwAzADgAOQAzADcANwAzADIASQBEAEUAQQAE=&amp;Tipo=2&amp;ST=1&amp;nLang=0</t>
  </si>
  <si>
    <t>https://www.clickideacore.com/ClickHTML5/Visit.aspx?ID=//51DAEwASwAzADgAOQAzADIAOQAzADYASQBEAEUAQQAE=&amp;Tipo=2&amp;ST=1&amp;nLang=0</t>
  </si>
  <si>
    <t>https://www.clickideacore.com/ClickHTML5/Visit.aspx?ID=//5FDAEwASwAzADgAOQAzADUANQAwADcASQBEAEUAQQA0=&amp;Tipo=2&amp;ST=1&amp;nLang=0</t>
  </si>
  <si>
    <t>https://www.clickideacore.com/ClickHTML5/Visit.aspx?ID=//5EDAEwASwAzADgAOQAzADMAMwAyADkASQBEAEUAQQA1=&amp;Tipo=2&amp;ST=1&amp;nLang=0</t>
  </si>
  <si>
    <t>https://www.clickideacore.com/ClickHTML5/Visit.aspx?ID=//5FDAEwASwAzADgAOQAyADkANgAyADUASQBEAEUAQQAF=&amp;Tipo=2&amp;ST=1&amp;nLang=0</t>
  </si>
  <si>
    <t>https://www.clickideacore.com/ClickHTML5/Visit.aspx?ID=//58DAEwASwAzADgAOQAzADMANwA3ADgASQBEAEUAQQAB=&amp;Tipo=2&amp;ST=1&amp;nLang=0</t>
  </si>
  <si>
    <t>https://www.clickideacore.com/ClickHTML5/Visit.aspx?ID=//5ADAEwASwAzADgAOQA2ADYANwAyADYASQBEAEUAQQA7=&amp;Tipo=2&amp;ST=1&amp;nLang=0</t>
  </si>
  <si>
    <t>https://www.clickideacore.com/ClickHTML5/Visit.aspx?ID=//5BDAEwASwAzADgAOQA2ADIANAAzADUASQBEAEUAQQA1=&amp;Tipo=2&amp;ST=1&amp;nLang=0</t>
  </si>
  <si>
    <t>https://www.clickideacore.com/ClickHTML5/Visit.aspx?ID=//58DAEwASwAzADgAOQA2ADcAOAAxADUASQBEAEUAQQAF=&amp;Tipo=2&amp;ST=1&amp;nLang=0</t>
  </si>
  <si>
    <t>https://www.clickideacore.com/ClickHTML5/Visit.aspx?ID=//5BDAEwASwAzADgAOQA2ADEANgAyADYASQBEAEUAQQA9=&amp;Tipo=2&amp;ST=1&amp;nLang=0</t>
  </si>
  <si>
    <t>https://www.clickideacore.com/ClickHTML5/Visit.aspx?ID=//5CDAEwASwAzADgAOQA2ADIAMwA4ADMASQBEAEUAQQA5=&amp;Tipo=2&amp;ST=1&amp;nLang=0</t>
  </si>
  <si>
    <t>https://www.clickideacore.com/ClickHTML5/Visit.aspx?ID=//53DAEwASwAzADgAOQA2ADEAMgAzADAASQBEAEUAQQA7=&amp;Tipo=2&amp;ST=1&amp;nLang=0</t>
  </si>
  <si>
    <t>https://www.clickideacore.com/ClickHTML5/Visit.aspx?ID=//54DAEwASwAzADgAOQA4ADgANgAzADgASQBEAEUAQQAC=&amp;Tipo=2&amp;ST=1&amp;nLang=0</t>
  </si>
  <si>
    <t>https://www.clickideacore.com/ClickHTML5/Visit.aspx?ID=//5ADAEwASwAzADgAOQA5ADMAMQAxADAASQBEAEUAQQA5=&amp;Tipo=2&amp;ST=1&amp;nLang=0</t>
  </si>
  <si>
    <t>https://www.clickideacore.com/ClickHTML5/Visit.aspx?ID=//52DAEwASwAzADgAOQA4ADYANgAxADgASQBEAEUAQQAC=&amp;Tipo=2&amp;ST=1&amp;nLang=0</t>
  </si>
  <si>
    <t>https://www.clickideacore.com/ClickHTML5/Visit.aspx?ID=//53DAEwASwAzADgAOQA5ADAAMgAxADcASQBEAEUAQQA2=&amp;Tipo=2&amp;ST=1&amp;nLang=0</t>
  </si>
  <si>
    <t>https://www.clickideacore.com/ClickHTML5/Visit.aspx?ID=//50DAEwASwAzADgAOQA4ADQANwAxADcASQBEAEUAQQAC=&amp;Tipo=2&amp;ST=1&amp;nLang=0</t>
  </si>
  <si>
    <t>https://www.clickideacore.com/ClickHTML5/Visit.aspx?ID=//5BDAEwASwAzADkAMAAxADgAMAA3ADEASQBEAEUAQQAB=&amp;Tipo=2&amp;ST=1&amp;nLang=0</t>
  </si>
  <si>
    <t>https://www.clickideacore.com/ClickHTML5/Visit.aspx?ID=//5FDAEwASwAzADkAMAAwADgANAAwADgASQBEAEUAQQA7=&amp;Tipo=2&amp;ST=1&amp;nLang=0</t>
  </si>
  <si>
    <t>https://www.clickideacore.com/ClickHTML5/Visit.aspx?ID=//51DAEwASwAzADkAMAAxADAAOQA3ADAASQBEAEUAQQAF=&amp;Tipo=2&amp;ST=1&amp;nLang=0</t>
  </si>
  <si>
    <t>https://www.clickideacore.com/ClickHTML5/Visit.aspx?ID=//54DAEwASwAzADkAMAAxADEANQAxADMASQBEAEUAQQA1=&amp;Tipo=2&amp;ST=1&amp;nLang=0</t>
  </si>
  <si>
    <t>https://www.clickideacore.com/ClickHTML5/Visit.aspx?ID=//5BDAEwASwAzADkAMAAxADAANQAyADEASQBEAEUAQQAE=&amp;Tipo=2&amp;ST=1&amp;nLang=0</t>
  </si>
  <si>
    <t>https://www.clickideacore.com/ClickHTML5/Visit.aspx?ID=//5BDAEwASwAzADkAMAA0ADEANAA5ADgASQBEAEUAQQAD=&amp;Tipo=2&amp;ST=1&amp;nLang=0</t>
  </si>
  <si>
    <t>https://www.clickideacore.com/ClickHTML5/Visit.aspx?ID=//57DAEwASwAzADkAMAA0ADEANQA1ADUASQBEAEUAQQA2=&amp;Tipo=2&amp;ST=1&amp;nLang=0</t>
  </si>
  <si>
    <t>https://www.clickideacore.com/ClickHTML5/Visit.aspx?ID=//52DAEwASwAzADkAMAA0ADEAMAA2ADAASQBEAEUAQQAD=&amp;Tipo=2&amp;ST=1&amp;nLang=0</t>
  </si>
  <si>
    <t>https://www.clickideacore.com/ClickHTML5/Visit.aspx?ID=//54DAEwASwAzADkAMAAzADYANQA5ADIASQBEAEUAQQA1=&amp;Tipo=2&amp;ST=1&amp;nLang=0</t>
  </si>
  <si>
    <t>https://www.clickideacore.com/ClickHTML5/Visit.aspx?ID=//57DAEwASwAzADkAMAAzADgAOAAzADQASQBEAEUAQQA5=&amp;Tipo=2&amp;ST=1&amp;nLang=0</t>
  </si>
  <si>
    <t>https://www.clickideacore.com/ClickHTML5/Visit.aspx?ID=//5BDAEwASwAzADkAMAAzADcANwA0ADYASQBEAEUAQQAE=&amp;Tipo=2&amp;ST=1&amp;nLang=0</t>
  </si>
  <si>
    <t>https://www.clickideacore.com/ClickHTML5/Visit.aspx?ID=//59DAEwASwAzADkAMAAzADUAOAAxADUASQBEAEUAQQAA=&amp;Tipo=2&amp;ST=1&amp;nLang=0</t>
  </si>
  <si>
    <t>https://www.clickideacore.com/ClickHTML5/Visit.aspx?ID=//59DAEwASwAzADkAMAA1ADcAOQA4ADMASQBEAEUAQQAB=&amp;Tipo=2&amp;ST=1&amp;nLang=0</t>
  </si>
  <si>
    <t>https://www.clickideacore.com/ClickHTML5/Visit.aspx?ID=//50DAEwASwAzADkAMAA1ADgANQAwADcASQBEAEUAQQA1=&amp;Tipo=2&amp;ST=1&amp;nLang=0</t>
  </si>
  <si>
    <t>https://www.clickideacore.com/ClickHTML5/Visit.aspx?ID=//56DAEwASwAzADkAMAA1ADgAMgA0ADMASQBEAEUAQQA4=&amp;Tipo=2&amp;ST=1&amp;nLang=0</t>
  </si>
  <si>
    <t>https://www.clickideacore.com/ClickHTML5/Visit.aspx?ID=//5BDAEwASwAzADkAMAA1ADYAOQAzADEASQBEAEUAQQA4=&amp;Tipo=2&amp;ST=1&amp;nLang=0</t>
  </si>
  <si>
    <t>https://www.clickideacore.com/ClickHTML5/Visit.aspx?ID=//5EDAEwASwAzADkAMAA1ADgANQAwADMASQBEAEUAQQA1=&amp;Tipo=2&amp;ST=1&amp;nLang=0</t>
  </si>
  <si>
    <t>https://www.clickideacore.com/ClickHTML5/Visit.aspx?ID=//5ADAEwASwAzADkAMAA2ADgAMAA2ADAASQBEAEUAQQAD=&amp;Tipo=2&amp;ST=1&amp;nLang=0</t>
  </si>
  <si>
    <t>https://www.clickideacore.com/ClickHTML5/Visit.aspx?ID=//50DAEwASwAzADkAMAA2ADYAOAA1ADIASQBEAEUAQQAF=&amp;Tipo=2&amp;ST=1&amp;nLang=0</t>
  </si>
  <si>
    <t>https://www.clickideacore.com/ClickHTML5/Visit.aspx?ID=//5EDAEwASwAzADkAMAA2ADcAMgAzADcASQBEAEUAQQAF=&amp;Tipo=2&amp;ST=1&amp;nLang=0</t>
  </si>
  <si>
    <t>https://www.clickideacore.com/ClickHTML5/Visit.aspx?ID=//5DDAEwASwAzADkAMAA2ADYAMgAzADYASQBEAEUAQQA9=&amp;Tipo=2&amp;ST=1&amp;nLang=0</t>
  </si>
  <si>
    <t>https://www.clickideacore.com/ClickHTML5/Visit.aspx?ID=//53DAEwASwAzADkAMAA2ADYAMgA3ADcASQBEAEUAQQAD=&amp;Tipo=2&amp;ST=1&amp;nLang=0</t>
  </si>
  <si>
    <t>https://www.clickideacore.com/ClickHTML5/Visit.aspx?ID=//54DAEwASwAzADkAMAA2ADQAMAAyADcASQBEAEUAQQAF=&amp;Tipo=2&amp;ST=1&amp;nLang=0</t>
  </si>
  <si>
    <t>https://www.clickideacore.com/ClickHTML5/Visit.aspx?ID=//5DDAEwASwAzADkAMAA5ADEANAAzADIASQBEAEUAQQAE=&amp;Tipo=2&amp;ST=1&amp;nLang=0</t>
  </si>
  <si>
    <t>https://www.clickideacore.com/ClickHTML5/Visit.aspx?ID=//58DAEwASwAzADkAMAA5ADEAOAA3ADAASQBEAEUAQQAD=&amp;Tipo=2&amp;ST=1&amp;nLang=0</t>
  </si>
  <si>
    <t>https://www.clickideacore.com/ClickHTML5/Visit.aspx?ID=//50DAEwASwAzADkAMAA5ADAANAA4ADMASQBEAEUAQQA8=&amp;Tipo=2&amp;ST=1&amp;nLang=0</t>
  </si>
  <si>
    <t>https://www.clickideacore.com/ClickHTML5/Visit.aspx?ID=//52DAEwASwAzADkAMAA5ADAANgAwADIASQBEAEUAQQA9=&amp;Tipo=2&amp;ST=1&amp;nLang=0</t>
  </si>
  <si>
    <t>https://www.clickideacore.com/ClickHTML5/Visit.aspx?ID=//57DAEwASwAzADkAMAA4ADAANQAyADUASQBEAEUAQQA9=&amp;Tipo=2&amp;ST=1&amp;nLang=0</t>
  </si>
  <si>
    <t>https://www.clickideacore.com/ClickHTML5/Visit.aspx?ID=//50DAEwASwAzADkAMAA5ADIAMwAyADgASQBEAEUAQQAE=&amp;Tipo=2&amp;ST=1&amp;nLang=0</t>
  </si>
  <si>
    <t>https://www.clickideacore.com/ClickHTML5/Visit.aspx?ID=//58DAEwASwAzADkAMAA5ADEANwAzADUASQBEAEUAQQA7=&amp;Tipo=2&amp;ST=1&amp;nLang=0</t>
  </si>
  <si>
    <t>https://www.clickideacore.com/ClickHTML5/Visit.aspx?ID=//59DAEwASwAzADkAMAA5ADUAMQA1ADAASQBEAEUAQQA1=&amp;Tipo=2&amp;ST=1&amp;nLang=0</t>
  </si>
  <si>
    <t>Luis Dugo</t>
  </si>
  <si>
    <t>Victor Araneda</t>
  </si>
  <si>
    <t>https://www.clickideacore.com/ClickHTML5/Visit.aspx?ID=//56DAEwASwAzADkAMQAxADgANAA5ADkASQBEAEUAQQA8=&amp;Tipo=2&amp;ST=1&amp;nLang=0</t>
  </si>
  <si>
    <t>https://www.clickideacore.com/ClickHTML5/Visit.aspx?ID=//51DAEwASwAzADkAMQAxADYAOAA3ADgASQBEAEUAQQA9=&amp;Tipo=2&amp;ST=1&amp;nLang=0</t>
  </si>
  <si>
    <t>https://www.clickideacore.com/ClickHTML5/Visit.aspx?ID=//5DDAEwASwAzADkAMQAxADcAMgAzADYASQBEAEUAQQA7=&amp;Tipo=2&amp;ST=1&amp;nLang=0</t>
  </si>
  <si>
    <t>https://www.clickideacore.com/ClickHTML5/Visit.aspx?ID=//59DAEwASwAzADkAMQAxADIAOAA5ADgASQBEAEUAQQA0=&amp;Tipo=2&amp;ST=1&amp;nLang=0</t>
  </si>
  <si>
    <t>https://www.clickideacore.com/ClickHTML5/Visit.aspx?ID=//54DAEwASwAzADkAMQAxADIAOQAxADgASQBEAEUAQQAA=&amp;Tipo=2&amp;ST=1&amp;nLang=0</t>
  </si>
  <si>
    <t>https://www.clickideacore.com/ClickHTML5/Visit.aspx?ID=//56DAEwASwAzADkAMQAxADgAMQA1ADkASQBEAEUAQQAA=&amp;Tipo=2&amp;ST=1&amp;nLang=0</t>
  </si>
  <si>
    <t>https://www.clickideacore.com/ClickHTML5/Visit.aspx?ID=//55DAEwASwAzADkAMQAxADcANwA3ADIASQBEAEUAQQA7=&amp;Tipo=2&amp;ST=1&amp;nLang=0</t>
  </si>
  <si>
    <t>https://www.clickideacore.com/ClickHTML5/Visit.aspx?ID=//5DDAEwASwAzADkAMQAxADgAMAAxADQASQBEAEUAQQA9=&amp;Tipo=2&amp;ST=1&amp;nLang=0</t>
  </si>
  <si>
    <t>https://www.clickideacore.com/ClickHTML5/Visit.aspx?ID=//5CDAEwASwAzADkAMQA0ADIAMAA0ADcASQBEAEUAQQAA=&amp;Tipo=2&amp;ST=1&amp;nLang=0</t>
  </si>
  <si>
    <t>https://www.clickideacore.com/ClickHTML5/Visit.aspx?ID=//5CDAEwASwAzADkAMQAzADkAMQA5ADIASQBEAEUAQQAB=&amp;Tipo=2&amp;ST=1&amp;nLang=0</t>
  </si>
  <si>
    <t>https://www.clickideacore.com/ClickHTML5/Visit.aspx?ID=//5EDAEwASwAzADkAMQAzADYANgA3ADkASQBEAEUAQQA3=&amp;Tipo=2&amp;ST=1&amp;nLang=0</t>
  </si>
  <si>
    <t>https://www.clickideacore.com/ClickHTML5/Visit.aspx?ID=//53DAEwASwAzADkAMQA0ADMANAA3ADYASQBEAEUAQQA9=&amp;Tipo=2&amp;ST=1&amp;nLang=0</t>
  </si>
  <si>
    <t>https://www.clickideacore.com/ClickHTML5/Visit.aspx?ID=//51DAEwASwAzADkAMQA2ADkANgAzADcASQBEAEUAQQAF=&amp;Tipo=2&amp;ST=1&amp;nLang=0</t>
  </si>
  <si>
    <t>https://www.clickideacore.com/ClickHTML5/Visit.aspx?ID=//5FDAEwASwAzADkAMQA2ADMAOQA3ADYASQBEAEUAQQA2=&amp;Tipo=2&amp;ST=1&amp;nLang=0</t>
  </si>
  <si>
    <t>https://www.clickideacore.com/ClickHTML5/Visit.aspx?ID=//5ADAEwASwAzADkAMQA2ADgANgA0ADQASQBEAEUAQQA9=&amp;Tipo=2&amp;ST=1&amp;nLang=0</t>
  </si>
  <si>
    <t>https://www.clickideacore.com/ClickHTML5/Visit.aspx?ID=//5BDAEwASwAzADkAMQA2ADMANgAyADMASQBEAEUAQQAC=&amp;Tipo=2&amp;ST=1&amp;nLang=0</t>
  </si>
  <si>
    <t>https://www.clickideacore.com/ClickHTML5/Visit.aspx?ID=//50DAEwASwAzADkAMQA5ADQANQA4ADMASQBEAEUAQQA3=&amp;Tipo=2&amp;ST=1&amp;nLang=0</t>
  </si>
  <si>
    <t>https://www.clickideacore.com/ClickHTML5/Visit.aspx?ID=//57DAEwASwAzADkAMQA5ADYANgAwADMASQBEAEUAQQAD=&amp;Tipo=2&amp;ST=1&amp;nLang=0</t>
  </si>
  <si>
    <t>https://www.clickideacore.com/ClickHTML5/Visit.aspx?ID=//58DAEwASwAzADkAMQA5ADMANQAxADMASQBEAEUAQQAD=&amp;Tipo=2&amp;ST=1&amp;nLang=0</t>
  </si>
  <si>
    <t>https://www.clickideacore.com/ClickHTML5/Visit.aspx?ID=//5EDAEwASwAzADkAMQA5ADMAMgA1ADgASQBEAEUAQQAA=&amp;Tipo=2&amp;ST=1&amp;nLang=0</t>
  </si>
  <si>
    <t>https://www.clickideacore.com/ClickHTML5/Visit.aspx?ID=//59DAEwASwAzADkAMQA3ADAANwAyADYASQBEAEUAQQAC=&amp;Tipo=2&amp;ST=1&amp;nLang=0</t>
  </si>
  <si>
    <t>https://www.clickideacore.com/ClickHTML5/Visit.aspx?ID=//58DAEwASwAzADkAMQA4ADkANgA5ADAASQBEAEUAQQA3=&amp;Tipo=2&amp;ST=1&amp;nLang=0</t>
  </si>
  <si>
    <t>https://www.clickideacore.com/ClickHTML5/Visit.aspx?ID=//52DAEwASwAzADkAMgAxADAANAAwADkASQBEAEUAQQA1=&amp;Tipo=2&amp;ST=1&amp;nLang=0</t>
  </si>
  <si>
    <t>https://www.clickideacore.com/ClickHTML5/Visit.aspx?ID=//51DAEwASwAzADkAMgAwADkAMwAyADEASQBEAEUAQQA0=&amp;Tipo=2&amp;ST=1&amp;nLang=0</t>
  </si>
  <si>
    <t>https://www.clickideacore.com/ClickHTML5/Visit.aspx?ID=//56DAEwASwAzADkAMgAwADkAMgAxADIASQBEAEUAQQA2=&amp;Tipo=2&amp;ST=1&amp;nLang=0</t>
  </si>
  <si>
    <t>https://www.clickideacore.com/ClickHTML5/Visit.aspx?ID=//59DAEwASwAzADkAMgAwADkAOQAzADkASQBEAEUAQQAA=&amp;Tipo=2&amp;ST=1&amp;nLang=0</t>
  </si>
  <si>
    <t>https://www.clickideacore.com/ClickHTML5/Visit.aspx?ID=//53DAEwASwAzADkAMgAwADkAOAA2ADkASQBEAEUAQQA6=&amp;Tipo=2&amp;ST=1&amp;nLang=0</t>
  </si>
  <si>
    <t>https://www.clickideacore.com/ClickHTML5/Visit.aspx?ID=//5CDAEwASwAzADkAMgAwADkAOQAzADUASQBEAEUAQQAB=&amp;Tipo=2&amp;ST=1&amp;nLang=0</t>
  </si>
  <si>
    <t>https://www.clickideacore.com/ClickHTML5/Visit.aspx?ID=//55DAEwASwAzADkAMgAxADgANQAwADYASQBEAEUAQQA4=&amp;Tipo=2&amp;ST=1&amp;nLang=0</t>
  </si>
  <si>
    <t>https://www.clickideacore.com/ClickHTML5/Visit.aspx?ID=//51DAEwASwAzADkAMgAxADgANQAxADEASQBEAEUAQQA1=&amp;Tipo=2&amp;ST=1&amp;nLang=0</t>
  </si>
  <si>
    <t>https://www.clickideacore.com/ClickHTML5/Visit.aspx?ID=//5ADAEwASwAzADkAMgAxADgANAA1ADYASQBEAEUAQQAC=&amp;Tipo=2&amp;ST=1&amp;nLang=0</t>
  </si>
  <si>
    <t>https://www.clickideacore.com/ClickHTML5/Visit.aspx?ID=//5ADAEwASwAzADkAMgAxADkAMwA1ADgASQBEAEUAQQA7=&amp;Tipo=2&amp;ST=1&amp;nLang=0</t>
  </si>
  <si>
    <t>https://www.clickideacore.com/ClickHTML5/Visit.aspx?ID=//5BDAEwASwAzADkAMgAxADgAMgA0ADYASQBEAEUAQQA2=&amp;Tipo=2&amp;ST=1&amp;nLang=0</t>
  </si>
  <si>
    <t>https://www.clickideacore.com/ClickHTML5/Visit.aspx?ID=//5ADAEwASwAzADkAMgAxADgAMgA2ADAASQBEAEUAQQAD=&amp;Tipo=2&amp;ST=1&amp;nLang=0</t>
  </si>
  <si>
    <t>https://www.clickideacore.com/ClickHTML5/Visit.aspx?ID=//52DAEwASwAzADkAMgAzADgAOQA4ADEASQBEAEUAQQA8=&amp;Tipo=2&amp;ST=1&amp;nLang=0</t>
  </si>
  <si>
    <t>https://www.clickideacore.com/ClickHTML5/Visit.aspx?ID=//5FDAEwASwAzADkAMgAzADkANwAzADUASQBEAEUAQQA6=&amp;Tipo=2&amp;ST=1&amp;nLang=0</t>
  </si>
  <si>
    <t>https://www.clickideacore.com/ClickHTML5/Visit.aspx?ID=//51DAEwASwAzADkAMgAzADUANwAzADYASQBEAEUAQQA6=&amp;Tipo=2&amp;ST=1&amp;nLang=0</t>
  </si>
  <si>
    <t>https://www.clickideacore.com/ClickHTML5/Visit.aspx?ID=//55DAEwASwAzADkAMgAzADUAOQAxADkASQBEAEUAQQA1=&amp;Tipo=2&amp;ST=1&amp;nLang=0</t>
  </si>
  <si>
    <t>https://www.clickideacore.com/ClickHTML5/Visit.aspx?ID=//53DAEwASwAzADkAMgAzADMANwA2ADAASQBEAEUAQQAD=&amp;Tipo=2&amp;ST=1&amp;nLang=0</t>
  </si>
  <si>
    <t>https://www.clickideacore.com/ClickHTML5/Visit.aspx?ID=//55DAEwASwAzADkAMgA0ADMAOQA1ADUASQBEAEUAQQAA=&amp;Tipo=2&amp;ST=1&amp;nLang=0</t>
  </si>
  <si>
    <t>https://www.clickideacore.com/ClickHTML5/Visit.aspx?ID=//53DAEwASwAzADkAMgAzADcANwA3ADQASQBEAEUAQQAD=&amp;Tipo=2&amp;ST=1&amp;nLang=0</t>
  </si>
  <si>
    <t>https://www.clickideacore.com/ClickHTML5/Visit.aspx?ID=//57DAEwASwAzADkAMgA0ADMAOQA0ADYASQBEAEUAQQAE=&amp;Tipo=2&amp;ST=1&amp;nLang=0</t>
  </si>
  <si>
    <t>https://www.clickideacore.com/ClickHTML5/Visit.aspx?ID=//5FDAEwASwAzADkAMgA1ADgANQAwADUASQBEAEUAQQAD=&amp;Tipo=2&amp;ST=1&amp;nLang=0</t>
  </si>
  <si>
    <t>https://www.clickideacore.com/ClickHTML5/Visit.aspx?ID=//5CDAEwASwAzADkAMgA2ADAAOQAxADIASQBEAEUAQQAC=&amp;Tipo=2&amp;ST=1&amp;nLang=0</t>
  </si>
  <si>
    <t>https://www.clickideacore.com/ClickHTML5/Visit.aspx?ID=//5FDAEwASwAzADkAMgA2ADQANAA5ADMASQBEAEUAQQA6=&amp;Tipo=2&amp;ST=1&amp;nLang=0</t>
  </si>
  <si>
    <t>https://www.clickideacore.com/ClickHTML5/Visit.aspx?ID=//5BDAEwASwAzADkAMgA2ADEANwAwADMASQBEAEUAQQAC=&amp;Tipo=2&amp;ST=1&amp;nLang=0</t>
  </si>
  <si>
    <t>https://www.clickideacore.com/ClickHTML5/Visit.aspx?ID=//5CDAEwASwAzADkAMgA2ADkAOAA0ADkASQBEAEUAQQA3=&amp;Tipo=2&amp;ST=1&amp;nLang=0</t>
  </si>
  <si>
    <t>https://www.clickideacore.com/ClickHTML5/Visit.aspx?ID=//52DAEwASwAzADkAMgA2ADUAOAA1ADUASQBEAEUAQQA0=&amp;Tipo=2&amp;ST=1&amp;nLang=0</t>
  </si>
  <si>
    <t>https://www.clickideacore.com/ClickHTML5/Visit.aspx?ID=//5ADAEwASwAzADkAMgA1ADgANAAzADUASQBEAEUAQQA2=&amp;Tipo=2&amp;ST=1&amp;nLang=0</t>
  </si>
  <si>
    <t>https://www.clickideacore.com/ClickHTML5/Visit.aspx?ID=//50DAEwASwAzADkAMgA5ADAANAA3ADQASQBEAEUAQQA1=&amp;Tipo=2&amp;ST=1&amp;nLang=0</t>
  </si>
  <si>
    <t>https://www.clickideacore.com/ClickHTML5/Visit.aspx?ID=//50DAEwASwAzADkAMgA5ADEAMwAzADAASQBEAEUAQQA5=&amp;Tipo=2&amp;ST=1&amp;nLang=0</t>
  </si>
  <si>
    <t>https://www.clickideacore.com/ClickHTML5/Visit.aspx?ID=//54DAEwASwAzADkAMgA4ADkANwA3ADAASQBEAEUAQQA0=&amp;Tipo=2&amp;ST=1&amp;nLang=0</t>
  </si>
  <si>
    <t>https://www.clickideacore.com/ClickHTML5/Visit.aspx?ID=//50DAEwASwAzADkAMgA4ADcANwA0ADAASQBEAEUAQQAB=&amp;Tipo=2&amp;ST=1&amp;nLang=0</t>
  </si>
  <si>
    <t>https://www.clickideacore.com/ClickHTML5/Visit.aspx?ID=//54DAEwASwAzADkAMgA4ADQAMgAyADMASQBEAEUAQQA4=&amp;Tipo=2&amp;ST=1&amp;nLang=0</t>
  </si>
  <si>
    <t>https://www.clickideacore.com/ClickHTML5/Visit.aspx?ID=//57DAEwASwAzADkAMgA4ADEANwA2ADQASQBEAEUAQQA1=&amp;Tipo=2&amp;ST=1&amp;nLang=0</t>
  </si>
  <si>
    <t>https://www.clickideacore.com/ClickHTML5/Visit.aspx?ID=//53DAEwASwAzADkAMgA3ADkANAAzADgASQBEAEUAQQA2=&amp;Tipo=2&amp;ST=1&amp;nLang=0</t>
  </si>
  <si>
    <t>https://www.clickideacore.com/ClickHTML5/Visit.aspx?ID=//5BDAEwASwAzADkAMwAxADYAMAA1ADEASQBEAEUAQQA7=&amp;Tipo=2&amp;ST=1&amp;nLang=0</t>
  </si>
  <si>
    <t>https://www.clickideacore.com/ClickHTML5/Visit.aspx?ID=//53DAEwASwAzADkAMwAxADMAOQA3ADUASQBEAEUAQQAE=&amp;Tipo=2&amp;ST=1&amp;nLang=0</t>
  </si>
  <si>
    <t>https://www.clickideacore.com/ClickHTML5/Visit.aspx?ID=//5EDAEwASwAzADkAMwAxADUANAA5ADUASQBEAEUAQQA2=&amp;Tipo=2&amp;ST=1&amp;nLang=0</t>
  </si>
  <si>
    <t>https://www.clickideacore.com/ClickHTML5/Visit.aspx?ID=//56DAEwASwAzADkAMwAxADgAMQAxADYASQBEAEUAQQAD=&amp;Tipo=2&amp;ST=1&amp;nLang=0</t>
  </si>
  <si>
    <t>https://www.clickideacore.com/ClickHTML5/Visit.aspx?ID=//5ADAEwASwAzADkAMwAxADEANAA5ADkASQBEAEUAQQA6=&amp;Tipo=2&amp;ST=1&amp;nLang=0</t>
  </si>
  <si>
    <t>https://www.clickideacore.com/ClickHTML5/Visit.aspx?ID=//5CDAEwASwAzADkAMwAxADYAMQA4ADYASQBEAEUAQQAC=&amp;Tipo=2&amp;ST=1&amp;nLang=0</t>
  </si>
  <si>
    <t>https://www.clickideacore.com/ClickHTML5/Visit.aspx?ID=//51DAEwASwAzADkAMwAzADgAOAA0ADYASQBEAEUAQQAF=&amp;Tipo=2&amp;ST=1&amp;nLang=0</t>
  </si>
  <si>
    <t>https://www.clickideacore.com/ClickHTML5/Visit.aspx?ID=//52DAEwASwAzADkAMwAzADEANQAwADIASQBEAEUAQQA6=&amp;Tipo=2&amp;ST=1&amp;nLang=0</t>
  </si>
  <si>
    <t>https://www.clickideacore.com/ClickHTML5/Visit.aspx?ID=//58DAEwASwAzADkAMwAzADgANAA0ADQASQBEAEUAQQA2=&amp;Tipo=2&amp;ST=1&amp;nLang=0</t>
  </si>
  <si>
    <t>https://www.clickideacore.com/ClickHTML5/Visit.aspx?ID=//51DAEwASwAzADkAMwAzADcAOAAzADcASQBEAEUAQQAC=&amp;Tipo=2&amp;ST=1&amp;nLang=0</t>
  </si>
  <si>
    <t>https://www.clickideacore.com/ClickHTML5/Visit.aspx?ID=//56DAEwASwAzADkAMwAzADcANwA3ADkASQBEAEUAQQAE=&amp;Tipo=2&amp;ST=1&amp;nLang=0</t>
  </si>
  <si>
    <t>https://www.clickideacore.com/ClickHTML5/Visit.aspx?ID=//53DAEwASwAzADkAMwAzADcAMgA0ADkASQBEAEUAQQAA=&amp;Tipo=2&amp;ST=1&amp;nLang=0</t>
  </si>
  <si>
    <t>https://www.clickideacore.com/ClickHTML5/Visit.aspx?ID=//50DAEwASwAzADkAMwA1ADMAOAAzADMASQBEAEUAQQA7=&amp;Tipo=2&amp;ST=1&amp;nLang=0</t>
  </si>
  <si>
    <t>https://www.clickideacore.com/ClickHTML5/Visit.aspx?ID=//52DAEwASwAzADkAMwA1ADMANQA5ADYASQBEAEUAQQAA=&amp;Tipo=2&amp;ST=1&amp;nLang=0</t>
  </si>
  <si>
    <t>https://www.clickideacore.com/ClickHTML5/Visit.aspx?ID=//50DAEwASwAzADkAMwA1ADMANQA5ADUASQBEAEUAQQAE=&amp;Tipo=2&amp;ST=1&amp;nLang=0</t>
  </si>
  <si>
    <t>https://www.clickideacore.com/ClickHTML5/Visit.aspx?ID=//5FDAEwASwAzADkAMwA1ADEAOQA4ADMASQBEAEUAQQA4=&amp;Tipo=2&amp;ST=1&amp;nLang=0</t>
  </si>
  <si>
    <t>https://www.clickideacore.com/ClickHTML5/Visit.aspx?ID=//5BDAEwASwAzADkAMwA1ADQANgA3ADEASQBEAEUAQQA4=&amp;Tipo=2&amp;ST=1&amp;nLang=0</t>
  </si>
  <si>
    <t xml:space="preserve">Daniel Peña </t>
  </si>
  <si>
    <t>https://www.clickideacore.com/ClickHTML5/Visit.aspx?ID=//5ADAEwASwAzADkAMwA2ADMAMgAyADUASQBEAEUAQQAD=&amp;Tipo=2&amp;ST=1&amp;nLang=0</t>
  </si>
  <si>
    <t>https://www.clickideacore.com/ClickHTML5/Visit.aspx?ID=//52DAEwASwAzADkAMwA3ADIANQA0ADIASQBEAEUAQQAA=&amp;Tipo=2&amp;ST=1&amp;nLang=0</t>
  </si>
  <si>
    <t>https://www.clickideacore.com/ClickHTML5/Visit.aspx?ID=//52DAEwASwAzADkAMwA5ADkANQAwADcASQBEAEUAQQA7=&amp;Tipo=2&amp;ST=1&amp;nLang=0</t>
  </si>
  <si>
    <t>https://www.clickideacore.com/ClickHTML5/Visit.aspx?ID=//59DAEwASwAzADkANAAxADkAMQA5ADMASQBEAEUAQQA3=&amp;Tipo=2&amp;ST=1&amp;nLang=0</t>
  </si>
  <si>
    <t>https://www.clickideacore.com/ClickHTML5/Visit.aspx?ID=//52DAEwASwAzADkANAA1ADAANwAxADYASQBEAEUAQQA4=&amp;Tipo=2&amp;ST=1&amp;nLang=0</t>
  </si>
  <si>
    <t>https://www.clickideacore.com/ClickHTML5/Visit.aspx?ID=//5FDAEwASwAzADkANAA2ADYAOQA5ADMASQBEAEUAQQA4=&amp;Tipo=2&amp;ST=1&amp;nLang=0</t>
  </si>
  <si>
    <t>https://www.clickideacore.com/ClickHTML5/Visit.aspx?ID=//58DAEwASwAzADkAMwA2ADMAOAA4ADUASQBEAEUAQQAA=&amp;Tipo=2&amp;ST=1&amp;nLang=0</t>
  </si>
  <si>
    <t>https://www.clickideacore.com/ClickHTML5/Visit.aspx?ID=//5CDAEwASwAzADkAMwA2ADMANAAxADkASQBEAEUAQQA4=&amp;Tipo=2&amp;ST=1&amp;nLang=0</t>
  </si>
  <si>
    <t>https://www.clickideacore.com/ClickHTML5/Visit.aspx?ID=//5EDAEwASwAzADkAMwA2ADIANgAyADIASQBEAEUAQQAC=&amp;Tipo=2&amp;ST=1&amp;nLang=0</t>
  </si>
  <si>
    <t>https://www.clickideacore.com/ClickHTML5/Visit.aspx?ID=//59DAEwASwAzADkAMwA2ADIAMQA1ADgASQBEAEUAQQA7=&amp;Tipo=2&amp;ST=1&amp;nLang=0</t>
  </si>
  <si>
    <t>https://www.clickideacore.com/ClickHTML5/Visit.aspx?ID=//57DAEwASwAzADkAMwA3ADUAMQAzADQASQBEAEUAQQA6=&amp;Tipo=2&amp;ST=1&amp;nLang=0</t>
  </si>
  <si>
    <t>https://www.clickideacore.com/ClickHTML5/Visit.aspx?ID=//59DAEwASwAzADkAMwA2ADkAMAA4ADAASQBEAEUAQQAE=&amp;Tipo=2&amp;ST=1&amp;nLang=0</t>
  </si>
  <si>
    <t>https://www.clickideacore.com/ClickHTML5/Visit.aspx?ID=//5FDAEwASwAzADkAMwA3ADYAMAAwADMASQBEAEUAQQA3=&amp;Tipo=2&amp;ST=1&amp;nLang=0</t>
  </si>
  <si>
    <t>https://www.clickideacore.com/ClickHTML5/Visit.aspx?ID=//55DAEwASwAzADkAMwA3ADcANQAyADMASQBEAEUAQQAD=&amp;Tipo=2&amp;ST=1&amp;nLang=0</t>
  </si>
  <si>
    <t>https://www.clickideacore.com/ClickHTML5/Visit.aspx?ID=//53DAEwASwAzADkAMwA3ADIANAAwADUASQBEAEUAQQAD=&amp;Tipo=2&amp;ST=1&amp;nLang=0</t>
  </si>
  <si>
    <t>https://www.clickideacore.com/ClickHTML5/Visit.aspx?ID=//58DAEwASwAzADkAMwA5ADQAOQA3ADcASQBEAEUAQQA1=&amp;Tipo=2&amp;ST=1&amp;nLang=0</t>
  </si>
  <si>
    <t>OK</t>
  </si>
  <si>
    <t>https://www.clickideacore.com/ClickHTML5/Visit.aspx?ID=//58DAEwASwAzADkAMwA5ADIAOQA1ADAASQBEAEUAQQA1=&amp;Tipo=2&amp;ST=1&amp;nLang=0</t>
  </si>
  <si>
    <t>https://www.clickideacore.com/ClickHTML5/Visit.aspx?ID=//53DAEwASwAzADkAMwA5ADMANgAxADkASQBEAEUAQQAD=&amp;Tipo=2&amp;ST=1&amp;nLang=0</t>
  </si>
  <si>
    <t>https://www.clickideacore.com/ClickHTML5/Visit.aspx?ID=//59DAEwASwAzADkAMwA5ADMAOAA4ADkASQBEAEUAQQA2=&amp;Tipo=2&amp;ST=1&amp;nLang=0</t>
  </si>
  <si>
    <t>https://www.clickideacore.com/ClickHTML5/Visit.aspx?ID=//54DAEwASwAzADkANAAxADkAOAA1ADUASQBEAEUAQQA9=&amp;Tipo=2&amp;ST=1&amp;nLang=0</t>
  </si>
  <si>
    <t>https://www.clickideacore.com/ClickHTML5/Visit.aspx?ID=//51DAEwASwAzADkANAAyADUANQAxADQASQBEAEUAQQA2=&amp;Tipo=2&amp;ST=1&amp;nLang=0</t>
  </si>
  <si>
    <t>https://www.clickideacore.com/ClickHTML5/Visit.aspx?ID=//54DAEwASwAzADkANAAyADcAMQA5ADEASQBEAEUAQQA4=&amp;Tipo=2&amp;ST=1&amp;nLang=0</t>
  </si>
  <si>
    <t>https://www.clickideacore.com/ClickHTML5/Visit.aspx?ID=//54DAEwASwAzADkANAA0ADUAMQAzADgASQBEAEUAQQA7=&amp;Tipo=2&amp;ST=1&amp;nLang=0</t>
  </si>
  <si>
    <t>https://www.clickideacore.com/ClickHTML5/Visit.aspx?ID=//53DAEwASwAzADkANAA1ADQAMAA3ADAASQBEAEUAQQAA=&amp;Tipo=2&amp;ST=1&amp;nLang=0</t>
  </si>
  <si>
    <t>https://www.clickideacore.com/ClickHTML5/Visit.aspx?ID=//5BDAEwASwAzADkANAA0ADkANgAwADQASQBEAEUAQQA5=&amp;Tipo=2&amp;ST=1&amp;nLang=0</t>
  </si>
  <si>
    <t>https://www.clickideacore.com/ClickHTML5/Visit.aspx?ID=//56DAEwASwAzADkANAA1ADEANAA3ADUASQBEAEUAQQA4=&amp;Tipo=2&amp;ST=1&amp;nLang=0</t>
  </si>
  <si>
    <t>https://www.clickideacore.com/ClickHTML5/Visit.aspx?ID=//54DAEwASwAzADkANAA0ADYAOQAxADcASQBEAEUAQQAD=&amp;Tipo=2&amp;ST=1&amp;nLang=0</t>
  </si>
  <si>
    <t>https://www.clickideacore.com/ClickHTML5/Visit.aspx?ID=//59DAEwASwAzADkANAA3ADMANgAzADkASQBEAEUAQQA5=&amp;Tipo=2&amp;ST=1&amp;nLang=0</t>
  </si>
  <si>
    <t>https://www.clickideacore.com/ClickHTML5/Visit.aspx?ID=//53DAEwASwAzADkANAA3ADYANAA2ADAASQBEAEUAQQA5=&amp;Tipo=2&amp;ST=1&amp;nLang=0</t>
  </si>
  <si>
    <t>https://www.clickideacore.com/ClickHTML5/Visit.aspx?ID=//56DAEwASwAzADkANAA3ADQANAA0ADAASQBEAEUAQQA7=&amp;Tipo=2&amp;ST=1&amp;nLang=0</t>
  </si>
  <si>
    <t>https://www.clickideacore.com/ClickHTML5/Visit.aspx?ID=//5FDAEwASwAzADkANAA3ADAANAA0ADUASQBEAEUAQQA9=&amp;Tipo=2&amp;ST=1&amp;nLang=0</t>
  </si>
  <si>
    <t>https://www.clickideacore.com/ClickHTML5/Visit.aspx?ID=//53DAEwASwAzADkANAA3ADAAMwA0ADMASQBEAEUAQQA8=&amp;Tipo=2&amp;ST=1&amp;nLang=0</t>
  </si>
  <si>
    <t>https://www.clickideacore.com/ClickHTML5/Visit.aspx?ID=//50DAEwASwAzADkANAA5ADEANAA2ADYASQBEAEUAQQA4=&amp;Tipo=2&amp;ST=1&amp;nLang=0</t>
  </si>
  <si>
    <t>https://www.clickideacore.com/ClickHTML5/Visit.aspx?ID=//5CDAEwASwAzADkANAA5ADEANQAzADgASQBEAEUAQQA6=&amp;Tipo=2&amp;ST=1&amp;nLang=0</t>
  </si>
  <si>
    <t>https://www.clickideacore.com/ClickHTML5/Visit.aspx?ID=//52DAEwASwAzADkANAA5ADMANQAxADQASQBEAEUAQQAE=&amp;Tipo=2&amp;ST=1&amp;nLang=0</t>
  </si>
  <si>
    <t>https://www.clickideacore.com/ClickHTML5/Visit.aspx?ID=//50DAEwASwAzADkANAA5ADAAOQAyADEASQBEAEUAQQA5=&amp;Tipo=2&amp;ST=1&amp;nLang=0</t>
  </si>
  <si>
    <t>https://www.clickideacore.com/ClickHTML5/Visit.aspx?ID=//5BDAEwASwAzADkANAA5ADEAOAA0ADQASQBEAEUAQQA5=&amp;Tipo=2&amp;ST=1&amp;nLang=0</t>
  </si>
  <si>
    <t>https://www.clickideacore.com/ClickHTML5/Visit.aspx?ID=//55DAEwASwAzADkANQAwADEANgA1ADUASQBEAEUAQQA2=&amp;Tipo=2&amp;ST=1&amp;nLang=0</t>
  </si>
  <si>
    <t>https://www.clickideacore.com/ClickHTML5/Visit.aspx?ID=//5ADAEwASwAzADkANQAwADEANwAzADUASQBEAEUAQQAD=&amp;Tipo=2&amp;ST=1&amp;nLang=0</t>
  </si>
  <si>
    <t>https://www.clickideacore.com/ClickHTML5/Visit.aspx?ID=//55DAEwASwAzADkANQAwADAAOQA5ADEASQBEAEUAQQA5=&amp;Tipo=2&amp;ST=1&amp;nLang=0</t>
  </si>
  <si>
    <t>https://www.clickideacore.com/ClickHTML5/Visit.aspx?ID=//52DAEwASwAzADkANQAwADEANAA2ADQASQBEAEUAQQAF=&amp;Tipo=2&amp;ST=1&amp;nLang=0</t>
  </si>
  <si>
    <t>https://www.clickideacore.com/ClickHTML5/Visit.aspx?ID=//59DAEwASwAzADkANQAwADEANAAyADMASQBEAEUAQQA9=&amp;Tipo=2&amp;ST=1&amp;nLang=0</t>
  </si>
  <si>
    <t>https://www.clickideacore.com/ClickHTML5/Visit.aspx?ID=//51DAEwASwAzADkANQAxADcANQA3ADAASQBEAEUAQQA0=&amp;Tipo=2&amp;ST=1&amp;nLang=0</t>
  </si>
  <si>
    <t>https://www.clickideacore.com/ClickHTML5/Visit.aspx?ID=//5ADAEwASwAzADkANQAyADIANAA1ADgASQBEAEUAQQA9=&amp;Tipo=2&amp;ST=1&amp;nLang=0</t>
  </si>
  <si>
    <t>https://www.clickideacore.com/ClickHTML5/Visit.aspx?ID=//55DAEwASwAzADkANQAxADIANQAxADEASQBEAEUAQQA0=&amp;Tipo=2&amp;ST=1&amp;nLang=0</t>
  </si>
  <si>
    <t>https://www.clickideacore.com/ClickHTML5/Visit.aspx?ID=//57DAEwASwAzADkANQAxADIAOAAyADQASQBEAEUAQQA9=&amp;Tipo=2&amp;ST=1&amp;nLang=0</t>
  </si>
  <si>
    <t>https://www.clickideacore.com/ClickHTML5/Visit.aspx?ID=//54DAEwASwAzADkANQAxADUAOAA5ADgASQBEAEUAQQAE=&amp;Tipo=2&amp;ST=1&amp;nLang=0</t>
  </si>
  <si>
    <t>https://www.clickideacore.com/ClickHTML5/Visit.aspx?ID=//5DDAEwASwAzADkANQA0ADYANgA4ADMASQBEAEUAQQA2=&amp;Tipo=2&amp;ST=1&amp;nLang=0</t>
  </si>
  <si>
    <t>https://www.clickideacore.com/ClickHTML5/Visit.aspx?ID=//56DAEwASwAzADkANQA1ADEAOQAzADEASQBEAEUAQQA3=&amp;Tipo=2&amp;ST=1&amp;nLang=0</t>
  </si>
  <si>
    <t>https://www.clickideacore.com/ClickHTML5/Visit.aspx?ID=//59DAEwASwAzADkANQA0ADIAMAA4ADkASQBEAEUAQQA5=&amp;Tipo=2&amp;ST=1&amp;nLang=0</t>
  </si>
  <si>
    <t>https://www.clickideacore.com/ClickHTML5/Visit.aspx?ID=//5FDAEwASwAzADkANQA0ADEAMQAzADQASQBEAEUAQQA5=&amp;Tipo=2&amp;ST=1&amp;nLang=0</t>
  </si>
  <si>
    <t>https://www.clickideacore.com/ClickHTML5/Visit.aspx?ID=//54DAEwASwAzADkANQA0ADQANAA2ADcASQBEAEUAQQA1=&amp;Tipo=2&amp;ST=1&amp;nLang=0</t>
  </si>
  <si>
    <t>https://www.clickideacore.com/ClickHTML5/Visit.aspx?ID=//59DAEwASwAzADkANQA0ADEAOAAwADIASQBEAEUAQQAF=&amp;Tipo=2&amp;ST=1&amp;nLang=0</t>
  </si>
  <si>
    <t>https://www.clickideacore.com/ClickHTML5/Visit.aspx?ID=//54DAEwASwAzADkANQA2ADkANAA3ADkASQBEAEUAQQA3=&amp;Tipo=2&amp;ST=1&amp;nLang=0</t>
  </si>
  <si>
    <t>https://www.clickideacore.com/ClickHTML5/Visit.aspx?ID=//5CDAEwASwAzADkANQA3ADAAMwA4ADMASQBEAEUAQQA6=&amp;Tipo=2&amp;ST=1&amp;nLang=0</t>
  </si>
  <si>
    <t>https://www.clickideacore.com/ClickHTML5/Visit.aspx?ID=//53DAEwASwAzADkANQA2ADcAMgA2ADAASQBEAEUAQQAC=&amp;Tipo=2&amp;ST=1&amp;nLang=0</t>
  </si>
  <si>
    <t>https://www.clickideacore.com/ClickHTML5/Visit.aspx?ID=//57DAEwASwAzADkANQA3ADAANgA3ADkASQBEAEUAQQAD=&amp;Tipo=2&amp;ST=1&amp;nLang=0</t>
  </si>
  <si>
    <t>https://www.clickideacore.com/ClickHTML5/Visit.aspx?ID=//5ADAEwASwAzADkANQA2ADYAMQAwADAASQBEAEUAQQA7=&amp;Tipo=2&amp;ST=1&amp;nLang=0</t>
  </si>
  <si>
    <t>https://www.clickideacore.com/ClickHTML5/Visit.aspx?ID=//56DAEwASwAzADkANQA4ADIAMQA1ADEASQBEAEUAQQAD=&amp;Tipo=2&amp;ST=1&amp;nLang=0</t>
  </si>
  <si>
    <t>https://www.clickideacore.com/ClickHTML5/Visit.aspx?ID=//5EDAEwASwAzADkANQA3ADUANwAxADQASQBEAEUAQQAD=&amp;Tipo=2&amp;ST=1&amp;nLang=0</t>
  </si>
  <si>
    <t>https://www.clickideacore.com/ClickHTML5/Visit.aspx?ID=//5EDAEwASwAzADkANQA4ADEANQA2ADkASQBEAEUAQQA1=&amp;Tipo=2&amp;ST=1&amp;nLang=0</t>
  </si>
  <si>
    <t>https://www.clickideacore.com/ClickHTML5/Visit.aspx?ID=//58DAEwASwAzADkANQA4ADIANwA1ADAASQBEAEUAQQA1=&amp;Tipo=2&amp;ST=1&amp;nLang=0</t>
  </si>
  <si>
    <t>https://www.clickideacore.com/ClickHTML5/Visit.aspx?ID=//5DDAEwASwAzADkANQA4ADQAOQAwADQASQBEAEUAQQAD=&amp;Tipo=2&amp;ST=1&amp;nLang=0</t>
  </si>
  <si>
    <t>https://www.clickideacore.com/ClickHTML5/Visit.aspx?ID=//54DAEwASwAzADkANQA4ADEANwAxADIASQBEAEUAQQA6=&amp;Tipo=2&amp;ST=1&amp;nLang=0</t>
  </si>
  <si>
    <t>https://www.clickideacore.com/ClickHTML5/Visit.aspx?ID=//58DAEwASwAzADkANQA4ADAANAAxADEASQBEAEUAQQAF=&amp;Tipo=2&amp;ST=1&amp;nLang=0</t>
  </si>
  <si>
    <t>OP-S-043</t>
  </si>
  <si>
    <t>https://www.clickideacore.com/ClickHTML5/Visit.aspx?ID=//5BDAEwASwAzADkANQA5ADIAMQA2ADUASQBEAEUAQQA6=&amp;Tipo=2&amp;ST=1&amp;nLang=0</t>
  </si>
  <si>
    <t>https://www.clickideacore.com/ClickHTML5/Visit.aspx?ID=//51DAEwASwAzADkANQA5ADAAMAA4ADUASQBEAEUAQQA1=&amp;Tipo=2&amp;ST=1&amp;nLang=0</t>
  </si>
  <si>
    <t>https://www.clickideacore.com/ClickHTML5/Visit.aspx?ID=//5FDAEwASwAzADkANQA5ADEANgAzADAASQBEAEUAQQA6=&amp;Tipo=2&amp;ST=1&amp;nLang=0</t>
  </si>
  <si>
    <t>https://www.clickideacore.com/ClickHTML5/Visit.aspx?ID=//58DAEwASwAzADkANQA5ADEAOAA4ADMASQBEAEUAQQA7=&amp;Tipo=2&amp;ST=1&amp;nLang=0</t>
  </si>
  <si>
    <t>https://www.clickideacore.com/ClickHTML5/Visit.aspx?ID=//52DAEwASwAzADkANgAwADUAMgAzADkASQBEAEUAQQA4=&amp;Tipo=2&amp;ST=1&amp;nLang=0</t>
  </si>
  <si>
    <t>https://www.clickideacore.com/ClickHTML5/Visit.aspx?ID=//54DAEwASwAzADkANgAwADIANAAwADAASQBEAEUAQQAE=&amp;Tipo=2&amp;ST=1&amp;nLang=0</t>
  </si>
  <si>
    <t>https://www.clickideacore.com/ClickHTML5/Visit.aspx?ID=//54DAEwASwAzADkANgAwADMANwA5ADYASQBEAEUAQQA6=&amp;Tipo=2&amp;ST=1&amp;nLang=0</t>
  </si>
  <si>
    <t>https://www.clickideacore.com/ClickHTML5/Visit.aspx?ID=//5FDAEwASwAzADkANgA2ADIAOAAzADEASQBEAEUAQQAE=&amp;Tipo=2&amp;ST=1&amp;nLang=0</t>
  </si>
  <si>
    <t>https://www.clickideacore.com/ClickHTML5/Visit.aspx?ID=//5CDAEwASwAzADkANgAxADEANAA2ADgASQBEAEUAQQA5=&amp;Tipo=2&amp;ST=1&amp;nLang=0</t>
  </si>
  <si>
    <t>https://www.clickideacore.com/ClickHTML5/Visit.aspx?ID=//58DAEwASwAzADkANgAxADAANgAwADEASQBEAEUAQQAE=&amp;Tipo=2&amp;ST=1&amp;nLang=0</t>
  </si>
  <si>
    <t>https://www.clickideacore.com/ClickHTML5/Visit.aspx?ID=//5DDAEwASwAzADkANgAxADIANAAzADAASQBEAEUAQQA1=&amp;Tipo=2&amp;ST=1&amp;nLang=0</t>
  </si>
  <si>
    <t>https://www.clickideacore.com/ClickHTML5/Visit.aspx?ID=//53DAEwASwAzADkANgAyADIAMgA0ADAASQBEAEUAQQA0=&amp;Tipo=2&amp;ST=1&amp;nLang=0</t>
  </si>
  <si>
    <t>https://www.clickideacore.com/ClickHTML5/Visit.aspx?ID=//5DDAEwASwAzADkANgAzADYAMwA2ADcASQBEAEUAQQAE=&amp;Tipo=2&amp;ST=1&amp;nLang=0</t>
  </si>
  <si>
    <t>https://www.clickideacore.com/ClickHTML5/Visit.aspx?ID=//5BDAEwASwAzADkANgAyADcAOQAzADMASQBEAEUAQQA0=&amp;Tipo=2&amp;ST=1&amp;nLang=0</t>
  </si>
  <si>
    <t>https://www.clickideacore.com/ClickHTML5/Visit.aspx?ID=//50DAEwASwAzADkANgAzADQAMwA4ADQASQBEAEUAQQAA=&amp;Tipo=2&amp;ST=1&amp;nLang=0</t>
  </si>
  <si>
    <t>https://www.clickideacore.com/ClickHTML5/Visit.aspx?ID=//54DAEwASwAzADkANgA1ADYANwAxADkASQBEAEUAQQA5=&amp;Tipo=2&amp;ST=1&amp;nLang=0</t>
  </si>
  <si>
    <t>https://www.clickideacore.com/ClickHTML5/Visit.aspx?ID=//5FDAEwASwAzADkANgA1ADYAMgA1ADIASQBEAEUAQQA8=&amp;Tipo=2&amp;ST=1&amp;nLang=0</t>
  </si>
  <si>
    <t>https://www.clickideacore.com/ClickHTML5/Visit.aspx?ID=//5BDAEwASwAzADkANgA1ADYANgA3ADQASQBEAEUAQQA8=&amp;Tipo=2&amp;ST=1&amp;nLang=0</t>
  </si>
  <si>
    <t>https://www.clickideacore.com/ClickHTML5/Visit.aspx?ID=//5FDAEwASwAzADkANgA1ADYAOQA3ADcASQBEAEUAQQAA=&amp;Tipo=2&amp;ST=1&amp;nLang=0</t>
  </si>
  <si>
    <t>https://www.clickideacore.com/ClickHTML5/Visit.aspx?ID=//5CDAEwASwAzADkANgA1ADYAMgAxADQASQBEAEUAQQA7=&amp;Tipo=2&amp;ST=1&amp;nLang=0</t>
  </si>
  <si>
    <t>https://www.clickideacore.com/ClickHTML5/Visit.aspx?ID=//50DAEwASwAzADkANgA4ADMANgA4ADcASQBEAEUAQQA1=&amp;Tipo=2&amp;ST=1&amp;nLang=0</t>
  </si>
  <si>
    <t>https://www.clickideacore.com/ClickHTML5/Visit.aspx?ID=//51DAEwASwAzADkANgA4ADAANwAzADQASQBEAEUAQQA6=&amp;Tipo=2&amp;ST=1&amp;nLang=0</t>
  </si>
  <si>
    <t>https://www.clickideacore.com/ClickHTML5/Visit.aspx?ID=//5BDAEwASwAzADkANgA3ADgANwA3ADAASQBEAEUAQQA8=&amp;Tipo=2&amp;ST=1&amp;nLang=0</t>
  </si>
  <si>
    <t>https://www.clickideacore.com/ClickHTML5/Visit.aspx?ID=//57DAEwASwAzADkANgA4ADIANgAxADAASQBEAEUAQQA3=&amp;Tipo=2&amp;ST=1&amp;nLang=0</t>
  </si>
  <si>
    <t>https://www.clickideacore.com/ClickHTML5/Visit.aspx?ID=//53DAEwASwAzADkANgA3ADgANAAzADYASQBEAEUAQQA6=&amp;Tipo=2&amp;ST=1&amp;nLang=0</t>
  </si>
  <si>
    <t>https://www.clickideacore.com/ClickHTML5/Visit.aspx?ID=//55DAEwASwAzADkANwAzADEANgA0ADcASQBEAEUAQQA0=&amp;Tipo=2&amp;ST=1&amp;nLang=0</t>
  </si>
  <si>
    <t>https://www.clickideacore.com/ClickHTML5/Visit.aspx?ID=//5EDAEwASwAzADkANwAwADUAMQA5ADgASQBEAEUAQQA7=&amp;Tipo=2&amp;ST=1&amp;nLang=0</t>
  </si>
  <si>
    <t>https://www.clickideacore.com/ClickHTML5/Visit.aspx?ID=//5ADAEwASwAzADkANwAwADIAMwA5ADQASQBEAEUAQQA5=&amp;Tipo=2&amp;ST=1&amp;nLang=0</t>
  </si>
  <si>
    <t>https://www.clickideacore.com/ClickHTML5/Visit.aspx?ID=//51DAEwASwAzADkANwAwADEAMAA3ADMASQBEAEUAQQAF=&amp;Tipo=2&amp;ST=1&amp;nLang=0</t>
  </si>
  <si>
    <t>https://www.clickideacore.com/ClickHTML5/Visit.aspx?ID=//54DAEwASwAzADkANwAwADMANwA5ADUASQBEAEUAQQA6=&amp;Tipo=2&amp;ST=1&amp;nLang=0</t>
  </si>
  <si>
    <t>https://www.clickideacore.com/ClickHTML5/Visit.aspx?ID=//5ADAEwASwAzADkANwAwADQAMgAzADIASQBEAEUAQQAD=&amp;Tipo=2&amp;ST=1&amp;nLang=0</t>
  </si>
  <si>
    <t>https://www.clickideacore.com/ClickHTML5/Visit.aspx?ID=//56DAEwASwAzADkANwAyADkANQAxADUASQBEAEUAQQA8=&amp;Tipo=2&amp;ST=1&amp;nLang=0</t>
  </si>
  <si>
    <t>https://www.clickideacore.com/ClickHTML5/Visit.aspx?ID=//54DAEwASwAzADkANwAzADAANQAyADAASQBEAEUAQQA9=&amp;Tipo=2&amp;ST=1&amp;nLang=0</t>
  </si>
  <si>
    <t>https://www.clickideacore.com/ClickHTML5/Visit.aspx?ID=//5DDAEwASwAzADkANwAyADkAOAAzADAASQBEAEUAQQAC=&amp;Tipo=2&amp;ST=1&amp;nLang=0</t>
  </si>
  <si>
    <t>https://www.clickideacore.com/ClickHTML5/Visit.aspx?ID=//5CDAEwASwAzADkANwAyADgANgA1ADgASQBEAEUAQQAC=&amp;Tipo=2&amp;ST=1&amp;nLang=0</t>
  </si>
  <si>
    <t>https://www.clickideacore.com/ClickHTML5/Visit.aspx?ID=//55DAEwASwAzADkANwAyADkAMgA2ADEASQBEAEUAQQA8=&amp;Tipo=2&amp;ST=1&amp;nLang=0</t>
  </si>
  <si>
    <t>https://www.clickideacore.com/ClickHTML5/Visit.aspx?ID=//5DDAEwASwAzADkANwAyADkAOAAwADEASQBEAEUAQQAD=&amp;Tipo=2&amp;ST=1&amp;nLang=0</t>
  </si>
  <si>
    <t>https://www.clickideacore.com/ClickHTML5/Visit.aspx?ID=//5CDAEwASwAzADkANwA0ADQAMAA3ADcASQBEAEUAQQA3=&amp;Tipo=2&amp;ST=1&amp;nLang=0</t>
  </si>
  <si>
    <t>https://www.clickideacore.com/ClickHTML5/Visit.aspx?ID=//56DAEwASwAzADkANwA0ADUANgA4ADYASQBEAEUAQQA7=&amp;Tipo=2&amp;ST=1&amp;nLang=0</t>
  </si>
  <si>
    <t>https://www.clickideacore.com/ClickHTML5/Visit.aspx?ID=//50DAEwASwAzADkANwA0ADQAMAAzADQASQBEAEUAQQAD=&amp;Tipo=2&amp;ST=1&amp;nLang=0</t>
  </si>
  <si>
    <t>https://www.clickideacore.com/ClickHTML5/Visit.aspx?ID=//52DAEwASwAzADkANwA0ADQANQA2ADcASQBEAEUAQQA6=&amp;Tipo=2&amp;ST=1&amp;nLang=0</t>
  </si>
  <si>
    <t>https://www.clickideacore.com/ClickHTML5/Visit.aspx?ID=//56DAEwASwAzADkANwA0ADQAMQA2ADQASQBEAEUAQQA5=&amp;Tipo=2&amp;ST=1&amp;nLang=0</t>
  </si>
  <si>
    <t>https://www.clickideacore.com/ClickHTML5/Visit.aspx?ID=//56DAEwASwAzADkANwA0ADQANAAwADkASQBEAEUAQQA2=&amp;Tipo=2&amp;ST=1&amp;nLang=0</t>
  </si>
  <si>
    <t>Claudio Garrdo</t>
  </si>
  <si>
    <t>https://www.clickideacore.com/ClickHTML5/Visit.aspx?ID=//5ADAEwASwAzADkANwA2ADYANgA2ADgASQBEAEUAQQAD=&amp;Tipo=2&amp;ST=1&amp;nLang=0</t>
  </si>
  <si>
    <t>https://www.clickideacore.com/ClickHTML5/Visit.aspx?ID=//56DAEwASwAzADkANwA1ADMAOQA2ADYASQBEAEUAQQA1=&amp;Tipo=2&amp;ST=1&amp;nLang=0</t>
  </si>
  <si>
    <t>https://www.clickideacore.com/ClickHTML5/Visit.aspx?ID=//50DAEwASwAzADkANwA1ADIAOQA3ADcASQBEAEUAQQAD=&amp;Tipo=2&amp;ST=1&amp;nLang=0</t>
  </si>
  <si>
    <t>https://www.clickideacore.com/ClickHTML5/Visit.aspx?ID=//5DDAEwASwAzADkANwA1ADIANgAzADEASQBEAEUAQQA0=&amp;Tipo=2&amp;ST=1&amp;nLang=0</t>
  </si>
  <si>
    <t>https://www.clickideacore.com/ClickHTML5/Visit.aspx?ID=//51DAEwASwAzADkANwA1ADIANgAwADcASQBEAEUAQQAA=&amp;Tipo=2&amp;ST=1&amp;nLang=0</t>
  </si>
  <si>
    <t>https://www.clickideacore.com/ClickHTML5/Visit.aspx?ID=//5ADAEwASwAzADkANwA3ADAAMAA4ADUASQBEAEUAQQA3=&amp;Tipo=2&amp;ST=1&amp;nLang=0</t>
  </si>
  <si>
    <t>https://www.clickideacore.com/ClickHTML5/Visit.aspx?ID=//55DAEwASwAzADkANwA2ADgAMQAxADcASQBEAEUAQQAE=&amp;Tipo=2&amp;ST=1&amp;nLang=0</t>
  </si>
  <si>
    <t>https://www.clickideacore.com/ClickHTML5/Visit.aspx?ID=//5FDAEwASwAzADkANwA2ADkAMwA0ADQASQBEAEUAQQAF=&amp;Tipo=2&amp;ST=1&amp;nLang=0</t>
  </si>
  <si>
    <t>https://www.clickideacore.com/ClickHTML5/Visit.aspx?ID=//5FDAEwASwAzADkANwA2ADcAMQAwADIASQBEAEUAQQA4=&amp;Tipo=2&amp;ST=1&amp;nLang=0</t>
  </si>
  <si>
    <t>https://www.clickideacore.com/ClickHTML5/Visit.aspx?ID=//59DAEwASwAzADkANwA2ADkAMQA0ADQASQBEAEUAQQA8=&amp;Tipo=2&amp;ST=1&amp;nLang=0</t>
  </si>
  <si>
    <t>https://www.clickideacore.com/ClickHTML5/Visit.aspx?ID=//58DAEwASwAzADkANwA5ADgAMQAxADEASQBEAEUAQQAC=&amp;Tipo=2&amp;ST=1&amp;nLang=0</t>
  </si>
  <si>
    <t>https://www.clickideacore.com/ClickHTML5/Visit.aspx?ID=//52DAEwASwAzADkAOAAwADAANAA1ADEASQBEAEUAQQA7=&amp;Tipo=2&amp;ST=1&amp;nLang=0</t>
  </si>
  <si>
    <t>https://www.clickideacore.com/ClickHTML5/Visit.aspx?ID=//58DAEwASwAzADkANwA5ADcAMAA0ADcASQBEAEUAQQAC=&amp;Tipo=2&amp;ST=1&amp;nLang=0</t>
  </si>
  <si>
    <t>https://www.clickideacore.com/ClickHTML5/Visit.aspx?ID=//53DAEwASwAzADkAOAAxADQAMgA1ADEASQBEAEUAQQA4=&amp;Tipo=2&amp;ST=1&amp;nLang=0</t>
  </si>
  <si>
    <t>https://www.clickideacore.com/ClickHTML5/Visit.aspx?ID=//5BDAEwASwAzADkANwA5ADUANgA4ADEASQBEAEUAQQAC=&amp;Tipo=2&amp;ST=1&amp;nLang=0</t>
  </si>
  <si>
    <t>https://www.clickideacore.com/ClickHTML5/Visit.aspx?ID=//57DAEwASwAzADkANwA5ADEAMwA4ADUASQBEAEUAQQA9=&amp;Tipo=2&amp;ST=1&amp;nLang=0</t>
  </si>
  <si>
    <t>https://www.clickideacore.com/ClickHTML5/Visit.aspx?ID=//58DAEwASwAzADkAOAAyADMAMwA1ADMASQBEAEUAQQAD=&amp;Tipo=2&amp;ST=1&amp;nLang=0</t>
  </si>
  <si>
    <t>https://www.clickideacore.com/ClickHTML5/Visit.aspx?ID=//51DAEwASwAzADkAOAAyADMAMwA4ADcASQBEAEUAQQAA=&amp;Tipo=2&amp;ST=1&amp;nLang=0</t>
  </si>
  <si>
    <t>https://www.clickideacore.com/ClickHTML5/Visit.aspx?ID=//5FDAEwASwAzADkAOAAyADQANgA3ADMASQBEAEUAQQA5=&amp;Tipo=2&amp;ST=1&amp;nLang=0</t>
  </si>
  <si>
    <t>https://www.clickideacore.com/ClickHTML5/Visit.aspx?ID=//51DAEwASwAzADkAOAAyADUAMgAyADEASQBEAEUAQQA7=&amp;Tipo=2&amp;ST=1&amp;nLang=0</t>
  </si>
  <si>
    <t>https://www.clickideacore.com/ClickHTML5/Visit.aspx?ID=//5DDAEwASwAzADkAOAAxADcAMQA3ADUASQBEAEUAQQA3=&amp;Tipo=2&amp;ST=1&amp;nLang=0</t>
  </si>
  <si>
    <t>https://www.clickideacore.com/ClickHTML5/Visit.aspx?ID=//5ADAEwASwAzADkAOAAxADQAMgA0ADIASQBEAEUAQQA5=&amp;Tipo=2&amp;ST=1&amp;nLang=0</t>
  </si>
  <si>
    <t>https://www.clickideacore.com/ClickHTML5/Visit.aspx?ID=//53DAEwASwAzADkAOAAxADQAMAAzADAASQBEAEUAQQA6=&amp;Tipo=2&amp;ST=1&amp;nLang=0</t>
  </si>
  <si>
    <t>https://www.clickideacore.com/ClickHTML5/Visit.aspx?ID=//52DAEwASwAzADkAOAA0ADkAMQA5ADgASQBEAEUAQQAA=&amp;Tipo=2&amp;ST=1&amp;nLang=0</t>
  </si>
  <si>
    <t>https://www.clickideacore.com/ClickHTML5/Visit.aspx?ID=//58DAEwASwAzADkAOAA0ADgAMwA4ADUASQBEAEUAQQA8=&amp;Tipo=2&amp;ST=1&amp;nLang=0</t>
  </si>
  <si>
    <t>https://www.clickideacore.com/ClickHTML5/Visit.aspx?ID=//5CDAEwASwAzADkAOAA0ADkAMgAwADEASQBEAEUAQQA3=&amp;Tipo=2&amp;ST=1&amp;nLang=0</t>
  </si>
  <si>
    <t>https://www.clickideacore.com/ClickHTML5/Visit.aspx?ID=//54DAEwASwAzADkAOAA0ADgANQA0ADcASQBEAEUAQQA6=&amp;Tipo=2&amp;ST=1&amp;nLang=0</t>
  </si>
  <si>
    <t>https://www.clickideacore.com/ClickHTML5/Visit.aspx?ID=//56DAEwASwAzADkAOAA0ADUANwA4ADIASQBEAEUAQQAD=&amp;Tipo=2&amp;ST=1&amp;nLang=0</t>
  </si>
  <si>
    <t>https://www.clickideacore.com/ClickHTML5/Visit.aspx?ID=//5FDAEwASwAzADkAOAA0ADYANwA0ADAASQBEAEUAQQAF=&amp;Tipo=2&amp;ST=1&amp;nLang=0</t>
  </si>
  <si>
    <t>https://www.clickideacore.com/ClickHTML5/Visit.aspx?ID=//58DAEwASwAzADkAOAA0ADkAMwAzADUASQBEAEUAQQA0=&amp;Tipo=2&amp;ST=1&amp;nLang=0</t>
  </si>
  <si>
    <t>https://www.clickideacore.com/ClickHTML5/Visit.aspx?ID=//5CDAEwASwAzADkAOAA3ADMAMQAwADAASQBEAEUAQQA4=&amp;Tipo=2&amp;ST=1&amp;nLang=0</t>
  </si>
  <si>
    <t>https://www.clickideacore.com/ClickHTML5/Visit.aspx?ID=//58DAEwASwAzADkAOAA3ADIANAA4ADgASQBEAEUAQQAB=&amp;Tipo=2&amp;ST=1&amp;nLang=0</t>
  </si>
  <si>
    <t>https://www.clickideacore.com/ClickHTML5/Visit.aspx?ID=//57DAEwASwAzADkAOAA3ADAAMwAzADcASQBEAEUAQQA4=&amp;Tipo=2&amp;ST=1&amp;nLang=0</t>
  </si>
  <si>
    <t>https://www.clickideacore.com/ClickHTML5/Visit.aspx?ID=//54DAEwASwAzADkAOAA3ADIAMAAwADkASQBEAEUAQQAD=&amp;Tipo=2&amp;ST=1&amp;nLang=0</t>
  </si>
  <si>
    <t>https://www.clickideacore.com/ClickHTML5/Visit.aspx?ID=//53DAEwASwAzADkAOAA3ADAAOAA1ADAASQBEAEUAQQAF=&amp;Tipo=2&amp;ST=1&amp;nLang=0</t>
  </si>
  <si>
    <t>https://www.clickideacore.com/ClickHTML5/Visit.aspx?ID=//5FDAEwASwAzADkAOAA2ADkAMQAwADcASQBEAEUAQQA7=&amp;Tipo=2&amp;ST=1&amp;nLang=0</t>
  </si>
  <si>
    <t>https://www.clickideacore.com/ClickHTML5/Visit.aspx?ID=//5DDAEwASwAzADkAOAA2ADIAOAA2ADIASQBEAEUAQQA5=&amp;Tipo=2&amp;ST=1&amp;nLang=0</t>
  </si>
  <si>
    <t>https://www.clickideacore.com/ClickHTML5/Visit.aspx?ID=//59DAEwASwAzADkAOAA2ADQANgA0ADAASQBEAEUAQQAF=&amp;Tipo=2&amp;ST=1&amp;nLang=0</t>
  </si>
  <si>
    <t>https://www.clickideacore.com/ClickHTML5/Visit.aspx?ID=//5ADAEwASwAzADkAOAA4ADgAMgA3ADYASQBEAEUAQQA9=&amp;Tipo=2&amp;ST=1&amp;nLang=0</t>
  </si>
  <si>
    <t>https://www.clickideacore.com/ClickHTML5/Visit.aspx?ID=//5BDAEwASwAzADkAOAA4ADkAMAAxADEASQBEAEUAQQAA=&amp;Tipo=2&amp;ST=1&amp;nLang=0</t>
  </si>
  <si>
    <t>https://www.clickideacore.com/ClickHTML5/Visit.aspx?ID=//51DAEwASwAzADkAOAA4ADkAMQAyADkASQBEAEUAQQAE=&amp;Tipo=2&amp;ST=1&amp;nLang=0</t>
  </si>
  <si>
    <t>https://www.clickideacore.com/ClickHTML5/Visit.aspx?ID=//5EDAEwASwAzADkAOAA4ADgANwAyADYASQBEAEUAQQA1=&amp;Tipo=2&amp;ST=1&amp;nLang=0</t>
  </si>
  <si>
    <t>https://www.clickideacore.com/ClickHTML5/Visit.aspx?ID=//53DAEwASwAzADkAOQAwADcAMwA5ADAASQBEAEUAQQAE=&amp;Tipo=2&amp;ST=1&amp;nLang=0</t>
  </si>
  <si>
    <t>https://www.clickideacore.com/ClickHTML5/Visit.aspx?ID=//55DAEwASwAzADkAOQAyADEAMAA3ADAASQBEAEUAQQA8=&amp;Tipo=2&amp;ST=1&amp;nLang=0</t>
  </si>
  <si>
    <t>https://www.clickideacore.com/ClickHTML5/Visit.aspx?ID=//5FDAEwASwAzADkAOQAwADkAMgA0ADQASQBEAEUAQQA9=&amp;Tipo=2&amp;ST=1&amp;nLang=0</t>
  </si>
  <si>
    <t>Cesar Moreno</t>
  </si>
  <si>
    <t>Alejandro Osorio</t>
  </si>
  <si>
    <t>https://www.clickideacore.com/ClickHTML5/Visit.aspx?ID=//5ADAEwASwAzADkAOQA0ADYANgA2ADMASQBEAEUAQQA6=&amp;Tipo=2&amp;ST=1&amp;nLang=0</t>
  </si>
  <si>
    <t>https://www.clickideacore.com/ClickHTML5/Visit.aspx?ID=//52DAEwASwAzADkAOQA0ADcAMgA1ADIASQBEAEUAQQA0=&amp;Tipo=2&amp;ST=1&amp;nLang=0</t>
  </si>
  <si>
    <t>https://www.clickideacore.com/ClickHTML5/Visit.aspx?ID=//53DAEwASwAzADkAOQA0ADYANQA3ADkASQBEAEUAQQAB=&amp;Tipo=2&amp;ST=1&amp;nLang=0</t>
  </si>
  <si>
    <t>https://www.clickideacore.com/ClickHTML5/Visit.aspx?ID=//51DAEwASwAzADkAOQA0ADgANgA5ADEASQBEAEUAQQAA=&amp;Tipo=2&amp;ST=1&amp;nLang=0</t>
  </si>
  <si>
    <t>https://www.clickideacore.com/ClickHTML5/Visit.aspx?ID=//57DAEwASwAzADkAOQA0ADcANQA2ADMASQBEAEUAQQAC=&amp;Tipo=2&amp;ST=1&amp;nLang=0</t>
  </si>
  <si>
    <t>https://www.clickideacore.com/ClickHTML5/Visit.aspx?ID=//5DDAEwASwAzADkAOQA0ADMANQAyADEASQBEAEUAQQA6=&amp;Tipo=2&amp;ST=1&amp;nLang=0</t>
  </si>
  <si>
    <t>https://www.clickideacore.com/ClickHTML5/Visit.aspx?ID=//5BDAEwASwAzADkAOQA2ADkANQA4ADIASQBEAEUAQQA5=&amp;Tipo=2&amp;ST=1&amp;nLang=0</t>
  </si>
  <si>
    <t>https://www.clickideacore.com/ClickHTML5/Visit.aspx?ID=//5ADAEwASwAzADkAOQA3ADAAMwAwADkASQBEAEUAQQAC=&amp;Tipo=2&amp;ST=1&amp;nLang=0</t>
  </si>
  <si>
    <t>https://www.clickideacore.com/ClickHTML5/Visit.aspx?ID=//52DAEwASwAzADkAOQA3ADAAOQA2ADAASQBEAEUAQQAC=&amp;Tipo=2&amp;ST=1&amp;nLang=0</t>
  </si>
  <si>
    <t>https://www.clickideacore.com/ClickHTML5/Visit.aspx?ID=//53DAEwASwAzADkAOQA3ADIAMQA5ADUASQBEAEUAQQA1=&amp;Tipo=2&amp;ST=1&amp;nLang=0</t>
  </si>
  <si>
    <t>https://www.clickideacore.com/ClickHTML5/Visit.aspx?ID=//56DAEwASwAzADkAOQA3ADEAMQA3ADcASQBEAEUAQQA9=&amp;Tipo=2&amp;ST=1&amp;nLang=0</t>
  </si>
  <si>
    <t>https://www.clickideacore.com/ClickHTML5/Visit.aspx?ID=//5FDAEwASwAzADkAOQA5ADIANQA0ADQASQBEAEUAQQA8=&amp;Tipo=2&amp;ST=1&amp;nLang=0</t>
  </si>
  <si>
    <t>https://www.clickideacore.com/ClickHTML5/Visit.aspx?ID=//5ADAEwASwAzADkAOQA5ADMAMgAwADAASQBEAEUAQQAC=&amp;Tipo=2&amp;ST=1&amp;nLang=0</t>
  </si>
  <si>
    <t>https://www.clickideacore.com/ClickHTML5/Visit.aspx?ID=//57DAEwASwAzADkAOQA5ADQAMQAzADEASQBEAEUAQQAB=&amp;Tipo=2&amp;ST=1&amp;nLang=0</t>
  </si>
  <si>
    <t>https://www.clickideacore.com/ClickHTML5/Visit.aspx?ID=//5EDAEwASwAzADkAOQA5ADIAOQAzADUASQBEAEUAQQAB=&amp;Tipo=2&amp;ST=1&amp;nLang=0</t>
  </si>
  <si>
    <t>https://www.clickideacore.com/ClickHTML5/Visit.aspx?ID=//54DAEwASwAzADkAOQA5ADcANAAxADkASQBEAEUAQQAE=&amp;Tipo=2&amp;ST=1&amp;nLang=0</t>
  </si>
  <si>
    <t>https://www.clickideacore.com/ClickHTML5/Visit.aspx?ID=//50DAEwASwAzADkAOQA4ADkAOAAzADYASQBEAEUAQQAA=&amp;Tipo=2&amp;ST=1&amp;nLang=0</t>
  </si>
  <si>
    <t>https://www.clickideacore.com/ClickHTML5/Visit.aspx?ID=//54DAEwASwA0ADAAMAAxADcANgA4ADcASQBEAEUAQQAF=&amp;Tipo=2&amp;ST=1&amp;nLang=0</t>
  </si>
  <si>
    <t>https://www.clickideacore.com/ClickHTML5/Visit.aspx?ID=//52DAEwASwA0ADAAMAAxADQANQA5ADgASQBEAEUAQQA4=&amp;Tipo=2&amp;ST=1&amp;nLang=0</t>
  </si>
  <si>
    <t>https://www.clickideacore.com/ClickHTML5/Visit.aspx?ID=//55DAEwASwA0ADAAMAAxADcANAA4ADcASQBEAEUAQQA1=&amp;Tipo=2&amp;ST=1&amp;nLang=0</t>
  </si>
  <si>
    <t>https://www.clickideacore.com/ClickHTML5/Visit.aspx?ID=//54DAEwASwA0ADAAMAAwADkAOQA0ADMASQBEAEUAQQA4=&amp;Tipo=2&amp;ST=1&amp;nLang=0</t>
  </si>
  <si>
    <t>https://www.clickideacore.com/ClickHTML5/Visit.aspx?ID=//55DAEwASwA0ADAAMAAxADMAOAA4ADIASQBEAEUAQQAA=&amp;Tipo=2&amp;ST=1&amp;nLang=0</t>
  </si>
  <si>
    <t>https://www.clickideacore.com/ClickHTML5/Visit.aspx?ID=//50DAEwASwA0ADAAMAAxADMANQAzADMASQBEAEUAQQA2=&amp;Tipo=2&amp;ST=1&amp;nLang=0</t>
  </si>
  <si>
    <t>https://www.clickideacore.com/ClickHTML5/Visit.aspx?ID=//56DAEwASwA0ADAAMAAzADIAMgAwADcASQBEAEUAQQA7=&amp;Tipo=2&amp;ST=1&amp;nLang=0</t>
  </si>
  <si>
    <t>https://www.clickideacore.com/ClickHTML5/Visit.aspx?ID=//57DAEwASwA0ADAAMAAzADEAOQAwADAASQBEAEUAQQA2=&amp;Tipo=2&amp;ST=1&amp;nLang=0</t>
  </si>
  <si>
    <t>https://www.clickideacore.com/ClickHTML5/Visit.aspx?ID=//5BDAEwASwA0ADAAMAAzADIAOQA1ADUASQBEAEUAQQA2=&amp;Tipo=2&amp;ST=1&amp;nLang=0</t>
  </si>
  <si>
    <t>https://www.clickideacore.com/ClickHTML5/Visit.aspx?ID=//56DAEwASwA0ADAAMAAzADMANwA4ADAASQBEAEUAQQA2=&amp;Tipo=2&amp;ST=1&amp;nLang=0</t>
  </si>
  <si>
    <t>https://www.clickideacore.com/ClickHTML5/Visit.aspx?ID=//50DAEwASwA0ADAAMAAzADMAMQA0ADMASQBEAEUAQQAF=&amp;Tipo=2&amp;ST=1&amp;nLang=0</t>
  </si>
  <si>
    <t>n/A</t>
  </si>
  <si>
    <t>https://www.clickideacore.com/ClickHTML5/Visit.aspx?ID=//50DAEwASwA0ADAAMAA0ADIAOAA5ADMASQBEAEUAQQAC=&amp;Tipo=2&amp;ST=1&amp;nLang=0</t>
  </si>
  <si>
    <t>https://www.clickideacore.com/ClickHTML5/Visit.aspx?ID=//55DAEwASwA0ADAAMAA0ADMAMQA1ADQASQBEAEUAQQA7=&amp;Tipo=2&amp;ST=1&amp;nLang=0</t>
  </si>
  <si>
    <t>https://www.clickideacore.com/ClickHTML5/Visit.aspx?ID=//5BDAEwASwA0ADAAMAA0ADMANAAyADMASQBEAEUAQQA1=&amp;Tipo=2&amp;ST=1&amp;nLang=0</t>
  </si>
  <si>
    <t>https://www.clickideacore.com/ClickHTML5/Visit.aspx?ID=//51DAEwASwA0ADAAMAA0ADAAOAA5ADUASQBEAEUAQQA8=&amp;Tipo=2&amp;ST=1&amp;nLang=0</t>
  </si>
  <si>
    <t>https://www.clickideacore.com/ClickHTML5/Visit.aspx?ID=//5ADAEwASwA0ADAAMAA0ADEANwA5ADQASQBEAEUAQQA0=&amp;Tipo=2&amp;ST=1&amp;nLang=0</t>
  </si>
  <si>
    <t>https://www.clickideacore.com/ClickHTML5/Visit.aspx?ID=//59DAEwASwA0ADAAMAA0ADMAMwA1ADIASQBEAEUAQQAA=&amp;Tipo=2&amp;ST=1&amp;nLang=0</t>
  </si>
  <si>
    <t>https://www.clickideacore.com/ClickHTML5/Visit.aspx?ID=//59DAEwASwA0ADAAMAA2ADUANQA4ADEASQBEAEUAQQAE=&amp;Tipo=2&amp;ST=1&amp;nLang=0</t>
  </si>
  <si>
    <t>https://www.clickideacore.com/ClickHTML5/Visit.aspx?ID=//54DAEwASwA0ADAAMAA2ADYANgA5ADcASQBEAEUAQQA7=&amp;Tipo=2&amp;ST=1&amp;nLang=0</t>
  </si>
  <si>
    <t>https://www.clickideacore.com/ClickHTML5/Visit.aspx?ID=//55DAEwASwA0ADAAMAA1ADEANAAwADgASQBEAEUAQQAE=&amp;Tipo=2&amp;ST=1&amp;nLang=0</t>
  </si>
  <si>
    <t>https://www.clickideacore.com/ClickHTML5/Visit.aspx?ID=//5EDAEwASwA0ADAAMAA4ADIANAAzADgASQBEAEUAQQA1=&amp;Tipo=2&amp;ST=1&amp;nLang=0</t>
  </si>
  <si>
    <t>https://www.clickideacore.com/ClickHTML5/Visit.aspx?ID=//5EDAEwASwA0ADAAMAA4ADYAMwAxADcASQBEAEUAQQAB=&amp;Tipo=2&amp;ST=1&amp;nLang=0</t>
  </si>
  <si>
    <t>https://www.clickideacore.com/ClickHTML5/Visit.aspx?ID=//5ADAEwASwA0ADAAMAA4ADYAOQAwADkASQBEAEUAQQAC=&amp;Tipo=2&amp;ST=1&amp;nLang=0</t>
  </si>
  <si>
    <t>https://www.clickideacore.com/ClickHTML5/Visit.aspx?ID=//51DAEwASwA0ADAAMAA4ADQAMQA2ADYASQBEAEUAQQA6=&amp;Tipo=2&amp;ST=1&amp;nLang=0</t>
  </si>
  <si>
    <t>https://www.clickideacore.com/ClickHTML5/Visit.aspx?ID=//52DAEwASwA0ADAAMAA5ADAAMAA3ADEASQBEAEUAQQA0=&amp;Tipo=2&amp;ST=1&amp;nLang=0</t>
  </si>
  <si>
    <t>https://www.clickideacore.com/ClickHTML5/Visit.aspx?ID=//55DAEwASwA0ADAAMQAwADkAMwAwADcASQBEAEUAQQA0=&amp;Tipo=2&amp;ST=1&amp;nLang=0</t>
  </si>
  <si>
    <t>https://www.clickideacore.com/ClickHTML5/Visit.aspx?ID=//5ADAEwASwA0ADAAMQAxADMAMAAwADEASQBEAEUAQQAD=&amp;Tipo=2&amp;ST=1&amp;nLang=0</t>
  </si>
  <si>
    <t>https://www.clickideacore.com/ClickHTML5/Visit.aspx?ID=//50DAEwASwA0ADAAMQAxADEANQA4ADIASQBEAEUAQQAA=&amp;Tipo=2&amp;ST=1&amp;nLang=0</t>
  </si>
  <si>
    <t>https://www.clickideacore.com/ClickHTML5/Visit.aspx?ID=//59DAEwASwA0ADAAMQAxADEANAAxADMASQBEAEUAQQA6=&amp;Tipo=2&amp;ST=1&amp;nLang=0</t>
  </si>
  <si>
    <t>https://www.clickideacore.com/ClickHTML5/Visit.aspx?ID=//54DAEwASwA0ADAAMQAwADgANwA2ADkASQBEAEUAQQAC=&amp;Tipo=2&amp;ST=1&amp;nLang=0</t>
  </si>
  <si>
    <t>https://www.clickideacore.com/ClickHTML5/Visit.aspx?ID=//5BDAEwASwA0ADAAMQAwADEAMwAwADQASQBEAEUAQQA2=&amp;Tipo=2&amp;ST=1&amp;nLang=0</t>
  </si>
  <si>
    <t>https://www.clickideacore.com/ClickHTML5/Visit.aspx?ID=//51DAEwASwA0ADAAMQAzADIAOAA3ADUASQBEAEUAQQA1=&amp;Tipo=2&amp;ST=1&amp;nLang=0</t>
  </si>
  <si>
    <t>https://www.clickideacore.com/ClickHTML5/Visit.aspx?ID=//57DAEwASwA0ADAAMQA5ADAAMwAzADUASQBEAEUAQQA6=&amp;Tipo=2&amp;ST=1&amp;nLang=0</t>
  </si>
  <si>
    <t>https://www.clickideacore.com/ClickHTML5/Visit.aspx?ID=//57DAEwASwA0ADAAMQAzADYAOAA5ADAASQBEAEUAQQA9=&amp;Tipo=2&amp;ST=1&amp;nLang=0</t>
  </si>
  <si>
    <t>https://www.clickideacore.com/ClickHTML5/Visit.aspx?ID=//57DAEwASwA0ADAAMQAzADIANwA2ADUASQBEAEUAQQAB=&amp;Tipo=2&amp;ST=1&amp;nLang=0</t>
  </si>
  <si>
    <t>https://www.clickideacore.com/ClickHTML5/Visit.aspx?ID=//52DAEwASwA0ADAAMQAzADMAMQA1ADIASQBEAEUAQQA8=&amp;Tipo=2&amp;ST=1&amp;nLang=0</t>
  </si>
  <si>
    <t>https://www.clickideacore.com/ClickHTML5/Visit.aspx?ID=//55DAEwASwA0ADAAMQAzADYAMwA5ADIASQBEAEUAQQAE=&amp;Tipo=2&amp;ST=1&amp;nLang=0</t>
  </si>
  <si>
    <t>https://www.clickideacore.com/ClickHTML5/Visit.aspx?ID=//53DAEwASwA0ADAAMQA0ADcAMwAxADMASQBEAEUAQQA3=&amp;Tipo=2&amp;ST=1&amp;nLang=0</t>
  </si>
  <si>
    <t>https://www.clickideacore.com/ClickHTML5/Visit.aspx?ID=//52DAEwASwA0ADAAMQA0ADYAMAA1ADIASQBEAEUAQQA6=&amp;Tipo=2&amp;ST=1&amp;nLang=0</t>
  </si>
  <si>
    <t>https://www.clickideacore.com/ClickHTML5/Visit.aspx?ID=//50DAEwASwA0ADAAMQA0ADYANwA0ADQASQBEAEUAQQAB=&amp;Tipo=2&amp;ST=1&amp;nLang=0</t>
  </si>
  <si>
    <t>https://www.clickideacore.com/ClickHTML5/Visit.aspx?ID=//53DAEwASwA0ADAAMQA0ADYAMgA1ADAASQBEAEUAQQAB=&amp;Tipo=2&amp;ST=1&amp;nLang=0</t>
  </si>
  <si>
    <t>https://www.clickideacore.com/ClickHTML5/Visit.aspx?ID=//50DAEwASwA0ADAAMQA2ADEAMQAzADUASQBEAEUAQQA7=&amp;Tipo=2&amp;ST=1&amp;nLang=0</t>
  </si>
  <si>
    <t>https://www.clickideacore.com/ClickHTML5/Visit.aspx?ID=//5FDAEwASwA0ADAAMQA1ADkANgA4ADgASQBEAEUAQQA5=&amp;Tipo=2&amp;ST=1&amp;nLang=0</t>
  </si>
  <si>
    <t>https://www.clickideacore.com/ClickHTML5/Visit.aspx?ID=//52DAEwASwA0ADAAMQA2ADAANwAxADAASQBEAEUAQQA4=&amp;Tipo=2&amp;ST=1&amp;nLang=0</t>
  </si>
  <si>
    <t>https://www.clickideacore.com/ClickHTML5/Visit.aspx?ID=//54DAEwASwA0ADAAMQA1ADgAMgA5ADUASQBEAEUAQQA7=&amp;Tipo=2&amp;ST=1&amp;nLang=0</t>
  </si>
  <si>
    <t>https://www.clickideacore.com/ClickHTML5/Visit.aspx?ID=//55DAEwASwA0ADAAMQA1ADkAMwA2ADcASQBEAEUAQQAE=&amp;Tipo=2&amp;ST=1&amp;nLang=0</t>
  </si>
  <si>
    <t>https://www.clickideacore.com/ClickHTML5/Visit.aspx?ID=//5BDAEwASwA0ADAAMQA3ADEANAAxADgASQBEAEUAQQAC=&amp;Tipo=2&amp;ST=1&amp;nLang=0</t>
  </si>
  <si>
    <t>https://www.clickideacore.com/ClickHTML5/Visit.aspx?ID=//59DAEwASwA0ADAAMQA2ADcANwAxADAASQBEAEUAQQAF=&amp;Tipo=2&amp;ST=1&amp;nLang=0</t>
  </si>
  <si>
    <t>https://www.clickideacore.com/ClickHTML5/Visit.aspx?ID=//56DAEwASwA0ADAAMQA2ADgAMAAwADMASQBEAEUAQQAF=&amp;Tipo=2&amp;ST=1&amp;nLang=0</t>
  </si>
  <si>
    <t>https://www.clickideacore.com/ClickHTML5/Visit.aspx?ID=//5DDAEwASwA0ADAAMQA2ADcAMwA0ADEASQBEAEUAQQA3=&amp;Tipo=2&amp;ST=1&amp;nLang=0</t>
  </si>
  <si>
    <t>https://www.clickideacore.com/ClickHTML5/Visit.aspx?ID=//54DAEwASwA0ADAAMQA5ADAAMwAzADcASQBEAEUAQQA1=&amp;Tipo=2&amp;ST=1&amp;nLang=0</t>
  </si>
  <si>
    <t>https://www.clickideacore.com/ClickHTML5/Visit.aspx?ID=//5FDAEwASwA0ADAAMQA3ADgAMQA5ADkASQBEAEUAQQA9=&amp;Tipo=2&amp;ST=1&amp;nLang=0</t>
  </si>
  <si>
    <t>https://www.clickideacore.com/ClickHTML5/Visit.aspx?ID=//55DAEwASwA0ADAAMQA5ADAAOQA4ADMASQBEAEUAQQA3=&amp;Tipo=2&amp;ST=1&amp;nLang=0</t>
  </si>
  <si>
    <t>https://www.clickideacore.com/ClickHTML5/Visit.aspx?ID=//53DAEwASwA0ADAAMQA3ADkANQA4ADAASQBEAEUAQQAB=&amp;Tipo=2&amp;ST=1&amp;nLang=0</t>
  </si>
  <si>
    <t>https://www.clickideacore.com/ClickHTML5/Visit.aspx?ID=//57DAEwASwA0ADAAMgAwADcANwAxADkASQBEAEUAQQA6=&amp;Tipo=2&amp;ST=1&amp;nLang=0</t>
  </si>
  <si>
    <t>https://www.clickideacore.com/ClickHTML5/Visit.aspx?ID=//55DAEwASwA0ADAAMgAxADIAOQAyADcASQBEAEUAQQA1=&amp;Tipo=2&amp;ST=1&amp;nLang=0</t>
  </si>
  <si>
    <t>https://www.clickideacore.com/ClickHTML5/Visit.aspx?ID=//54DAEwASwA0ADAAMgAwADkANQA4ADcASQBEAEUAQQA5=&amp;Tipo=2&amp;ST=1&amp;nLang=0</t>
  </si>
  <si>
    <t>https://www.clickideacore.com/ClickHTML5/Visit.aspx?ID=//52DAEwASwA0ADAAMgAxADIANgA1ADYASQBEAEUAQQAE=&amp;Tipo=2&amp;ST=1&amp;nLang=0</t>
  </si>
  <si>
    <t>https://www.clickideacore.com/ClickHTML5/Visit.aspx?ID=//5BDAEwASwA0ADAAMgAwADgAOQAwADIASQBEAEUAQQA1=&amp;Tipo=2&amp;ST=1&amp;nLang=0</t>
  </si>
  <si>
    <t>https://www.clickideacore.com/ClickHTML5/Visit.aspx?ID=//5CDAEwASwA0ADAAMgAzADgANgA2ADQASQBEAEUAQQA5=&amp;Tipo=2&amp;ST=1&amp;nLang=0</t>
  </si>
  <si>
    <t>https://www.clickideacore.com/ClickHTML5/Visit.aspx?ID=//50DAEwASwA0ADAAMgAzADYAMgAwADYASQBEAEUAQQA6=&amp;Tipo=2&amp;ST=1&amp;nLang=0</t>
  </si>
  <si>
    <t>https://www.clickideacore.com/ClickHTML5/Visit.aspx?ID=//56DAEwASwA0ADAAMgAzADEAOAA5ADMASQBEAEUAQQA7=&amp;Tipo=2&amp;ST=1&amp;nLang=0</t>
  </si>
  <si>
    <t>https://www.clickideacore.com/ClickHTML5/Visit.aspx?ID=//58DAEwASwA0ADAAMgAzADUANgAyADUASQBEAEUAQQA9=&amp;Tipo=2&amp;ST=1&amp;nLang=0</t>
  </si>
  <si>
    <t>https://www.clickideacore.com/ClickHTML5/Visit.aspx?ID=//51DAEwASwA0ADAAMgA2ADEAMQAzADkASQBEAEUAQQAC=&amp;Tipo=2&amp;ST=1&amp;nLang=0</t>
  </si>
  <si>
    <t>https://www.clickideacore.com/ClickHTML5/Visit.aspx?ID=//56DAEwASwA0ADAAMgA1ADgAOQA4ADAASQBEAEUAQQA1=&amp;Tipo=2&amp;ST=1&amp;nLang=0</t>
  </si>
  <si>
    <t>https://www.clickideacore.com/ClickHTML5/Visit.aspx?ID=//54DAEwASwA0ADAAMgA1ADUANgA4ADUASQBEAEUAQQA4=&amp;Tipo=2&amp;ST=1&amp;nLang=0</t>
  </si>
  <si>
    <t>https://www.clickideacore.com/ClickHTML5/Visit.aspx?ID=//5CDAEwASwA0ADAAMgA2ADAAMwA3ADEASQBEAEUAQQA8=&amp;Tipo=2&amp;ST=1&amp;nLang=0</t>
  </si>
  <si>
    <t>https://www.clickideacore.com/ClickHTML5/Visit.aspx?ID=//57DAEwASwA0ADAAMgA1ADYAOAA2ADgASQBEAEUAQQAA=&amp;Tipo=2&amp;ST=1&amp;nLang=0</t>
  </si>
  <si>
    <t>https://www.clickideacore.com/ClickHTML5/Visit.aspx?ID=//56DAEwASwA0ADAAMgA1ADYAMgA3ADYASQBEAEUAQQA8=&amp;Tipo=2&amp;ST=1&amp;nLang=0</t>
  </si>
  <si>
    <t>https://www.clickideacore.com/ClickHTML5/Visit.aspx?ID=//5ADAEwASwA0ADAAMgA1ADUAMwA4ADYASQBEAEUAQQA9=&amp;Tipo=2&amp;ST=1&amp;nLang=0</t>
  </si>
  <si>
    <t>https://www.clickideacore.com/ClickHTML5/Visit.aspx?ID=//5FDAEwASwA0ADAAMgA4ADEANgA2ADMASQBEAEUAQQA4=&amp;Tipo=2&amp;ST=1&amp;nLang=0</t>
  </si>
  <si>
    <t>https://www.clickideacore.com/ClickHTML5/Visit.aspx?ID=//52DAEwASwA0ADAAMgA4ADMAOQAwADYASQBEAEUAQQA5=&amp;Tipo=2&amp;ST=1&amp;nLang=0</t>
  </si>
  <si>
    <t>https://www.clickideacore.com/ClickHTML5/Visit.aspx?ID=//55DAEwASwA0ADAAMgA4ADAANgA2ADAASQBEAEUAQQA9=&amp;Tipo=2&amp;ST=1&amp;nLang=0</t>
  </si>
  <si>
    <t>https://www.clickideacore.com/ClickHTML5/Visit.aspx?ID=//50DAEwASwA0ADAAMgA4ADQANQAyADcASQBEAEUAQQA4=&amp;Tipo=2&amp;ST=1&amp;nLang=0</t>
  </si>
  <si>
    <t>https://www.clickideacore.com/ClickHTML5/Visit.aspx?ID=//50DAEwASwA0ADAAMgA4ADMAOAAxADQASQBEAEUAQQA7=&amp;Tipo=2&amp;ST=1&amp;nLang=0</t>
  </si>
  <si>
    <t>https://www.clickideacore.com/ClickHTML5/Visit.aspx?ID=//56DAEwASwA0ADAAMgA4ADYANQA2ADQASQBEAEUAQQA6=&amp;Tipo=2&amp;ST=1&amp;nLang=0</t>
  </si>
  <si>
    <t>https://www.clickideacore.com/ClickHTML5/Visit.aspx?ID=//5DDAEwASwA0ADAAMwAwADAAOQA3ADEASQBEAEUAQQAB=&amp;Tipo=2&amp;ST=1&amp;nLang=0</t>
  </si>
  <si>
    <t>https://www.clickideacore.com/ClickHTML5/Visit.aspx?ID=//56DAEwASwA0ADAAMwAwADAAOQA0ADEASQBEAEUAQQA3=&amp;Tipo=2&amp;ST=1&amp;nLang=0</t>
  </si>
  <si>
    <t>https://www.clickideacore.com/ClickHTML5/Visit.aspx?ID=//56DAEwASwA0ADAAMwAwADAANgAyADAASQBEAEUAQQA1=&amp;Tipo=2&amp;ST=1&amp;nLang=0</t>
  </si>
  <si>
    <t>https://www.clickideacore.com/ClickHTML5/Visit.aspx?ID=//58DAEwASwA0ADAAMwAwADAAMAA1ADEASQBEAEUAQQA2=&amp;Tipo=2&amp;ST=1&amp;nLang=0</t>
  </si>
  <si>
    <t>https://www.clickideacore.com/ClickHTML5/Visit.aspx?ID=//5BDAEwASwA0ADAAMwAwADAAOAAwADIASQBEAEUAQQA5=&amp;Tipo=2&amp;ST=1&amp;nLang=0</t>
  </si>
  <si>
    <t>https://www.clickideacore.com/ClickHTML5/Visit.aspx?ID=//54DAEwASwA0ADAAMwAwADkANwA5ADQASQBEAEUAQQAF=&amp;Tipo=2&amp;ST=1&amp;nLang=0</t>
  </si>
  <si>
    <t>https://www.clickideacore.com/ClickHTML5/Visit.aspx?ID=//54DAEwASwA0ADAAMwAxADAANgAwADQASQBEAEUAQQA6=&amp;Tipo=2&amp;ST=1&amp;nLang=0</t>
  </si>
  <si>
    <t>https://www.clickideacore.com/ClickHTML5/Visit.aspx?ID=//5FDAEwASwA0ADAAMwAxADAANAA4ADEASQBEAEUAQQA5=&amp;Tipo=2&amp;ST=1&amp;nLang=0</t>
  </si>
  <si>
    <t>https://www.clickideacore.com/ClickHTML5/Visit.aspx?ID=//51DAEwASwA0ADAAMwAxADAANQAwADQASQBEAEUAQQA7=&amp;Tipo=2&amp;ST=1&amp;nLang=0</t>
  </si>
  <si>
    <t>https://www.clickideacore.com/ClickHTML5/Visit.aspx?ID=//5EDAEwASwA0ADAAMwAwADIAOQA0ADQASQBEAEUAQQA2=&amp;Tipo=2&amp;ST=1&amp;nLang=0</t>
  </si>
  <si>
    <t>Licencia Achs</t>
  </si>
  <si>
    <t>https://www.clickideacore.com/ClickHTML5/Visit.aspx?ID=//52DAEwASwA0ADAAMwAyADEANgAxADAASQBEAEUAQQA5=&amp;Tipo=2&amp;ST=1&amp;nLang=0</t>
  </si>
  <si>
    <t>https://www.clickideacore.com/ClickHTML5/Visit.aspx?ID=//50DAEwASwA0ADAAMwAyADQAMQA5ADUASQBEAEUAQQAA=&amp;Tipo=2&amp;ST=1&amp;nLang=0</t>
  </si>
  <si>
    <t>https://www.clickideacore.com/ClickHTML5/Visit.aspx?ID=//52DAEwASwA0ADAAMwAyADQAMgA3ADgASQBEAEUAQQAE=&amp;Tipo=2&amp;ST=1&amp;nLang=0</t>
  </si>
  <si>
    <t>https://www.clickideacore.com/ClickHTML5/Visit.aspx?ID=//57DAEwASwA0ADAAMwA1ADUAMAAzADgASQBEAEUAQQA9=&amp;Tipo=2&amp;ST=1&amp;nLang=0</t>
  </si>
  <si>
    <t>https://www.clickideacore.com/ClickHTML5/Visit.aspx?ID=//54DAEwASwA0ADAAMwA1ADIANwA3ADIASQBEAEUAQQA8=&amp;Tipo=2&amp;ST=1&amp;nLang=0</t>
  </si>
  <si>
    <t>https://www.clickideacore.com/ClickHTML5/Visit.aspx?ID=//59DAEwASwA0ADAAMwA1ADYANgAzADUASQBEAEUAQQA4=&amp;Tipo=2&amp;ST=1&amp;nLang=0</t>
  </si>
  <si>
    <t>https://www.clickideacore.com/ClickHTML5/Visit.aspx?ID=//5CDAEwASwA0ADAAMwA1ADQAMgAwADMASQBEAEUAQQA5=&amp;Tipo=2&amp;ST=1&amp;nLang=0</t>
  </si>
  <si>
    <t>https://www.clickideacore.com/ClickHTML5/Visit.aspx?ID=//5CDAEwASwA0ADAAMwA1ADIAOQA5ADAASQBEAEUAQQA0=&amp;Tipo=2&amp;ST=1&amp;nLang=0</t>
  </si>
  <si>
    <t>https://www.clickideacore.com/ClickHTML5/Visit.aspx?ID=//5CDAEwASwA0ADAAMwA1ADMANQA0ADkASQBEAEUAQQAA=&amp;Tipo=2&amp;ST=1&amp;nLang=0</t>
  </si>
  <si>
    <t>https://www.clickideacore.com/ClickHTML5/Visit.aspx?ID=//5EDAEwASwA0ADAAMwA3ADkANgA4ADIASQBEAEUAQQAA=&amp;Tipo=2&amp;ST=1&amp;nLang=0</t>
  </si>
  <si>
    <t>https://www.clickideacore.com/ClickHTML5/Visit.aspx?ID=//50DAEwASwA0ADAAMwA4ADEAMAA2ADEASQBEAEUAQQA8=&amp;Tipo=2&amp;ST=1&amp;nLang=0</t>
  </si>
  <si>
    <t>https://www.clickideacore.com/ClickHTML5/Visit.aspx?ID=//5DDAEwASwA0ADAAMwA4ADMANAA1ADEASQBEAEUAQQA1=&amp;Tipo=2&amp;ST=1&amp;nLang=0</t>
  </si>
  <si>
    <t>https://www.clickideacore.com/ClickHTML5/Visit.aspx?ID=//56DAEwASwA0ADAAMwA3ADgAMAAxADMASQBEAEUAQQA8=&amp;Tipo=2&amp;ST=1&amp;nLang=0</t>
  </si>
  <si>
    <t>https://www.clickideacore.com/ClickHTML5/Visit.aspx?ID=//5EDAEwASwA0ADAANAAwADYANAAwADIASQBEAEUAQQAF=&amp;Tipo=2&amp;ST=1&amp;nLang=0</t>
  </si>
  <si>
    <t>https://www.clickideacore.com/ClickHTML5/Visit.aspx?ID=//51DAEwASwA0ADAANAAwADUAMgA5ADAASQBEAEUAQQA3=&amp;Tipo=2&amp;ST=1&amp;nLang=0</t>
  </si>
  <si>
    <t>https://www.clickideacore.com/ClickHTML5/Visit.aspx?ID=//57DAEwASwA0ADAANAAwADUANQA1ADUASQBEAEUAQQAC=&amp;Tipo=2&amp;ST=1&amp;nLang=0</t>
  </si>
  <si>
    <t>https://www.clickideacore.com/ClickHTML5/Visit.aspx?ID=//54DAEwASwA0ADAANAAwADgAMgA1ADcASQBEAEUAQQAB=&amp;Tipo=2&amp;ST=1&amp;nLang=0</t>
  </si>
  <si>
    <t>https://www.clickideacore.com/ClickHTML5/Visit.aspx?ID=//5EDAEwASwA0ADAANAAwADQAOAAxADMASQBEAEUAQQA2=&amp;Tipo=2&amp;ST=1&amp;nLang=0</t>
  </si>
  <si>
    <t>https://www.clickideacore.com/ClickHTML5/Visit.aspx?ID=//52DAEwASwA0ADAANAAwADUAOQA2ADAASQBEAEUAQQA3=&amp;Tipo=2&amp;ST=1&amp;nLang=0</t>
  </si>
  <si>
    <t>https://www.clickideacore.com/ClickHTML5/Visit.aspx?ID=//57DAEwASwA0ADAANAAwADkAOAA2ADYASQBEAEUAQQA7=&amp;Tipo=2&amp;ST=1&amp;nLang=0</t>
  </si>
  <si>
    <t>Wilmer villa</t>
  </si>
  <si>
    <t>https://www.clickideacore.com/ClickHTML5/Visit.aspx?ID=//5DDAEwASwA0ADAANAAyADgAMQA0ADAASQBEAEUAQQAD=&amp;Tipo=2&amp;ST=1&amp;nLang=0</t>
  </si>
  <si>
    <t>https://www.clickideacore.com/ClickHTML5/Visit.aspx?ID=//55DAEwASwA0ADAANAAyADUANAAyADYASQBEAEUAQQAB=&amp;Tipo=2&amp;ST=1&amp;nLang=0</t>
  </si>
  <si>
    <t>https://www.clickideacore.com/ClickHTML5/Visit.aspx?ID=//54DAEwASwA0ADAANAAyADcAOAAzADkASQBEAEUAQQA2=&amp;Tipo=2&amp;ST=1&amp;nLang=0</t>
  </si>
  <si>
    <t>https://www.clickideacore.com/ClickHTML5/Visit.aspx?ID=//51DAEwASwA0ADAANAAzADAAMAA5ADYASQBEAEUAQQA2=&amp;Tipo=2&amp;ST=1&amp;nLang=0</t>
  </si>
  <si>
    <t>https://www.clickideacore.com/ClickHTML5/Visit.aspx?ID=//52DAEwASwA0ADAANAAzADEANQA1ADkASQBEAEUAQQA3=&amp;Tipo=2&amp;ST=1&amp;nLang=0</t>
  </si>
  <si>
    <t>https://www.clickideacore.com/ClickHTML5/Visit.aspx?ID=//5EDAEwASwA0ADAANAAyADYANgAyADYASQBEAEUAQQA8=&amp;Tipo=2&amp;ST=1&amp;nLang=0</t>
  </si>
  <si>
    <t>https://www.clickideacore.com/ClickHTML5/Visit.aspx?ID=//52DAEwASwA0ADAANAAzADEAOAA4ADkASQBEAEUAQQAF=&amp;Tipo=2&amp;ST=1&amp;nLang=0</t>
  </si>
  <si>
    <t>https://www.clickideacore.com/ClickHTML5/Visit.aspx?ID=//57DAEwASwA0ADAANAA0ADYAMAAxADQASQBEAEUAQQA1=&amp;Tipo=2&amp;ST=1&amp;nLang=0</t>
  </si>
  <si>
    <t>https://www.clickideacore.com/ClickHTML5/Visit.aspx?ID=//5ADAEwASwA0ADAANAA0ADUANwA4ADMASQBEAEUAQQAD=&amp;Tipo=2&amp;ST=1&amp;nLang=0</t>
  </si>
  <si>
    <t>https://www.clickideacore.com/ClickHTML5/Visit.aspx?ID=//53DAEwASwA0ADAANAA0ADcAMwA4ADEASQBEAEUAQQA6=&amp;Tipo=2&amp;ST=1&amp;nLang=0</t>
  </si>
  <si>
    <t>https://www.clickideacore.com/ClickHTML5/Visit.aspx?ID=//58DAEwASwA0ADAANAA0ADcAMAAwADUASQBEAEUAQQAF=&amp;Tipo=2&amp;ST=1&amp;nLang=0</t>
  </si>
  <si>
    <t>https://www.clickideacore.com/ClickHTML5/Visit.aspx?ID=//5FDAEwASwA0ADAANAA1ADUANgA0ADIASQBEAEUAQQA3=&amp;Tipo=2&amp;ST=1&amp;nLang=0</t>
  </si>
  <si>
    <t>https://www.clickideacore.com/ClickHTML5/Visit.aspx?ID=//53DAEwASwA0ADAANAA1ADUANgAzADgASQBEAEUAQQA4=&amp;Tipo=2&amp;ST=1&amp;nLang=0</t>
  </si>
  <si>
    <t>https://www.clickideacore.com/ClickHTML5/Visit.aspx?ID=//5BDAEwASwA0ADAANAA1ADYAMwA5ADQASQBEAEUAQQAB=&amp;Tipo=2&amp;ST=1&amp;nLang=0</t>
  </si>
  <si>
    <t>https://www.clickideacore.com/ClickHTML5/Visit.aspx?ID=//53DAEwASwA0ADAANAA1ADUANAA0ADkASQBEAEUAQQA2=&amp;Tipo=2&amp;ST=1&amp;nLang=0</t>
  </si>
  <si>
    <t>https://www.clickideacore.com/ClickHTML5/Visit.aspx?ID=//50DAEwASwA0ADAANAA1ADkAMQA0ADUASQBEAEUAQQA1=&amp;Tipo=2&amp;ST=1&amp;nLang=0</t>
  </si>
  <si>
    <t>https://www.clickideacore.com/ClickHTML5/Visit.aspx?ID=//59DAEwASwA0ADAANAA2ADEANgA2ADUASQBEAEUAQQA6=&amp;Tipo=2&amp;ST=1&amp;nLang=0</t>
  </si>
  <si>
    <t>https://www.clickideacore.com/ClickHTML5/Visit.aspx?ID=//5CDAEwASwA0ADAANAA2ADMAMQAzADcASQBEAEUAQQA9=&amp;Tipo=2&amp;ST=1&amp;nLang=0</t>
  </si>
  <si>
    <t>https://www.clickideacore.com/ClickHTML5/Visit.aspx?ID=//5ADAEwASwA0ADAANAA2ADMAMAA1ADcASQBEAEUAQQA3=&amp;Tipo=2&amp;ST=1&amp;nLang=0</t>
  </si>
  <si>
    <t>https://www.clickideacore.com/ClickHTML5/Visit.aspx?ID=//5DDAEwASwA0ADAANAA4ADgANAA0ADgASQBEAEUAQQA5=&amp;Tipo=2&amp;ST=1&amp;nLang=0</t>
  </si>
  <si>
    <t>https://www.clickideacore.com/ClickHTML5/Visit.aspx?ID=//56DAEwASwA0ADAANAA4ADQAOAAzADAASQBEAEUAQQAD=&amp;Tipo=2&amp;ST=1&amp;nLang=0</t>
  </si>
  <si>
    <t>https://www.clickideacore.com/ClickHTML5/Visit.aspx?ID=//50DAEwASwA0ADAANAA4ADcANgA1ADIASQBEAEUAQQA6=&amp;Tipo=2&amp;ST=1&amp;nLang=0</t>
  </si>
  <si>
    <t>https://www.clickideacore.com/ClickHTML5/Visit.aspx?ID=//59DAEwASwA0ADAANAA4ADcAOQAzADgASQBEAEUAQQA5=&amp;Tipo=2&amp;ST=1&amp;nLang=0</t>
  </si>
  <si>
    <t>https://www.clickideacore.com/ClickHTML5/Visit.aspx?ID=//51DAEwASwA0ADAANAA4ADQAOAA0ADMASQBEAEUAQQAD=&amp;Tipo=2&amp;ST=1&amp;nLang=0</t>
  </si>
  <si>
    <t>https://www.clickideacore.com/ClickHTML5/Visit.aspx?ID=//5ADAEwASwA0ADAANAA4ADMANgAzADQASQBEAEUAQQA4=&amp;Tipo=2&amp;ST=1&amp;nLang=0</t>
  </si>
  <si>
    <t>https://www.clickideacore.com/ClickHTML5/Visit.aspx?ID=//59DAEwASwA0ADAANQAwADkANgA4ADEASQBEAEUAQQAE=&amp;Tipo=2&amp;ST=1&amp;nLang=0</t>
  </si>
  <si>
    <t>https://www.clickideacore.com/ClickHTML5/Visit.aspx?ID=//55DAEwASwA0ADAANQAxADEANwA2ADUASQBEAEUAQQA1=&amp;Tipo=2&amp;ST=1&amp;nLang=0</t>
  </si>
  <si>
    <t>https://www.clickideacore.com/ClickHTML5/Visit.aspx?ID=//53DAEwASwA0ADAANQAxADEAOAA2ADEASQBEAEUAQQA6=&amp;Tipo=2&amp;ST=1&amp;nLang=0</t>
  </si>
  <si>
    <t>https://www.clickideacore.com/ClickHTML5/Visit.aspx?ID=//5BDAEwASwA0ADAANQAxADEAOAA4ADAASQBEAEUAQQAA=&amp;Tipo=2&amp;ST=1&amp;nLang=0</t>
  </si>
  <si>
    <t>https://www.clickideacore.com/ClickHTML5/Visit.aspx?ID=//5DDAEwASwA0ADAANQAxADAAOQAxADMASQBEAEUAQQA1=&amp;Tipo=2&amp;ST=1&amp;nLang=0</t>
  </si>
  <si>
    <t>https://www.clickideacore.com/ClickHTML5/Visit.aspx?ID=//57DAEwASwA0ADAANQAzADMAMwA4ADYASQBEAEUAQQA3=&amp;Tipo=2&amp;ST=1&amp;nLang=0</t>
  </si>
  <si>
    <t>https://www.clickideacore.com/ClickHTML5/Visit.aspx?ID=//53DAEwASwA0ADAANQAzADQANgAxADMASQBEAEUAQQA3=&amp;Tipo=2&amp;ST=1&amp;nLang=0</t>
  </si>
  <si>
    <t>https://www.clickideacore.com/ClickHTML5/Visit.aspx?ID=//59DAEwASwA0ADAANQAzADYAMAAwADIASQBEAEUAQQA2=&amp;Tipo=2&amp;ST=1&amp;nLang=0</t>
  </si>
  <si>
    <t>https://www.clickideacore.com/ClickHTML5/Visit.aspx?ID=//5CDAEwASwA0ADAANQAzADUANAAyADAASQBEAEUAQQA1=&amp;Tipo=2&amp;ST=1&amp;nLang=0</t>
  </si>
  <si>
    <t>https://www.clickideacore.com/ClickHTML5/Visit.aspx?ID=//51DAEwASwA0ADAANQAyADkANgAxADEASQBEAEUAQQAF=&amp;Tipo=2&amp;ST=1&amp;nLang=0</t>
  </si>
  <si>
    <t>https://www.clickideacore.com/ClickHTML5/Visit.aspx?ID=//55DAEwASwA0ADAANQAzADIANQA4ADIASQBEAEUAQQAF=&amp;Tipo=2&amp;ST=1&amp;nLang=0</t>
  </si>
  <si>
    <t>Carlos Maulen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</si>
</sst>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#0;\-#0;#0"/>
    <numFmt numFmtId="166" formatCode="#0.##,&quot;K&quot;;\-#0.##,&quot;K&quot;;#0.##,&quot;K&quot;"/>
    <numFmt numFmtId="167" formatCode="#0.#,&quot;K&quot;;\-#0.#,&quot;K&quot;;#0.#,&quot;K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textRotation="180"/>
    </xf>
    <xf numFmtId="0" fontId="1" fillId="2" borderId="1" xfId="0" applyFont="1" applyFill="1" applyBorder="1" applyAlignment="1">
      <alignment wrapText="1"/>
    </xf>
    <xf numFmtId="164" fontId="2" fillId="0" borderId="0" xfId="0" applyNumberFormat="1" applyFont="1"/>
    <xf numFmtId="0" fontId="0" fillId="0" borderId="0" xfId="0" applyAlignment="1">
      <alignment textRotation="180" wrapText="1"/>
    </xf>
    <xf numFmtId="0" fontId="1" fillId="3" borderId="1" xfId="0" applyFont="1" applyFill="1" applyBorder="1"/>
    <xf numFmtId="0" fontId="0" fillId="4" borderId="0" xfId="0" applyFill="1"/>
    <xf numFmtId="166" fontId="0" fillId="0" borderId="0" xfId="0" applyNumberFormat="1"/>
    <xf numFmtId="167" fontId="0" fillId="0" borderId="0" xfId="0" applyNumberFormat="1"/>
    <xf numFmtId="164" fontId="2" fillId="0" borderId="0" xfId="0" applyNumberFormat="1" applyFont="1" applyAlignment="1">
      <alignment vertical="top"/>
    </xf>
    <xf numFmtId="0" fontId="2" fillId="0" borderId="0" xfId="0" applyFont="1"/>
    <xf numFmtId="164" fontId="3" fillId="0" borderId="0" xfId="0" applyNumberFormat="1" applyFon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638"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wrapText="0"/>
    </dxf>
    <dxf>
      <alignment textRotation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90"/>
    </dxf>
    <dxf>
      <alignment textRotation="90"/>
    </dxf>
    <dxf>
      <alignment textRotation="9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VILES" refreshedDate="46074.500053819444" createdVersion="8" refreshedVersion="8" minRefreshableVersion="3" recordCount="3192" xr:uid="{9C5DFCC0-DABC-4BE9-8A49-0E1AD05F96F7}">
  <cacheSource type="worksheet">
    <worksheetSource ref="A1:AB1048576" sheet="Base Datos"/>
  </cacheSource>
  <cacheFields count="30">
    <cacheField name="Operador" numFmtId="0">
      <sharedItems containsBlank="1" count="31">
        <s v="Cristian Valdivia"/>
        <s v="Daniel Peña"/>
        <s v="Eduardo Soto"/>
        <s v="Gerardo Cartes"/>
        <s v="Luis Alvarez"/>
        <s v="Claudio Garrido"/>
        <s v="Jeremias Cerda"/>
        <s v="Albert Riveros"/>
        <s v="Francisco Cuevas"/>
        <s v="N/A"/>
        <s v="Andres Moya"/>
        <s v="Edgar Benavides"/>
        <s v="Fernando Diaz"/>
        <s v="Byron Lopez"/>
        <s v="Rodrigo Bascuñan"/>
        <s v="Roberto Ramirez"/>
        <s v="Cristian Gonzalez "/>
        <s v="Elias Llancaqueo"/>
        <s v="Victor Reyes"/>
        <s v="Luis Acevedo"/>
        <s v="Boris López"/>
        <s v="Alexander Marchant"/>
        <s v="Raul Parra"/>
        <s v="Daniel Diaz"/>
        <m/>
        <s v="Boris Lopez" u="1"/>
        <s v="Edgar Benavides " u="1"/>
        <s v="Luis Alvares" u="1"/>
        <s v="Andres" u="1"/>
        <s v="Elias Lllancaqueo" u="1"/>
        <s v="Elias Llncaqueo" u="1"/>
      </sharedItems>
    </cacheField>
    <cacheField name="Auxiliar" numFmtId="0">
      <sharedItems containsBlank="1" count="50">
        <s v="Hugo Troncoso"/>
        <s v="Michael Suarez"/>
        <s v="Alejandro Escobar"/>
        <s v="Yosman Perez"/>
        <s v="Wilmer Villa"/>
        <s v="Andres Moya"/>
        <s v="N/A"/>
        <s v="Gonzalo Gonzalez"/>
        <s v="Jeremias Cerda"/>
        <s v="Edgar Benavides"/>
        <s v="Jorge Vizcarra"/>
        <s v="Sergio Toledo"/>
        <s v="Claudio Garrido"/>
        <s v="Hjorge Vizcarra"/>
        <s v="Frank Alvarez"/>
        <s v="Rodrigo Bascuñan"/>
        <s v="Fernando Diaz"/>
        <s v="Jorge Viscarra"/>
        <s v="Cristian Valdivia"/>
        <s v="Juan Cuadra"/>
        <s v="Eduardo Soto"/>
        <s v="Daniel Peña"/>
        <s v="Carlos Correa"/>
        <s v="Alexander Marchant"/>
        <s v="Osman Perez"/>
        <s v="Elias Llancaqueo"/>
        <s v="Michael Troncoso"/>
        <s v="Alejandro Escoar"/>
        <s v="Daniel Escobar"/>
        <s v="Rodrigo Arenas"/>
        <s v="Mario Nuevo"/>
        <s v="Jesus Barrera"/>
        <s v="Raul Toledo"/>
        <s v="Gerald Aguayo"/>
        <s v="Nelson Paredes"/>
        <s v="Rodrigo Arcos"/>
        <m/>
        <s v="Michael Saurez" u="1"/>
        <s v="Daniel Diaz" u="1"/>
        <s v="Alejanro Escobar" u="1"/>
        <s v="Jesus Nuevo" u="1"/>
        <s v="Gerald (Nuevo)" u="1"/>
        <s v="Sin Auxiliar" u="1"/>
        <s v="Rdrigo Arenas" u="1"/>
        <s v="Gerardo Cartes" u="1"/>
        <s v="Alejandro Soto" u="1"/>
        <s v="Luis Acevedo" u="1"/>
        <s v="Wimer Villa" u="1"/>
        <s v="Wilmer Peña" u="1"/>
        <s v="Alejabndro Escobar" u="1"/>
      </sharedItems>
    </cacheField>
    <cacheField name="Cod. Usuario" numFmtId="0">
      <sharedItems containsBlank="1" containsMixedTypes="1" containsNumber="1" containsInteger="1" minValue="0" maxValue="0"/>
    </cacheField>
    <cacheField name="Fecha Inicial" numFmtId="164">
      <sharedItems containsNonDate="0" containsDate="1" containsString="0" containsBlank="1" minDate="2025-04-22T00:00:00" maxDate="2026-02-22T00:00:00" count="307"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m/>
      </sharedItems>
      <fieldGroup par="29"/>
    </cacheField>
    <cacheField name="Fecha Final" numFmtId="164">
      <sharedItems containsNonDate="0" containsDate="1" containsString="0" containsBlank="1" minDate="2025-04-22T00:00:00" maxDate="2026-02-22T00:00:00"/>
    </cacheField>
    <cacheField name="Duración" numFmtId="0">
      <sharedItems containsString="0" containsBlank="1" containsNumber="1" containsInteger="1" minValue="0" maxValue="12686"/>
    </cacheField>
    <cacheField name="Estado" numFmtId="0">
      <sharedItems containsBlank="1" count="16">
        <s v="Ok"/>
        <s v="Libre Compensatorio"/>
        <s v="Licencia Medica"/>
        <s v="Vacaciones"/>
        <s v="Sin Producción"/>
        <s v="Descanso"/>
        <s v="Servicios"/>
        <s v="Libre Cumpleaños"/>
        <s v="Permiso"/>
        <s v="Sin Producción "/>
        <s v="Permiso Matrimonio"/>
        <s v="Servicio"/>
        <s v="Falta"/>
        <s v="Cumpleaños"/>
        <s v="Sin Produccion"/>
        <m/>
      </sharedItems>
    </cacheField>
    <cacheField name="Despacho / Retiro" numFmtId="0">
      <sharedItems containsString="0" containsBlank="1" containsNumber="1" containsInteger="1" minValue="0" maxValue="90"/>
    </cacheField>
    <cacheField name="Entrada &lt; 19:30" numFmtId="0">
      <sharedItems containsString="0" containsBlank="1" containsNumber="1" containsInteger="1" minValue="0" maxValue="1"/>
    </cacheField>
    <cacheField name="Salida &gt; 19:30" numFmtId="0">
      <sharedItems containsString="0" containsBlank="1" containsNumber="1" containsInteger="1" minValue="0" maxValue="1"/>
    </cacheField>
    <cacheField name="Feria Semana 01" numFmtId="0">
      <sharedItems containsString="0" containsBlank="1" containsNumber="1" containsInteger="1" minValue="0" maxValue="1"/>
    </cacheField>
    <cacheField name="Feria Semana 02" numFmtId="0">
      <sharedItems containsString="0" containsBlank="1" containsNumber="1" containsInteger="1" minValue="0" maxValue="1"/>
    </cacheField>
    <cacheField name="Fuera Radio Normal" numFmtId="0">
      <sharedItems containsString="0" containsBlank="1" containsNumber="1" containsInteger="1" minValue="0" maxValue="2"/>
    </cacheField>
    <cacheField name="Fuera Radio V Región" numFmtId="0">
      <sharedItems containsString="0" containsBlank="1" containsNumber="1" containsInteger="1" minValue="0" maxValue="2"/>
    </cacheField>
    <cacheField name="Sabado" numFmtId="0">
      <sharedItems containsString="0" containsBlank="1" containsNumber="1" containsInteger="1" minValue="0" maxValue="1"/>
    </cacheField>
    <cacheField name="Domingo" numFmtId="0">
      <sharedItems containsString="0" containsBlank="1" containsNumber="1" containsInteger="1" minValue="0" maxValue="7"/>
    </cacheField>
    <cacheField name="Viajes Por Cliente" numFmtId="0">
      <sharedItems containsString="0" containsBlank="1" containsNumber="1" containsInteger="1" minValue="0" maxValue="14"/>
    </cacheField>
    <cacheField name="Sábado &gt; 16:00" numFmtId="0">
      <sharedItems containsString="0" containsBlank="1" containsNumber="1" containsInteger="1" minValue="0" maxValue="1"/>
    </cacheField>
    <cacheField name="Domingo &gt; 16:00" numFmtId="0">
      <sharedItems containsString="0" containsBlank="1" containsNumber="1" containsInteger="1" minValue="0" maxValue="1"/>
    </cacheField>
    <cacheField name="URL" numFmtId="0">
      <sharedItems containsBlank="1" containsMixedTypes="1" containsNumber="1" containsInteger="1" minValue="0" maxValue="0"/>
    </cacheField>
    <cacheField name="Secado" numFmtId="0">
      <sharedItems containsString="0" containsBlank="1" containsNumber="1" containsInteger="1" minValue="0" maxValue="28"/>
    </cacheField>
    <cacheField name="Evento" numFmtId="0">
      <sharedItems containsString="0" containsBlank="1" containsNumber="1" containsInteger="1" minValue="0" maxValue="100"/>
    </cacheField>
    <cacheField name="Punto de Agua" numFmtId="0">
      <sharedItems containsString="0" containsBlank="1" containsNumber="1" containsInteger="1" minValue="0" maxValue="38"/>
    </cacheField>
    <cacheField name="Basurero Grande " numFmtId="0">
      <sharedItems containsString="0" containsBlank="1" containsNumber="1" containsInteger="1" minValue="0" maxValue="10"/>
    </cacheField>
    <cacheField name="Basurero chico" numFmtId="0">
      <sharedItems containsString="0" containsBlank="1" containsNumber="1" containsInteger="1" minValue="0" maxValue="20"/>
    </cacheField>
    <cacheField name="Fosa" numFmtId="0">
      <sharedItems containsString="0" containsBlank="1" containsNumber="1" containsInteger="1" minValue="0" maxValue="1"/>
    </cacheField>
    <cacheField name="Aux Sabado Semana 02" numFmtId="0">
      <sharedItems containsString="0" containsBlank="1" containsNumber="1" containsInteger="1" minValue="0" maxValue="1"/>
    </cacheField>
    <cacheField name="Aux Domingo Semana 02" numFmtId="0">
      <sharedItems containsString="0" containsBlank="1" containsNumber="1" containsInteger="1" minValue="0" maxValue="1"/>
    </cacheField>
    <cacheField name="Días (Fecha Inicial)" numFmtId="0" databaseField="0">
      <fieldGroup base="3">
        <rangePr groupBy="days" startDate="2025-04-22T00:00:00" endDate="2026-02-22T00:00:00"/>
        <groupItems count="368">
          <s v="&lt;22-04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2-02-2026"/>
        </groupItems>
      </fieldGroup>
    </cacheField>
    <cacheField name="Meses (Fecha Inicial)" numFmtId="0" databaseField="0">
      <fieldGroup base="3">
        <rangePr groupBy="months" startDate="2025-04-22T00:00:00" endDate="2026-02-22T00:00:00"/>
        <groupItems count="14">
          <s v="&lt;22-04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2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2">
  <r>
    <x v="0"/>
    <x v="0"/>
    <s v="OP-S-100"/>
    <x v="0"/>
    <d v="2025-04-22T00:00:00"/>
    <n v="50"/>
    <x v="0"/>
    <n v="30"/>
    <n v="0"/>
    <n v="0"/>
    <n v="1"/>
    <n v="0"/>
    <n v="0"/>
    <n v="0"/>
    <n v="0"/>
    <n v="0"/>
    <n v="0"/>
    <n v="0"/>
    <n v="0"/>
    <s v="https://www.clickideacore.com/ClickHTML5/Visit.aspx?ID=//52DAEwASwAzADMAMAA2ADMAMgAyADQASQBEAEUAQQAC=&amp;Tipo=2&amp;ST=1&amp;nLang=0"/>
    <n v="0"/>
    <n v="0"/>
    <n v="0"/>
    <n v="0"/>
    <n v="0"/>
    <n v="0"/>
    <n v="0"/>
    <n v="0"/>
  </r>
  <r>
    <x v="1"/>
    <x v="1"/>
    <s v="OP-DYR-004"/>
    <x v="0"/>
    <d v="2025-04-22T00:00:00"/>
    <n v="23"/>
    <x v="0"/>
    <n v="20"/>
    <n v="0"/>
    <n v="0"/>
    <n v="1"/>
    <n v="0"/>
    <n v="0"/>
    <n v="0"/>
    <n v="0"/>
    <n v="0"/>
    <n v="0"/>
    <n v="0"/>
    <n v="0"/>
    <s v="https://www.clickideacore.com/ClickHTML5/Visit.aspx?ID=//56DAEwASwAzADMAMAA2ADIAMwA4ADkASQBEAEUAQQAE=&amp;Tipo=2&amp;ST=1&amp;nLang=0"/>
    <n v="0"/>
    <n v="16"/>
    <n v="0"/>
    <n v="0"/>
    <n v="0"/>
    <n v="0"/>
    <n v="0"/>
    <n v="0"/>
  </r>
  <r>
    <x v="2"/>
    <x v="2"/>
    <s v="OP-S-200"/>
    <x v="0"/>
    <d v="2025-04-22T00:00:00"/>
    <n v="33"/>
    <x v="0"/>
    <n v="28"/>
    <n v="0"/>
    <n v="0"/>
    <n v="1"/>
    <n v="0"/>
    <n v="0"/>
    <n v="0"/>
    <n v="0"/>
    <n v="0"/>
    <n v="0"/>
    <n v="0"/>
    <n v="0"/>
    <s v="https://www.clickideacore.com/ClickHTML5/Visit.aspx?ID=//5DDAEwASwAzADMAMAA2ADIAMQAzADYASQBEAEUAQQAB=&amp;Tipo=2&amp;ST=1&amp;nLang=0"/>
    <n v="0"/>
    <n v="49"/>
    <n v="2"/>
    <n v="0"/>
    <n v="15"/>
    <n v="0"/>
    <n v="0"/>
    <n v="0"/>
  </r>
  <r>
    <x v="3"/>
    <x v="3"/>
    <s v="OP-S-076"/>
    <x v="0"/>
    <d v="2025-04-22T00:00:00"/>
    <n v="43"/>
    <x v="0"/>
    <n v="14"/>
    <n v="0"/>
    <n v="0"/>
    <n v="0"/>
    <n v="1"/>
    <n v="0"/>
    <n v="0"/>
    <n v="0"/>
    <n v="0"/>
    <n v="0"/>
    <n v="0"/>
    <n v="0"/>
    <s v="https://www.clickideacore.com/ClickHTML5/Visit.aspx?ID=//57DAEwASwAzADMAMAA2ADEAOAA4ADAASQBEAEUAQQA3=&amp;Tipo=2&amp;ST=1&amp;nLang=0"/>
    <n v="0"/>
    <n v="28"/>
    <n v="0"/>
    <n v="0"/>
    <n v="0"/>
    <n v="0"/>
    <n v="0"/>
    <n v="0"/>
  </r>
  <r>
    <x v="4"/>
    <x v="4"/>
    <s v="OP-DYR-005"/>
    <x v="0"/>
    <d v="2025-04-22T00:00:00"/>
    <n v="22"/>
    <x v="0"/>
    <n v="19"/>
    <n v="0"/>
    <n v="0"/>
    <n v="1"/>
    <n v="0"/>
    <n v="0"/>
    <n v="0"/>
    <n v="0"/>
    <n v="0"/>
    <n v="0"/>
    <n v="0"/>
    <n v="0"/>
    <s v="https://www.clickideacore.com/ClickHTML5/Visit.aspx?ID=//57DAEwASwAzADMAMAA2ADMAOQAwADAASQBEAEUAQQAB=&amp;Tipo=2&amp;ST=1&amp;nLang=0"/>
    <n v="0"/>
    <n v="0"/>
    <n v="2"/>
    <n v="0"/>
    <n v="0"/>
    <n v="0"/>
    <n v="0"/>
    <n v="0"/>
  </r>
  <r>
    <x v="5"/>
    <x v="5"/>
    <s v="OP-S-005"/>
    <x v="0"/>
    <d v="2025-04-22T00:00:00"/>
    <n v="53"/>
    <x v="0"/>
    <n v="1"/>
    <n v="0"/>
    <n v="0"/>
    <n v="0"/>
    <n v="0"/>
    <n v="0"/>
    <n v="0"/>
    <n v="0"/>
    <n v="0"/>
    <n v="0"/>
    <n v="0"/>
    <n v="0"/>
    <s v="https://www.clickideacore.com/ClickHTML5/Visit.aspx?ID=//5BDAEwASwAzADMAMAAxADIAMQA1ADYASQBEAEUAQQA9=&amp;Tipo=2&amp;ST=1&amp;nLang=0"/>
    <n v="0"/>
    <n v="16"/>
    <n v="0"/>
    <n v="0"/>
    <n v="0"/>
    <n v="0"/>
    <n v="0"/>
    <n v="0"/>
  </r>
  <r>
    <x v="6"/>
    <x v="6"/>
    <n v="0"/>
    <x v="0"/>
    <d v="2025-04-22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0"/>
    <d v="2025-04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0"/>
    <d v="2025-04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0"/>
    <d v="2025-04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8"/>
    <s v="OP-S-005"/>
    <x v="1"/>
    <d v="2025-04-23T00:00:00"/>
    <n v="25"/>
    <x v="0"/>
    <n v="26"/>
    <n v="0"/>
    <n v="0"/>
    <n v="1"/>
    <n v="0"/>
    <n v="0"/>
    <n v="0"/>
    <n v="0"/>
    <n v="0"/>
    <n v="0"/>
    <n v="0"/>
    <n v="0"/>
    <s v="https://www.clickideacore.com/ClickHTML5/Visit.aspx?ID=//53DAEwASwAzADMAMAA4ADMANQA1ADMASQBEAEUAQQA1=&amp;Tipo=2&amp;ST=1&amp;nLang=0"/>
    <n v="0"/>
    <n v="22"/>
    <n v="0"/>
    <n v="0"/>
    <n v="0"/>
    <n v="0"/>
    <n v="0"/>
    <n v="0"/>
  </r>
  <r>
    <x v="1"/>
    <x v="1"/>
    <s v="OP-DYR-004"/>
    <x v="1"/>
    <d v="2025-04-23T00:00:00"/>
    <n v="23"/>
    <x v="0"/>
    <n v="25"/>
    <n v="0"/>
    <n v="0"/>
    <n v="1"/>
    <n v="0"/>
    <n v="0"/>
    <n v="0"/>
    <n v="0"/>
    <n v="0"/>
    <n v="0"/>
    <n v="0"/>
    <n v="0"/>
    <s v="https://www.clickideacore.com/ClickHTML5/Visit.aspx?ID=//5EDAEwASwAzADMAMAA5ADAAMgA3ADUASQBEAEUAQQA1=&amp;Tipo=2&amp;ST=1&amp;nLang=0"/>
    <n v="0"/>
    <n v="15"/>
    <n v="0"/>
    <n v="0"/>
    <n v="0"/>
    <n v="0"/>
    <n v="0"/>
    <n v="0"/>
  </r>
  <r>
    <x v="2"/>
    <x v="2"/>
    <s v="OP-S-200"/>
    <x v="1"/>
    <d v="2025-04-23T00:00:00"/>
    <n v="18"/>
    <x v="0"/>
    <n v="28"/>
    <n v="0"/>
    <n v="0"/>
    <n v="1"/>
    <n v="0"/>
    <n v="0"/>
    <n v="0"/>
    <n v="0"/>
    <n v="0"/>
    <n v="0"/>
    <n v="0"/>
    <n v="0"/>
    <s v="https://www.clickideacore.com/ClickHTML5/Visit.aspx?ID=//59DAEwASwAzADMAMAA4ADgANQAwADUASQBEAEUAQQA7=&amp;Tipo=2&amp;ST=1&amp;nLang=0"/>
    <n v="0"/>
    <n v="22"/>
    <n v="0"/>
    <n v="0"/>
    <n v="0"/>
    <n v="0"/>
    <n v="0"/>
    <n v="0"/>
  </r>
  <r>
    <x v="3"/>
    <x v="3"/>
    <s v="OP-S-076"/>
    <x v="1"/>
    <d v="2025-04-23T00:00:00"/>
    <n v="30"/>
    <x v="0"/>
    <n v="11"/>
    <n v="0"/>
    <n v="0"/>
    <n v="0"/>
    <n v="1"/>
    <n v="1"/>
    <n v="0"/>
    <n v="0"/>
    <n v="0"/>
    <n v="0"/>
    <n v="0"/>
    <n v="0"/>
    <s v="https://www.clickideacore.com/ClickHTML5/Visit.aspx?ID=//56DAEwASwAzADMAMAA4ADUANAA3ADMASQBEAEUAQQA6=&amp;Tipo=2&amp;ST=1&amp;nLang=0"/>
    <n v="0"/>
    <n v="14"/>
    <n v="0"/>
    <n v="0"/>
    <n v="0"/>
    <n v="0"/>
    <n v="0"/>
    <n v="0"/>
  </r>
  <r>
    <x v="4"/>
    <x v="4"/>
    <s v="OP-DYR-005"/>
    <x v="1"/>
    <d v="2025-04-23T00:00:00"/>
    <n v="27"/>
    <x v="0"/>
    <n v="39"/>
    <n v="0"/>
    <n v="0"/>
    <n v="1"/>
    <n v="0"/>
    <n v="0"/>
    <n v="0"/>
    <n v="0"/>
    <n v="0"/>
    <n v="0"/>
    <n v="0"/>
    <n v="0"/>
    <s v="https://www.clickideacore.com/ClickHTML5/Visit.aspx?ID=//5ADAEwASwAzADMAMAA5ADIANgA1ADIASQBEAEUAQQA1=&amp;Tipo=2&amp;ST=1&amp;nLang=0"/>
    <n v="0"/>
    <n v="23"/>
    <n v="0"/>
    <n v="0"/>
    <n v="0"/>
    <n v="0"/>
    <n v="0"/>
    <n v="0"/>
  </r>
  <r>
    <x v="10"/>
    <x v="9"/>
    <n v="0"/>
    <x v="1"/>
    <d v="2025-04-23T00:00:00"/>
    <n v="27"/>
    <x v="0"/>
    <n v="0"/>
    <n v="0"/>
    <n v="0"/>
    <n v="0"/>
    <n v="0"/>
    <n v="0"/>
    <n v="0"/>
    <n v="0"/>
    <n v="0"/>
    <n v="0"/>
    <n v="0"/>
    <n v="0"/>
    <s v="https://www.clickideacore.com/ClickHTML5/Visit.aspx?ID=//5ADAEwASwAzADMAMAA5ADIANgA1ADIASQBEAEUAQQA1=&amp;Tipo=2&amp;ST=1&amp;nLang=0"/>
    <n v="0"/>
    <n v="20"/>
    <n v="0"/>
    <n v="0"/>
    <n v="0"/>
    <n v="0"/>
    <n v="0"/>
    <n v="0"/>
  </r>
  <r>
    <x v="0"/>
    <x v="0"/>
    <n v="0"/>
    <x v="1"/>
    <d v="2025-04-23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"/>
    <d v="2025-04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"/>
    <d v="2025-04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"/>
    <d v="2025-04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5"/>
    <s v="OP-DYR-011"/>
    <x v="2"/>
    <d v="2025-04-24T00:00:00"/>
    <n v="45"/>
    <x v="0"/>
    <n v="0"/>
    <n v="0"/>
    <n v="0"/>
    <n v="0"/>
    <n v="0"/>
    <n v="0"/>
    <n v="0"/>
    <n v="0"/>
    <n v="0"/>
    <n v="0"/>
    <n v="0"/>
    <n v="0"/>
    <s v="https://www.clickideacore.com/ClickHTML5/Visit.aspx?ID=//59DAEwASwAzADMAMQAwADMANAAxADEASQBEAEUAQQA1=&amp;Tipo=2&amp;ST=1&amp;nLang=0"/>
    <n v="0"/>
    <n v="20"/>
    <n v="0"/>
    <n v="0"/>
    <n v="0"/>
    <n v="0"/>
    <n v="0"/>
    <n v="0"/>
  </r>
  <r>
    <x v="5"/>
    <x v="8"/>
    <s v="OP-S-005"/>
    <x v="2"/>
    <d v="2025-04-24T00:00:00"/>
    <n v="36"/>
    <x v="0"/>
    <n v="25"/>
    <n v="0"/>
    <n v="0"/>
    <n v="0"/>
    <n v="1"/>
    <n v="0"/>
    <n v="0"/>
    <n v="0"/>
    <n v="0"/>
    <n v="0"/>
    <n v="0"/>
    <n v="0"/>
    <s v="https://www.clickideacore.com/ClickHTML5/Visit.aspx?ID=//50DAEwASwAzADMAMQAwADkAOAAyADEASQBEAEUAQQAA=&amp;Tipo=2&amp;ST=1&amp;nLang=0"/>
    <n v="0"/>
    <n v="13"/>
    <n v="0"/>
    <n v="0"/>
    <n v="0"/>
    <n v="0"/>
    <n v="0"/>
    <n v="0"/>
  </r>
  <r>
    <x v="0"/>
    <x v="0"/>
    <s v="OP-S-100"/>
    <x v="2"/>
    <d v="2025-04-24T00:00:00"/>
    <n v="34"/>
    <x v="0"/>
    <n v="30"/>
    <n v="0"/>
    <n v="0"/>
    <n v="1"/>
    <n v="0"/>
    <n v="0"/>
    <n v="0"/>
    <n v="0"/>
    <n v="0"/>
    <n v="0"/>
    <n v="0"/>
    <n v="0"/>
    <s v="https://www.clickideacore.com/ClickHTML5/Visit.aspx?ID=//52DAEwASwAzADMAMQAwADYAOQAxADcASQBEAEUAQQAC=&amp;Tipo=2&amp;ST=1&amp;nLang=0"/>
    <n v="0"/>
    <n v="22"/>
    <n v="0"/>
    <n v="0"/>
    <n v="0"/>
    <n v="0"/>
    <n v="0"/>
    <n v="0"/>
  </r>
  <r>
    <x v="1"/>
    <x v="1"/>
    <s v="OP-DYR-004"/>
    <x v="2"/>
    <d v="2025-04-24T00:00:00"/>
    <n v="21"/>
    <x v="0"/>
    <n v="35"/>
    <n v="0"/>
    <n v="0"/>
    <n v="1"/>
    <n v="0"/>
    <n v="0"/>
    <n v="0"/>
    <n v="0"/>
    <n v="0"/>
    <n v="0"/>
    <n v="0"/>
    <n v="0"/>
    <s v="https://www.clickideacore.com/ClickHTML5/Visit.aspx?ID=//51DAEwASwAzADMAMQAwADYANAAyADYASQBEAEUAQQAF=&amp;Tipo=2&amp;ST=1&amp;nLang=0"/>
    <n v="0"/>
    <n v="20"/>
    <n v="0"/>
    <n v="0"/>
    <n v="0"/>
    <n v="0"/>
    <n v="0"/>
    <n v="0"/>
  </r>
  <r>
    <x v="4"/>
    <x v="4"/>
    <s v="OP-DYR-005"/>
    <x v="2"/>
    <d v="2025-04-24T00:00:00"/>
    <n v="19"/>
    <x v="0"/>
    <n v="19"/>
    <n v="0"/>
    <n v="0"/>
    <n v="1"/>
    <n v="0"/>
    <n v="0"/>
    <n v="0"/>
    <n v="0"/>
    <n v="0"/>
    <n v="0"/>
    <n v="0"/>
    <n v="0"/>
    <s v="https://www.clickideacore.com/ClickHTML5/Visit.aspx?ID=//5EDAEwASwAzADMAMQAxADAANQAzADEASQBEAEUAQQAA=&amp;Tipo=2&amp;ST=1&amp;nLang=0"/>
    <n v="0"/>
    <n v="14"/>
    <n v="0"/>
    <n v="0"/>
    <n v="0"/>
    <n v="0"/>
    <n v="0"/>
    <n v="0"/>
  </r>
  <r>
    <x v="2"/>
    <x v="2"/>
    <s v="OP-S-200"/>
    <x v="2"/>
    <d v="2025-04-24T00:00:00"/>
    <n v="33"/>
    <x v="0"/>
    <n v="28"/>
    <n v="0"/>
    <n v="0"/>
    <n v="1"/>
    <n v="0"/>
    <n v="0"/>
    <n v="0"/>
    <n v="0"/>
    <n v="0"/>
    <n v="0"/>
    <n v="0"/>
    <n v="0"/>
    <s v="https://www.clickideacore.com/ClickHTML5/Visit.aspx?ID=//5DDAEwASwAzADMAMAA2ADIAMQAzADYASQBEAEUAQQAB=&amp;Tipo=2&amp;ST=1&amp;nLang=0"/>
    <n v="0"/>
    <n v="49"/>
    <n v="2"/>
    <n v="0"/>
    <n v="0"/>
    <n v="0"/>
    <n v="0"/>
    <n v="0"/>
  </r>
  <r>
    <x v="3"/>
    <x v="3"/>
    <n v="0"/>
    <x v="2"/>
    <d v="2025-04-24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"/>
    <d v="2025-04-2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"/>
    <d v="2025-04-2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"/>
    <d v="2025-04-2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4"/>
    <s v="OP-DYR-011"/>
    <x v="3"/>
    <d v="2025-04-25T00:00:00"/>
    <n v="37"/>
    <x v="0"/>
    <n v="29"/>
    <n v="0"/>
    <n v="0"/>
    <n v="1"/>
    <n v="0"/>
    <n v="1"/>
    <n v="0"/>
    <n v="0"/>
    <n v="0"/>
    <n v="1"/>
    <n v="0"/>
    <n v="0"/>
    <s v="https://www.clickideacore.com/ClickHTML5/Visit.aspx?ID=//5CDAEwASwAzADMAMQAyADkAOQA5ADAASQBEAEUAQQAA=&amp;Tipo=2&amp;ST=1&amp;nLang=0"/>
    <n v="0"/>
    <n v="3"/>
    <n v="0"/>
    <n v="0"/>
    <n v="0"/>
    <n v="0"/>
    <n v="0"/>
    <n v="0"/>
  </r>
  <r>
    <x v="0"/>
    <x v="0"/>
    <s v="OP-S-100"/>
    <x v="3"/>
    <d v="2025-04-25T00:00:00"/>
    <n v="56"/>
    <x v="0"/>
    <n v="18"/>
    <n v="0"/>
    <n v="0"/>
    <n v="1"/>
    <n v="0"/>
    <n v="0"/>
    <n v="0"/>
    <n v="0"/>
    <n v="0"/>
    <n v="0"/>
    <n v="0"/>
    <n v="0"/>
    <s v="https://www.clickideacore.com/ClickHTML5/Visit.aspx?ID=//59DAEwASwAzADMAMQAzADAAOQAxADAASQBEAEUAQQA2=&amp;Tipo=2&amp;ST=1&amp;nLang=0"/>
    <n v="0"/>
    <n v="0"/>
    <n v="0"/>
    <n v="0"/>
    <n v="0"/>
    <n v="0"/>
    <n v="0"/>
    <n v="0"/>
  </r>
  <r>
    <x v="3"/>
    <x v="3"/>
    <s v="OP-S-076"/>
    <x v="3"/>
    <d v="2025-04-25T00:00:00"/>
    <n v="46"/>
    <x v="0"/>
    <n v="24"/>
    <n v="0"/>
    <n v="0"/>
    <n v="0"/>
    <n v="1"/>
    <n v="0"/>
    <n v="0"/>
    <n v="0"/>
    <n v="0"/>
    <n v="0"/>
    <n v="0"/>
    <n v="0"/>
    <s v="https://www.clickideacore.com/ClickHTML5/Visit.aspx?ID=//5EDAEwASwAzADMAMQAzADIAMwAzADAASQBEAEUAQQA0=&amp;Tipo=2&amp;ST=1&amp;nLang=0"/>
    <n v="0"/>
    <n v="15"/>
    <n v="0"/>
    <n v="0"/>
    <n v="0"/>
    <n v="0"/>
    <n v="0"/>
    <n v="0"/>
  </r>
  <r>
    <x v="5"/>
    <x v="8"/>
    <s v="OP-S-076"/>
    <x v="3"/>
    <d v="2025-04-25T00:00:00"/>
    <n v="46"/>
    <x v="0"/>
    <n v="28"/>
    <n v="0"/>
    <n v="0"/>
    <n v="0"/>
    <n v="1"/>
    <n v="0"/>
    <n v="0"/>
    <n v="0"/>
    <n v="0"/>
    <n v="0"/>
    <n v="0"/>
    <n v="0"/>
    <s v="https://www.clickideacore.com/ClickHTML5/Visit.aspx?ID=//5EDAEwASwAzADMAMQAzADIAMwAzADAASQBEAEUAQQA0=&amp;Tipo=2&amp;ST=1&amp;nLang=0"/>
    <n v="0"/>
    <n v="15"/>
    <n v="0"/>
    <n v="0"/>
    <n v="0"/>
    <n v="0"/>
    <n v="0"/>
    <n v="0"/>
  </r>
  <r>
    <x v="4"/>
    <x v="6"/>
    <n v="0"/>
    <x v="3"/>
    <d v="2025-04-2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x v="3"/>
    <d v="2025-04-2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x v="3"/>
    <d v="2025-04-2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3"/>
    <d v="2025-04-2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"/>
    <d v="2025-04-2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"/>
    <d v="2025-04-2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4"/>
    <d v="2025-04-26T00:00:00"/>
    <n v="129"/>
    <x v="0"/>
    <n v="0"/>
    <n v="0"/>
    <n v="0"/>
    <n v="1"/>
    <n v="0"/>
    <n v="0"/>
    <n v="0"/>
    <n v="1"/>
    <n v="0"/>
    <n v="2"/>
    <n v="1"/>
    <n v="0"/>
    <s v="https://www.clickideacore.com/ClickHTML5/Visit.aspx?ID=//51DAEwASwAzADMAMQA1ADAAMgAyADkASQBEAEUAQQAF=&amp;Tipo=2&amp;ST=1&amp;nLang=0"/>
    <n v="0"/>
    <n v="0"/>
    <n v="0"/>
    <n v="0"/>
    <n v="0"/>
    <n v="0"/>
    <n v="0"/>
    <n v="0"/>
  </r>
  <r>
    <x v="1"/>
    <x v="1"/>
    <s v="OP-DYR-004"/>
    <x v="4"/>
    <d v="2025-04-26T00:00:00"/>
    <n v="28"/>
    <x v="0"/>
    <n v="0"/>
    <n v="0"/>
    <n v="0"/>
    <n v="1"/>
    <n v="0"/>
    <n v="0"/>
    <n v="0"/>
    <n v="1"/>
    <n v="0"/>
    <n v="1"/>
    <n v="1"/>
    <n v="0"/>
    <s v="https://www.clickideacore.com/ClickHTML5/Visit.aspx?ID=//53DAEwASwAzADMAMQA1ADAANwA3ADYASQBEAEUAQQAD=&amp;Tipo=2&amp;ST=1&amp;nLang=0"/>
    <n v="12"/>
    <n v="0"/>
    <n v="0"/>
    <n v="0"/>
    <n v="0"/>
    <n v="0"/>
    <n v="0"/>
    <n v="0"/>
  </r>
  <r>
    <x v="3"/>
    <x v="3"/>
    <s v="OP-S-076"/>
    <x v="4"/>
    <d v="2025-04-26T00:00:00"/>
    <n v="49"/>
    <x v="0"/>
    <n v="0"/>
    <n v="0"/>
    <n v="0"/>
    <n v="0"/>
    <n v="0"/>
    <n v="0"/>
    <n v="0"/>
    <n v="0"/>
    <n v="0"/>
    <n v="7"/>
    <n v="1"/>
    <n v="0"/>
    <s v="https://www.clickideacore.com/ClickHTML5/Visit.aspx?ID=//5EDAEwASwAzADMAMQA1ADAAMQA2ADcASQBEAEUAQQA2=&amp;Tipo=2&amp;ST=1&amp;nLang=0"/>
    <n v="16"/>
    <n v="0"/>
    <n v="0"/>
    <n v="0"/>
    <n v="0"/>
    <n v="0"/>
    <n v="1"/>
    <n v="0"/>
  </r>
  <r>
    <x v="4"/>
    <x v="8"/>
    <s v="OP-DYR-005"/>
    <x v="4"/>
    <d v="2025-04-26T00:00:00"/>
    <n v="39"/>
    <x v="0"/>
    <n v="0"/>
    <n v="0"/>
    <n v="0"/>
    <n v="1"/>
    <n v="0"/>
    <n v="0"/>
    <n v="0"/>
    <n v="1"/>
    <n v="0"/>
    <n v="2"/>
    <n v="1"/>
    <n v="0"/>
    <s v="https://www.clickideacore.com/ClickHTML5/Visit.aspx?ID=//57DAEwASwAzADMAMQA0ADkANwAzADQASQBEAEUAQQAE=&amp;Tipo=2&amp;ST=1&amp;nLang=0"/>
    <n v="0"/>
    <n v="0"/>
    <n v="0"/>
    <n v="0"/>
    <n v="0"/>
    <n v="0"/>
    <n v="0"/>
    <n v="0"/>
  </r>
  <r>
    <x v="2"/>
    <x v="2"/>
    <s v="OP-DYR-005"/>
    <x v="4"/>
    <d v="2025-04-26T00:00:00"/>
    <n v="39"/>
    <x v="0"/>
    <n v="0"/>
    <n v="0"/>
    <n v="0"/>
    <n v="1"/>
    <n v="0"/>
    <n v="0"/>
    <n v="0"/>
    <n v="1"/>
    <n v="0"/>
    <n v="2"/>
    <n v="1"/>
    <n v="0"/>
    <s v="https://www.clickideacore.com/ClickHTML5/Visit.aspx?ID=//57DAEwASwAzADMAMQA0ADkANwAzADQASQBEAEUAQQAE=&amp;Tipo=2&amp;ST=1&amp;nLang=0"/>
    <n v="0"/>
    <n v="0"/>
    <n v="0"/>
    <n v="0"/>
    <n v="0"/>
    <n v="0"/>
    <n v="0"/>
    <n v="0"/>
  </r>
  <r>
    <x v="10"/>
    <x v="4"/>
    <s v="OP-DYR-011"/>
    <x v="5"/>
    <d v="2025-04-27T00:00:00"/>
    <n v="28"/>
    <x v="0"/>
    <n v="0"/>
    <n v="0"/>
    <n v="0"/>
    <n v="0"/>
    <n v="0"/>
    <n v="0"/>
    <n v="0"/>
    <n v="0"/>
    <n v="0"/>
    <n v="2"/>
    <n v="0"/>
    <n v="0"/>
    <s v="https://www.clickideacore.com/ClickHTML5/Visit.aspx?ID=//54DAEwASwAzADMAMQA1ADkAOAA4ADAASQBEAEUAQQA5=&amp;Tipo=2&amp;ST=1&amp;nLang=0"/>
    <n v="0"/>
    <n v="0"/>
    <n v="0"/>
    <n v="0"/>
    <n v="0"/>
    <n v="0"/>
    <n v="0"/>
    <n v="0"/>
  </r>
  <r>
    <x v="0"/>
    <x v="0"/>
    <s v="OP-S-100"/>
    <x v="5"/>
    <d v="2025-04-27T00:00:00"/>
    <n v="31"/>
    <x v="0"/>
    <n v="0"/>
    <n v="0"/>
    <n v="1"/>
    <n v="1"/>
    <n v="0"/>
    <n v="0"/>
    <n v="0"/>
    <n v="0"/>
    <n v="1"/>
    <n v="4"/>
    <n v="0"/>
    <n v="1"/>
    <s v="https://www.clickideacore.com/ClickHTML5/Visit.aspx?ID=//53DAEwASwAzADMAMQA1ADkANgA0ADkASQBEAEUAQQA0=&amp;Tipo=2&amp;ST=1&amp;nLang=0"/>
    <n v="0"/>
    <n v="0"/>
    <n v="0"/>
    <n v="0"/>
    <n v="0"/>
    <n v="0"/>
    <n v="0"/>
    <n v="0"/>
  </r>
  <r>
    <x v="1"/>
    <x v="1"/>
    <s v="OP-DYR-004"/>
    <x v="5"/>
    <d v="2025-04-27T00:00:00"/>
    <n v="183"/>
    <x v="0"/>
    <n v="0"/>
    <n v="0"/>
    <n v="0"/>
    <n v="1"/>
    <n v="0"/>
    <n v="0"/>
    <n v="0"/>
    <n v="0"/>
    <n v="1"/>
    <n v="4"/>
    <n v="0"/>
    <n v="1"/>
    <s v="https://www.clickideacore.com/ClickHTML5/Visit.aspx?ID=//53DAEwASwAzADMAMQA1ADgANwAyADIASQBEAEUAQQAF=&amp;Tipo=2&amp;ST=1&amp;nLang=0"/>
    <n v="16"/>
    <n v="0"/>
    <n v="0"/>
    <n v="0"/>
    <n v="0"/>
    <n v="0"/>
    <n v="0"/>
    <n v="0"/>
  </r>
  <r>
    <x v="2"/>
    <x v="2"/>
    <s v="OP-S-200"/>
    <x v="5"/>
    <d v="2025-04-27T00:00:00"/>
    <n v="19"/>
    <x v="0"/>
    <n v="0"/>
    <n v="0"/>
    <n v="0"/>
    <n v="1"/>
    <n v="0"/>
    <n v="0"/>
    <n v="0"/>
    <n v="0"/>
    <n v="1"/>
    <n v="4"/>
    <n v="0"/>
    <n v="1"/>
    <s v="https://www.clickideacore.com/ClickHTML5/Visit.aspx?ID=//5CDAEwASwAzADMAMQA2ADAAMwA1ADUASQBEAEUAQQA1=&amp;Tipo=2&amp;ST=1&amp;nLang=0"/>
    <n v="0"/>
    <n v="0"/>
    <n v="0"/>
    <n v="0"/>
    <n v="0"/>
    <n v="0"/>
    <n v="0"/>
    <n v="0"/>
  </r>
  <r>
    <x v="3"/>
    <x v="3"/>
    <s v="OP-S-076"/>
    <x v="5"/>
    <d v="2025-04-27T00:00:00"/>
    <n v="38"/>
    <x v="0"/>
    <n v="0"/>
    <n v="0"/>
    <n v="0"/>
    <n v="0"/>
    <n v="0"/>
    <n v="0"/>
    <n v="0"/>
    <n v="0"/>
    <n v="1"/>
    <n v="4"/>
    <n v="0"/>
    <n v="1"/>
    <s v="https://www.clickideacore.com/ClickHTML5/Visit.aspx?ID=//57DAEwASwAzADMAMQA1ADkAMgAyADAASQBEAEUAQQA5=&amp;Tipo=2&amp;ST=1&amp;nLang=0"/>
    <n v="15"/>
    <n v="0"/>
    <n v="0"/>
    <n v="0"/>
    <n v="0"/>
    <n v="0"/>
    <n v="0"/>
    <n v="1"/>
  </r>
  <r>
    <x v="4"/>
    <x v="8"/>
    <s v="OP-DYR-005"/>
    <x v="5"/>
    <d v="2025-04-27T00:00:00"/>
    <n v="58"/>
    <x v="0"/>
    <n v="0"/>
    <n v="0"/>
    <n v="0"/>
    <n v="1"/>
    <n v="0"/>
    <n v="0"/>
    <n v="0"/>
    <n v="0"/>
    <n v="1"/>
    <n v="4"/>
    <n v="0"/>
    <n v="1"/>
    <s v="https://www.clickideacore.com/ClickHTML5/Visit.aspx?ID=//53DAEwASwAzADMAMQA1ADkAMAAzADAASQBEAEUAQQAE=&amp;Tipo=2&amp;ST=1&amp;nLang=0"/>
    <n v="0"/>
    <n v="0"/>
    <n v="0"/>
    <n v="0"/>
    <n v="0"/>
    <n v="0"/>
    <n v="0"/>
    <n v="0"/>
  </r>
  <r>
    <x v="10"/>
    <x v="9"/>
    <s v="OP-DYR-011"/>
    <x v="6"/>
    <d v="2025-04-28T00:00:00"/>
    <n v="36"/>
    <x v="0"/>
    <n v="0"/>
    <n v="1"/>
    <n v="0"/>
    <n v="0"/>
    <n v="0"/>
    <n v="0"/>
    <n v="0"/>
    <n v="0"/>
    <n v="0"/>
    <n v="0"/>
    <n v="0"/>
    <n v="0"/>
    <s v="https://www.clickideacore.com/ClickHTML5/Visit.aspx?ID=//59DAEwASwAzADMAMQA3ADkAMwAzADkASQBEAEUAQQAC=&amp;Tipo=2&amp;ST=1&amp;nLang=0"/>
    <n v="0"/>
    <n v="66"/>
    <n v="0"/>
    <n v="0"/>
    <n v="0"/>
    <n v="0"/>
    <n v="0"/>
    <n v="0"/>
  </r>
  <r>
    <x v="0"/>
    <x v="0"/>
    <s v="OP-S-100"/>
    <x v="6"/>
    <d v="2025-04-28T00:00:00"/>
    <n v="31"/>
    <x v="0"/>
    <n v="0"/>
    <n v="1"/>
    <n v="0"/>
    <n v="0"/>
    <n v="0"/>
    <n v="0"/>
    <n v="0"/>
    <n v="0"/>
    <n v="0"/>
    <n v="2"/>
    <n v="0"/>
    <n v="0"/>
    <s v="https://www.clickideacore.com/ClickHTML5/Visit.aspx?ID=//5EDAEwASwAzADMAMQA3ADMAMwA4ADkASQBEAEUAQQAF=&amp;Tipo=2&amp;ST=1&amp;nLang=0"/>
    <n v="0"/>
    <n v="66"/>
    <n v="0"/>
    <n v="0"/>
    <n v="0"/>
    <n v="0"/>
    <n v="0"/>
    <n v="0"/>
  </r>
  <r>
    <x v="1"/>
    <x v="1"/>
    <s v="OP-DYR-004"/>
    <x v="6"/>
    <d v="2025-04-28T00:00:00"/>
    <n v="29"/>
    <x v="0"/>
    <n v="0"/>
    <n v="1"/>
    <n v="0"/>
    <n v="0"/>
    <n v="0"/>
    <n v="0"/>
    <n v="0"/>
    <n v="0"/>
    <n v="0"/>
    <n v="2"/>
    <n v="0"/>
    <n v="0"/>
    <s v="https://www.clickideacore.com/ClickHTML5/Visit.aspx?ID=//56DAEwASwAzADMAMQA3ADkANAAzADYASQBEAEUAQQA2=&amp;Tipo=2&amp;ST=1&amp;nLang=0"/>
    <n v="0"/>
    <n v="60"/>
    <n v="0"/>
    <n v="0"/>
    <n v="0"/>
    <n v="0"/>
    <n v="0"/>
    <n v="0"/>
  </r>
  <r>
    <x v="2"/>
    <x v="2"/>
    <s v="OP-S-200"/>
    <x v="6"/>
    <d v="2025-04-28T00:00:00"/>
    <n v="27"/>
    <x v="0"/>
    <n v="1"/>
    <n v="1"/>
    <n v="0"/>
    <n v="0"/>
    <n v="0"/>
    <n v="0"/>
    <n v="0"/>
    <n v="0"/>
    <n v="0"/>
    <n v="0"/>
    <n v="0"/>
    <n v="0"/>
    <s v="https://www.clickideacore.com/ClickHTML5/Visit.aspx?ID=//5EDAEwASwAzADMAMQA3ADgAMgA2ADYASQBEAEUAQQA1=&amp;Tipo=2&amp;ST=1&amp;nLang=0"/>
    <n v="0"/>
    <n v="42"/>
    <n v="10"/>
    <n v="0"/>
    <n v="0"/>
    <n v="0"/>
    <n v="0"/>
    <n v="0"/>
  </r>
  <r>
    <x v="3"/>
    <x v="3"/>
    <s v="OP-S-076"/>
    <x v="6"/>
    <d v="2025-04-28T00:00:00"/>
    <n v="69"/>
    <x v="0"/>
    <n v="0"/>
    <n v="1"/>
    <n v="0"/>
    <n v="0"/>
    <n v="0"/>
    <n v="0"/>
    <n v="0"/>
    <n v="0"/>
    <n v="0"/>
    <n v="0"/>
    <n v="0"/>
    <n v="0"/>
    <s v="https://www.clickideacore.com/ClickHTML5/Visit.aspx?ID=//5DDAEwASwAzADMAMQA3ADEAMgAxADkASQBEAEUAQQA8=&amp;Tipo=2&amp;ST=1&amp;nLang=0"/>
    <n v="0"/>
    <n v="16"/>
    <n v="0"/>
    <n v="0"/>
    <n v="0"/>
    <n v="0"/>
    <n v="0"/>
    <n v="0"/>
  </r>
  <r>
    <x v="4"/>
    <x v="4"/>
    <s v="OP-DYR-005"/>
    <x v="6"/>
    <d v="2025-04-28T00:00:00"/>
    <n v="26"/>
    <x v="0"/>
    <n v="0"/>
    <n v="1"/>
    <n v="0"/>
    <n v="0"/>
    <n v="0"/>
    <n v="0"/>
    <n v="0"/>
    <n v="0"/>
    <n v="0"/>
    <n v="2"/>
    <n v="0"/>
    <n v="0"/>
    <s v="https://www.clickideacore.com/ClickHTML5/Visit.aspx?ID=//5ADAEwASwAzADMAMQA3ADQANwA1ADcASQBEAEUAQQA2=&amp;Tipo=2&amp;ST=1&amp;nLang=0"/>
    <n v="0"/>
    <n v="66"/>
    <n v="0"/>
    <n v="0"/>
    <n v="0"/>
    <n v="0"/>
    <n v="0"/>
    <n v="0"/>
  </r>
  <r>
    <x v="9"/>
    <x v="8"/>
    <s v="OP-DYR-005"/>
    <x v="6"/>
    <d v="2025-04-28T00:00:00"/>
    <n v="26"/>
    <x v="0"/>
    <n v="0"/>
    <n v="1"/>
    <n v="0"/>
    <n v="0"/>
    <n v="0"/>
    <n v="0"/>
    <n v="0"/>
    <n v="0"/>
    <n v="0"/>
    <n v="0"/>
    <n v="0"/>
    <n v="0"/>
    <s v="https://www.clickideacore.com/ClickHTML5/Visit.aspx?ID=//5ADAEwASwAzADMAMQA3ADQANwA1ADcASQBEAEUAQQA2=&amp;Tipo=2&amp;ST=1&amp;nLang=0"/>
    <n v="0"/>
    <n v="16"/>
    <n v="0"/>
    <n v="0"/>
    <n v="0"/>
    <n v="0"/>
    <n v="0"/>
    <n v="0"/>
  </r>
  <r>
    <x v="5"/>
    <x v="6"/>
    <s v="OP-DYR-005"/>
    <x v="6"/>
    <d v="2025-04-28T00:00:00"/>
    <n v="26"/>
    <x v="0"/>
    <n v="0"/>
    <n v="0"/>
    <n v="0"/>
    <n v="0"/>
    <n v="0"/>
    <n v="0"/>
    <n v="0"/>
    <n v="0"/>
    <n v="0"/>
    <n v="0"/>
    <n v="0"/>
    <n v="0"/>
    <s v="https://www.clickideacore.com/ClickHTML5/Visit.aspx?ID=//5ADAEwASwAzADMAMQA3ADQANwA1ADcASQBEAEUAQQA2=&amp;Tipo=2&amp;ST=1&amp;nLang=0"/>
    <n v="0"/>
    <n v="16"/>
    <n v="0"/>
    <n v="0"/>
    <n v="0"/>
    <n v="0"/>
    <n v="0"/>
    <n v="0"/>
  </r>
  <r>
    <x v="7"/>
    <x v="6"/>
    <n v="0"/>
    <x v="6"/>
    <d v="2025-04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6"/>
    <d v="2025-04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6"/>
    <d v="2025-04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s v="OP-DYR-011"/>
    <x v="7"/>
    <d v="2025-04-29T00:00:00"/>
    <n v="31"/>
    <x v="0"/>
    <n v="15"/>
    <n v="0"/>
    <n v="0"/>
    <n v="1"/>
    <n v="0"/>
    <n v="0"/>
    <n v="0"/>
    <n v="0"/>
    <n v="0"/>
    <n v="1"/>
    <n v="0"/>
    <n v="0"/>
    <s v="https://www.clickideacore.com/ClickHTML5/Visit.aspx?ID=//54DAEwASwAzADMAMgAwADEAMwA1ADYASQBEAEUAQQA8=&amp;Tipo=2&amp;ST=1&amp;nLang=0"/>
    <n v="0"/>
    <n v="55"/>
    <n v="0"/>
    <n v="0"/>
    <n v="0"/>
    <n v="0"/>
    <n v="0"/>
    <n v="0"/>
  </r>
  <r>
    <x v="5"/>
    <x v="4"/>
    <s v="OP-S-005"/>
    <x v="7"/>
    <d v="2025-04-29T00:00:00"/>
    <n v="54"/>
    <x v="0"/>
    <n v="24"/>
    <n v="0"/>
    <n v="0"/>
    <n v="1"/>
    <n v="0"/>
    <n v="1"/>
    <n v="0"/>
    <n v="0"/>
    <n v="0"/>
    <n v="0"/>
    <n v="0"/>
    <n v="0"/>
    <s v="https://www.clickideacore.com/ClickHTML5/Visit.aspx?ID=//58DAEwASwAzADMAMgAwADIAMgA4ADkASQBEAEUAQQAA=&amp;Tipo=2&amp;ST=1&amp;nLang=0"/>
    <n v="0"/>
    <n v="22"/>
    <n v="0"/>
    <n v="0"/>
    <n v="0"/>
    <n v="0"/>
    <n v="0"/>
    <n v="0"/>
  </r>
  <r>
    <x v="0"/>
    <x v="0"/>
    <s v="OP-S-100"/>
    <x v="7"/>
    <d v="2025-04-29T00:00:00"/>
    <n v="24"/>
    <x v="0"/>
    <n v="14"/>
    <n v="0"/>
    <n v="0"/>
    <n v="0"/>
    <n v="1"/>
    <n v="0"/>
    <n v="0"/>
    <n v="0"/>
    <n v="0"/>
    <n v="1"/>
    <n v="0"/>
    <n v="0"/>
    <s v="https://www.clickideacore.com/ClickHTML5/Visit.aspx?ID=//55DAEwASwAzADMAMgAwADEANQA2ADUASQBEAEUAQQA2=&amp;Tipo=2&amp;ST=1&amp;nLang=0"/>
    <n v="0"/>
    <n v="51"/>
    <n v="7"/>
    <n v="0"/>
    <n v="0"/>
    <n v="0"/>
    <n v="0"/>
    <n v="0"/>
  </r>
  <r>
    <x v="1"/>
    <x v="1"/>
    <s v="OP-DYR-004"/>
    <x v="7"/>
    <d v="2025-04-29T00:00:00"/>
    <n v="24"/>
    <x v="0"/>
    <n v="25"/>
    <n v="0"/>
    <n v="0"/>
    <n v="1"/>
    <n v="0"/>
    <n v="0"/>
    <n v="0"/>
    <n v="0"/>
    <n v="0"/>
    <n v="0"/>
    <n v="0"/>
    <n v="0"/>
    <s v="https://www.clickideacore.com/ClickHTML5/Visit.aspx?ID=//57DAEwASwAzADMAMQA5ADcANAA3ADYASQBEAEUAQQA5=&amp;Tipo=2&amp;ST=1&amp;nLang=0"/>
    <n v="0"/>
    <n v="2"/>
    <n v="0"/>
    <n v="0"/>
    <n v="0"/>
    <n v="0"/>
    <n v="0"/>
    <n v="0"/>
  </r>
  <r>
    <x v="3"/>
    <x v="3"/>
    <s v="OP-S-076"/>
    <x v="7"/>
    <d v="2025-04-29T00:00:00"/>
    <n v="28"/>
    <x v="0"/>
    <n v="10"/>
    <n v="0"/>
    <n v="0"/>
    <n v="0"/>
    <n v="0"/>
    <n v="1"/>
    <n v="0"/>
    <n v="0"/>
    <n v="0"/>
    <n v="0"/>
    <n v="0"/>
    <n v="0"/>
    <s v="https://www.clickideacore.com/ClickHTML5/Visit.aspx?ID=//5EDAEwASwAzADMAMQA5ADgAMAA4ADUASQBEAEUAQQA8=&amp;Tipo=2&amp;ST=1&amp;nLang=0"/>
    <n v="0"/>
    <n v="0"/>
    <n v="0"/>
    <n v="0"/>
    <n v="0"/>
    <n v="0"/>
    <n v="0"/>
    <n v="0"/>
  </r>
  <r>
    <x v="4"/>
    <x v="8"/>
    <s v="OP-DYR-005"/>
    <x v="7"/>
    <d v="2025-04-29T00:00:00"/>
    <n v="23"/>
    <x v="0"/>
    <n v="39"/>
    <n v="0"/>
    <n v="0"/>
    <n v="1"/>
    <n v="0"/>
    <n v="0"/>
    <n v="0"/>
    <n v="0"/>
    <n v="0"/>
    <n v="0"/>
    <n v="0"/>
    <n v="0"/>
    <s v="https://www.clickideacore.com/ClickHTML5/Visit.aspx?ID=//58DAEwASwAzADMAMgAwADIAMAA1ADYASQBEAEUAQQA2=&amp;Tipo=2&amp;ST=1&amp;nLang=0"/>
    <n v="0"/>
    <n v="22"/>
    <n v="0"/>
    <n v="0"/>
    <n v="0"/>
    <n v="0"/>
    <n v="0"/>
    <n v="0"/>
  </r>
  <r>
    <x v="2"/>
    <x v="6"/>
    <n v="0"/>
    <x v="7"/>
    <d v="2025-04-29T00:00:00"/>
    <n v="31"/>
    <x v="0"/>
    <n v="15"/>
    <n v="0"/>
    <n v="0"/>
    <n v="1"/>
    <n v="0"/>
    <n v="0"/>
    <n v="0"/>
    <n v="0"/>
    <n v="0"/>
    <n v="1"/>
    <n v="0"/>
    <n v="0"/>
    <s v="https://www.clickideacore.com/ClickHTML5/Visit.aspx?ID=//54DAEwASwAzADMAMgAwADEAMwA1ADYASQBEAEUAQQA8=&amp;Tipo=2&amp;ST=1&amp;nLang=0"/>
    <n v="0"/>
    <n v="55"/>
    <n v="0"/>
    <n v="0"/>
    <n v="0"/>
    <n v="0"/>
    <n v="0"/>
    <n v="0"/>
  </r>
  <r>
    <x v="7"/>
    <x v="6"/>
    <n v="0"/>
    <x v="7"/>
    <d v="2025-04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7"/>
    <d v="2025-04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7"/>
    <d v="2025-04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9"/>
    <s v="OP-DYR-011"/>
    <x v="8"/>
    <d v="2025-04-30T00:00:00"/>
    <n v="34"/>
    <x v="0"/>
    <n v="30"/>
    <n v="0"/>
    <n v="1"/>
    <n v="1"/>
    <n v="0"/>
    <n v="0"/>
    <n v="0"/>
    <n v="0"/>
    <n v="0"/>
    <n v="0"/>
    <n v="0"/>
    <n v="0"/>
    <s v="https://www.clickideacore.com/ClickHTML5/Visit.aspx?ID=//54DAEwASwAzADMAMgAyADcAOAAxADEASQBEAEUAQQAB=&amp;Tipo=2&amp;ST=1&amp;nLang=0"/>
    <n v="0"/>
    <n v="47"/>
    <n v="0"/>
    <n v="0"/>
    <n v="0"/>
    <n v="0"/>
    <n v="0"/>
    <n v="0"/>
  </r>
  <r>
    <x v="0"/>
    <x v="0"/>
    <s v="OP-S-100"/>
    <x v="8"/>
    <d v="2025-04-30T00:00:00"/>
    <n v="31"/>
    <x v="0"/>
    <n v="14"/>
    <n v="0"/>
    <n v="0"/>
    <n v="0"/>
    <n v="1"/>
    <n v="0"/>
    <n v="0"/>
    <n v="0"/>
    <n v="0"/>
    <n v="0"/>
    <n v="0"/>
    <n v="0"/>
    <s v="https://www.clickideacore.com/ClickHTML5/Visit.aspx?ID=//58DAEwASwAzADMAMgAyADcAMwA5ADMASQBEAEUAQQAC=&amp;Tipo=2&amp;ST=1&amp;nLang=0"/>
    <n v="0"/>
    <n v="61"/>
    <n v="6"/>
    <n v="0"/>
    <n v="0"/>
    <n v="0"/>
    <n v="0"/>
    <n v="0"/>
  </r>
  <r>
    <x v="1"/>
    <x v="1"/>
    <s v="OP-DYR-004"/>
    <x v="8"/>
    <d v="2025-04-30T00:00:00"/>
    <n v="29"/>
    <x v="0"/>
    <n v="32"/>
    <n v="0"/>
    <n v="0"/>
    <n v="1"/>
    <n v="0"/>
    <n v="0"/>
    <n v="0"/>
    <n v="0"/>
    <n v="0"/>
    <n v="0"/>
    <n v="0"/>
    <n v="0"/>
    <s v="https://www.clickideacore.com/ClickHTML5/Visit.aspx?ID=//55DAEwASwAzADMAMgAyADgANQA5ADgASQBEAEUAQQA8=&amp;Tipo=2&amp;ST=1&amp;nLang=0"/>
    <n v="0"/>
    <n v="40"/>
    <n v="0"/>
    <n v="0"/>
    <n v="0"/>
    <n v="0"/>
    <n v="0"/>
    <n v="0"/>
  </r>
  <r>
    <x v="3"/>
    <x v="3"/>
    <s v="OP-S-076"/>
    <x v="8"/>
    <d v="2025-04-30T00:00:00"/>
    <n v="106"/>
    <x v="0"/>
    <n v="27"/>
    <n v="0"/>
    <n v="1"/>
    <n v="1"/>
    <n v="0"/>
    <n v="1"/>
    <n v="0"/>
    <n v="0"/>
    <n v="0"/>
    <n v="0"/>
    <n v="0"/>
    <n v="0"/>
    <s v="https://www.clickideacore.com/ClickHTML5/Visit.aspx?ID=//5ADAEwASwAzADMAMgAyADgANgAwADIASQBEAEUAQQA2=&amp;Tipo=2&amp;ST=1&amp;nLang=0"/>
    <n v="0"/>
    <n v="45"/>
    <n v="0"/>
    <n v="0"/>
    <n v="0"/>
    <n v="0"/>
    <n v="0"/>
    <n v="0"/>
  </r>
  <r>
    <x v="4"/>
    <x v="8"/>
    <s v="OP-DYR-005"/>
    <x v="8"/>
    <d v="2025-04-30T00:00:00"/>
    <n v="21"/>
    <x v="0"/>
    <n v="28"/>
    <n v="0"/>
    <n v="0"/>
    <n v="1"/>
    <n v="0"/>
    <n v="0"/>
    <n v="0"/>
    <n v="0"/>
    <n v="0"/>
    <n v="0"/>
    <n v="0"/>
    <n v="0"/>
    <s v="https://www.clickideacore.com/ClickHTML5/Visit.aspx?ID=//57DAEwASwAzADMAMgA0ADAANwAwADIASQBEAEUAQQA9=&amp;Tipo=2&amp;ST=1&amp;nLang=0"/>
    <n v="0"/>
    <n v="44"/>
    <n v="0"/>
    <n v="0"/>
    <n v="0"/>
    <n v="0"/>
    <n v="0"/>
    <n v="0"/>
  </r>
  <r>
    <x v="5"/>
    <x v="4"/>
    <n v="0"/>
    <x v="8"/>
    <d v="2025-04-3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s v="OP-S-200"/>
    <x v="8"/>
    <d v="2025-04-3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8"/>
    <d v="2025-04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8"/>
    <d v="2025-04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8"/>
    <d v="2025-04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OP-S-005"/>
    <x v="9"/>
    <d v="2025-05-01T00:00:00"/>
    <n v="55"/>
    <x v="0"/>
    <n v="0"/>
    <n v="0"/>
    <n v="0"/>
    <n v="1"/>
    <n v="0"/>
    <n v="0"/>
    <n v="0"/>
    <n v="0"/>
    <n v="1"/>
    <n v="4"/>
    <n v="0"/>
    <n v="1"/>
    <s v="https://www.clickideacore.com/ClickHTML5/Visit.aspx?ID=//5CDAEwASwAzADMAMgAzADgANgA5ADAASQBEAEUAQQAA=&amp;Tipo=2&amp;ST=1&amp;nLang=0"/>
    <n v="0"/>
    <n v="0"/>
    <n v="0"/>
    <n v="0"/>
    <n v="0"/>
    <n v="0"/>
    <n v="0"/>
    <n v="0"/>
  </r>
  <r>
    <x v="0"/>
    <x v="0"/>
    <s v="OP-S-100"/>
    <x v="9"/>
    <d v="2025-05-01T00:00:00"/>
    <n v="80"/>
    <x v="0"/>
    <n v="0"/>
    <n v="0"/>
    <n v="0"/>
    <n v="0"/>
    <n v="1"/>
    <n v="0"/>
    <n v="0"/>
    <n v="0"/>
    <n v="1"/>
    <n v="7"/>
    <n v="0"/>
    <n v="1"/>
    <s v="https://www.clickideacore.com/ClickHTML5/Visit.aspx?ID=//59DAEwASwAzADMAMgAzADgANQAxADcASQBEAEUAQQAF=&amp;Tipo=2&amp;ST=1&amp;nLang=0"/>
    <n v="0"/>
    <n v="0"/>
    <n v="0"/>
    <n v="0"/>
    <n v="0"/>
    <n v="0"/>
    <n v="0"/>
    <n v="0"/>
  </r>
  <r>
    <x v="11"/>
    <x v="3"/>
    <s v="OP-SDYR-001"/>
    <x v="9"/>
    <d v="2025-05-01T00:00:00"/>
    <n v="105"/>
    <x v="0"/>
    <n v="0"/>
    <n v="0"/>
    <n v="0"/>
    <n v="1"/>
    <n v="0"/>
    <n v="0"/>
    <n v="0"/>
    <n v="0"/>
    <n v="1"/>
    <n v="5"/>
    <n v="0"/>
    <n v="1"/>
    <s v="https://www.clickideacore.com/ClickHTML5/Visit.aspx?ID=//56DAEwASwAzADMAMgAzADcANAA2ADUASQBEAEUAQQAF=&amp;Tipo=2&amp;ST=1&amp;nLang=0"/>
    <n v="0"/>
    <n v="0"/>
    <n v="0"/>
    <n v="0"/>
    <n v="0"/>
    <n v="0"/>
    <n v="0"/>
    <n v="0"/>
  </r>
  <r>
    <x v="2"/>
    <x v="2"/>
    <s v="OP-S-200"/>
    <x v="9"/>
    <d v="2025-05-01T00:00:00"/>
    <n v="23"/>
    <x v="0"/>
    <n v="0"/>
    <n v="0"/>
    <n v="0"/>
    <n v="1"/>
    <n v="0"/>
    <n v="0"/>
    <n v="0"/>
    <n v="0"/>
    <n v="1"/>
    <n v="7"/>
    <n v="0"/>
    <n v="1"/>
    <s v="https://www.clickideacore.com/ClickHTML5/Visit.aspx?ID=//50DAEwASwAzADMAMgAzADcAOQA5ADkASQBEAEUAQQA7=&amp;Tipo=2&amp;ST=1&amp;nLang=0"/>
    <n v="0"/>
    <n v="0"/>
    <n v="0"/>
    <n v="0"/>
    <n v="0"/>
    <n v="0"/>
    <n v="0"/>
    <n v="0"/>
  </r>
  <r>
    <x v="12"/>
    <x v="10"/>
    <s v="OP-S-DYR-009"/>
    <x v="9"/>
    <d v="2025-05-01T00:00:00"/>
    <n v="30"/>
    <x v="0"/>
    <n v="0"/>
    <n v="0"/>
    <n v="0"/>
    <n v="1"/>
    <n v="0"/>
    <n v="0"/>
    <n v="0"/>
    <n v="0"/>
    <n v="1"/>
    <n v="4"/>
    <n v="0"/>
    <n v="1"/>
    <s v="https://www.clickideacore.com/ClickHTML5/Visit.aspx?ID=//5DDAEwASwAzADMAMgAzADgANAA1ADYASQBEAEUAQQA2=&amp;Tipo=2&amp;ST=1&amp;nLang=0"/>
    <n v="12"/>
    <n v="0"/>
    <n v="0"/>
    <n v="0"/>
    <n v="0"/>
    <n v="0"/>
    <n v="0"/>
    <n v="0"/>
  </r>
  <r>
    <x v="5"/>
    <x v="4"/>
    <s v="OP-S-005"/>
    <x v="10"/>
    <d v="2025-05-02T00:00:00"/>
    <n v="36"/>
    <x v="0"/>
    <n v="16"/>
    <n v="0"/>
    <n v="0"/>
    <n v="1"/>
    <n v="0"/>
    <n v="0"/>
    <n v="0"/>
    <n v="0"/>
    <n v="0"/>
    <n v="0"/>
    <n v="0"/>
    <n v="0"/>
    <s v="https://www.clickideacore.com/ClickHTML5/Visit.aspx?ID=//54DAEwASwAzADMAMgA1ADQAMgA0ADIASQBEAEUAQQA8=&amp;Tipo=2&amp;ST=1&amp;nLang=0"/>
    <n v="0"/>
    <n v="40"/>
    <n v="0"/>
    <n v="0"/>
    <n v="0"/>
    <n v="0"/>
    <n v="0"/>
    <n v="0"/>
  </r>
  <r>
    <x v="0"/>
    <x v="0"/>
    <s v="OP-S-100"/>
    <x v="10"/>
    <d v="2025-05-02T00:00:00"/>
    <n v="27"/>
    <x v="0"/>
    <n v="18"/>
    <n v="0"/>
    <n v="0"/>
    <n v="0"/>
    <n v="1"/>
    <n v="0"/>
    <n v="0"/>
    <n v="0"/>
    <n v="0"/>
    <n v="0"/>
    <n v="0"/>
    <n v="0"/>
    <s v="https://www.clickideacore.com/ClickHTML5/Visit.aspx?ID=//53DAEwASwAzADMAMgA1ADUANgA0ADkASQBEAEUAQQAF=&amp;Tipo=2&amp;ST=1&amp;nLang=0"/>
    <n v="0"/>
    <n v="44"/>
    <n v="0"/>
    <n v="0"/>
    <n v="0"/>
    <n v="0"/>
    <n v="0"/>
    <n v="0"/>
  </r>
  <r>
    <x v="1"/>
    <x v="1"/>
    <s v="OP-DYR-004"/>
    <x v="10"/>
    <d v="2025-05-02T00:00:00"/>
    <n v="47"/>
    <x v="0"/>
    <n v="19"/>
    <n v="0"/>
    <n v="0"/>
    <n v="1"/>
    <n v="0"/>
    <n v="0"/>
    <n v="0"/>
    <n v="0"/>
    <n v="0"/>
    <n v="0"/>
    <n v="0"/>
    <n v="0"/>
    <s v="https://www.clickideacore.com/ClickHTML5/Visit.aspx?ID=//5ADAEwASwAzADMAMgA1ADEANwA0ADQASQBEAEUAQQA7=&amp;Tipo=2&amp;ST=1&amp;nLang=0"/>
    <n v="0"/>
    <n v="59"/>
    <n v="0"/>
    <n v="0"/>
    <n v="0"/>
    <n v="0"/>
    <n v="0"/>
    <n v="0"/>
  </r>
  <r>
    <x v="3"/>
    <x v="6"/>
    <s v="OP-S-076"/>
    <x v="10"/>
    <d v="2025-05-02T00:00:00"/>
    <n v="22"/>
    <x v="0"/>
    <n v="0"/>
    <n v="0"/>
    <n v="0"/>
    <n v="0"/>
    <n v="0"/>
    <n v="0"/>
    <n v="0"/>
    <n v="0"/>
    <n v="0"/>
    <n v="0"/>
    <n v="0"/>
    <n v="0"/>
    <s v="https://www.clickideacore.com/ClickHTML5/Visit.aspx?ID=//56DAEwASwAzADMAMgA1ADEAMgAyADEASQBEAEUAQQAE=&amp;Tipo=2&amp;ST=1&amp;nLang=0"/>
    <n v="0"/>
    <n v="76"/>
    <n v="0"/>
    <n v="0"/>
    <n v="0"/>
    <n v="0"/>
    <n v="0"/>
    <n v="0"/>
  </r>
  <r>
    <x v="4"/>
    <x v="8"/>
    <s v="OP-DYR-005"/>
    <x v="10"/>
    <d v="2025-05-02T00:00:00"/>
    <n v="19"/>
    <x v="0"/>
    <n v="20"/>
    <n v="0"/>
    <n v="0"/>
    <n v="1"/>
    <n v="0"/>
    <n v="0"/>
    <n v="0"/>
    <n v="0"/>
    <n v="0"/>
    <n v="0"/>
    <n v="0"/>
    <n v="0"/>
    <s v="https://www.clickideacore.com/ClickHTML5/Visit.aspx?ID=//5DDAEwASwAzADMAMgA1ADYAMgA0ADIASQBEAEUAQQAE=&amp;Tipo=2&amp;ST=1&amp;nLang=0"/>
    <n v="0"/>
    <n v="36"/>
    <n v="0"/>
    <n v="0"/>
    <n v="0"/>
    <n v="0"/>
    <n v="0"/>
    <n v="0"/>
  </r>
  <r>
    <x v="2"/>
    <x v="2"/>
    <s v="OP-S-200"/>
    <x v="10"/>
    <d v="2025-05-02T00:00:00"/>
    <n v="0"/>
    <x v="0"/>
    <n v="19"/>
    <n v="0"/>
    <n v="0"/>
    <n v="1"/>
    <n v="0"/>
    <n v="0"/>
    <n v="0"/>
    <n v="0"/>
    <n v="0"/>
    <n v="0"/>
    <n v="0"/>
    <n v="0"/>
    <n v="0"/>
    <n v="0"/>
    <n v="76"/>
    <n v="0"/>
    <n v="0"/>
    <n v="0"/>
    <n v="0"/>
    <n v="0"/>
    <n v="0"/>
  </r>
  <r>
    <x v="10"/>
    <x v="6"/>
    <n v="0"/>
    <x v="10"/>
    <d v="2025-05-02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n v="0"/>
    <x v="10"/>
    <d v="2025-05-02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0"/>
    <d v="2025-05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0"/>
    <d v="2025-05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0"/>
    <d v="2025-05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OP-S-005"/>
    <x v="11"/>
    <d v="2025-05-03T00:00:00"/>
    <n v="39"/>
    <x v="0"/>
    <n v="0"/>
    <n v="0"/>
    <n v="0"/>
    <n v="1"/>
    <n v="0"/>
    <n v="0"/>
    <n v="0"/>
    <n v="1"/>
    <n v="0"/>
    <n v="2"/>
    <n v="1"/>
    <n v="0"/>
    <s v="https://www.clickideacore.com/ClickHTML5/Visit.aspx?ID=//59DAEwASwAzADMAMgA3ADEAMgAxADcASQBEAEUAQQAD=&amp;Tipo=2&amp;ST=1&amp;nLang=0"/>
    <n v="12"/>
    <n v="0"/>
    <n v="0"/>
    <n v="0"/>
    <n v="0"/>
    <n v="0"/>
    <n v="0"/>
    <n v="0"/>
  </r>
  <r>
    <x v="0"/>
    <x v="11"/>
    <s v="OP-S-100"/>
    <x v="11"/>
    <d v="2025-05-03T00:00:00"/>
    <n v="61"/>
    <x v="0"/>
    <n v="0"/>
    <n v="0"/>
    <n v="0"/>
    <n v="0"/>
    <n v="0"/>
    <n v="0"/>
    <n v="0"/>
    <n v="1"/>
    <n v="0"/>
    <n v="8"/>
    <n v="1"/>
    <n v="0"/>
    <s v="https://www.clickideacore.com/ClickHTML5/Visit.aspx?ID=//5EDAEwASwAzADMAMgA3ADEAMgA2ADQASQBEAEUAQQA4=&amp;Tipo=2&amp;ST=1&amp;nLang=0"/>
    <n v="16"/>
    <n v="0"/>
    <n v="0"/>
    <n v="0"/>
    <n v="0"/>
    <n v="0"/>
    <n v="1"/>
    <n v="0"/>
  </r>
  <r>
    <x v="11"/>
    <x v="3"/>
    <s v="OP-SDYR-001"/>
    <x v="11"/>
    <d v="2025-05-03T00:00:00"/>
    <n v="38"/>
    <x v="0"/>
    <n v="0"/>
    <n v="0"/>
    <n v="0"/>
    <n v="1"/>
    <n v="0"/>
    <n v="0"/>
    <n v="0"/>
    <n v="1"/>
    <n v="0"/>
    <n v="3"/>
    <n v="1"/>
    <n v="0"/>
    <s v="https://www.clickideacore.com/ClickHTML5/Visit.aspx?ID=//57DAEwASwAzADMAMgA3ADAANgA4ADIASQBEAEUAQQA6=&amp;Tipo=2&amp;ST=1&amp;nLang=0"/>
    <n v="14"/>
    <n v="0"/>
    <n v="0"/>
    <n v="0"/>
    <n v="0"/>
    <n v="0"/>
    <n v="0"/>
    <n v="0"/>
  </r>
  <r>
    <x v="2"/>
    <x v="2"/>
    <s v="OP-S-200"/>
    <x v="11"/>
    <d v="2025-05-03T00:00:00"/>
    <n v="24"/>
    <x v="0"/>
    <n v="0"/>
    <n v="0"/>
    <n v="0"/>
    <n v="1"/>
    <n v="0"/>
    <n v="0"/>
    <n v="0"/>
    <n v="1"/>
    <n v="0"/>
    <n v="7"/>
    <n v="1"/>
    <n v="0"/>
    <s v="https://www.clickideacore.com/ClickHTML5/Visit.aspx?ID=//5ADAEwASwAzADMAMgA3ADIAMAA2ADEASQBEAEUAQQA6=&amp;Tipo=2&amp;ST=1&amp;nLang=0"/>
    <n v="0"/>
    <n v="0"/>
    <n v="0"/>
    <n v="0"/>
    <n v="0"/>
    <n v="0"/>
    <n v="0"/>
    <n v="0"/>
  </r>
  <r>
    <x v="12"/>
    <x v="0"/>
    <s v="OP-S-DYR-009"/>
    <x v="11"/>
    <d v="2025-05-03T00:00:00"/>
    <n v="45"/>
    <x v="0"/>
    <n v="0"/>
    <n v="0"/>
    <n v="0"/>
    <n v="1"/>
    <n v="0"/>
    <n v="0"/>
    <n v="0"/>
    <n v="1"/>
    <n v="0"/>
    <n v="1"/>
    <n v="1"/>
    <n v="0"/>
    <s v="https://www.clickideacore.com/ClickHTML5/Visit.aspx?ID=//57DAEwASwAzADMAMgA3ADIAMAA1ADYASQBEAEUAQQA6=&amp;Tipo=2&amp;ST=1&amp;nLang=0"/>
    <n v="0"/>
    <n v="0"/>
    <n v="0"/>
    <n v="0"/>
    <n v="0"/>
    <n v="0"/>
    <n v="0"/>
    <n v="0"/>
  </r>
  <r>
    <x v="5"/>
    <x v="4"/>
    <s v="OP-S-005"/>
    <x v="12"/>
    <d v="2025-05-04T00:00:00"/>
    <n v="50"/>
    <x v="0"/>
    <n v="0"/>
    <n v="0"/>
    <n v="1"/>
    <n v="1"/>
    <n v="0"/>
    <n v="0"/>
    <n v="0"/>
    <n v="0"/>
    <n v="1"/>
    <n v="4"/>
    <n v="0"/>
    <n v="1"/>
    <s v="https://www.clickideacore.com/ClickHTML5/Visit.aspx?ID=//59DAEwASwAzADMAMgA4ADAAMAA5ADQASQBEAEUAQQA8=&amp;Tipo=2&amp;ST=1&amp;nLang=0"/>
    <n v="16"/>
    <n v="0"/>
    <n v="0"/>
    <n v="0"/>
    <n v="0"/>
    <n v="0"/>
    <n v="0"/>
    <n v="0"/>
  </r>
  <r>
    <x v="0"/>
    <x v="11"/>
    <s v="OP-S-100"/>
    <x v="12"/>
    <d v="2025-05-04T00:00:00"/>
    <n v="79"/>
    <x v="0"/>
    <n v="0"/>
    <n v="0"/>
    <n v="0"/>
    <n v="0"/>
    <n v="0"/>
    <n v="0"/>
    <n v="0"/>
    <n v="0"/>
    <n v="1"/>
    <n v="9"/>
    <n v="0"/>
    <n v="1"/>
    <s v="https://www.clickideacore.com/ClickHTML5/Visit.aspx?ID=//57DAEwASwAzADMAMgA3ADkAOAA5ADAASQBEAEUAQQA9=&amp;Tipo=2&amp;ST=1&amp;nLang=0"/>
    <n v="15"/>
    <n v="0"/>
    <n v="0"/>
    <n v="0"/>
    <n v="0"/>
    <n v="0"/>
    <n v="0"/>
    <n v="1"/>
  </r>
  <r>
    <x v="11"/>
    <x v="3"/>
    <s v="OP-SDYR-001"/>
    <x v="12"/>
    <d v="2025-05-04T00:00:00"/>
    <n v="109"/>
    <x v="0"/>
    <n v="0"/>
    <n v="0"/>
    <n v="0"/>
    <n v="1"/>
    <n v="0"/>
    <n v="2"/>
    <n v="0"/>
    <n v="0"/>
    <n v="1"/>
    <n v="10"/>
    <n v="0"/>
    <n v="1"/>
    <s v="https://www.clickideacore.com/ClickHTML5/Visit.aspx?ID=//5DDAEwASwAzADMAMgA3ADkANQA4ADUASQBEAEUAQQA9=&amp;Tipo=2&amp;ST=1&amp;nLang=0"/>
    <n v="0"/>
    <n v="0"/>
    <n v="0"/>
    <n v="0"/>
    <n v="0"/>
    <n v="0"/>
    <n v="0"/>
    <n v="0"/>
  </r>
  <r>
    <x v="12"/>
    <x v="0"/>
    <s v="OP-S-DYR-009"/>
    <x v="12"/>
    <d v="2025-05-04T00:00:00"/>
    <n v="42"/>
    <x v="0"/>
    <n v="0"/>
    <n v="0"/>
    <n v="1"/>
    <n v="1"/>
    <n v="0"/>
    <n v="0"/>
    <n v="0"/>
    <n v="0"/>
    <n v="1"/>
    <n v="5"/>
    <n v="0"/>
    <n v="1"/>
    <s v="https://www.clickideacore.com/ClickHTML5/Visit.aspx?ID=//52DAEwASwAzADMAMgA4ADAANQAxADEASQBEAEUAQQA1=&amp;Tipo=2&amp;ST=1&amp;nLang=0"/>
    <n v="0"/>
    <n v="0"/>
    <n v="0"/>
    <n v="0"/>
    <n v="0"/>
    <n v="0"/>
    <n v="0"/>
    <n v="0"/>
  </r>
  <r>
    <x v="2"/>
    <x v="2"/>
    <s v="OP-S-200"/>
    <x v="12"/>
    <d v="2025-05-04T00:00:00"/>
    <n v="24"/>
    <x v="0"/>
    <n v="0"/>
    <n v="0"/>
    <n v="0"/>
    <n v="1"/>
    <n v="0"/>
    <n v="0"/>
    <n v="0"/>
    <n v="0"/>
    <n v="1"/>
    <n v="8"/>
    <n v="0"/>
    <n v="1"/>
    <s v="https://www.clickideacore.com/ClickHTML5/Visit.aspx?ID=//5ADAEwASwAzADMAMgA3ADIAMAA2ADEASQBEAEUAQQA6=&amp;Tipo=2&amp;ST=1&amp;nLang=0"/>
    <n v="0"/>
    <n v="0"/>
    <n v="17"/>
    <n v="0"/>
    <n v="0"/>
    <n v="0"/>
    <n v="0"/>
    <n v="0"/>
  </r>
  <r>
    <x v="10"/>
    <x v="8"/>
    <s v="OP-DYR-011"/>
    <x v="13"/>
    <d v="2025-05-05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0DAEwASwAzADMAMgA4ADkAOQA1ADcASQBEAEUAQQA4=&amp;Tipo=2&amp;ST=1&amp;nLang=0"/>
    <n v="0"/>
    <n v="20"/>
    <n v="0"/>
    <n v="0"/>
    <n v="0"/>
    <n v="0"/>
    <n v="0"/>
    <n v="0"/>
  </r>
  <r>
    <x v="0"/>
    <x v="0"/>
    <s v="OP-S-100"/>
    <x v="13"/>
    <d v="2025-05-05T00:00:00"/>
    <n v="93"/>
    <x v="0"/>
    <n v="20"/>
    <n v="0"/>
    <n v="0"/>
    <n v="0"/>
    <n v="0"/>
    <n v="1"/>
    <n v="0"/>
    <n v="0"/>
    <n v="0"/>
    <n v="0"/>
    <n v="0"/>
    <n v="0"/>
    <s v="https://www.clickideacore.com/ClickHTML5/Visit.aspx?ID=//54DAEwASwAzADMAMgA5ADYAMgA2ADcASQBEAEUAQQA5=&amp;Tipo=2&amp;ST=1&amp;nLang=0"/>
    <n v="0"/>
    <n v="0"/>
    <n v="17"/>
    <n v="0"/>
    <n v="0"/>
    <n v="0"/>
    <n v="0"/>
    <n v="0"/>
  </r>
  <r>
    <x v="1"/>
    <x v="1"/>
    <s v="OP-DYR-004"/>
    <x v="13"/>
    <d v="2025-05-05T00:00:00"/>
    <n v="19"/>
    <x v="0"/>
    <n v="7"/>
    <n v="0"/>
    <n v="0"/>
    <n v="0"/>
    <n v="0"/>
    <n v="0"/>
    <n v="0"/>
    <n v="0"/>
    <n v="0"/>
    <n v="0"/>
    <n v="0"/>
    <n v="0"/>
    <s v="https://www.clickideacore.com/ClickHTML5/Visit.aspx?ID=//54DAEwASwAzADMAMwAwADQANAA1ADkASQBEAEUAQQA9=&amp;Tipo=2&amp;ST=1&amp;nLang=0"/>
    <n v="0"/>
    <n v="0"/>
    <n v="0"/>
    <n v="0"/>
    <n v="0"/>
    <n v="0"/>
    <n v="0"/>
    <n v="0"/>
  </r>
  <r>
    <x v="2"/>
    <x v="2"/>
    <s v="OP-S-200"/>
    <x v="13"/>
    <d v="2025-05-05T00:00:00"/>
    <n v="23"/>
    <x v="0"/>
    <n v="7"/>
    <n v="0"/>
    <n v="0"/>
    <n v="0"/>
    <n v="0"/>
    <n v="0"/>
    <n v="0"/>
    <n v="0"/>
    <n v="0"/>
    <n v="0"/>
    <n v="0"/>
    <n v="0"/>
    <s v="https://www.clickideacore.com/ClickHTML5/Visit.aspx?ID=//52DAEwASwAzADMAMgA4ADEANwA2ADAASQBEAEUAQQAD=&amp;Tipo=2&amp;ST=1&amp;nLang=0"/>
    <n v="0"/>
    <n v="0"/>
    <n v="0"/>
    <n v="0"/>
    <n v="0"/>
    <n v="0"/>
    <n v="0"/>
    <n v="0"/>
  </r>
  <r>
    <x v="4"/>
    <x v="4"/>
    <s v="OP-DYR-005"/>
    <x v="13"/>
    <d v="2025-05-05T00:00:00"/>
    <n v="17"/>
    <x v="0"/>
    <n v="12"/>
    <n v="0"/>
    <n v="0"/>
    <n v="0"/>
    <n v="0"/>
    <n v="0"/>
    <n v="1"/>
    <n v="0"/>
    <n v="0"/>
    <n v="0"/>
    <n v="0"/>
    <n v="0"/>
    <s v="https://www.clickideacore.com/ClickHTML5/Visit.aspx?ID=//58DAEwASwAzADMAMwAwADAANwAxADcASQBEAEUAQQA2=&amp;Tipo=2&amp;ST=1&amp;nLang=0"/>
    <n v="0"/>
    <n v="0"/>
    <n v="0"/>
    <n v="0"/>
    <n v="0"/>
    <n v="0"/>
    <n v="0"/>
    <n v="0"/>
  </r>
  <r>
    <x v="5"/>
    <x v="3"/>
    <n v="0"/>
    <x v="13"/>
    <d v="2025-05-05T00:00:00"/>
    <n v="0"/>
    <x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0"/>
  </r>
  <r>
    <x v="3"/>
    <x v="6"/>
    <n v="0"/>
    <x v="13"/>
    <d v="2025-05-05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3"/>
    <d v="2025-05-0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3"/>
    <d v="2025-05-0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3"/>
    <d v="2025-05-0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2"/>
    <s v="OP-DYR-011"/>
    <x v="14"/>
    <d v="2025-05-06T00:00:00"/>
    <n v="20"/>
    <x v="0"/>
    <n v="34"/>
    <n v="0"/>
    <n v="0"/>
    <n v="1"/>
    <n v="0"/>
    <n v="0"/>
    <n v="0"/>
    <n v="0"/>
    <n v="0"/>
    <n v="0"/>
    <n v="0"/>
    <n v="0"/>
    <s v="https://www.clickideacore.com/ClickHTML5/Visit.aspx?ID=//5FDAEwASwAzADMAMwAyADQAMAA3ADkASQBEAEUAQQA6=&amp;Tipo=2&amp;ST=1&amp;nLang=0"/>
    <n v="0"/>
    <n v="31"/>
    <n v="0"/>
    <n v="0"/>
    <n v="0"/>
    <n v="0"/>
    <n v="0"/>
    <n v="0"/>
  </r>
  <r>
    <x v="0"/>
    <x v="0"/>
    <s v="OP-S-100"/>
    <x v="14"/>
    <d v="2025-05-06T00:00:00"/>
    <n v="34"/>
    <x v="0"/>
    <n v="18"/>
    <n v="0"/>
    <n v="0"/>
    <n v="1"/>
    <n v="0"/>
    <n v="0"/>
    <n v="0"/>
    <n v="0"/>
    <n v="0"/>
    <n v="0"/>
    <n v="0"/>
    <n v="0"/>
    <s v="https://www.clickideacore.com/ClickHTML5/Visit.aspx?ID=//57DAEwASwAzADMAMwAyADQAOQAwADgASQBEAEUAQQAD=&amp;Tipo=2&amp;ST=1&amp;nLang=0"/>
    <n v="0"/>
    <n v="49"/>
    <n v="0"/>
    <n v="0"/>
    <n v="0"/>
    <n v="0"/>
    <n v="0"/>
    <n v="0"/>
  </r>
  <r>
    <x v="11"/>
    <x v="2"/>
    <s v="OP-SDYR-001"/>
    <x v="14"/>
    <d v="2025-05-06T00:00:00"/>
    <n v="16"/>
    <x v="0"/>
    <n v="37"/>
    <n v="0"/>
    <n v="0"/>
    <n v="1"/>
    <n v="0"/>
    <n v="0"/>
    <n v="0"/>
    <n v="0"/>
    <n v="0"/>
    <n v="0"/>
    <n v="0"/>
    <n v="0"/>
    <s v="https://www.clickideacore.com/ClickHTML5/Visit.aspx?ID=//58DAEwASwAzADMAMwAyADQAMAAwADkASQBEAEUAQQA8=&amp;Tipo=2&amp;ST=1&amp;nLang=0"/>
    <n v="0"/>
    <n v="31"/>
    <n v="0"/>
    <n v="0"/>
    <n v="0"/>
    <n v="0"/>
    <n v="0"/>
    <n v="0"/>
  </r>
  <r>
    <x v="9"/>
    <x v="4"/>
    <s v="OP-S-200"/>
    <x v="14"/>
    <d v="2025-05-06T00:00:00"/>
    <n v="35"/>
    <x v="0"/>
    <n v="17"/>
    <n v="0"/>
    <n v="0"/>
    <n v="0"/>
    <n v="1"/>
    <n v="0"/>
    <n v="0"/>
    <n v="0"/>
    <n v="0"/>
    <n v="0"/>
    <n v="0"/>
    <n v="0"/>
    <s v="https://www.clickideacore.com/ClickHTML5/Visit.aspx?ID=//52DAEwASwAzADMAMwAyADQAMQA3ADAASQBEAEUAQQAA=&amp;Tipo=2&amp;ST=1&amp;nLang=0"/>
    <n v="0"/>
    <n v="34"/>
    <n v="3"/>
    <n v="0"/>
    <n v="0"/>
    <n v="0"/>
    <n v="0"/>
    <n v="0"/>
  </r>
  <r>
    <x v="2"/>
    <x v="6"/>
    <s v="OP-S-200"/>
    <x v="14"/>
    <d v="2025-05-06T00:00:00"/>
    <n v="35"/>
    <x v="0"/>
    <n v="17"/>
    <n v="0"/>
    <n v="0"/>
    <n v="0"/>
    <n v="1"/>
    <n v="0"/>
    <n v="0"/>
    <n v="0"/>
    <n v="0"/>
    <n v="1"/>
    <n v="0"/>
    <n v="0"/>
    <s v="https://www.clickideacore.com/ClickHTML5/Visit.aspx?ID=//52DAEwASwAzADMAMwAyADQAMQA3ADAASQBEAEUAQQAA=&amp;Tipo=2&amp;ST=1&amp;nLang=0"/>
    <n v="0"/>
    <n v="34"/>
    <n v="3"/>
    <n v="0"/>
    <n v="0"/>
    <n v="0"/>
    <n v="0"/>
    <n v="0"/>
  </r>
  <r>
    <x v="6"/>
    <x v="3"/>
    <s v="OP-S-045"/>
    <x v="14"/>
    <d v="2025-05-06T00:00:00"/>
    <n v="26"/>
    <x v="0"/>
    <n v="16"/>
    <n v="0"/>
    <n v="0"/>
    <n v="1"/>
    <n v="0"/>
    <n v="0"/>
    <n v="0"/>
    <n v="0"/>
    <n v="0"/>
    <n v="0"/>
    <n v="0"/>
    <n v="0"/>
    <s v="https://www.clickideacore.com/ClickHTML5/Visit.aspx?ID=//5BDAEwASwAzADMAMwAyADIAOQA4ADAASQBEAEUAQQA0=&amp;Tipo=2&amp;ST=1&amp;nLang=0"/>
    <n v="0"/>
    <n v="20"/>
    <n v="0"/>
    <n v="0"/>
    <n v="0"/>
    <n v="0"/>
    <n v="0"/>
    <n v="0"/>
  </r>
  <r>
    <x v="1"/>
    <x v="1"/>
    <n v="0"/>
    <x v="14"/>
    <d v="2025-05-06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"/>
    <n v="0"/>
    <x v="14"/>
    <d v="2025-05-06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14"/>
    <d v="2025-05-06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4"/>
    <d v="2025-05-0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4"/>
    <d v="2025-05-0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4"/>
    <d v="2025-05-0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15"/>
    <d v="2025-05-07T00:00:00"/>
    <n v="31"/>
    <x v="0"/>
    <n v="35"/>
    <n v="0"/>
    <n v="0"/>
    <n v="1"/>
    <n v="0"/>
    <n v="1"/>
    <n v="0"/>
    <n v="0"/>
    <n v="0"/>
    <n v="0"/>
    <n v="0"/>
    <n v="0"/>
    <s v="https://www.clickideacore.com/ClickHTML5/Visit.aspx?ID=//5BDAEwASwAzADMAMwA0ADgAOQA0ADYASQBEAEUAQQAD=&amp;Tipo=2&amp;ST=1&amp;nLang=0"/>
    <n v="0"/>
    <n v="23"/>
    <n v="6"/>
    <n v="0"/>
    <n v="0"/>
    <n v="0"/>
    <n v="0"/>
    <n v="0"/>
  </r>
  <r>
    <x v="11"/>
    <x v="1"/>
    <s v="OP-SDYR-001"/>
    <x v="15"/>
    <d v="2025-05-07T00:00:00"/>
    <n v="26"/>
    <x v="0"/>
    <n v="32"/>
    <n v="0"/>
    <n v="0"/>
    <n v="0"/>
    <n v="1"/>
    <n v="0"/>
    <n v="1"/>
    <n v="0"/>
    <n v="0"/>
    <n v="0"/>
    <n v="0"/>
    <n v="0"/>
    <s v="https://www.clickideacore.com/ClickHTML5/Visit.aspx?ID=//5BDAEwASwAzADMAMwA1ADMAOQA1ADkASQBEAEUAQQA8=&amp;Tipo=2&amp;ST=1&amp;nLang=0"/>
    <n v="0"/>
    <n v="0"/>
    <n v="0"/>
    <n v="0"/>
    <n v="0"/>
    <n v="0"/>
    <n v="0"/>
    <n v="0"/>
  </r>
  <r>
    <x v="2"/>
    <x v="12"/>
    <s v="OP-S-200"/>
    <x v="15"/>
    <d v="2025-05-07T00:00:00"/>
    <n v="66"/>
    <x v="0"/>
    <n v="35"/>
    <n v="0"/>
    <n v="0"/>
    <n v="1"/>
    <n v="0"/>
    <n v="0"/>
    <n v="0"/>
    <n v="0"/>
    <n v="0"/>
    <n v="1"/>
    <n v="0"/>
    <n v="0"/>
    <s v="https://www.clickideacore.com/ClickHTML5/Visit.aspx?ID=//5DDAEwASwAzADMAMwA0ADYAOAAwADgASQBEAEUAQQA4=&amp;Tipo=2&amp;ST=1&amp;nLang=0"/>
    <n v="0"/>
    <n v="0"/>
    <n v="0"/>
    <n v="0"/>
    <n v="0"/>
    <n v="0"/>
    <n v="0"/>
    <n v="0"/>
  </r>
  <r>
    <x v="6"/>
    <x v="3"/>
    <s v="OP-S-045"/>
    <x v="15"/>
    <d v="2025-05-07T00:00:00"/>
    <n v="48"/>
    <x v="0"/>
    <n v="26"/>
    <n v="0"/>
    <n v="0"/>
    <n v="1"/>
    <n v="0"/>
    <n v="0"/>
    <n v="0"/>
    <n v="0"/>
    <n v="0"/>
    <n v="0"/>
    <n v="0"/>
    <n v="0"/>
    <s v="https://www.clickideacore.com/ClickHTML5/Visit.aspx?ID=//5CDAEwASwAzADMAMwA0ADgAMwA1ADQASQBEAEUAQQA1=&amp;Tipo=2&amp;ST=1&amp;nLang=0"/>
    <n v="0"/>
    <n v="54"/>
    <n v="0"/>
    <n v="0"/>
    <n v="0"/>
    <n v="0"/>
    <n v="0"/>
    <n v="0"/>
  </r>
  <r>
    <x v="4"/>
    <x v="4"/>
    <s v="OP-DYR-005"/>
    <x v="15"/>
    <d v="2025-05-07T00:00:00"/>
    <n v="18"/>
    <x v="0"/>
    <n v="26"/>
    <n v="0"/>
    <n v="0"/>
    <n v="1"/>
    <n v="0"/>
    <n v="0"/>
    <n v="0"/>
    <n v="0"/>
    <n v="0"/>
    <n v="0"/>
    <n v="0"/>
    <n v="0"/>
    <s v="https://www.clickideacore.com/ClickHTML5/Visit.aspx?ID=//5BDAEwASwAzADMAMwA1ADAAMwAzADgASQBEAEUAQQA7=&amp;Tipo=2&amp;ST=1&amp;nLang=0"/>
    <n v="0"/>
    <n v="20"/>
    <n v="0"/>
    <n v="0"/>
    <n v="0"/>
    <n v="0"/>
    <n v="0"/>
    <n v="0"/>
  </r>
  <r>
    <x v="12"/>
    <x v="13"/>
    <n v="0"/>
    <x v="15"/>
    <d v="2025-05-07T00:00:00"/>
    <n v="18"/>
    <x v="0"/>
    <n v="5"/>
    <n v="0"/>
    <n v="0"/>
    <n v="0"/>
    <n v="1"/>
    <n v="0"/>
    <n v="0"/>
    <n v="0"/>
    <n v="0"/>
    <n v="0"/>
    <n v="0"/>
    <n v="0"/>
    <s v="https://www.clickideacore.com/ClickHTML5/Visit.aspx?ID=//5BDAEwASwAzADMAMwA1ADAAMwAzADgASQBEAEUAQQA7=&amp;Tipo=2&amp;ST=1&amp;nLang=0"/>
    <n v="0"/>
    <n v="0"/>
    <n v="0"/>
    <n v="0"/>
    <n v="0"/>
    <n v="0"/>
    <n v="0"/>
    <n v="0"/>
  </r>
  <r>
    <x v="1"/>
    <x v="6"/>
    <n v="0"/>
    <x v="15"/>
    <d v="2025-05-0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6"/>
    <n v="0"/>
    <x v="15"/>
    <d v="2025-05-07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"/>
    <n v="0"/>
    <x v="15"/>
    <d v="2025-05-07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15"/>
    <d v="2025-05-07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5"/>
    <d v="2025-05-0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5"/>
    <d v="2025-05-0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5"/>
    <d v="2025-05-0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2"/>
    <s v="OP-DYR-011"/>
    <x v="16"/>
    <d v="2025-05-08T00:00:00"/>
    <n v="45"/>
    <x v="0"/>
    <n v="24"/>
    <n v="0"/>
    <n v="0"/>
    <n v="1"/>
    <n v="0"/>
    <n v="0"/>
    <n v="0"/>
    <n v="0"/>
    <n v="0"/>
    <n v="1"/>
    <n v="0"/>
    <n v="0"/>
    <s v="https://www.clickideacore.com/ClickHTML5/Visit.aspx?ID=//54DAEwASwAzADMAMwA2ADgANAA4ADIASQBEAEUAQQAC=&amp;Tipo=2&amp;ST=1&amp;nLang=0"/>
    <n v="0"/>
    <n v="2"/>
    <n v="0"/>
    <n v="0"/>
    <n v="0"/>
    <n v="0"/>
    <n v="0"/>
    <n v="0"/>
  </r>
  <r>
    <x v="0"/>
    <x v="0"/>
    <s v="OP-S-100"/>
    <x v="16"/>
    <d v="2025-05-08T00:00:00"/>
    <n v="25"/>
    <x v="0"/>
    <n v="16"/>
    <n v="0"/>
    <n v="0"/>
    <n v="1"/>
    <n v="0"/>
    <n v="0"/>
    <n v="0"/>
    <n v="0"/>
    <n v="0"/>
    <n v="0"/>
    <n v="0"/>
    <n v="0"/>
    <s v="https://www.clickideacore.com/ClickHTML5/Visit.aspx?ID=//5ADAEwASwAzADMAMwA2ADYAMAA2ADgASQBEAEUAQQA2=&amp;Tipo=2&amp;ST=1&amp;nLang=0"/>
    <n v="0"/>
    <n v="22"/>
    <n v="0"/>
    <n v="0"/>
    <n v="0"/>
    <n v="0"/>
    <n v="0"/>
    <n v="0"/>
  </r>
  <r>
    <x v="11"/>
    <x v="1"/>
    <s v="OP-SDYR-001"/>
    <x v="16"/>
    <d v="2025-05-08T00:00:00"/>
    <n v="63"/>
    <x v="0"/>
    <n v="28"/>
    <n v="0"/>
    <n v="0"/>
    <n v="0"/>
    <n v="1"/>
    <n v="0"/>
    <n v="0"/>
    <n v="0"/>
    <n v="0"/>
    <n v="0"/>
    <n v="0"/>
    <n v="0"/>
    <s v="https://www.clickideacore.com/ClickHTML5/Visit.aspx?ID=//5FDAEwASwAzADMAMwA2ADUAMwAwADUASQBEAEUAQQA1=&amp;Tipo=2&amp;ST=1&amp;nLang=0"/>
    <n v="0"/>
    <n v="0"/>
    <n v="0"/>
    <n v="0"/>
    <n v="0"/>
    <n v="0"/>
    <n v="0"/>
    <n v="0"/>
  </r>
  <r>
    <x v="2"/>
    <x v="2"/>
    <s v="OP-S-200"/>
    <x v="16"/>
    <d v="2025-05-08T00:00:00"/>
    <n v="42"/>
    <x v="0"/>
    <n v="32"/>
    <n v="0"/>
    <n v="0"/>
    <n v="1"/>
    <n v="0"/>
    <n v="0"/>
    <n v="0"/>
    <n v="0"/>
    <n v="0"/>
    <n v="0"/>
    <n v="0"/>
    <n v="0"/>
    <s v="https://www.clickideacore.com/ClickHTML5/Visit.aspx?ID=//5CDAEwASwAzADMAMwA3ADMAMgAxADUASQBEAEUAQQA4=&amp;Tipo=2&amp;ST=1&amp;nLang=0"/>
    <n v="0"/>
    <n v="17"/>
    <n v="0"/>
    <n v="0"/>
    <n v="0"/>
    <n v="0"/>
    <n v="0"/>
    <n v="0"/>
  </r>
  <r>
    <x v="4"/>
    <x v="3"/>
    <s v="OP-DYR-005"/>
    <x v="16"/>
    <d v="2025-05-08T00:00:00"/>
    <n v="15"/>
    <x v="0"/>
    <n v="30"/>
    <n v="0"/>
    <n v="0"/>
    <n v="1"/>
    <n v="0"/>
    <n v="0"/>
    <n v="0"/>
    <n v="0"/>
    <n v="0"/>
    <n v="0"/>
    <n v="0"/>
    <n v="0"/>
    <s v="https://www.clickideacore.com/ClickHTML5/Visit.aspx?ID=//52DAEwASwAzADMAMwA2ADkAOAAzADAASQBEAEUAQQAB=&amp;Tipo=2&amp;ST=1&amp;nLang=0"/>
    <n v="0"/>
    <n v="20"/>
    <n v="0"/>
    <n v="0"/>
    <n v="0"/>
    <n v="0"/>
    <n v="0"/>
    <n v="0"/>
  </r>
  <r>
    <x v="1"/>
    <x v="6"/>
    <n v="0"/>
    <x v="16"/>
    <d v="2025-05-0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8"/>
    <n v="0"/>
    <x v="16"/>
    <d v="2025-05-08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4"/>
    <n v="0"/>
    <x v="16"/>
    <d v="2025-05-08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16"/>
    <d v="2025-05-08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6"/>
    <d v="2025-05-0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6"/>
    <d v="2025-05-0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6"/>
    <d v="2025-05-0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2"/>
    <s v="OP-DYR-011"/>
    <x v="17"/>
    <d v="2025-05-09T00:00:00"/>
    <n v="19"/>
    <x v="0"/>
    <n v="27"/>
    <n v="0"/>
    <n v="0"/>
    <n v="1"/>
    <n v="0"/>
    <n v="0"/>
    <n v="1"/>
    <n v="0"/>
    <n v="0"/>
    <n v="0"/>
    <n v="0"/>
    <n v="0"/>
    <s v="https://www.clickideacore.com/ClickHTML5/Visit.aspx?ID=//56DAEwASwAzADMAMwA4ADkANwAzADYASQBEAEUAQQA8=&amp;Tipo=2&amp;ST=1&amp;nLang=0"/>
    <n v="0"/>
    <n v="0"/>
    <n v="0"/>
    <n v="0"/>
    <n v="0"/>
    <n v="0"/>
    <n v="0"/>
    <n v="0"/>
  </r>
  <r>
    <x v="11"/>
    <x v="1"/>
    <s v="OP-SDYR-001"/>
    <x v="17"/>
    <d v="2025-05-09T00:00:00"/>
    <n v="60"/>
    <x v="0"/>
    <n v="23"/>
    <n v="0"/>
    <n v="0"/>
    <n v="0"/>
    <n v="1"/>
    <n v="0"/>
    <n v="0"/>
    <n v="0"/>
    <n v="0"/>
    <n v="0"/>
    <n v="0"/>
    <n v="0"/>
    <s v="https://www.clickideacore.com/ClickHTML5/Visit.aspx?ID=//54DAEwASwAzADMAMwA4ADkANwA4ADEASQBEAEUAQQA8=&amp;Tipo=2&amp;ST=1&amp;nLang=0"/>
    <n v="0"/>
    <n v="20"/>
    <n v="0"/>
    <n v="0"/>
    <n v="0"/>
    <n v="0"/>
    <n v="0"/>
    <n v="0"/>
  </r>
  <r>
    <x v="6"/>
    <x v="6"/>
    <s v="OP-S-045"/>
    <x v="17"/>
    <d v="2025-05-09T00:00:00"/>
    <n v="50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MAMwA5ADIAOQA4ADcASQBEAEUAQQA4=&amp;Tipo=2&amp;ST=1&amp;nLang=0"/>
    <n v="0"/>
    <n v="20"/>
    <n v="0"/>
    <n v="0"/>
    <n v="0"/>
    <n v="0"/>
    <n v="0"/>
    <n v="0"/>
  </r>
  <r>
    <x v="4"/>
    <x v="4"/>
    <s v="OP-DYR-005"/>
    <x v="17"/>
    <d v="2025-05-09T00:00:00"/>
    <n v="30"/>
    <x v="0"/>
    <n v="39"/>
    <n v="0"/>
    <n v="0"/>
    <n v="1"/>
    <n v="0"/>
    <n v="0"/>
    <n v="0"/>
    <n v="0"/>
    <n v="0"/>
    <n v="0"/>
    <n v="0"/>
    <n v="0"/>
    <s v="https://www.clickideacore.com/ClickHTML5/Visit.aspx?ID=//50DAEwASwAzADMAMwA5ADQANQAxADcASQBEAEUAQQA1=&amp;Tipo=2&amp;ST=1&amp;nLang=0"/>
    <n v="0"/>
    <n v="10"/>
    <n v="0"/>
    <n v="0"/>
    <n v="0"/>
    <n v="0"/>
    <n v="0"/>
    <n v="0"/>
  </r>
  <r>
    <x v="2"/>
    <x v="2"/>
    <s v="OP-S-200"/>
    <x v="17"/>
    <d v="2025-05-09T00:00:00"/>
    <n v="42"/>
    <x v="0"/>
    <n v="31"/>
    <n v="0"/>
    <n v="0"/>
    <n v="1"/>
    <n v="0"/>
    <n v="0"/>
    <n v="0"/>
    <n v="0"/>
    <n v="0"/>
    <n v="0"/>
    <n v="0"/>
    <n v="0"/>
    <s v="https://www.clickideacore.com/ClickHTML5/Visit.aspx?ID=//5CDAEwASwAzADMAMwA3ADMAMgAxADUASQBEAEUAQQA4=&amp;Tipo=2&amp;ST=1&amp;nLang=0"/>
    <n v="0"/>
    <n v="22"/>
    <n v="0"/>
    <n v="0"/>
    <n v="0"/>
    <n v="0"/>
    <n v="0"/>
    <n v="0"/>
  </r>
  <r>
    <x v="9"/>
    <x v="14"/>
    <s v="OP-S-045"/>
    <x v="17"/>
    <d v="2025-05-09T00:00:00"/>
    <n v="50"/>
    <x v="0"/>
    <n v="0"/>
    <n v="0"/>
    <n v="0"/>
    <n v="0"/>
    <n v="0"/>
    <n v="0"/>
    <n v="0"/>
    <n v="0"/>
    <n v="0"/>
    <n v="0"/>
    <n v="0"/>
    <n v="0"/>
    <s v="https://www.clickideacore.com/ClickHTML5/Visit.aspx?ID=//5CDAEwASwAzADMAMwA5ADIAOQA4ADcASQBEAEUAQQA4=&amp;Tipo=2&amp;ST=1&amp;nLang=0"/>
    <n v="0"/>
    <n v="20"/>
    <n v="0"/>
    <n v="0"/>
    <n v="0"/>
    <n v="0"/>
    <n v="0"/>
    <n v="0"/>
  </r>
  <r>
    <x v="9"/>
    <x v="3"/>
    <s v="OP-S-045"/>
    <x v="17"/>
    <d v="2025-05-09T00:00:00"/>
    <n v="50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MAMwA5ADIAOQA4ADcASQBEAEUAQQA4=&amp;Tipo=2&amp;ST=1&amp;nLang=0"/>
    <n v="0"/>
    <n v="0"/>
    <n v="0"/>
    <n v="0"/>
    <n v="0"/>
    <n v="0"/>
    <n v="0"/>
    <n v="0"/>
  </r>
  <r>
    <x v="0"/>
    <x v="0"/>
    <n v="0"/>
    <x v="17"/>
    <d v="2025-05-09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"/>
    <n v="0"/>
    <x v="17"/>
    <d v="2025-05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17"/>
    <d v="2025-05-09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17"/>
    <d v="2025-05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17"/>
    <d v="2025-05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17"/>
    <d v="2025-05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2"/>
    <s v="OP-DYR-011"/>
    <x v="18"/>
    <d v="2025-05-10T00:00:00"/>
    <n v="33"/>
    <x v="0"/>
    <n v="0"/>
    <n v="0"/>
    <n v="0"/>
    <n v="1"/>
    <n v="0"/>
    <n v="0"/>
    <n v="0"/>
    <n v="1"/>
    <n v="0"/>
    <n v="3"/>
    <n v="1"/>
    <n v="0"/>
    <s v="https://www.clickideacore.com/ClickHTML5/Visit.aspx?ID=//5BDAEwASwAzADMANAAwADkAOAA0ADUASQBEAEUAQQA5=&amp;Tipo=2&amp;ST=1&amp;nLang=0"/>
    <n v="0"/>
    <n v="0"/>
    <n v="0"/>
    <n v="0"/>
    <n v="0"/>
    <n v="0"/>
    <n v="0"/>
    <n v="0"/>
  </r>
  <r>
    <x v="6"/>
    <x v="1"/>
    <s v="OP-S-045"/>
    <x v="18"/>
    <d v="2025-05-10T00:00:00"/>
    <n v="43"/>
    <x v="0"/>
    <n v="0"/>
    <n v="0"/>
    <n v="0"/>
    <n v="0"/>
    <n v="0"/>
    <n v="1"/>
    <n v="0"/>
    <n v="1"/>
    <n v="0"/>
    <n v="7"/>
    <n v="1"/>
    <n v="0"/>
    <s v="https://www.clickideacore.com/ClickHTML5/Visit.aspx?ID=//52DAEwASwAzADMANAAxADAANwAyADQASQBEAEUAQQA2=&amp;Tipo=2&amp;ST=1&amp;nLang=0"/>
    <n v="17"/>
    <n v="0"/>
    <n v="0"/>
    <n v="0"/>
    <n v="0"/>
    <n v="0"/>
    <n v="1"/>
    <n v="0"/>
  </r>
  <r>
    <x v="4"/>
    <x v="4"/>
    <s v="OP-DYR-005"/>
    <x v="18"/>
    <d v="2025-05-10T00:00:00"/>
    <n v="26"/>
    <x v="0"/>
    <n v="0"/>
    <n v="0"/>
    <n v="0"/>
    <n v="1"/>
    <n v="0"/>
    <n v="0"/>
    <n v="0"/>
    <n v="1"/>
    <n v="0"/>
    <n v="1"/>
    <n v="1"/>
    <n v="0"/>
    <s v="https://www.clickideacore.com/ClickHTML5/Visit.aspx?ID=//5FDAEwASwAzADMANAAxADAAMAA5ADEASQBEAEUAQQA5=&amp;Tipo=2&amp;ST=1&amp;nLang=0"/>
    <n v="0"/>
    <n v="0"/>
    <n v="0"/>
    <n v="0"/>
    <n v="0"/>
    <n v="0"/>
    <n v="0"/>
    <n v="0"/>
  </r>
  <r>
    <x v="13"/>
    <x v="2"/>
    <s v="OP-DYR-005"/>
    <x v="18"/>
    <d v="2025-05-10T00:00:00"/>
    <n v="26"/>
    <x v="0"/>
    <n v="0"/>
    <n v="0"/>
    <n v="0"/>
    <n v="0"/>
    <n v="0"/>
    <n v="1"/>
    <n v="0"/>
    <n v="1"/>
    <n v="0"/>
    <n v="3"/>
    <n v="1"/>
    <n v="0"/>
    <s v="https://www.clickideacore.com/ClickHTML5/Visit.aspx?ID=//5FDAEwASwAzADMANAAxADAAMAA5ADEASQBEAEUAQQA5=&amp;Tipo=2&amp;ST=1&amp;nLang=0"/>
    <n v="19"/>
    <n v="0"/>
    <n v="0"/>
    <n v="0"/>
    <n v="0"/>
    <n v="0"/>
    <n v="1"/>
    <n v="0"/>
  </r>
  <r>
    <x v="10"/>
    <x v="12"/>
    <s v="OP-DYR-011"/>
    <x v="19"/>
    <d v="2025-05-11T00:00:00"/>
    <n v="45"/>
    <x v="0"/>
    <n v="0"/>
    <n v="0"/>
    <n v="0"/>
    <n v="1"/>
    <n v="0"/>
    <n v="0"/>
    <n v="0"/>
    <n v="0"/>
    <n v="1"/>
    <n v="4"/>
    <n v="0"/>
    <n v="1"/>
    <s v="https://www.clickideacore.com/ClickHTML5/Visit.aspx?ID=//54DAEwASwAzADMANAAxADgANgAzADMASQBEAEUAQQA4=&amp;Tipo=2&amp;ST=1&amp;nLang=0"/>
    <n v="0"/>
    <n v="0"/>
    <n v="0"/>
    <n v="0"/>
    <n v="0"/>
    <n v="0"/>
    <n v="0"/>
    <n v="0"/>
  </r>
  <r>
    <x v="13"/>
    <x v="2"/>
    <s v="OP-S-062"/>
    <x v="19"/>
    <d v="2025-05-11T00:00:00"/>
    <n v="20"/>
    <x v="0"/>
    <n v="0"/>
    <n v="0"/>
    <n v="0"/>
    <n v="0"/>
    <n v="0"/>
    <n v="1"/>
    <n v="0"/>
    <n v="0"/>
    <n v="1"/>
    <n v="3"/>
    <n v="0"/>
    <n v="1"/>
    <s v="https://www.clickideacore.com/ClickHTML5/Visit.aspx?ID=//5ADAEwASwAzADMANAAxADgAOQAyADcASQBEAEUAQQA9=&amp;Tipo=2&amp;ST=1&amp;nLang=0"/>
    <n v="18"/>
    <n v="0"/>
    <n v="0"/>
    <n v="0"/>
    <n v="0"/>
    <n v="0"/>
    <n v="0"/>
    <n v="1"/>
  </r>
  <r>
    <x v="6"/>
    <x v="1"/>
    <s v="OP-S-045"/>
    <x v="19"/>
    <d v="2025-05-11T00:00:00"/>
    <n v="55"/>
    <x v="0"/>
    <n v="0"/>
    <n v="0"/>
    <n v="0"/>
    <n v="0"/>
    <n v="0"/>
    <n v="1"/>
    <n v="0"/>
    <n v="0"/>
    <n v="1"/>
    <n v="6"/>
    <n v="0"/>
    <n v="1"/>
    <s v="https://www.clickideacore.com/ClickHTML5/Visit.aspx?ID=//59DAEwASwAzADMANAAxADkAMQA4ADgASQBEAEUAQQAC=&amp;Tipo=2&amp;ST=1&amp;nLang=0"/>
    <n v="21"/>
    <n v="0"/>
    <n v="0"/>
    <n v="0"/>
    <n v="0"/>
    <n v="0"/>
    <n v="0"/>
    <n v="1"/>
  </r>
  <r>
    <x v="4"/>
    <x v="4"/>
    <s v="OP-DYR-005"/>
    <x v="19"/>
    <d v="2025-05-11T00:00:00"/>
    <n v="29"/>
    <x v="0"/>
    <n v="0"/>
    <n v="0"/>
    <n v="0"/>
    <n v="1"/>
    <n v="0"/>
    <n v="0"/>
    <n v="0"/>
    <n v="0"/>
    <n v="1"/>
    <n v="3"/>
    <n v="0"/>
    <n v="1"/>
    <s v="https://www.clickideacore.com/ClickHTML5/Visit.aspx?ID=//57DAEwASwAzADMANAAxADkAMQAwADAASQBEAEUAQQA7=&amp;Tipo=2&amp;ST=1&amp;nLang=0"/>
    <n v="0"/>
    <n v="0"/>
    <n v="0"/>
    <n v="0"/>
    <n v="0"/>
    <n v="0"/>
    <n v="0"/>
    <n v="0"/>
  </r>
  <r>
    <x v="0"/>
    <x v="0"/>
    <s v="OP-S-100"/>
    <x v="20"/>
    <d v="2025-05-12T00:00:00"/>
    <n v="26"/>
    <x v="0"/>
    <n v="13"/>
    <n v="0"/>
    <n v="0"/>
    <n v="0"/>
    <n v="0"/>
    <n v="1"/>
    <n v="0"/>
    <n v="0"/>
    <n v="0"/>
    <n v="0"/>
    <n v="0"/>
    <n v="0"/>
    <s v="https://www.clickideacore.com/ClickHTML5/Visit.aspx?ID=//50DAEwASwAzADMANAAzADQAOQA0ADEASQBEAEUAQQA5=&amp;Tipo=2&amp;ST=1&amp;nLang=0"/>
    <n v="0"/>
    <n v="0"/>
    <n v="0"/>
    <n v="0"/>
    <n v="0"/>
    <n v="0"/>
    <n v="0"/>
    <n v="0"/>
  </r>
  <r>
    <x v="1"/>
    <x v="1"/>
    <s v="OP-DYR-004"/>
    <x v="20"/>
    <d v="2025-05-12T00:00:00"/>
    <n v="30"/>
    <x v="0"/>
    <n v="3"/>
    <n v="0"/>
    <n v="0"/>
    <n v="0"/>
    <n v="0"/>
    <n v="0"/>
    <n v="1"/>
    <n v="0"/>
    <n v="0"/>
    <n v="0"/>
    <n v="0"/>
    <n v="0"/>
    <s v="https://www.clickideacore.com/ClickHTML5/Visit.aspx?ID=//57DAEwASwAzADMANAA0ADMANAA1ADUASQBEAEUAQQAE=&amp;Tipo=2&amp;ST=1&amp;nLang=0"/>
    <n v="0"/>
    <n v="2"/>
    <n v="0"/>
    <n v="0"/>
    <n v="0"/>
    <n v="0"/>
    <n v="0"/>
    <n v="0"/>
  </r>
  <r>
    <x v="4"/>
    <x v="4"/>
    <s v="OP-DYR-005"/>
    <x v="20"/>
    <d v="2025-05-12T00:00:00"/>
    <n v="18"/>
    <x v="0"/>
    <n v="11"/>
    <n v="0"/>
    <n v="0"/>
    <n v="0"/>
    <n v="0"/>
    <n v="0"/>
    <n v="0"/>
    <n v="0"/>
    <n v="0"/>
    <n v="0"/>
    <n v="0"/>
    <n v="0"/>
    <s v="https://www.clickideacore.com/ClickHTML5/Visit.aspx?ID=//52DAEwASwAzADMANAAzADMAMQA3ADIASQBEAEUAQQAF=&amp;Tipo=2&amp;ST=1&amp;nLang=0"/>
    <n v="0"/>
    <n v="0"/>
    <n v="0"/>
    <n v="0"/>
    <n v="0"/>
    <n v="0"/>
    <n v="0"/>
    <n v="0"/>
  </r>
  <r>
    <x v="5"/>
    <x v="6"/>
    <n v="0"/>
    <x v="20"/>
    <d v="2025-05-12T00:00:00"/>
    <n v="26"/>
    <x v="0"/>
    <n v="13"/>
    <n v="0"/>
    <n v="0"/>
    <n v="0"/>
    <n v="0"/>
    <n v="0"/>
    <n v="0"/>
    <n v="0"/>
    <n v="0"/>
    <n v="0"/>
    <n v="0"/>
    <n v="0"/>
    <s v="https://www.clickideacore.com/ClickHTML5/Visit.aspx?ID=//50DAEwASwAzADMANAAzADQAOQA0ADEASQBEAEUAQQA5=&amp;Tipo=2&amp;ST=1&amp;nLang=0"/>
    <n v="0"/>
    <n v="0"/>
    <n v="0"/>
    <n v="0"/>
    <n v="0"/>
    <n v="0"/>
    <n v="0"/>
    <n v="0"/>
  </r>
  <r>
    <x v="2"/>
    <x v="2"/>
    <n v="0"/>
    <x v="20"/>
    <d v="2025-05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6"/>
    <n v="0"/>
    <x v="20"/>
    <d v="2025-05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"/>
    <n v="0"/>
    <x v="20"/>
    <d v="2025-05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3"/>
    <n v="0"/>
    <x v="20"/>
    <d v="2025-05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20"/>
    <d v="2025-05-12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0"/>
    <d v="2025-05-1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0"/>
    <d v="2025-05-1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0"/>
    <d v="2025-05-1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21"/>
    <d v="2025-05-13T00:00:00"/>
    <n v="23"/>
    <x v="0"/>
    <n v="28"/>
    <n v="0"/>
    <n v="0"/>
    <n v="0"/>
    <n v="1"/>
    <n v="0"/>
    <n v="0"/>
    <n v="0"/>
    <n v="0"/>
    <n v="0"/>
    <n v="0"/>
    <n v="0"/>
    <s v="https://www.clickideacore.com/ClickHTML5/Visit.aspx?ID=//5FDAEwASwAzADMANAA2ADAAOQAyADQASQBEAEUAQQAD=&amp;Tipo=2&amp;ST=1&amp;nLang=0"/>
    <n v="0"/>
    <n v="0"/>
    <n v="0"/>
    <n v="0"/>
    <n v="0"/>
    <n v="0"/>
    <n v="0"/>
    <n v="0"/>
  </r>
  <r>
    <x v="0"/>
    <x v="0"/>
    <s v="OP-S-100"/>
    <x v="21"/>
    <d v="2025-05-13T00:00:00"/>
    <n v="32"/>
    <x v="0"/>
    <n v="17"/>
    <n v="0"/>
    <n v="0"/>
    <n v="1"/>
    <n v="0"/>
    <n v="0"/>
    <n v="0"/>
    <n v="0"/>
    <n v="0"/>
    <n v="2"/>
    <n v="0"/>
    <n v="0"/>
    <s v="https://www.clickideacore.com/ClickHTML5/Visit.aspx?ID=//5EDAEwASwAzADMANAA2ADAAOQA4ADEASQBEAEUAQQAF=&amp;Tipo=2&amp;ST=1&amp;nLang=0"/>
    <n v="0"/>
    <n v="19"/>
    <n v="0"/>
    <n v="0"/>
    <n v="0"/>
    <n v="0"/>
    <n v="0"/>
    <n v="0"/>
  </r>
  <r>
    <x v="1"/>
    <x v="1"/>
    <s v="OP-DYR-004"/>
    <x v="21"/>
    <d v="2025-05-13T00:00:00"/>
    <n v="23"/>
    <x v="0"/>
    <n v="22"/>
    <n v="0"/>
    <n v="0"/>
    <n v="1"/>
    <n v="0"/>
    <n v="0"/>
    <n v="0"/>
    <n v="0"/>
    <n v="0"/>
    <n v="0"/>
    <n v="0"/>
    <n v="0"/>
    <s v="https://www.clickideacore.com/ClickHTML5/Visit.aspx?ID=//51DAEwASwAzADMANAA2ADUAOAA2ADgASQBEAEUAQQA7=&amp;Tipo=2&amp;ST=1&amp;nLang=0"/>
    <n v="0"/>
    <n v="19"/>
    <n v="0"/>
    <n v="0"/>
    <n v="0"/>
    <n v="0"/>
    <n v="0"/>
    <n v="0"/>
  </r>
  <r>
    <x v="4"/>
    <x v="4"/>
    <s v="OP-DYR-005"/>
    <x v="21"/>
    <d v="2025-05-13T00:00:00"/>
    <n v="22"/>
    <x v="0"/>
    <n v="12"/>
    <n v="0"/>
    <n v="0"/>
    <n v="0"/>
    <n v="0"/>
    <n v="0"/>
    <n v="0"/>
    <n v="0"/>
    <n v="0"/>
    <n v="0"/>
    <n v="0"/>
    <n v="0"/>
    <s v="https://www.clickideacore.com/ClickHTML5/Visit.aspx?ID=//57DAEwASwAzADMANAA2ADIANwA1ADEASQBEAEUAQQAD=&amp;Tipo=2&amp;ST=1&amp;nLang=0"/>
    <n v="0"/>
    <n v="0"/>
    <n v="0"/>
    <n v="0"/>
    <n v="0"/>
    <n v="0"/>
    <n v="0"/>
    <n v="0"/>
  </r>
  <r>
    <x v="2"/>
    <x v="2"/>
    <n v="0"/>
    <x v="21"/>
    <d v="2025-05-13T00:00:00"/>
    <n v="0"/>
    <x v="0"/>
    <n v="22"/>
    <n v="0"/>
    <n v="0"/>
    <n v="1"/>
    <n v="0"/>
    <n v="0"/>
    <n v="0"/>
    <n v="0"/>
    <n v="0"/>
    <n v="1"/>
    <n v="0"/>
    <n v="0"/>
    <n v="0"/>
    <n v="0"/>
    <n v="19"/>
    <n v="0"/>
    <n v="0"/>
    <n v="0"/>
    <n v="0"/>
    <n v="0"/>
    <n v="0"/>
  </r>
  <r>
    <x v="5"/>
    <x v="3"/>
    <s v="OP-DYR-011"/>
    <x v="21"/>
    <d v="2025-05-13T00:00:00"/>
    <n v="23"/>
    <x v="0"/>
    <n v="20"/>
    <n v="0"/>
    <n v="0"/>
    <n v="1"/>
    <n v="0"/>
    <n v="0"/>
    <n v="0"/>
    <n v="0"/>
    <n v="0"/>
    <n v="0"/>
    <n v="0"/>
    <n v="0"/>
    <s v="https://www.clickideacore.com/ClickHTML5/Visit.aspx?ID=//5FDAEwASwAzADMANAA2ADAAOQAyADQASQBEAEUAQQAD=&amp;Tipo=2&amp;ST=1&amp;nLang=0"/>
    <n v="0"/>
    <n v="0"/>
    <n v="0"/>
    <n v="0"/>
    <n v="0"/>
    <n v="0"/>
    <n v="0"/>
    <n v="0"/>
  </r>
  <r>
    <x v="3"/>
    <x v="6"/>
    <n v="0"/>
    <x v="21"/>
    <d v="2025-05-13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1"/>
    <d v="2025-05-1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1"/>
    <d v="2025-05-1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1"/>
    <d v="2025-05-1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2"/>
    <s v="OP-DYR-011"/>
    <x v="22"/>
    <d v="2025-05-14T00:00:00"/>
    <n v="42"/>
    <x v="0"/>
    <n v="10"/>
    <n v="0"/>
    <n v="0"/>
    <n v="0"/>
    <n v="1"/>
    <n v="0"/>
    <n v="0"/>
    <n v="0"/>
    <n v="0"/>
    <n v="1"/>
    <n v="0"/>
    <n v="0"/>
    <s v="https://www.clickideacore.com/ClickHTML5/Visit.aspx?ID=//51DAEwASwAzADMANAA4ADUANQA5ADAASQBEAEUAQQAC=&amp;Tipo=2&amp;ST=1&amp;nLang=0"/>
    <n v="0"/>
    <n v="22"/>
    <n v="0"/>
    <n v="0"/>
    <n v="0"/>
    <n v="0"/>
    <n v="0"/>
    <n v="0"/>
  </r>
  <r>
    <x v="5"/>
    <x v="3"/>
    <s v="OP-S-005"/>
    <x v="22"/>
    <d v="2025-05-14T00:00:00"/>
    <n v="56"/>
    <x v="0"/>
    <n v="28"/>
    <n v="0"/>
    <n v="0"/>
    <n v="1"/>
    <n v="0"/>
    <n v="0"/>
    <n v="0"/>
    <n v="0"/>
    <n v="0"/>
    <n v="0"/>
    <n v="0"/>
    <n v="0"/>
    <s v="https://www.clickideacore.com/ClickHTML5/Visit.aspx?ID=//5FDAEwASwAzADMANAA4ADcANgAwADIASQBEAEUAQQA4=&amp;Tipo=2&amp;ST=1&amp;nLang=0"/>
    <n v="0"/>
    <n v="22"/>
    <n v="0"/>
    <n v="0"/>
    <n v="0"/>
    <n v="0"/>
    <n v="0"/>
    <n v="0"/>
  </r>
  <r>
    <x v="11"/>
    <x v="1"/>
    <s v="OP-SDYR-001"/>
    <x v="22"/>
    <d v="2025-05-14T00:00:00"/>
    <n v="33"/>
    <x v="0"/>
    <n v="35"/>
    <n v="0"/>
    <n v="0"/>
    <n v="1"/>
    <n v="0"/>
    <n v="0"/>
    <n v="0"/>
    <n v="0"/>
    <n v="0"/>
    <n v="0"/>
    <n v="0"/>
    <n v="0"/>
    <s v="https://www.clickideacore.com/ClickHTML5/Visit.aspx?ID=//50DAEwASwAzADMANAA4ADQAMgA5ADAASQBEAEUAQQA6=&amp;Tipo=2&amp;ST=1&amp;nLang=0"/>
    <n v="0"/>
    <n v="0"/>
    <n v="0"/>
    <n v="0"/>
    <n v="0"/>
    <n v="0"/>
    <n v="0"/>
    <n v="0"/>
  </r>
  <r>
    <x v="4"/>
    <x v="4"/>
    <s v="OP-DYR-005"/>
    <x v="22"/>
    <d v="2025-05-14T00:00:00"/>
    <n v="36"/>
    <x v="0"/>
    <n v="38"/>
    <n v="0"/>
    <n v="0"/>
    <n v="1"/>
    <n v="0"/>
    <n v="1"/>
    <n v="0"/>
    <n v="0"/>
    <n v="0"/>
    <n v="0"/>
    <n v="0"/>
    <n v="0"/>
    <s v="https://www.clickideacore.com/ClickHTML5/Visit.aspx?ID=//5DDAEwASwAzADMANAA4ADgANAA3ADAASQBEAEUAQQA6=&amp;Tipo=2&amp;ST=1&amp;nLang=0"/>
    <n v="0"/>
    <n v="0"/>
    <n v="0"/>
    <n v="0"/>
    <n v="0"/>
    <n v="0"/>
    <n v="0"/>
    <n v="0"/>
  </r>
  <r>
    <x v="14"/>
    <x v="0"/>
    <s v="OP-S-0010"/>
    <x v="22"/>
    <d v="2025-05-14T00:00:00"/>
    <n v="29"/>
    <x v="0"/>
    <n v="24"/>
    <n v="0"/>
    <n v="0"/>
    <n v="1"/>
    <n v="0"/>
    <n v="0"/>
    <n v="0"/>
    <n v="0"/>
    <n v="0"/>
    <n v="0"/>
    <n v="0"/>
    <n v="0"/>
    <s v="https://www.clickideacore.com/ClickHTML5/Visit.aspx?ID=//52DAEwASwAzADMANAA4ADUAMwAxADkASQBEAEUAQQA5=&amp;Tipo=2&amp;ST=1&amp;nLang=0"/>
    <n v="0"/>
    <n v="13"/>
    <n v="0"/>
    <n v="0"/>
    <n v="0"/>
    <n v="0"/>
    <n v="0"/>
    <n v="0"/>
  </r>
  <r>
    <x v="2"/>
    <x v="6"/>
    <n v="0"/>
    <x v="22"/>
    <d v="2025-05-14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"/>
    <n v="0"/>
    <x v="22"/>
    <d v="2025-05-14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"/>
    <n v="0"/>
    <x v="22"/>
    <d v="2025-05-14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22"/>
    <d v="2025-05-14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2"/>
    <d v="2025-05-1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2"/>
    <d v="2025-05-1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2"/>
    <d v="2025-05-1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OP-S-100"/>
    <x v="23"/>
    <d v="2025-05-15T00:00:00"/>
    <n v="47"/>
    <x v="0"/>
    <n v="32"/>
    <n v="0"/>
    <n v="0"/>
    <n v="1"/>
    <n v="0"/>
    <n v="0"/>
    <n v="0"/>
    <n v="0"/>
    <n v="0"/>
    <n v="1"/>
    <n v="0"/>
    <n v="0"/>
    <s v="https://www.clickideacore.com/ClickHTML5/Visit.aspx?ID=//5BDAEwASwAzADMANQAwADcAOAAwADcASQBEAEUAQQA8=&amp;Tipo=2&amp;ST=1&amp;nLang=0"/>
    <n v="0"/>
    <n v="0"/>
    <n v="0"/>
    <n v="0"/>
    <n v="0"/>
    <n v="0"/>
    <n v="0"/>
    <n v="0"/>
  </r>
  <r>
    <x v="11"/>
    <x v="1"/>
    <s v="OP-SDYR-001"/>
    <x v="23"/>
    <d v="2025-05-15T00:00:00"/>
    <n v="58"/>
    <x v="0"/>
    <n v="36"/>
    <n v="0"/>
    <n v="0"/>
    <n v="1"/>
    <n v="0"/>
    <n v="0"/>
    <n v="0"/>
    <n v="0"/>
    <n v="0"/>
    <n v="0"/>
    <n v="0"/>
    <n v="0"/>
    <s v="https://www.clickideacore.com/ClickHTML5/Visit.aspx?ID=//5CDAEwASwAzADMANQAwADgANAAxADMASQBEAEUAQQA2=&amp;Tipo=2&amp;ST=1&amp;nLang=0"/>
    <n v="0"/>
    <n v="2"/>
    <n v="0"/>
    <n v="0"/>
    <n v="0"/>
    <n v="0"/>
    <n v="0"/>
    <n v="0"/>
  </r>
  <r>
    <x v="4"/>
    <x v="8"/>
    <s v="OP-DYR-005"/>
    <x v="23"/>
    <d v="2025-05-15T00:00:00"/>
    <n v="34"/>
    <x v="0"/>
    <n v="20"/>
    <n v="0"/>
    <n v="0"/>
    <n v="0"/>
    <n v="1"/>
    <n v="0"/>
    <n v="1"/>
    <n v="0"/>
    <n v="0"/>
    <n v="0"/>
    <n v="0"/>
    <n v="0"/>
    <s v="https://www.clickideacore.com/ClickHTML5/Visit.aspx?ID=//59DAEwASwAzADMANQAxADAAMgA0ADcASQBEAEUAQQA9=&amp;Tipo=2&amp;ST=1&amp;nLang=0"/>
    <n v="0"/>
    <n v="0"/>
    <n v="0"/>
    <n v="0"/>
    <n v="0"/>
    <n v="0"/>
    <n v="0"/>
    <n v="0"/>
  </r>
  <r>
    <x v="2"/>
    <x v="2"/>
    <n v="0"/>
    <x v="23"/>
    <d v="2025-05-15T00:00:00"/>
    <n v="0"/>
    <x v="0"/>
    <n v="14"/>
    <n v="0"/>
    <n v="0"/>
    <n v="1"/>
    <n v="0"/>
    <n v="0"/>
    <n v="1"/>
    <n v="0"/>
    <n v="0"/>
    <n v="0"/>
    <n v="0"/>
    <n v="0"/>
    <s v="https://www.clickideacore.com/ClickHTML5/Visit.aspx?ID=//59DAEwASwAzADMANQAxADAAMgA0ADcASQBEAEUAQQA9=&amp;Tipo=2&amp;ST=1&amp;nLang=0"/>
    <n v="0"/>
    <n v="0"/>
    <n v="0"/>
    <n v="0"/>
    <n v="0"/>
    <n v="0"/>
    <n v="0"/>
    <n v="0"/>
  </r>
  <r>
    <x v="5"/>
    <x v="3"/>
    <s v="OP-S-005"/>
    <x v="23"/>
    <d v="2025-05-15T00:00:00"/>
    <n v="56"/>
    <x v="0"/>
    <n v="24"/>
    <n v="0"/>
    <n v="0"/>
    <n v="1"/>
    <n v="0"/>
    <n v="0"/>
    <n v="1"/>
    <n v="0"/>
    <n v="0"/>
    <n v="0"/>
    <n v="0"/>
    <n v="0"/>
    <s v="https://www.clickideacore.com/ClickHTML5/Visit.aspx?ID=//59DAEwASwAzADMANQAxADAAMgA0ADcASQBEAEUAQQA9=&amp;Tipo=2&amp;ST=1&amp;nLang=0"/>
    <n v="0"/>
    <n v="0"/>
    <n v="0"/>
    <n v="0"/>
    <n v="0"/>
    <n v="0"/>
    <n v="0"/>
    <n v="0"/>
  </r>
  <r>
    <x v="10"/>
    <x v="6"/>
    <n v="0"/>
    <x v="23"/>
    <d v="2025-05-1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4"/>
    <n v="0"/>
    <x v="23"/>
    <d v="2025-05-1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n v="0"/>
    <x v="23"/>
    <d v="2025-05-1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"/>
    <n v="0"/>
    <x v="23"/>
    <d v="2025-05-1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23"/>
    <d v="2025-05-15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3"/>
    <d v="2025-05-1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3"/>
    <d v="2025-05-1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3"/>
    <d v="2025-05-1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0"/>
    <s v="OP-DYR-011"/>
    <x v="24"/>
    <d v="2025-05-16T00:00:00"/>
    <n v="32"/>
    <x v="0"/>
    <n v="18"/>
    <n v="0"/>
    <n v="0"/>
    <n v="0"/>
    <n v="1"/>
    <n v="0"/>
    <n v="0"/>
    <n v="0"/>
    <n v="0"/>
    <n v="0"/>
    <n v="0"/>
    <n v="0"/>
    <s v="https://www.clickideacore.com/ClickHTML5/Visit.aspx?ID=//54DAEwASwAzADMANQAyADkAMgAzADAASQBEAEUAQQA0=&amp;Tipo=2&amp;ST=1&amp;nLang=0"/>
    <n v="0"/>
    <n v="20"/>
    <n v="0"/>
    <n v="0"/>
    <n v="0"/>
    <n v="0"/>
    <n v="0"/>
    <n v="0"/>
  </r>
  <r>
    <x v="0"/>
    <x v="0"/>
    <s v="OP-S-100"/>
    <x v="24"/>
    <d v="2025-05-16T00:00:00"/>
    <n v="26"/>
    <x v="0"/>
    <n v="19"/>
    <n v="0"/>
    <n v="0"/>
    <n v="1"/>
    <n v="0"/>
    <n v="0"/>
    <n v="0"/>
    <n v="0"/>
    <n v="0"/>
    <n v="0"/>
    <n v="0"/>
    <n v="0"/>
    <s v="https://www.clickideacore.com/ClickHTML5/Visit.aspx?ID=//5ADAEwASwAzADMANQAzADEANwA0ADUASQBEAEUAQQA0=&amp;Tipo=2&amp;ST=1&amp;nLang=0"/>
    <n v="0"/>
    <n v="14"/>
    <n v="0"/>
    <n v="0"/>
    <n v="0"/>
    <n v="0"/>
    <n v="0"/>
    <n v="0"/>
  </r>
  <r>
    <x v="11"/>
    <x v="4"/>
    <s v="OP-SDYR-001"/>
    <x v="24"/>
    <d v="2025-05-16T00:00:00"/>
    <n v="102"/>
    <x v="0"/>
    <n v="38"/>
    <n v="0"/>
    <n v="0"/>
    <n v="1"/>
    <n v="0"/>
    <n v="0"/>
    <n v="0"/>
    <n v="0"/>
    <n v="0"/>
    <n v="0"/>
    <n v="0"/>
    <n v="0"/>
    <s v="https://www.clickideacore.com/ClickHTML5/Visit.aspx?ID=//58DAEwASwAzADMANQAzADIANAAxADIASQBEAEUAQQA7=&amp;Tipo=2&amp;ST=1&amp;nLang=0"/>
    <n v="0"/>
    <n v="0"/>
    <n v="0"/>
    <n v="0"/>
    <n v="0"/>
    <n v="0"/>
    <n v="0"/>
    <n v="0"/>
  </r>
  <r>
    <x v="2"/>
    <x v="2"/>
    <s v="OP-S-200"/>
    <x v="24"/>
    <d v="2025-05-16T00:00:00"/>
    <n v="37"/>
    <x v="0"/>
    <n v="18"/>
    <n v="0"/>
    <n v="0"/>
    <n v="1"/>
    <n v="0"/>
    <n v="0"/>
    <n v="0"/>
    <n v="0"/>
    <n v="0"/>
    <n v="0"/>
    <n v="0"/>
    <n v="0"/>
    <s v="https://www.clickideacore.com/ClickHTML5/Visit.aspx?ID=//5DDAEwASwAzADMANQAzADMAMgAyADgASQBEAEUAQQA5=&amp;Tipo=2&amp;ST=1&amp;nLang=0"/>
    <n v="0"/>
    <n v="0"/>
    <n v="0"/>
    <n v="0"/>
    <n v="0"/>
    <n v="0"/>
    <n v="0"/>
    <n v="0"/>
  </r>
  <r>
    <x v="4"/>
    <x v="8"/>
    <s v="OP-DYR-005"/>
    <x v="24"/>
    <d v="2025-05-16T00:00:00"/>
    <n v="17"/>
    <x v="0"/>
    <n v="20"/>
    <n v="0"/>
    <n v="0"/>
    <n v="1"/>
    <n v="0"/>
    <n v="0"/>
    <n v="0"/>
    <n v="0"/>
    <n v="0"/>
    <n v="0"/>
    <n v="0"/>
    <n v="0"/>
    <s v="https://www.clickideacore.com/ClickHTML5/Visit.aspx?ID=//54DAEwASwAzADMANQA1ADQAOAAwADgASQBEAEUAQQA5=&amp;Tipo=2&amp;ST=1&amp;nLang=0"/>
    <n v="0"/>
    <n v="0"/>
    <n v="0"/>
    <n v="0"/>
    <n v="0"/>
    <n v="0"/>
    <n v="0"/>
    <n v="0"/>
  </r>
  <r>
    <x v="5"/>
    <x v="3"/>
    <n v="0"/>
    <x v="24"/>
    <d v="2025-05-16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1"/>
    <n v="0"/>
    <x v="24"/>
    <d v="2025-05-16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"/>
    <n v="0"/>
    <x v="24"/>
    <d v="2025-05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n v="0"/>
    <x v="24"/>
    <d v="2025-05-16T00:00:00"/>
    <n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4"/>
    <d v="2025-05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4"/>
    <d v="2025-05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4"/>
    <d v="2025-05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15"/>
    <s v="OP-DYR-011"/>
    <x v="25"/>
    <d v="2025-05-17T00:00:00"/>
    <n v="42"/>
    <x v="0"/>
    <n v="0"/>
    <n v="0"/>
    <n v="1"/>
    <n v="0"/>
    <n v="0"/>
    <n v="0"/>
    <n v="0"/>
    <n v="1"/>
    <n v="0"/>
    <n v="6"/>
    <n v="1"/>
    <n v="0"/>
    <s v="https://www.clickideacore.com/ClickHTML5/Visit.aspx?ID=//5ADAEwASwAzADMANQA1ADAANwA3ADkASQBEAEUAQQA5=&amp;Tipo=2&amp;ST=1&amp;nLang=0"/>
    <n v="16"/>
    <n v="0"/>
    <n v="0"/>
    <n v="0"/>
    <n v="0"/>
    <n v="0"/>
    <n v="1"/>
    <n v="0"/>
  </r>
  <r>
    <x v="5"/>
    <x v="3"/>
    <s v="OP-S-005"/>
    <x v="25"/>
    <d v="2025-05-17T00:00:00"/>
    <n v="85"/>
    <x v="0"/>
    <n v="0"/>
    <n v="0"/>
    <n v="1"/>
    <n v="1"/>
    <n v="0"/>
    <n v="0"/>
    <n v="0"/>
    <n v="1"/>
    <n v="0"/>
    <n v="2"/>
    <n v="1"/>
    <n v="0"/>
    <s v="https://www.clickideacore.com/ClickHTML5/Visit.aspx?ID=//5BDAEwASwAzADMANQA1ADAANwA2ADgASQBEAEUAQQAE=&amp;Tipo=2&amp;ST=1&amp;nLang=0"/>
    <n v="0"/>
    <n v="0"/>
    <n v="0"/>
    <n v="0"/>
    <n v="0"/>
    <n v="0"/>
    <n v="0"/>
    <n v="0"/>
  </r>
  <r>
    <x v="0"/>
    <x v="0"/>
    <s v="OP-S-100"/>
    <x v="25"/>
    <d v="2025-05-17T00:00:00"/>
    <n v="41"/>
    <x v="0"/>
    <n v="0"/>
    <n v="0"/>
    <n v="0"/>
    <n v="1"/>
    <n v="0"/>
    <n v="0"/>
    <n v="0"/>
    <n v="1"/>
    <n v="0"/>
    <n v="3"/>
    <n v="1"/>
    <n v="0"/>
    <s v="https://www.clickideacore.com/ClickHTML5/Visit.aspx?ID=//50DAEwASwAzADMANQA0ADkAMgA4ADEASQBEAEUAQQA4=&amp;Tipo=2&amp;ST=1&amp;nLang=0"/>
    <n v="12"/>
    <n v="0"/>
    <n v="0"/>
    <n v="0"/>
    <n v="0"/>
    <n v="0"/>
    <n v="0"/>
    <n v="0"/>
  </r>
  <r>
    <x v="11"/>
    <x v="10"/>
    <s v="OP-SDYR-001"/>
    <x v="25"/>
    <d v="2025-05-17T00:00:00"/>
    <n v="23"/>
    <x v="0"/>
    <n v="0"/>
    <n v="0"/>
    <n v="0"/>
    <n v="1"/>
    <n v="0"/>
    <n v="0"/>
    <n v="0"/>
    <n v="1"/>
    <n v="0"/>
    <n v="1"/>
    <n v="1"/>
    <n v="0"/>
    <s v="https://www.clickideacore.com/ClickHTML5/Visit.aspx?ID=//54DAEwASwAzADMANQA0ADgANwA3ADgASQBEAEUAQQA9=&amp;Tipo=2&amp;ST=1&amp;nLang=0"/>
    <n v="0"/>
    <n v="0"/>
    <n v="0"/>
    <n v="0"/>
    <n v="0"/>
    <n v="0"/>
    <n v="0"/>
    <n v="0"/>
  </r>
  <r>
    <x v="2"/>
    <x v="16"/>
    <s v="OP-S-200"/>
    <x v="25"/>
    <d v="2025-05-17T00:00:00"/>
    <n v="78"/>
    <x v="0"/>
    <n v="0"/>
    <n v="0"/>
    <n v="0"/>
    <n v="1"/>
    <n v="0"/>
    <n v="0"/>
    <n v="0"/>
    <n v="1"/>
    <n v="0"/>
    <n v="3"/>
    <n v="1"/>
    <n v="0"/>
    <s v="https://www.clickideacore.com/ClickHTML5/Visit.aspx?ID=//50DAEwASwAzADMANQA1ADAANwA5ADUASQBEAEUAQQA3=&amp;Tipo=2&amp;ST=1&amp;nLang=0"/>
    <n v="14"/>
    <n v="0"/>
    <n v="0"/>
    <n v="0"/>
    <n v="0"/>
    <n v="0"/>
    <n v="0"/>
    <n v="0"/>
  </r>
  <r>
    <x v="10"/>
    <x v="15"/>
    <s v="OP-DYR-011"/>
    <x v="26"/>
    <d v="2025-05-18T00:00:00"/>
    <n v="45"/>
    <x v="0"/>
    <n v="0"/>
    <n v="0"/>
    <n v="1"/>
    <n v="0"/>
    <n v="0"/>
    <n v="0"/>
    <n v="0"/>
    <n v="0"/>
    <n v="1"/>
    <n v="5"/>
    <n v="0"/>
    <n v="1"/>
    <s v="https://www.clickideacore.com/ClickHTML5/Visit.aspx?ID=//5EDAEwASwAzADMANQA1ADgANwA5ADIASQBEAEUAQQAE=&amp;Tipo=2&amp;ST=1&amp;nLang=0"/>
    <n v="16"/>
    <n v="0"/>
    <n v="0"/>
    <n v="0"/>
    <n v="0"/>
    <n v="0"/>
    <n v="0"/>
    <n v="1"/>
  </r>
  <r>
    <x v="5"/>
    <x v="3"/>
    <s v="OP-S-005"/>
    <x v="26"/>
    <d v="2025-05-18T00:00:00"/>
    <n v="50"/>
    <x v="0"/>
    <n v="0"/>
    <n v="0"/>
    <n v="1"/>
    <n v="1"/>
    <n v="0"/>
    <n v="0"/>
    <n v="0"/>
    <n v="0"/>
    <n v="1"/>
    <n v="3"/>
    <n v="0"/>
    <n v="1"/>
    <s v="https://www.clickideacore.com/ClickHTML5/Visit.aspx?ID=//50DAEwASwAzADMANQA1ADkAMAA2ADQASQBEAEUAQQAB=&amp;Tipo=2&amp;ST=1&amp;nLang=0"/>
    <n v="13"/>
    <n v="0"/>
    <n v="0"/>
    <n v="0"/>
    <n v="0"/>
    <n v="0"/>
    <n v="0"/>
    <n v="0"/>
  </r>
  <r>
    <x v="0"/>
    <x v="0"/>
    <s v="OP-S-100"/>
    <x v="26"/>
    <d v="2025-05-18T00:00:00"/>
    <n v="95"/>
    <x v="0"/>
    <n v="0"/>
    <n v="0"/>
    <n v="1"/>
    <n v="1"/>
    <n v="0"/>
    <n v="0"/>
    <n v="0"/>
    <n v="0"/>
    <n v="1"/>
    <n v="4"/>
    <n v="0"/>
    <n v="1"/>
    <s v="https://www.clickideacore.com/ClickHTML5/Visit.aspx?ID=//57DAEwASwAzADMANQA1ADgAOQA3ADkASQBEAEUAQQAF=&amp;Tipo=2&amp;ST=1&amp;nLang=0"/>
    <n v="16"/>
    <n v="0"/>
    <n v="0"/>
    <n v="0"/>
    <n v="0"/>
    <n v="0"/>
    <n v="0"/>
    <n v="0"/>
  </r>
  <r>
    <x v="2"/>
    <x v="16"/>
    <s v="OP-S-200"/>
    <x v="26"/>
    <d v="2025-05-18T00:00:00"/>
    <n v="65"/>
    <x v="0"/>
    <n v="0"/>
    <n v="0"/>
    <n v="1"/>
    <n v="0"/>
    <n v="0"/>
    <n v="0"/>
    <n v="2"/>
    <n v="0"/>
    <n v="1"/>
    <n v="3"/>
    <n v="0"/>
    <n v="1"/>
    <s v="https://www.clickideacore.com/ClickHTML5/Visit.aspx?ID=//53DAEwASwAzADMANQA2ADEAOAA2ADgASQBEAEUAQQAD=&amp;Tipo=2&amp;ST=1&amp;nLang=0"/>
    <n v="11"/>
    <n v="0"/>
    <n v="0"/>
    <n v="0"/>
    <n v="0"/>
    <n v="0"/>
    <n v="0"/>
    <n v="1"/>
  </r>
  <r>
    <x v="11"/>
    <x v="10"/>
    <s v="OP-SDYR-001"/>
    <x v="26"/>
    <d v="2025-05-18T00:00:00"/>
    <n v="23"/>
    <x v="0"/>
    <n v="0"/>
    <n v="0"/>
    <n v="1"/>
    <n v="1"/>
    <n v="0"/>
    <n v="0"/>
    <n v="0"/>
    <n v="0"/>
    <n v="1"/>
    <n v="0"/>
    <n v="0"/>
    <n v="1"/>
    <s v="https://www.clickideacore.com/ClickHTML5/Visit.aspx?ID=//54DAEwASwAzADMANQA0ADgANwA3ADgASQBEAEUAQQA9=&amp;Tipo=2&amp;ST=1&amp;nLang=0"/>
    <n v="17"/>
    <n v="0"/>
    <n v="0"/>
    <n v="0"/>
    <n v="0"/>
    <n v="0"/>
    <n v="0"/>
    <n v="0"/>
  </r>
  <r>
    <x v="4"/>
    <x v="4"/>
    <s v="OP-SDYR-001"/>
    <x v="26"/>
    <d v="2025-05-18T00:00:00"/>
    <n v="23"/>
    <x v="0"/>
    <n v="0"/>
    <n v="0"/>
    <n v="0"/>
    <n v="0"/>
    <n v="0"/>
    <n v="0"/>
    <n v="0"/>
    <n v="0"/>
    <n v="0"/>
    <n v="1"/>
    <n v="0"/>
    <n v="0"/>
    <s v="https://www.clickideacore.com/ClickHTML5/Visit.aspx?ID=//54DAEwASwAzADMANQA0ADgANwA3ADgASQBEAEUAQQA9=&amp;Tipo=2&amp;ST=1&amp;nLang=0"/>
    <n v="0"/>
    <n v="0"/>
    <n v="0"/>
    <n v="0"/>
    <n v="0"/>
    <n v="0"/>
    <n v="0"/>
    <n v="0"/>
  </r>
  <r>
    <x v="10"/>
    <x v="6"/>
    <s v="OP-DYR-011"/>
    <x v="27"/>
    <d v="2025-05-19T00:00:00"/>
    <n v="36"/>
    <x v="0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27"/>
    <n v="0"/>
    <n v="0"/>
    <n v="0"/>
    <n v="0"/>
    <n v="0"/>
    <n v="0"/>
  </r>
  <r>
    <x v="1"/>
    <x v="1"/>
    <s v="OP-DYR-004"/>
    <x v="27"/>
    <d v="2025-05-19T00:00:00"/>
    <n v="994"/>
    <x v="0"/>
    <n v="2"/>
    <n v="0"/>
    <n v="0"/>
    <n v="0"/>
    <n v="0"/>
    <n v="0"/>
    <n v="0"/>
    <n v="0"/>
    <n v="0"/>
    <n v="0"/>
    <n v="0"/>
    <n v="0"/>
    <s v="https://www.clickideacore.com/ClickHTML5/Visit.aspx?ID=//55DAEwASwAzADMANQA2ADYANAAxADYASQBEAEUAQQA9=&amp;Tipo=2&amp;ST=1&amp;nLang=0"/>
    <n v="0"/>
    <n v="20"/>
    <n v="0"/>
    <n v="0"/>
    <n v="0"/>
    <n v="0"/>
    <n v="0"/>
    <n v="0"/>
  </r>
  <r>
    <x v="2"/>
    <x v="2"/>
    <s v="OP-S-200"/>
    <x v="27"/>
    <d v="2025-05-19T00:00:00"/>
    <n v="20"/>
    <x v="0"/>
    <n v="3"/>
    <n v="0"/>
    <n v="0"/>
    <n v="0"/>
    <n v="0"/>
    <n v="0"/>
    <n v="0"/>
    <n v="0"/>
    <n v="0"/>
    <n v="0"/>
    <n v="0"/>
    <n v="0"/>
    <s v="https://www.clickideacore.com/ClickHTML5/Visit.aspx?ID=//59DAEwASwAzADMANQA3ADMAOQA0ADAASQBEAEUAQQAB=&amp;Tipo=2&amp;ST=1&amp;nLang=0"/>
    <n v="0"/>
    <n v="20"/>
    <n v="0"/>
    <n v="0"/>
    <n v="0"/>
    <n v="0"/>
    <n v="0"/>
    <n v="0"/>
  </r>
  <r>
    <x v="3"/>
    <x v="8"/>
    <s v="OP-S-076"/>
    <x v="27"/>
    <d v="2025-05-19T00:00:00"/>
    <n v="80"/>
    <x v="0"/>
    <n v="22"/>
    <n v="0"/>
    <n v="1"/>
    <n v="0"/>
    <n v="0"/>
    <n v="0"/>
    <n v="1"/>
    <n v="0"/>
    <n v="0"/>
    <n v="0"/>
    <n v="0"/>
    <n v="0"/>
    <s v="https://www.clickideacore.com/ClickHTML5/Visit.aspx?ID=//58DAEwASwAzADMANQA3ADgANAAwADAASQBEAEUAQQA5=&amp;Tipo=2&amp;ST=1&amp;nLang=0"/>
    <n v="0"/>
    <n v="0"/>
    <n v="0"/>
    <n v="0"/>
    <n v="0"/>
    <n v="0"/>
    <n v="0"/>
    <n v="0"/>
  </r>
  <r>
    <x v="5"/>
    <x v="6"/>
    <n v="0"/>
    <x v="27"/>
    <d v="2025-05-19T00:00:00"/>
    <n v="36"/>
    <x v="0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27"/>
    <n v="0"/>
    <n v="0"/>
    <n v="0"/>
    <n v="0"/>
    <n v="0"/>
    <n v="0"/>
  </r>
  <r>
    <x v="0"/>
    <x v="6"/>
    <n v="0"/>
    <x v="27"/>
    <d v="2025-05-19T00:00:00"/>
    <n v="36"/>
    <x v="0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27"/>
    <n v="0"/>
    <n v="0"/>
    <n v="0"/>
    <n v="0"/>
    <n v="0"/>
    <n v="0"/>
  </r>
  <r>
    <x v="4"/>
    <x v="4"/>
    <n v="0"/>
    <x v="27"/>
    <d v="2025-05-19T00:00:00"/>
    <n v="36"/>
    <x v="4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9"/>
    <x v="3"/>
    <n v="0"/>
    <x v="27"/>
    <d v="2025-05-19T00:00:00"/>
    <n v="36"/>
    <x v="4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9"/>
    <x v="0"/>
    <n v="0"/>
    <x v="27"/>
    <d v="2025-05-19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7"/>
    <d v="2025-05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7"/>
    <d v="2025-05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7"/>
    <d v="2025-05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28"/>
    <d v="2025-05-20T00:00:00"/>
    <n v="44"/>
    <x v="0"/>
    <n v="29"/>
    <n v="0"/>
    <n v="0"/>
    <n v="0"/>
    <n v="1"/>
    <n v="1"/>
    <n v="0"/>
    <n v="0"/>
    <n v="0"/>
    <n v="0"/>
    <n v="0"/>
    <n v="0"/>
    <s v="https://www.clickideacore.com/ClickHTML5/Visit.aspx?ID=//5EDAEwASwAzADMANQA5ADgANAA4ADkASQBEAEUAQQAC=&amp;Tipo=2&amp;ST=1&amp;nLang=0"/>
    <n v="0"/>
    <n v="0"/>
    <n v="0"/>
    <n v="0"/>
    <n v="0"/>
    <n v="0"/>
    <n v="0"/>
    <n v="0"/>
  </r>
  <r>
    <x v="2"/>
    <x v="2"/>
    <s v="OP-S-200"/>
    <x v="28"/>
    <d v="2025-05-20T00:00:00"/>
    <n v="24"/>
    <x v="0"/>
    <n v="25"/>
    <n v="0"/>
    <n v="0"/>
    <n v="1"/>
    <n v="0"/>
    <n v="1"/>
    <n v="0"/>
    <n v="0"/>
    <n v="0"/>
    <n v="0"/>
    <n v="0"/>
    <n v="0"/>
    <s v="https://www.clickideacore.com/ClickHTML5/Visit.aspx?ID=//54DAEwASwAzADMANQA5ADUAOAAyADUASQBEAEUAQQAE=&amp;Tipo=2&amp;ST=1&amp;nLang=0"/>
    <n v="0"/>
    <n v="0"/>
    <n v="0"/>
    <n v="0"/>
    <n v="0"/>
    <n v="0"/>
    <n v="0"/>
    <n v="0"/>
  </r>
  <r>
    <x v="3"/>
    <x v="3"/>
    <s v="OP-S-076"/>
    <x v="28"/>
    <d v="2025-05-20T00:00:00"/>
    <n v="41"/>
    <x v="0"/>
    <n v="28"/>
    <n v="1"/>
    <n v="0"/>
    <n v="1"/>
    <n v="0"/>
    <n v="0"/>
    <n v="0"/>
    <n v="0"/>
    <n v="0"/>
    <n v="0"/>
    <n v="0"/>
    <n v="0"/>
    <s v="https://www.clickideacore.com/ClickHTML5/Visit.aspx?ID=//5EDAEwASwAzADMANQA5ADcAMgAzADYASQBEAEUAQQA0=&amp;Tipo=2&amp;ST=1&amp;nLang=0"/>
    <n v="0"/>
    <n v="0"/>
    <n v="0"/>
    <n v="0"/>
    <n v="0"/>
    <n v="0"/>
    <n v="0"/>
    <n v="0"/>
  </r>
  <r>
    <x v="5"/>
    <x v="4"/>
    <n v="0"/>
    <x v="28"/>
    <d v="2025-05-20T00:00:00"/>
    <n v="0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MANQA5ADcAMgAzADYASQBEAEUAQQA0=&amp;Tipo=2&amp;ST=1&amp;nLang=0"/>
    <n v="0"/>
    <n v="0"/>
    <n v="0"/>
    <n v="0"/>
    <n v="0"/>
    <n v="0"/>
    <n v="0"/>
    <n v="0"/>
  </r>
  <r>
    <x v="1"/>
    <x v="1"/>
    <n v="0"/>
    <x v="28"/>
    <d v="2025-05-20T00:00:00"/>
    <n v="0"/>
    <x v="0"/>
    <n v="33"/>
    <n v="0"/>
    <n v="0"/>
    <n v="1"/>
    <n v="0"/>
    <n v="0"/>
    <n v="0"/>
    <n v="0"/>
    <n v="0"/>
    <n v="0"/>
    <n v="0"/>
    <n v="0"/>
    <s v="https://www.clickideacore.com/ClickHTML5/Visit.aspx?ID=//5EDAEwASwAzADMANQA5ADcAMgAzADYASQBEAEUAQQA0=&amp;Tipo=2&amp;ST=1&amp;nLang=0"/>
    <n v="0"/>
    <n v="0"/>
    <n v="0"/>
    <n v="0"/>
    <n v="0"/>
    <n v="0"/>
    <n v="0"/>
    <n v="0"/>
  </r>
  <r>
    <x v="4"/>
    <x v="8"/>
    <n v="0"/>
    <x v="28"/>
    <d v="2025-05-20T00:00:00"/>
    <n v="36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10"/>
    <x v="6"/>
    <n v="0"/>
    <x v="28"/>
    <d v="2025-05-2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28"/>
    <d v="2025-05-2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28"/>
    <d v="2025-05-2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28"/>
    <d v="2025-05-2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s v="OP-DYR-011"/>
    <x v="29"/>
    <d v="2025-05-21T00:00:00"/>
    <n v="50"/>
    <x v="0"/>
    <n v="0"/>
    <n v="0"/>
    <n v="0"/>
    <n v="1"/>
    <n v="0"/>
    <n v="0"/>
    <n v="0"/>
    <n v="0"/>
    <n v="1"/>
    <n v="1"/>
    <n v="0"/>
    <n v="1"/>
    <s v="https://www.clickideacore.com/ClickHTML5/Visit.aspx?ID=//58DAEwASwAzADMANgAyADEAMgAxADUASQBEAEUAQQA2=&amp;Tipo=2&amp;ST=1&amp;nLang=0"/>
    <n v="0"/>
    <n v="0"/>
    <n v="0"/>
    <n v="0"/>
    <n v="0"/>
    <n v="0"/>
    <n v="0"/>
    <n v="0"/>
  </r>
  <r>
    <x v="1"/>
    <x v="1"/>
    <s v="OP-DYR-004"/>
    <x v="29"/>
    <d v="2025-05-21T00:00:00"/>
    <n v="21"/>
    <x v="0"/>
    <n v="0"/>
    <n v="0"/>
    <n v="0"/>
    <n v="1"/>
    <n v="0"/>
    <n v="0"/>
    <n v="0"/>
    <n v="0"/>
    <n v="1"/>
    <n v="1"/>
    <n v="0"/>
    <n v="1"/>
    <s v="https://www.clickideacore.com/ClickHTML5/Visit.aspx?ID=//5DDAEwASwAzADMANgAyADQAMwAyADIASQBEAEUAQQA5=&amp;Tipo=2&amp;ST=1&amp;nLang=0"/>
    <n v="13"/>
    <n v="0"/>
    <n v="0"/>
    <n v="0"/>
    <n v="0"/>
    <n v="0"/>
    <n v="0"/>
    <n v="0"/>
  </r>
  <r>
    <x v="2"/>
    <x v="2"/>
    <s v="OP-S-200"/>
    <x v="29"/>
    <d v="2025-05-21T00:00:00"/>
    <n v="27"/>
    <x v="0"/>
    <n v="0"/>
    <n v="0"/>
    <n v="0"/>
    <n v="1"/>
    <n v="0"/>
    <n v="0"/>
    <n v="0"/>
    <n v="0"/>
    <n v="1"/>
    <n v="1"/>
    <n v="0"/>
    <n v="1"/>
    <s v="https://www.clickideacore.com/ClickHTML5/Visit.aspx?ID=//50DAEwASwAzADMANgAyADAANwAzADgASQBEAEUAQQAA=&amp;Tipo=2&amp;ST=1&amp;nLang=0"/>
    <n v="12"/>
    <n v="0"/>
    <n v="0"/>
    <n v="0"/>
    <n v="0"/>
    <n v="0"/>
    <n v="0"/>
    <n v="0"/>
  </r>
  <r>
    <x v="3"/>
    <x v="3"/>
    <s v="OP-S-076"/>
    <x v="29"/>
    <d v="2025-05-21T00:00:00"/>
    <n v="66"/>
    <x v="0"/>
    <n v="0"/>
    <n v="0"/>
    <n v="0"/>
    <n v="1"/>
    <n v="0"/>
    <n v="0"/>
    <n v="0"/>
    <n v="0"/>
    <n v="1"/>
    <n v="2"/>
    <n v="0"/>
    <n v="1"/>
    <s v="https://www.clickideacore.com/ClickHTML5/Visit.aspx?ID=//51DAEwASwAzADMANgAyADIAMQA0ADEASQBEAEUAQQAA=&amp;Tipo=2&amp;ST=1&amp;nLang=0"/>
    <n v="14"/>
    <n v="0"/>
    <n v="0"/>
    <n v="0"/>
    <n v="0"/>
    <n v="0"/>
    <n v="0"/>
    <n v="0"/>
  </r>
  <r>
    <x v="4"/>
    <x v="8"/>
    <s v="OP-DYR-005"/>
    <x v="29"/>
    <d v="2025-05-21T00:00:00"/>
    <n v="36"/>
    <x v="0"/>
    <n v="0"/>
    <n v="0"/>
    <n v="0"/>
    <n v="0"/>
    <n v="1"/>
    <n v="0"/>
    <n v="0"/>
    <n v="0"/>
    <n v="1"/>
    <n v="2"/>
    <n v="0"/>
    <n v="1"/>
    <s v="https://www.clickideacore.com/ClickHTML5/Visit.aspx?ID=//59DAEwASwAzADMANgAyADQAOQA0ADMASQBEAEUAQQAC=&amp;Tipo=2&amp;ST=1&amp;nLang=0"/>
    <n v="5"/>
    <n v="0"/>
    <n v="0"/>
    <n v="0"/>
    <n v="0"/>
    <n v="0"/>
    <n v="0"/>
    <n v="1"/>
  </r>
  <r>
    <x v="10"/>
    <x v="0"/>
    <s v="OP-DYR-011"/>
    <x v="30"/>
    <d v="2025-05-22T00:00:00"/>
    <n v="29"/>
    <x v="0"/>
    <n v="17"/>
    <n v="0"/>
    <n v="0"/>
    <n v="1"/>
    <n v="0"/>
    <n v="1"/>
    <n v="0"/>
    <n v="0"/>
    <n v="0"/>
    <n v="0"/>
    <n v="0"/>
    <n v="0"/>
    <s v="https://www.clickideacore.com/ClickHTML5/Visit.aspx?ID=//5FDAEwASwAzADMANgA0ADEANwA2ADIASQBEAEUAQQA2=&amp;Tipo=2&amp;ST=1&amp;nLang=0"/>
    <n v="0"/>
    <n v="0"/>
    <n v="0"/>
    <n v="0"/>
    <n v="0"/>
    <n v="0"/>
    <n v="0"/>
    <n v="0"/>
  </r>
  <r>
    <x v="5"/>
    <x v="4"/>
    <s v="OP-S-005"/>
    <x v="30"/>
    <d v="2025-05-22T00:00:00"/>
    <n v="97"/>
    <x v="0"/>
    <n v="32"/>
    <n v="0"/>
    <n v="0"/>
    <n v="1"/>
    <n v="0"/>
    <n v="0"/>
    <n v="0"/>
    <n v="0"/>
    <n v="0"/>
    <n v="0"/>
    <n v="0"/>
    <n v="0"/>
    <s v="https://www.clickideacore.com/ClickHTML5/Visit.aspx?ID=//5CDAEwASwAzADMANgA0ADUANQA2ADkASQBEAEUAQQAB=&amp;Tipo=2&amp;ST=1&amp;nLang=0"/>
    <n v="0"/>
    <n v="0"/>
    <n v="0"/>
    <n v="0"/>
    <n v="0"/>
    <n v="0"/>
    <n v="0"/>
    <n v="0"/>
  </r>
  <r>
    <x v="1"/>
    <x v="1"/>
    <s v="OP-DYR-004"/>
    <x v="30"/>
    <d v="2025-05-22T00:00:00"/>
    <n v="30"/>
    <x v="0"/>
    <n v="30"/>
    <n v="0"/>
    <n v="0"/>
    <n v="1"/>
    <n v="0"/>
    <n v="0"/>
    <n v="0"/>
    <n v="0"/>
    <n v="0"/>
    <n v="0"/>
    <n v="0"/>
    <n v="0"/>
    <s v="https://www.clickideacore.com/ClickHTML5/Visit.aspx?ID=//59DAEwASwAzADMANgA0ADkANAAxADYASQBEAEUAQQAF=&amp;Tipo=2&amp;ST=1&amp;nLang=0"/>
    <n v="0"/>
    <n v="0"/>
    <n v="0"/>
    <n v="0"/>
    <n v="0"/>
    <n v="0"/>
    <n v="0"/>
    <n v="0"/>
  </r>
  <r>
    <x v="11"/>
    <x v="6"/>
    <s v="OP-SDYR-001"/>
    <x v="30"/>
    <d v="2025-05-22T00:00:00"/>
    <n v="15"/>
    <x v="0"/>
    <n v="26"/>
    <n v="0"/>
    <n v="1"/>
    <n v="0"/>
    <n v="0"/>
    <n v="0"/>
    <n v="0"/>
    <n v="0"/>
    <n v="0"/>
    <n v="0"/>
    <n v="0"/>
    <n v="0"/>
    <s v="https://www.clickideacore.com/ClickHTML5/Visit.aspx?ID=//59DAEwASwAzADMANgA0ADYAMAAxADQASQBEAEUAQQAA=&amp;Tipo=2&amp;ST=1&amp;nLang=0"/>
    <n v="0"/>
    <n v="19"/>
    <n v="6"/>
    <n v="0"/>
    <n v="0"/>
    <n v="0"/>
    <n v="0"/>
    <n v="0"/>
  </r>
  <r>
    <x v="0"/>
    <x v="6"/>
    <s v="OP-SDYR-001"/>
    <x v="30"/>
    <d v="2025-05-22T00:00:00"/>
    <n v="15"/>
    <x v="0"/>
    <n v="26"/>
    <n v="0"/>
    <n v="1"/>
    <n v="0"/>
    <n v="0"/>
    <n v="0"/>
    <n v="0"/>
    <n v="0"/>
    <n v="0"/>
    <n v="0"/>
    <n v="0"/>
    <n v="0"/>
    <s v="https://www.clickideacore.com/ClickHTML5/Visit.aspx?ID=//59DAEwASwAzADMANgA0ADYAMAAxADQASQBEAEUAQQAA=&amp;Tipo=2&amp;ST=1&amp;nLang=0"/>
    <n v="0"/>
    <n v="19"/>
    <n v="6"/>
    <n v="0"/>
    <n v="0"/>
    <n v="0"/>
    <n v="0"/>
    <n v="0"/>
  </r>
  <r>
    <x v="2"/>
    <x v="2"/>
    <s v="OP-S-200"/>
    <x v="30"/>
    <d v="2025-05-22T00:00:00"/>
    <n v="42"/>
    <x v="0"/>
    <n v="40"/>
    <n v="0"/>
    <n v="0"/>
    <n v="1"/>
    <n v="0"/>
    <n v="0"/>
    <n v="0"/>
    <n v="0"/>
    <n v="0"/>
    <n v="0"/>
    <n v="0"/>
    <n v="0"/>
    <s v="https://www.clickideacore.com/ClickHTML5/Visit.aspx?ID=//5DDAEwASwAzADMANgA0ADIANwAzADUASQBEAEUAQQA0=&amp;Tipo=2&amp;ST=1&amp;nLang=0"/>
    <n v="0"/>
    <n v="0"/>
    <n v="0"/>
    <n v="0"/>
    <n v="0"/>
    <n v="0"/>
    <n v="0"/>
    <n v="0"/>
  </r>
  <r>
    <x v="4"/>
    <x v="8"/>
    <s v="OP-DYR-005"/>
    <x v="30"/>
    <d v="2025-05-22T00:00:00"/>
    <n v="27"/>
    <x v="0"/>
    <n v="24"/>
    <n v="0"/>
    <n v="0"/>
    <n v="0"/>
    <n v="1"/>
    <n v="1"/>
    <n v="0"/>
    <n v="0"/>
    <n v="0"/>
    <n v="0"/>
    <n v="0"/>
    <n v="0"/>
    <s v="https://www.clickideacore.com/ClickHTML5/Visit.aspx?ID=//5ADAEwASwAzADMANgA0ADUANQAxADkASQBEAEUAQQAC=&amp;Tipo=2&amp;ST=1&amp;nLang=0"/>
    <n v="0"/>
    <n v="0"/>
    <n v="0"/>
    <n v="0"/>
    <n v="0"/>
    <n v="0"/>
    <n v="0"/>
    <n v="0"/>
  </r>
  <r>
    <x v="3"/>
    <x v="3"/>
    <n v="0"/>
    <x v="30"/>
    <d v="2025-05-22T00:00:00"/>
    <n v="36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7"/>
    <x v="6"/>
    <n v="0"/>
    <x v="30"/>
    <d v="2025-05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0"/>
    <d v="2025-05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0"/>
    <d v="2025-05-2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s v="OP-DYR-011"/>
    <x v="31"/>
    <d v="2025-05-23T00:00:00"/>
    <n v="51"/>
    <x v="0"/>
    <n v="20"/>
    <n v="0"/>
    <n v="0"/>
    <n v="1"/>
    <n v="0"/>
    <n v="0"/>
    <n v="0"/>
    <n v="0"/>
    <n v="0"/>
    <n v="0"/>
    <n v="0"/>
    <n v="0"/>
    <s v="https://www.clickideacore.com/ClickHTML5/Visit.aspx?ID=//59DAEwASwAzADMANgA2ADcAMgAwADcASQBEAEUAQQA8=&amp;Tipo=2&amp;ST=1&amp;nLang=0"/>
    <n v="0"/>
    <n v="0"/>
    <n v="0"/>
    <n v="0"/>
    <n v="0"/>
    <n v="0"/>
    <n v="0"/>
    <n v="0"/>
  </r>
  <r>
    <x v="0"/>
    <x v="10"/>
    <s v="OP-S-100"/>
    <x v="31"/>
    <d v="2025-05-23T00:00:00"/>
    <n v="35"/>
    <x v="0"/>
    <n v="32"/>
    <n v="0"/>
    <n v="0"/>
    <n v="1"/>
    <n v="0"/>
    <n v="0"/>
    <n v="1"/>
    <n v="0"/>
    <n v="0"/>
    <n v="0"/>
    <n v="0"/>
    <n v="0"/>
    <s v="https://www.clickideacore.com/ClickHTML5/Visit.aspx?ID=//5ADAEwASwAzADMANgA2ADYAOAAwADYASQBEAEUAQQA0=&amp;Tipo=2&amp;ST=1&amp;nLang=0"/>
    <n v="0"/>
    <n v="0"/>
    <n v="0"/>
    <n v="0"/>
    <n v="0"/>
    <n v="0"/>
    <n v="0"/>
    <n v="0"/>
  </r>
  <r>
    <x v="3"/>
    <x v="3"/>
    <s v="OP-S-076"/>
    <x v="31"/>
    <d v="2025-05-23T00:00:00"/>
    <n v="55"/>
    <x v="0"/>
    <n v="29"/>
    <n v="0"/>
    <n v="0"/>
    <n v="1"/>
    <n v="0"/>
    <n v="0"/>
    <n v="0"/>
    <n v="0"/>
    <n v="0"/>
    <n v="0"/>
    <n v="0"/>
    <n v="0"/>
    <s v="https://www.clickideacore.com/ClickHTML5/Visit.aspx?ID=//56DAEwASwAzADMANgA2ADgAMgA0ADEASQBEAEUAQQAE=&amp;Tipo=2&amp;ST=1&amp;nLang=0"/>
    <n v="0"/>
    <n v="0"/>
    <n v="0"/>
    <n v="0"/>
    <n v="0"/>
    <n v="0"/>
    <n v="0"/>
    <n v="0"/>
  </r>
  <r>
    <x v="4"/>
    <x v="8"/>
    <s v="OP-DYR-005"/>
    <x v="31"/>
    <d v="2025-05-23T00:00:00"/>
    <n v="23"/>
    <x v="0"/>
    <n v="36"/>
    <n v="0"/>
    <n v="0"/>
    <n v="0"/>
    <n v="1"/>
    <n v="0"/>
    <n v="0"/>
    <n v="0"/>
    <n v="0"/>
    <n v="0"/>
    <n v="0"/>
    <n v="0"/>
    <s v="https://www.clickideacore.com/ClickHTML5/Visit.aspx?ID=//55DAEwASwAzADMANgA3ADAANAA5ADYASQBEAEUAQQAF=&amp;Tipo=2&amp;ST=1&amp;nLang=0"/>
    <n v="0"/>
    <n v="0"/>
    <n v="0"/>
    <n v="0"/>
    <n v="0"/>
    <n v="0"/>
    <n v="0"/>
    <n v="0"/>
  </r>
  <r>
    <x v="5"/>
    <x v="4"/>
    <s v="OP-DYR-005"/>
    <x v="31"/>
    <d v="2025-05-23T00:00:00"/>
    <n v="23"/>
    <x v="0"/>
    <n v="17"/>
    <n v="0"/>
    <n v="0"/>
    <n v="0"/>
    <n v="1"/>
    <n v="0"/>
    <n v="0"/>
    <n v="0"/>
    <n v="0"/>
    <n v="0"/>
    <n v="0"/>
    <n v="0"/>
    <s v="https://www.clickideacore.com/ClickHTML5/Visit.aspx?ID=//55DAEwASwAzADMANgA3ADAANAA5ADYASQBEAEUAQQAF=&amp;Tipo=2&amp;ST=1&amp;nLang=0"/>
    <n v="0"/>
    <n v="10"/>
    <n v="0"/>
    <n v="0"/>
    <n v="0"/>
    <n v="0"/>
    <n v="0"/>
    <n v="0"/>
  </r>
  <r>
    <x v="1"/>
    <x v="1"/>
    <n v="0"/>
    <x v="31"/>
    <d v="2025-05-2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2"/>
    <x v="2"/>
    <n v="0"/>
    <x v="31"/>
    <d v="2025-05-2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7"/>
    <x v="6"/>
    <n v="0"/>
    <x v="31"/>
    <d v="2025-05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1"/>
    <d v="2025-05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1"/>
    <d v="2025-05-2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0"/>
    <s v="OP-DYR-011"/>
    <x v="32"/>
    <d v="2025-05-24T00:00:00"/>
    <n v="67"/>
    <x v="0"/>
    <n v="0"/>
    <n v="0"/>
    <n v="1"/>
    <n v="1"/>
    <n v="0"/>
    <n v="1"/>
    <n v="0"/>
    <n v="1"/>
    <n v="0"/>
    <n v="5"/>
    <n v="1"/>
    <n v="0"/>
    <s v="https://www.clickideacore.com/ClickHTML5/Visit.aspx?ID=//5FDAEwASwAzADMANgA4ADUANAAyADEASQBEAEUAQQAD=&amp;Tipo=2&amp;ST=1&amp;nLang=0"/>
    <n v="0"/>
    <n v="0"/>
    <n v="0"/>
    <n v="0"/>
    <n v="0"/>
    <n v="0"/>
    <n v="0"/>
    <n v="0"/>
  </r>
  <r>
    <x v="1"/>
    <x v="1"/>
    <s v="OP-DYR-004"/>
    <x v="32"/>
    <d v="2025-05-24T00:00:00"/>
    <n v="29"/>
    <x v="0"/>
    <n v="0"/>
    <n v="0"/>
    <n v="0"/>
    <n v="0"/>
    <n v="0"/>
    <n v="0"/>
    <n v="0"/>
    <n v="1"/>
    <n v="0"/>
    <n v="3"/>
    <n v="1"/>
    <n v="0"/>
    <s v="https://www.clickideacore.com/ClickHTML5/Visit.aspx?ID=//50DAEwASwAzADMANgA4ADYAMwAyADEASQBEAEUAQQA6=&amp;Tipo=2&amp;ST=1&amp;nLang=0"/>
    <n v="13"/>
    <n v="0"/>
    <n v="0"/>
    <n v="0"/>
    <n v="0"/>
    <n v="0"/>
    <n v="0"/>
    <n v="0"/>
  </r>
  <r>
    <x v="2"/>
    <x v="2"/>
    <s v="OP-S-200"/>
    <x v="32"/>
    <d v="2025-05-24T00:00:00"/>
    <n v="20"/>
    <x v="0"/>
    <n v="0"/>
    <n v="0"/>
    <n v="0"/>
    <n v="0"/>
    <n v="0"/>
    <n v="1"/>
    <n v="0"/>
    <n v="1"/>
    <n v="0"/>
    <n v="5"/>
    <n v="1"/>
    <n v="0"/>
    <s v="https://www.clickideacore.com/ClickHTML5/Visit.aspx?ID=//58DAEwASwAzADMANgA4ADUANgA4ADUASQBEAEUAQQA2=&amp;Tipo=2&amp;ST=1&amp;nLang=0"/>
    <n v="12"/>
    <n v="0"/>
    <n v="0"/>
    <n v="0"/>
    <n v="0"/>
    <n v="0"/>
    <n v="0"/>
    <n v="0"/>
  </r>
  <r>
    <x v="3"/>
    <x v="3"/>
    <s v="OP-S-076"/>
    <x v="32"/>
    <d v="2025-05-24T00:00:00"/>
    <n v="34"/>
    <x v="0"/>
    <n v="0"/>
    <n v="0"/>
    <n v="0"/>
    <n v="0"/>
    <n v="0"/>
    <n v="0"/>
    <n v="0"/>
    <n v="1"/>
    <n v="0"/>
    <n v="4"/>
    <n v="1"/>
    <n v="0"/>
    <s v="https://www.clickideacore.com/ClickHTML5/Visit.aspx?ID=//50DAEwASwAzADMANgA4ADQAOAA2ADMASQBEAEUAQQAB=&amp;Tipo=2&amp;ST=1&amp;nLang=0"/>
    <n v="14"/>
    <n v="0"/>
    <n v="0"/>
    <n v="0"/>
    <n v="0"/>
    <n v="0"/>
    <n v="0"/>
    <n v="0"/>
  </r>
  <r>
    <x v="4"/>
    <x v="8"/>
    <s v="OP-DYR-005"/>
    <x v="32"/>
    <d v="2025-05-24T00:00:00"/>
    <n v="113"/>
    <x v="0"/>
    <n v="0"/>
    <n v="0"/>
    <n v="0"/>
    <n v="0"/>
    <n v="0"/>
    <n v="0"/>
    <n v="0"/>
    <n v="0"/>
    <n v="0"/>
    <n v="8"/>
    <n v="1"/>
    <n v="0"/>
    <s v="https://www.clickideacore.com/ClickHTML5/Visit.aspx?ID=//54DAEwASwAzADMANgA4ADYAMQA0ADMASQBEAEUAQQA3=&amp;Tipo=2&amp;ST=1&amp;nLang=0"/>
    <n v="15"/>
    <n v="0"/>
    <n v="6"/>
    <n v="0"/>
    <n v="0"/>
    <n v="0"/>
    <n v="1"/>
    <n v="0"/>
  </r>
  <r>
    <x v="10"/>
    <x v="0"/>
    <s v="OP-DYR-011"/>
    <x v="33"/>
    <d v="2025-05-25T00:00:00"/>
    <n v="44"/>
    <x v="0"/>
    <n v="0"/>
    <n v="0"/>
    <n v="0"/>
    <n v="0"/>
    <n v="0"/>
    <n v="0"/>
    <n v="0"/>
    <n v="0"/>
    <n v="1"/>
    <n v="6"/>
    <n v="0"/>
    <n v="1"/>
    <s v="https://www.clickideacore.com/ClickHTML5/Visit.aspx?ID=//50DAEwASwAzADMANgA5ADUANwAzADUASQBEAEUAQQA9=&amp;Tipo=2&amp;ST=1&amp;nLang=0"/>
    <n v="0"/>
    <n v="0"/>
    <n v="0"/>
    <n v="0"/>
    <n v="0"/>
    <n v="0"/>
    <n v="0"/>
    <n v="0"/>
  </r>
  <r>
    <x v="1"/>
    <x v="1"/>
    <s v="OP-DYR-004"/>
    <x v="33"/>
    <d v="2025-05-25T00:00:00"/>
    <n v="24"/>
    <x v="0"/>
    <n v="0"/>
    <n v="0"/>
    <n v="0"/>
    <n v="0"/>
    <n v="0"/>
    <n v="0"/>
    <n v="0"/>
    <n v="0"/>
    <n v="1"/>
    <n v="1"/>
    <n v="0"/>
    <n v="1"/>
    <s v="https://www.clickideacore.com/ClickHTML5/Visit.aspx?ID=//58DAEwASwAzADMANgA5ADQAOAAwADMASQBEAEUAQQAB=&amp;Tipo=2&amp;ST=1&amp;nLang=0"/>
    <n v="0"/>
    <n v="0"/>
    <n v="0"/>
    <n v="0"/>
    <n v="0"/>
    <n v="0"/>
    <n v="0"/>
    <n v="0"/>
  </r>
  <r>
    <x v="2"/>
    <x v="2"/>
    <s v="OP-S-200"/>
    <x v="33"/>
    <d v="2025-05-25T00:00:00"/>
    <n v="21"/>
    <x v="0"/>
    <n v="0"/>
    <n v="0"/>
    <n v="0"/>
    <n v="0"/>
    <n v="0"/>
    <n v="0"/>
    <n v="0"/>
    <n v="0"/>
    <n v="1"/>
    <n v="1"/>
    <n v="0"/>
    <n v="1"/>
    <s v="https://www.clickideacore.com/ClickHTML5/Visit.aspx?ID=//5EDAEwASwAzADMANgA5ADQAMwAxADAASQBEAEUAQQAC=&amp;Tipo=2&amp;ST=1&amp;nLang=0"/>
    <n v="16"/>
    <n v="0"/>
    <n v="0"/>
    <n v="0"/>
    <n v="0"/>
    <n v="0"/>
    <n v="0"/>
    <n v="0"/>
  </r>
  <r>
    <x v="3"/>
    <x v="3"/>
    <s v="OP-S-076"/>
    <x v="33"/>
    <d v="2025-05-25T00:00:00"/>
    <n v="74"/>
    <x v="0"/>
    <n v="0"/>
    <n v="0"/>
    <n v="0"/>
    <n v="0"/>
    <n v="0"/>
    <n v="0"/>
    <n v="0"/>
    <n v="0"/>
    <n v="1"/>
    <n v="1"/>
    <n v="0"/>
    <n v="1"/>
    <s v="https://www.clickideacore.com/ClickHTML5/Visit.aspx?ID=//58DAEwASwAzADMANgA5ADUAMAAyADAASQBEAEUAQQA7=&amp;Tipo=2&amp;ST=1&amp;nLang=0"/>
    <n v="0"/>
    <n v="0"/>
    <n v="0"/>
    <n v="0"/>
    <n v="0"/>
    <n v="0"/>
    <n v="0"/>
    <n v="0"/>
  </r>
  <r>
    <x v="4"/>
    <x v="8"/>
    <s v="OP-DYR-005"/>
    <x v="33"/>
    <d v="2025-05-25T00:00:00"/>
    <n v="113"/>
    <x v="0"/>
    <n v="0"/>
    <n v="0"/>
    <n v="0"/>
    <n v="0"/>
    <n v="0"/>
    <n v="0"/>
    <n v="0"/>
    <n v="0"/>
    <n v="0"/>
    <n v="5"/>
    <n v="0"/>
    <n v="1"/>
    <s v="https://www.clickideacore.com/ClickHTML5/Visit.aspx?ID=//54DAEwASwAzADMANgA4ADYAMQA0ADMASQBEAEUAQQA3=&amp;Tipo=2&amp;ST=1&amp;nLang=0"/>
    <n v="16"/>
    <n v="0"/>
    <n v="0"/>
    <n v="0"/>
    <n v="0"/>
    <n v="0"/>
    <n v="0"/>
    <n v="1"/>
  </r>
  <r>
    <x v="0"/>
    <x v="0"/>
    <s v="OP-S-100"/>
    <x v="34"/>
    <d v="2025-05-26T00:00:00"/>
    <n v="51"/>
    <x v="0"/>
    <n v="3"/>
    <n v="0"/>
    <n v="1"/>
    <n v="0"/>
    <n v="0"/>
    <n v="0"/>
    <n v="1"/>
    <n v="0"/>
    <n v="0"/>
    <n v="0"/>
    <n v="0"/>
    <n v="0"/>
    <s v="https://www.clickideacore.com/ClickHTML5/Visit.aspx?ID=//50DAEwASwAzADMANwAwADgANQA5ADYASQBEAEUAQQAA=&amp;Tipo=2&amp;ST=1&amp;nLang=0"/>
    <n v="0"/>
    <n v="0"/>
    <n v="0"/>
    <n v="0"/>
    <n v="0"/>
    <n v="0"/>
    <n v="0"/>
    <n v="0"/>
  </r>
  <r>
    <x v="1"/>
    <x v="1"/>
    <s v="OP-DYR-004"/>
    <x v="34"/>
    <d v="2025-05-26T00:00:00"/>
    <n v="19"/>
    <x v="0"/>
    <n v="7"/>
    <n v="0"/>
    <n v="0"/>
    <n v="0"/>
    <n v="0"/>
    <n v="0"/>
    <n v="0"/>
    <n v="0"/>
    <n v="0"/>
    <n v="0"/>
    <n v="0"/>
    <n v="0"/>
    <s v="https://www.clickideacore.com/ClickHTML5/Visit.aspx?ID=//53DAEwASwAzADMANwAxADQANAAzADMASQBEAEUAQQA2=&amp;Tipo=2&amp;ST=1&amp;nLang=0"/>
    <n v="0"/>
    <n v="2"/>
    <n v="0"/>
    <n v="0"/>
    <n v="0"/>
    <n v="0"/>
    <n v="0"/>
    <n v="0"/>
  </r>
  <r>
    <x v="5"/>
    <x v="4"/>
    <s v="OP-DYR-004"/>
    <x v="34"/>
    <d v="2025-05-26T00:00:00"/>
    <n v="19"/>
    <x v="0"/>
    <n v="0"/>
    <n v="0"/>
    <n v="0"/>
    <n v="0"/>
    <n v="0"/>
    <n v="0"/>
    <n v="1"/>
    <n v="0"/>
    <n v="0"/>
    <n v="0"/>
    <n v="0"/>
    <n v="0"/>
    <s v="https://www.clickideacore.com/ClickHTML5/Visit.aspx?ID=//53DAEwASwAzADMANwAxADQANAAzADMASQBEAEUAQQA2=&amp;Tipo=2&amp;ST=1&amp;nLang=0"/>
    <n v="0"/>
    <n v="10"/>
    <n v="0"/>
    <n v="0"/>
    <n v="0"/>
    <n v="0"/>
    <n v="0"/>
    <n v="0"/>
  </r>
  <r>
    <x v="4"/>
    <x v="8"/>
    <s v="OP-DYR-004"/>
    <x v="34"/>
    <d v="2025-05-26T00:00:00"/>
    <n v="19"/>
    <x v="4"/>
    <n v="0"/>
    <n v="0"/>
    <n v="0"/>
    <n v="0"/>
    <n v="0"/>
    <n v="0"/>
    <n v="0"/>
    <n v="0"/>
    <n v="0"/>
    <n v="0"/>
    <n v="0"/>
    <n v="0"/>
    <s v="https://www.clickideacore.com/ClickHTML5/Visit.aspx?ID=//53DAEwASwAzADMANwAxADQANAAzADMASQBEAEUAQQA2=&amp;Tipo=2&amp;ST=1&amp;nLang=0"/>
    <n v="0"/>
    <n v="0"/>
    <n v="0"/>
    <n v="0"/>
    <n v="0"/>
    <n v="0"/>
    <n v="0"/>
    <n v="0"/>
  </r>
  <r>
    <x v="10"/>
    <x v="6"/>
    <s v="OP-DYR-004"/>
    <x v="34"/>
    <d v="2025-05-26T00:00:00"/>
    <n v="19"/>
    <x v="4"/>
    <n v="0"/>
    <n v="0"/>
    <n v="0"/>
    <n v="0"/>
    <n v="0"/>
    <n v="0"/>
    <n v="0"/>
    <n v="0"/>
    <n v="0"/>
    <n v="0"/>
    <n v="0"/>
    <n v="0"/>
    <s v="https://www.clickideacore.com/ClickHTML5/Visit.aspx?ID=//53DAEwASwAzADMANwAxADQANAAzADMASQBEAEUAQQA2=&amp;Tipo=2&amp;ST=1&amp;nLang=0"/>
    <n v="0"/>
    <n v="0"/>
    <n v="0"/>
    <n v="0"/>
    <n v="0"/>
    <n v="0"/>
    <n v="0"/>
    <n v="0"/>
  </r>
  <r>
    <x v="2"/>
    <x v="2"/>
    <s v="OP-DYR-004"/>
    <x v="34"/>
    <d v="2025-05-26T00:00:00"/>
    <n v="19"/>
    <x v="0"/>
    <n v="10"/>
    <n v="0"/>
    <n v="0"/>
    <n v="0"/>
    <n v="0"/>
    <n v="0"/>
    <n v="0"/>
    <n v="0"/>
    <n v="0"/>
    <n v="0"/>
    <n v="0"/>
    <n v="0"/>
    <s v="https://www.clickideacore.com/ClickHTML5/Visit.aspx?ID=//53DAEwASwAzADMANwAxADQANAAzADMASQBEAEUAQQA2=&amp;Tipo=2&amp;ST=1&amp;nLang=0"/>
    <n v="0"/>
    <n v="0"/>
    <n v="0"/>
    <n v="0"/>
    <n v="0"/>
    <n v="0"/>
    <n v="0"/>
    <n v="0"/>
  </r>
  <r>
    <x v="3"/>
    <x v="3"/>
    <s v="OP-DYR-004"/>
    <x v="34"/>
    <d v="2025-05-26T00:00:00"/>
    <n v="19"/>
    <x v="4"/>
    <n v="0"/>
    <n v="0"/>
    <n v="0"/>
    <n v="0"/>
    <n v="0"/>
    <n v="0"/>
    <n v="0"/>
    <n v="0"/>
    <n v="0"/>
    <n v="0"/>
    <n v="0"/>
    <n v="0"/>
    <s v="https://www.clickideacore.com/ClickHTML5/Visit.aspx?ID=//53DAEwASwAzADMANwAxADQANAAzADMASQBEAEUAQQA2=&amp;Tipo=2&amp;ST=1&amp;nLang=0"/>
    <n v="0"/>
    <n v="0"/>
    <n v="0"/>
    <n v="0"/>
    <n v="0"/>
    <n v="0"/>
    <n v="0"/>
    <n v="0"/>
  </r>
  <r>
    <x v="7"/>
    <x v="6"/>
    <n v="0"/>
    <x v="34"/>
    <d v="2025-05-2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4"/>
    <d v="2025-05-2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4"/>
    <d v="2025-05-2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35"/>
    <d v="2025-05-27T00:00:00"/>
    <n v="28"/>
    <x v="0"/>
    <n v="24"/>
    <n v="0"/>
    <n v="0"/>
    <n v="1"/>
    <n v="0"/>
    <n v="0"/>
    <n v="0"/>
    <n v="0"/>
    <n v="0"/>
    <n v="0"/>
    <n v="0"/>
    <n v="0"/>
    <s v="https://www.clickideacore.com/ClickHTML5/Visit.aspx?ID=//59DAEwASwAzADMANwAzADMANgAyADcASQBEAEUAQQAA=&amp;Tipo=2&amp;ST=1&amp;nLang=0"/>
    <n v="0"/>
    <n v="0"/>
    <n v="0"/>
    <n v="0"/>
    <n v="0"/>
    <n v="0"/>
    <n v="0"/>
    <n v="0"/>
  </r>
  <r>
    <x v="3"/>
    <x v="1"/>
    <s v="OP-S-076"/>
    <x v="35"/>
    <d v="2025-05-27T00:00:00"/>
    <n v="32"/>
    <x v="0"/>
    <n v="18"/>
    <n v="0"/>
    <n v="0"/>
    <n v="1"/>
    <n v="0"/>
    <n v="0"/>
    <n v="0"/>
    <n v="0"/>
    <n v="0"/>
    <n v="0"/>
    <n v="0"/>
    <n v="0"/>
    <s v="https://www.clickideacore.com/ClickHTML5/Visit.aspx?ID=//56DAEwASwAzADMANwAzADYAMAA0ADYASQBEAEUAQQA1=&amp;Tipo=2&amp;ST=1&amp;nLang=0"/>
    <n v="0"/>
    <n v="0"/>
    <n v="0"/>
    <n v="0"/>
    <n v="0"/>
    <n v="0"/>
    <n v="0"/>
    <n v="0"/>
  </r>
  <r>
    <x v="4"/>
    <x v="4"/>
    <s v="OP-DYR-005"/>
    <x v="35"/>
    <d v="2025-05-27T00:00:00"/>
    <n v="157"/>
    <x v="0"/>
    <n v="36"/>
    <n v="0"/>
    <n v="0"/>
    <n v="1"/>
    <n v="0"/>
    <n v="1"/>
    <n v="0"/>
    <n v="0"/>
    <n v="0"/>
    <n v="0"/>
    <n v="0"/>
    <n v="0"/>
    <s v="https://www.clickideacore.com/ClickHTML5/Visit.aspx?ID=//5CDAEwASwAzADMANwAzADgAMQAzADAASQBEAEUAQQAF=&amp;Tipo=2&amp;ST=1&amp;nLang=0"/>
    <n v="0"/>
    <n v="4"/>
    <n v="0"/>
    <n v="0"/>
    <n v="0"/>
    <n v="0"/>
    <n v="0"/>
    <n v="0"/>
  </r>
  <r>
    <x v="2"/>
    <x v="2"/>
    <s v="OP-DYR-005"/>
    <x v="35"/>
    <d v="2025-05-27T00:00:00"/>
    <n v="157"/>
    <x v="0"/>
    <n v="14"/>
    <n v="0"/>
    <n v="0"/>
    <n v="0"/>
    <n v="1"/>
    <n v="0"/>
    <n v="0"/>
    <n v="0"/>
    <n v="0"/>
    <n v="0"/>
    <n v="0"/>
    <n v="0"/>
    <s v="https://www.clickideacore.com/ClickHTML5/Visit.aspx?ID=//5CDAEwASwAzADMANwAzADgAMQAzADAASQBEAEUAQQAF=&amp;Tipo=2&amp;ST=1&amp;nLang=0"/>
    <n v="0"/>
    <n v="0"/>
    <n v="0"/>
    <n v="0"/>
    <n v="0"/>
    <n v="0"/>
    <n v="0"/>
    <n v="0"/>
  </r>
  <r>
    <x v="5"/>
    <x v="3"/>
    <s v="OP-DYR-005"/>
    <x v="35"/>
    <d v="2025-05-27T00:00:00"/>
    <n v="157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MANwAzADgAMQAzADAASQBEAEUAQQAF=&amp;Tipo=2&amp;ST=1&amp;nLang=0"/>
    <n v="0"/>
    <n v="0"/>
    <n v="0"/>
    <n v="0"/>
    <n v="0"/>
    <n v="0"/>
    <n v="0"/>
    <n v="0"/>
  </r>
  <r>
    <x v="1"/>
    <x v="6"/>
    <n v="0"/>
    <x v="35"/>
    <d v="2025-05-2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0"/>
    <x v="0"/>
    <n v="0"/>
    <x v="35"/>
    <d v="2025-05-2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7"/>
    <x v="6"/>
    <n v="0"/>
    <x v="35"/>
    <d v="2025-05-2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5"/>
    <d v="2025-05-2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5"/>
    <d v="2025-05-2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36"/>
    <d v="2025-05-28T00:00:00"/>
    <n v="20"/>
    <x v="0"/>
    <n v="28"/>
    <n v="0"/>
    <n v="0"/>
    <n v="1"/>
    <n v="0"/>
    <n v="0"/>
    <n v="0"/>
    <n v="0"/>
    <n v="0"/>
    <n v="0"/>
    <n v="0"/>
    <n v="0"/>
    <s v="https://www.clickideacore.com/ClickHTML5/Visit.aspx?ID=//55DAEwASwAzADMANwA2ADEAMgAyADQASQBEAEUAQQA8=&amp;Tipo=2&amp;ST=1&amp;nLang=0"/>
    <n v="0"/>
    <n v="0"/>
    <n v="0"/>
    <n v="0"/>
    <n v="0"/>
    <n v="0"/>
    <n v="0"/>
    <n v="0"/>
  </r>
  <r>
    <x v="0"/>
    <x v="0"/>
    <s v="OP-S-100"/>
    <x v="36"/>
    <d v="2025-05-28T00:00:00"/>
    <n v="25"/>
    <x v="0"/>
    <n v="35"/>
    <n v="0"/>
    <n v="0"/>
    <n v="1"/>
    <n v="0"/>
    <n v="0"/>
    <n v="0"/>
    <n v="0"/>
    <n v="0"/>
    <n v="0"/>
    <n v="0"/>
    <n v="0"/>
    <s v="https://www.clickideacore.com/ClickHTML5/Visit.aspx?ID=//5CDAEwASwAzADMANwA1ADgANwA3ADYASQBEAEUAQQA9=&amp;Tipo=2&amp;ST=1&amp;nLang=0"/>
    <n v="0"/>
    <n v="3"/>
    <n v="0"/>
    <n v="0"/>
    <n v="0"/>
    <n v="0"/>
    <n v="0"/>
    <n v="0"/>
  </r>
  <r>
    <x v="1"/>
    <x v="1"/>
    <s v="OP-DYR-004"/>
    <x v="36"/>
    <d v="2025-05-28T00:00:00"/>
    <n v="20"/>
    <x v="0"/>
    <n v="28"/>
    <n v="0"/>
    <n v="0"/>
    <n v="1"/>
    <n v="0"/>
    <n v="0"/>
    <n v="0"/>
    <n v="0"/>
    <n v="0"/>
    <n v="0"/>
    <n v="0"/>
    <n v="0"/>
    <s v="https://www.clickideacore.com/ClickHTML5/Visit.aspx?ID=//5FDAEwASwAzADMANwA2ADAAMAA3ADYASQBEAEUAQQA5=&amp;Tipo=2&amp;ST=1&amp;nLang=0"/>
    <n v="0"/>
    <n v="0"/>
    <n v="0"/>
    <n v="0"/>
    <n v="0"/>
    <n v="0"/>
    <n v="0"/>
    <n v="0"/>
  </r>
  <r>
    <x v="2"/>
    <x v="2"/>
    <s v="OP-S-200"/>
    <x v="36"/>
    <d v="2025-05-28T00:00:00"/>
    <n v="23"/>
    <x v="0"/>
    <n v="18"/>
    <n v="0"/>
    <n v="0"/>
    <n v="0"/>
    <n v="1"/>
    <n v="1"/>
    <n v="0"/>
    <n v="0"/>
    <n v="0"/>
    <n v="0"/>
    <n v="0"/>
    <n v="0"/>
    <s v="https://www.clickideacore.com/ClickHTML5/Visit.aspx?ID=//5EDAEwASwAzADMANwA1ADUAOQAzADUASQBEAEUAQQA9=&amp;Tipo=2&amp;ST=1&amp;nLang=0"/>
    <n v="0"/>
    <n v="0"/>
    <n v="0"/>
    <n v="0"/>
    <n v="0"/>
    <n v="0"/>
    <n v="0"/>
    <n v="0"/>
  </r>
  <r>
    <x v="3"/>
    <x v="3"/>
    <s v="OP-S-076"/>
    <x v="36"/>
    <d v="2025-05-28T00:00:00"/>
    <n v="50"/>
    <x v="0"/>
    <n v="24"/>
    <n v="0"/>
    <n v="0"/>
    <n v="1"/>
    <n v="0"/>
    <n v="0"/>
    <n v="0"/>
    <n v="0"/>
    <n v="0"/>
    <n v="0"/>
    <n v="0"/>
    <n v="0"/>
    <s v="https://www.clickideacore.com/ClickHTML5/Visit.aspx?ID=//50DAEwASwAzADMANwA1ADcAMQA4ADUASQBEAEUAQQAC=&amp;Tipo=2&amp;ST=1&amp;nLang=0"/>
    <n v="0"/>
    <n v="0"/>
    <n v="0"/>
    <n v="0"/>
    <n v="0"/>
    <n v="0"/>
    <n v="0"/>
    <n v="0"/>
  </r>
  <r>
    <x v="5"/>
    <x v="6"/>
    <n v="0"/>
    <x v="36"/>
    <d v="2025-05-28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4"/>
    <x v="4"/>
    <n v="0"/>
    <x v="36"/>
    <d v="2025-05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7"/>
    <x v="6"/>
    <n v="0"/>
    <x v="36"/>
    <d v="2025-05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6"/>
    <d v="2025-05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6"/>
    <d v="2025-05-2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4"/>
    <s v="OP-DYR-011"/>
    <x v="37"/>
    <d v="2025-05-29T00:00:00"/>
    <n v="50"/>
    <x v="0"/>
    <n v="24"/>
    <n v="0"/>
    <n v="1"/>
    <n v="1"/>
    <n v="0"/>
    <n v="0"/>
    <n v="0"/>
    <n v="0"/>
    <n v="0"/>
    <n v="0"/>
    <n v="0"/>
    <n v="0"/>
    <s v="https://www.clickideacore.com/ClickHTML5/Visit.aspx?ID=//50DAEwASwAzADMANwA3ADkANgA3ADQASQBEAEUAQQA6=&amp;Tipo=2&amp;ST=1&amp;nLang=0"/>
    <n v="0"/>
    <n v="0"/>
    <n v="0"/>
    <n v="0"/>
    <n v="0"/>
    <n v="0"/>
    <n v="0"/>
    <n v="0"/>
  </r>
  <r>
    <x v="5"/>
    <x v="3"/>
    <s v="OP-S-005"/>
    <x v="37"/>
    <d v="2025-05-29T00:00:00"/>
    <n v="78"/>
    <x v="0"/>
    <n v="39"/>
    <n v="0"/>
    <n v="0"/>
    <n v="1"/>
    <n v="0"/>
    <n v="1"/>
    <n v="0"/>
    <n v="0"/>
    <n v="0"/>
    <n v="0"/>
    <n v="0"/>
    <n v="0"/>
    <s v="https://www.clickideacore.com/ClickHTML5/Visit.aspx?ID=//55DAEwASwAzADMANwA4ADQANwA0ADAASQBEAEUAQQA9=&amp;Tipo=2&amp;ST=1&amp;nLang=0"/>
    <n v="0"/>
    <n v="0"/>
    <n v="0"/>
    <n v="0"/>
    <n v="0"/>
    <n v="0"/>
    <n v="0"/>
    <n v="0"/>
  </r>
  <r>
    <x v="0"/>
    <x v="0"/>
    <s v="OP-S-100"/>
    <x v="37"/>
    <d v="2025-05-29T00:00:00"/>
    <n v="35"/>
    <x v="0"/>
    <n v="30"/>
    <n v="0"/>
    <n v="0"/>
    <n v="1"/>
    <n v="0"/>
    <n v="0"/>
    <n v="0"/>
    <n v="0"/>
    <n v="0"/>
    <n v="0"/>
    <n v="0"/>
    <n v="0"/>
    <s v="https://www.clickideacore.com/ClickHTML5/Visit.aspx?ID=//54DAEwASwAzADMANwA4ADEANwA0ADIASQBEAEUAQQAB=&amp;Tipo=2&amp;ST=1&amp;nLang=0"/>
    <n v="0"/>
    <n v="0"/>
    <n v="0"/>
    <n v="0"/>
    <n v="0"/>
    <n v="0"/>
    <n v="0"/>
    <n v="0"/>
  </r>
  <r>
    <x v="1"/>
    <x v="1"/>
    <s v="OP-DYR-004"/>
    <x v="37"/>
    <d v="2025-05-29T00:00:00"/>
    <n v="39"/>
    <x v="0"/>
    <n v="29"/>
    <n v="0"/>
    <n v="0"/>
    <n v="1"/>
    <n v="0"/>
    <n v="0"/>
    <n v="0"/>
    <n v="0"/>
    <n v="0"/>
    <n v="0"/>
    <n v="0"/>
    <n v="0"/>
    <s v="https://www.clickideacore.com/ClickHTML5/Visit.aspx?ID=//5EDAEwASwAzADMANwA4ADQANQA0ADIASQBEAEUAQQAD=&amp;Tipo=2&amp;ST=1&amp;nLang=0"/>
    <n v="0"/>
    <n v="0"/>
    <n v="0"/>
    <n v="0"/>
    <n v="0"/>
    <n v="0"/>
    <n v="0"/>
    <n v="0"/>
  </r>
  <r>
    <x v="2"/>
    <x v="2"/>
    <s v="OP-S-200"/>
    <x v="37"/>
    <d v="2025-05-29T00:00:00"/>
    <n v="22"/>
    <x v="0"/>
    <n v="16"/>
    <n v="0"/>
    <n v="0"/>
    <n v="0"/>
    <n v="1"/>
    <n v="0"/>
    <n v="0"/>
    <n v="0"/>
    <n v="0"/>
    <n v="0"/>
    <n v="0"/>
    <n v="0"/>
    <s v="https://www.clickideacore.com/ClickHTML5/Visit.aspx?ID=//51DAEwASwAzADMANwA4ADEAMwAyADIASQBEAEUAQQA6=&amp;Tipo=2&amp;ST=1&amp;nLang=0"/>
    <n v="0"/>
    <n v="0"/>
    <n v="0"/>
    <n v="0"/>
    <n v="0"/>
    <n v="0"/>
    <n v="0"/>
    <n v="0"/>
  </r>
  <r>
    <x v="4"/>
    <x v="8"/>
    <s v="OP-DYR-005"/>
    <x v="37"/>
    <d v="2025-05-29T00:00:00"/>
    <n v="23"/>
    <x v="0"/>
    <n v="5"/>
    <n v="0"/>
    <n v="0"/>
    <n v="0"/>
    <n v="0"/>
    <n v="1"/>
    <n v="1"/>
    <n v="0"/>
    <n v="0"/>
    <n v="0"/>
    <n v="0"/>
    <n v="0"/>
    <s v="https://www.clickideacore.com/ClickHTML5/Visit.aspx?ID=//55DAEwASwAzADMANwA3ADgANAA2ADkASQBEAEUAQQAE=&amp;Tipo=2&amp;ST=1&amp;nLang=0"/>
    <n v="0"/>
    <n v="0"/>
    <n v="0"/>
    <n v="0"/>
    <n v="0"/>
    <n v="0"/>
    <n v="0"/>
    <n v="0"/>
  </r>
  <r>
    <x v="3"/>
    <x v="6"/>
    <n v="0"/>
    <x v="37"/>
    <d v="2025-05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ADAEwASwAzADMANQA2ADUANwAyADMASQBEAEUAQQAD=&amp;Tipo=2&amp;ST=1&amp;nLang=0"/>
    <n v="0"/>
    <n v="0"/>
    <n v="0"/>
    <n v="0"/>
    <n v="0"/>
    <n v="0"/>
    <n v="0"/>
    <n v="0"/>
  </r>
  <r>
    <x v="7"/>
    <x v="6"/>
    <n v="0"/>
    <x v="37"/>
    <d v="2025-05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7"/>
    <d v="2025-05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7"/>
    <d v="2025-05-2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4"/>
    <s v="OP-DYR-011"/>
    <x v="38"/>
    <d v="2025-05-30T00:00:00"/>
    <n v="76"/>
    <x v="0"/>
    <n v="25"/>
    <n v="0"/>
    <n v="0"/>
    <n v="1"/>
    <n v="0"/>
    <n v="0"/>
    <n v="0"/>
    <n v="0"/>
    <n v="0"/>
    <n v="0"/>
    <n v="0"/>
    <n v="0"/>
    <s v="https://www.clickideacore.com/ClickHTML5/Visit.aspx?ID=//50DAEwASwAzADMAOAAwADAAOQA2ADkASQBEAEUAQQAE=&amp;Tipo=2&amp;ST=1&amp;nLang=0"/>
    <n v="0"/>
    <n v="22"/>
    <n v="0"/>
    <n v="0"/>
    <n v="0"/>
    <n v="0"/>
    <n v="0"/>
    <n v="0"/>
  </r>
  <r>
    <x v="0"/>
    <x v="0"/>
    <s v="OP-S-100"/>
    <x v="38"/>
    <d v="2025-05-30T00:00:00"/>
    <n v="34"/>
    <x v="0"/>
    <n v="30"/>
    <n v="0"/>
    <n v="0"/>
    <n v="1"/>
    <n v="0"/>
    <n v="0"/>
    <n v="0"/>
    <n v="0"/>
    <n v="0"/>
    <n v="0"/>
    <n v="0"/>
    <n v="0"/>
    <s v="https://www.clickideacore.com/ClickHTML5/Visit.aspx?ID=//5CDAEwASwAzADMAOAAwADQAMgAyADcASQBEAEUAQQA4=&amp;Tipo=2&amp;ST=1&amp;nLang=0"/>
    <n v="0"/>
    <n v="22"/>
    <n v="0"/>
    <n v="0"/>
    <n v="0"/>
    <n v="0"/>
    <n v="0"/>
    <n v="0"/>
  </r>
  <r>
    <x v="1"/>
    <x v="6"/>
    <s v="OP-DYR-004"/>
    <x v="38"/>
    <d v="2025-05-30T00:00:00"/>
    <n v="17"/>
    <x v="0"/>
    <n v="18"/>
    <n v="0"/>
    <n v="0"/>
    <n v="1"/>
    <n v="0"/>
    <n v="0"/>
    <n v="0"/>
    <n v="0"/>
    <n v="0"/>
    <n v="0"/>
    <n v="0"/>
    <n v="0"/>
    <s v="https://www.clickideacore.com/ClickHTML5/Visit.aspx?ID=//56DAEwASwAzADMAOAAwADUAOAAxADQASQBEAEUAQQA8=&amp;Tipo=2&amp;ST=1&amp;nLang=0"/>
    <n v="0"/>
    <n v="20"/>
    <n v="0"/>
    <n v="0"/>
    <n v="0"/>
    <n v="0"/>
    <n v="0"/>
    <n v="0"/>
  </r>
  <r>
    <x v="9"/>
    <x v="1"/>
    <s v="OP-S-076"/>
    <x v="38"/>
    <d v="2025-05-30T00:00:00"/>
    <n v="32"/>
    <x v="0"/>
    <n v="20"/>
    <n v="0"/>
    <n v="0"/>
    <n v="1"/>
    <n v="0"/>
    <n v="1"/>
    <n v="0"/>
    <n v="0"/>
    <n v="0"/>
    <n v="0"/>
    <n v="0"/>
    <n v="0"/>
    <s v="https://www.clickideacore.com/ClickHTML5/Visit.aspx?ID=//55DAEwASwAzADMAOAAwADMANwAzADgASQBEAEUAQQA8=&amp;Tipo=2&amp;ST=1&amp;nLang=0"/>
    <n v="0"/>
    <n v="20"/>
    <n v="0"/>
    <n v="0"/>
    <n v="0"/>
    <n v="0"/>
    <n v="0"/>
    <n v="0"/>
  </r>
  <r>
    <x v="3"/>
    <x v="8"/>
    <s v="OP-S-076"/>
    <x v="38"/>
    <d v="2025-05-30T00:00:00"/>
    <n v="32"/>
    <x v="0"/>
    <n v="20"/>
    <n v="0"/>
    <n v="0"/>
    <n v="0"/>
    <n v="1"/>
    <n v="1"/>
    <n v="0"/>
    <n v="0"/>
    <n v="0"/>
    <n v="0"/>
    <n v="0"/>
    <n v="0"/>
    <s v="https://www.clickideacore.com/ClickHTML5/Visit.aspx?ID=//55DAEwASwAzADMAOAAwADMANwAzADgASQBEAEUAQQA8=&amp;Tipo=2&amp;ST=1&amp;nLang=0"/>
    <n v="0"/>
    <n v="22"/>
    <n v="0"/>
    <n v="0"/>
    <n v="0"/>
    <n v="0"/>
    <n v="0"/>
    <n v="0"/>
  </r>
  <r>
    <x v="5"/>
    <x v="6"/>
    <s v="OP-S-076"/>
    <x v="38"/>
    <d v="2025-05-30T00:00:00"/>
    <n v="32"/>
    <x v="0"/>
    <n v="16"/>
    <n v="0"/>
    <n v="0"/>
    <n v="1"/>
    <n v="0"/>
    <n v="0"/>
    <n v="0"/>
    <n v="0"/>
    <n v="0"/>
    <n v="0"/>
    <n v="0"/>
    <n v="0"/>
    <s v="https://www.clickideacore.com/ClickHTML5/Visit.aspx?ID=//55DAEwASwAzADMAOAAwADMANwAzADgASQBEAEUAQQA8=&amp;Tipo=2&amp;ST=1&amp;nLang=0"/>
    <n v="0"/>
    <n v="20"/>
    <n v="0"/>
    <n v="0"/>
    <n v="0"/>
    <n v="0"/>
    <n v="0"/>
    <n v="0"/>
  </r>
  <r>
    <x v="9"/>
    <x v="3"/>
    <s v="OP-S-076"/>
    <x v="38"/>
    <d v="2025-05-30T00:00:00"/>
    <n v="32"/>
    <x v="0"/>
    <n v="8"/>
    <n v="0"/>
    <n v="0"/>
    <n v="1"/>
    <n v="0"/>
    <n v="0"/>
    <n v="0"/>
    <n v="0"/>
    <n v="0"/>
    <n v="0"/>
    <n v="0"/>
    <n v="0"/>
    <s v="https://www.clickideacore.com/ClickHTML5/Visit.aspx?ID=//55DAEwASwAzADMAOAAwADMANwAzADgASQBEAEUAQQA8=&amp;Tipo=2&amp;ST=1&amp;nLang=0"/>
    <n v="0"/>
    <n v="0"/>
    <n v="0"/>
    <n v="0"/>
    <n v="0"/>
    <n v="0"/>
    <n v="0"/>
    <n v="0"/>
  </r>
  <r>
    <x v="9"/>
    <x v="17"/>
    <s v="OP-S-076"/>
    <x v="38"/>
    <d v="2025-05-30T00:00:00"/>
    <n v="32"/>
    <x v="0"/>
    <n v="8"/>
    <n v="0"/>
    <n v="0"/>
    <n v="1"/>
    <n v="0"/>
    <n v="0"/>
    <n v="0"/>
    <n v="0"/>
    <n v="0"/>
    <n v="0"/>
    <n v="0"/>
    <n v="0"/>
    <s v="https://www.clickideacore.com/ClickHTML5/Visit.aspx?ID=//55DAEwASwAzADMAOAAwADMANwAzADgASQBEAEUAQQA8=&amp;Tipo=2&amp;ST=1&amp;nLang=0"/>
    <n v="0"/>
    <n v="20"/>
    <n v="0"/>
    <n v="0"/>
    <n v="0"/>
    <n v="0"/>
    <n v="0"/>
    <n v="0"/>
  </r>
  <r>
    <x v="4"/>
    <x v="6"/>
    <n v="0"/>
    <x v="38"/>
    <d v="2025-05-3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n v="0"/>
    <x v="38"/>
    <d v="2025-05-3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38"/>
    <d v="2025-05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38"/>
    <d v="2025-05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38"/>
    <d v="2025-05-3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5"/>
    <s v="OP-S-005"/>
    <x v="39"/>
    <d v="2025-05-31T00:00:00"/>
    <n v="45"/>
    <x v="0"/>
    <n v="0"/>
    <n v="0"/>
    <n v="0"/>
    <n v="0"/>
    <n v="0"/>
    <n v="0"/>
    <n v="0"/>
    <n v="1"/>
    <n v="0"/>
    <n v="0"/>
    <n v="1"/>
    <n v="0"/>
    <s v="https://www.clickideacore.com/ClickHTML5/Visit.aspx?ID=//59DAEwASwAzADMAOAAyADEAMQAzADUASQBEAEUAQQA5=&amp;Tipo=2&amp;ST=1&amp;nLang=0"/>
    <n v="12"/>
    <n v="0"/>
    <n v="0"/>
    <n v="0"/>
    <n v="0"/>
    <n v="0"/>
    <n v="0"/>
    <n v="0"/>
  </r>
  <r>
    <x v="1"/>
    <x v="4"/>
    <s v="OP-DYR-004"/>
    <x v="39"/>
    <d v="2025-05-31T00:00:00"/>
    <n v="44"/>
    <x v="0"/>
    <n v="0"/>
    <n v="0"/>
    <n v="0"/>
    <n v="0"/>
    <n v="0"/>
    <n v="0"/>
    <n v="0"/>
    <n v="1"/>
    <n v="0"/>
    <n v="4"/>
    <n v="1"/>
    <n v="0"/>
    <s v="https://www.clickideacore.com/ClickHTML5/Visit.aspx?ID=//50DAEwASwAzADMAOAAyADAAOQAzADQASQBEAEUAQQAE=&amp;Tipo=2&amp;ST=1&amp;nLang=0"/>
    <n v="14"/>
    <n v="0"/>
    <n v="0"/>
    <n v="0"/>
    <n v="0"/>
    <n v="0"/>
    <n v="0"/>
    <n v="0"/>
  </r>
  <r>
    <x v="2"/>
    <x v="2"/>
    <s v="OP-S-200"/>
    <x v="39"/>
    <d v="2025-05-31T00:00:00"/>
    <n v="23"/>
    <x v="0"/>
    <n v="0"/>
    <n v="0"/>
    <n v="0"/>
    <n v="0"/>
    <n v="0"/>
    <n v="0"/>
    <n v="0"/>
    <n v="0"/>
    <n v="0"/>
    <n v="6"/>
    <n v="1"/>
    <n v="0"/>
    <s v="https://www.clickideacore.com/ClickHTML5/Visit.aspx?ID=//51DAEwASwAzADMAOAAyADAAMgAyADgASQBEAEUAQQA1=&amp;Tipo=2&amp;ST=1&amp;nLang=0"/>
    <n v="15"/>
    <n v="0"/>
    <n v="0"/>
    <n v="0"/>
    <n v="0"/>
    <n v="0"/>
    <n v="1"/>
    <n v="0"/>
  </r>
  <r>
    <x v="12"/>
    <x v="10"/>
    <s v="OP-S-DYR-009"/>
    <x v="39"/>
    <d v="2025-05-31T00:00:00"/>
    <n v="18"/>
    <x v="0"/>
    <n v="0"/>
    <n v="0"/>
    <n v="0"/>
    <n v="0"/>
    <n v="0"/>
    <n v="0"/>
    <n v="0"/>
    <n v="1"/>
    <n v="0"/>
    <n v="0"/>
    <n v="1"/>
    <n v="0"/>
    <s v="https://www.clickideacore.com/ClickHTML5/Visit.aspx?ID=//54DAEwASwAzADMAOAAyADAAMAAwADAASQBEAEUAQQA0=&amp;Tipo=2&amp;ST=1&amp;nLang=0"/>
    <n v="0"/>
    <n v="0"/>
    <n v="0"/>
    <n v="0"/>
    <n v="0"/>
    <n v="0"/>
    <n v="0"/>
    <n v="0"/>
  </r>
  <r>
    <x v="15"/>
    <x v="0"/>
    <s v="OP-S-011"/>
    <x v="39"/>
    <d v="2025-05-31T00:00:00"/>
    <n v="67"/>
    <x v="0"/>
    <n v="0"/>
    <n v="0"/>
    <n v="0"/>
    <n v="0"/>
    <n v="0"/>
    <n v="0"/>
    <n v="0"/>
    <n v="1"/>
    <n v="0"/>
    <n v="0"/>
    <n v="1"/>
    <n v="0"/>
    <s v="https://www.clickideacore.com/ClickHTML5/Visit.aspx?ID=//5CDAEwASwAzADMAOAAyADAAMgA3ADMASQBEAEUAQQAB=&amp;Tipo=2&amp;ST=1&amp;nLang=0"/>
    <n v="0"/>
    <n v="0"/>
    <n v="0"/>
    <n v="0"/>
    <n v="0"/>
    <n v="0"/>
    <n v="0"/>
    <n v="0"/>
  </r>
  <r>
    <x v="5"/>
    <x v="15"/>
    <s v="OP-S-005"/>
    <x v="40"/>
    <d v="2025-06-01T00:00:00"/>
    <n v="39"/>
    <x v="0"/>
    <n v="0"/>
    <n v="0"/>
    <n v="0"/>
    <n v="0"/>
    <n v="0"/>
    <n v="0"/>
    <n v="0"/>
    <n v="0"/>
    <n v="1"/>
    <n v="1"/>
    <n v="0"/>
    <n v="1"/>
    <s v="https://www.clickideacore.com/ClickHTML5/Visit.aspx?ID=//5FDAEwASwAzADMAOAAyADkAOAAxADMASQBEAEUAQQAE=&amp;Tipo=2&amp;ST=1&amp;nLang=0"/>
    <n v="16"/>
    <n v="0"/>
    <n v="0"/>
    <n v="0"/>
    <n v="0"/>
    <n v="0"/>
    <n v="0"/>
    <n v="0"/>
  </r>
  <r>
    <x v="0"/>
    <x v="0"/>
    <s v="OP-S-100"/>
    <x v="40"/>
    <d v="2025-06-01T00:00:00"/>
    <n v="28"/>
    <x v="0"/>
    <n v="0"/>
    <n v="0"/>
    <n v="0"/>
    <n v="0"/>
    <n v="0"/>
    <n v="0"/>
    <n v="0"/>
    <n v="0"/>
    <n v="1"/>
    <n v="0"/>
    <n v="0"/>
    <n v="1"/>
    <s v="https://www.clickideacore.com/ClickHTML5/Visit.aspx?ID=//5ADAEwASwAzADMAOAAyADkANAA2ADYASQBEAEUAQQA1=&amp;Tipo=2&amp;ST=1&amp;nLang=0"/>
    <n v="0"/>
    <n v="0"/>
    <n v="0"/>
    <n v="0"/>
    <n v="0"/>
    <n v="0"/>
    <n v="0"/>
    <n v="0"/>
  </r>
  <r>
    <x v="1"/>
    <x v="4"/>
    <s v="OP-DYR-004"/>
    <x v="40"/>
    <d v="2025-06-01T00:00:00"/>
    <n v="28"/>
    <x v="0"/>
    <n v="0"/>
    <n v="0"/>
    <n v="0"/>
    <n v="0"/>
    <n v="0"/>
    <n v="0"/>
    <n v="0"/>
    <n v="0"/>
    <n v="1"/>
    <n v="2"/>
    <n v="0"/>
    <n v="1"/>
    <s v="https://www.clickideacore.com/ClickHTML5/Visit.aspx?ID=//52DAEwASwAzADMAOAAzADAANAAyADYASQBEAEUAQQA1=&amp;Tipo=2&amp;ST=1&amp;nLang=0"/>
    <n v="11"/>
    <n v="0"/>
    <n v="0"/>
    <n v="0"/>
    <n v="0"/>
    <n v="0"/>
    <n v="0"/>
    <n v="0"/>
  </r>
  <r>
    <x v="12"/>
    <x v="10"/>
    <s v="OP-S-DYR-009"/>
    <x v="40"/>
    <d v="2025-06-01T00:00:00"/>
    <n v="20"/>
    <x v="0"/>
    <n v="0"/>
    <n v="0"/>
    <n v="0"/>
    <n v="0"/>
    <n v="0"/>
    <n v="0"/>
    <n v="0"/>
    <n v="0"/>
    <n v="1"/>
    <n v="0"/>
    <n v="0"/>
    <n v="1"/>
    <s v="https://www.clickideacore.com/ClickHTML5/Visit.aspx?ID=//5CDAEwASwAzADMAOAAyADkANwA4ADYASQBEAEUAQQA9=&amp;Tipo=2&amp;ST=1&amp;nLang=0"/>
    <n v="0"/>
    <n v="0"/>
    <n v="0"/>
    <n v="0"/>
    <n v="0"/>
    <n v="0"/>
    <n v="0"/>
    <n v="0"/>
  </r>
  <r>
    <x v="2"/>
    <x v="2"/>
    <s v="OP-S-200"/>
    <x v="40"/>
    <d v="2025-06-01T00:00:00"/>
    <n v="23"/>
    <x v="0"/>
    <n v="0"/>
    <n v="0"/>
    <n v="0"/>
    <n v="0"/>
    <n v="0"/>
    <n v="0"/>
    <n v="0"/>
    <n v="0"/>
    <n v="0"/>
    <n v="4"/>
    <n v="0"/>
    <n v="1"/>
    <s v="https://www.clickideacore.com/ClickHTML5/Visit.aspx?ID=//51DAEwASwAzADMAOAAyADAAMgAyADgASQBEAEUAQQA1=&amp;Tipo=2&amp;ST=1&amp;nLang=0"/>
    <n v="10"/>
    <n v="0"/>
    <n v="0"/>
    <n v="0"/>
    <n v="0"/>
    <n v="0"/>
    <n v="0"/>
    <n v="1"/>
  </r>
  <r>
    <x v="10"/>
    <x v="8"/>
    <s v="OP-DYR-011"/>
    <x v="41"/>
    <d v="2025-06-02T00:00:00"/>
    <n v="29"/>
    <x v="0"/>
    <n v="5"/>
    <n v="0"/>
    <n v="0"/>
    <n v="0"/>
    <n v="0"/>
    <n v="0"/>
    <n v="0"/>
    <n v="0"/>
    <n v="0"/>
    <n v="0"/>
    <n v="0"/>
    <n v="0"/>
    <s v="https://www.clickideacore.com/ClickHTML5/Visit.aspx?ID=//55DAEwASwAzADMAOAAzADUAOQA4ADAASQBEAEUAQQA9=&amp;Tipo=2&amp;ST=1&amp;nLang=0"/>
    <n v="0"/>
    <n v="7"/>
    <n v="0"/>
    <n v="0"/>
    <n v="0"/>
    <n v="0"/>
    <n v="0"/>
    <n v="0"/>
  </r>
  <r>
    <x v="0"/>
    <x v="0"/>
    <s v="OP-S-100"/>
    <x v="41"/>
    <d v="2025-06-02T00:00:00"/>
    <n v="26"/>
    <x v="0"/>
    <n v="9"/>
    <n v="0"/>
    <n v="0"/>
    <n v="0"/>
    <n v="0"/>
    <n v="0"/>
    <n v="1"/>
    <n v="0"/>
    <n v="0"/>
    <n v="0"/>
    <n v="0"/>
    <n v="0"/>
    <s v="https://www.clickideacore.com/ClickHTML5/Visit.aspx?ID=//5DDAEwASwAzADMAOAAzADcAOQA3ADkASQBEAEUAQQA1=&amp;Tipo=2&amp;ST=1&amp;nLang=0"/>
    <n v="0"/>
    <n v="0"/>
    <n v="0"/>
    <n v="0"/>
    <n v="0"/>
    <n v="0"/>
    <n v="0"/>
    <n v="0"/>
  </r>
  <r>
    <x v="4"/>
    <x v="4"/>
    <s v="OP-DYR-005"/>
    <x v="41"/>
    <d v="2025-06-02T00:00:00"/>
    <n v="21"/>
    <x v="0"/>
    <n v="9"/>
    <n v="0"/>
    <n v="0"/>
    <n v="0"/>
    <n v="0"/>
    <n v="0"/>
    <n v="0"/>
    <n v="0"/>
    <n v="0"/>
    <n v="0"/>
    <n v="0"/>
    <n v="0"/>
    <s v="https://www.clickideacore.com/ClickHTML5/Visit.aspx?ID=//54DAEwASwAzADMAOAAzADgAMAAxADcASQBEAEUAQQAF=&amp;Tipo=2&amp;ST=1&amp;nLang=0"/>
    <n v="0"/>
    <n v="0"/>
    <n v="0"/>
    <n v="0"/>
    <n v="0"/>
    <n v="0"/>
    <n v="0"/>
    <n v="0"/>
  </r>
  <r>
    <x v="2"/>
    <x v="2"/>
    <n v="0"/>
    <x v="41"/>
    <d v="2025-06-02T00:00:00"/>
    <n v="0"/>
    <x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x v="41"/>
    <d v="2025-06-02T00:00:00"/>
    <n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5"/>
    <x v="6"/>
    <n v="0"/>
    <x v="41"/>
    <d v="2025-06-0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n v="0"/>
    <x v="41"/>
    <d v="2025-06-0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1"/>
    <d v="2025-06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41"/>
    <d v="2025-06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1"/>
    <d v="2025-06-0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42"/>
    <d v="2025-06-03T00:00:00"/>
    <n v="20"/>
    <x v="0"/>
    <n v="16"/>
    <n v="0"/>
    <n v="0"/>
    <n v="1"/>
    <n v="0"/>
    <n v="0"/>
    <n v="0"/>
    <n v="0"/>
    <n v="0"/>
    <n v="0"/>
    <n v="0"/>
    <n v="0"/>
    <s v="https://www.clickideacore.com/ClickHTML5/Visit.aspx?ID=//5BDAEwASwAzADMAOAA1ADUANgAxADMASQBEAEUAQQAA=&amp;Tipo=2&amp;ST=1&amp;nLang=0"/>
    <n v="0"/>
    <n v="0"/>
    <n v="0"/>
    <n v="0"/>
    <n v="0"/>
    <n v="0"/>
    <n v="0"/>
    <n v="0"/>
  </r>
  <r>
    <x v="0"/>
    <x v="0"/>
    <s v="OP-S-100"/>
    <x v="42"/>
    <d v="2025-06-03T00:00:00"/>
    <n v="51"/>
    <x v="0"/>
    <n v="14"/>
    <n v="0"/>
    <n v="0"/>
    <n v="0"/>
    <n v="0"/>
    <n v="0"/>
    <n v="0"/>
    <n v="0"/>
    <n v="0"/>
    <n v="0"/>
    <n v="0"/>
    <n v="0"/>
    <s v="https://www.clickideacore.com/ClickHTML5/Visit.aspx?ID=//5EDAEwASwAzADMAOAA1ADEANQA0ADkASQBEAEUAQQA0=&amp;Tipo=2&amp;ST=1&amp;nLang=0"/>
    <n v="0"/>
    <n v="0"/>
    <n v="0"/>
    <n v="0"/>
    <n v="0"/>
    <n v="0"/>
    <n v="0"/>
    <n v="0"/>
  </r>
  <r>
    <x v="1"/>
    <x v="6"/>
    <s v="OP-DYR-004"/>
    <x v="42"/>
    <d v="2025-06-03T00:00:00"/>
    <n v="31"/>
    <x v="0"/>
    <n v="44"/>
    <n v="0"/>
    <n v="0"/>
    <n v="1"/>
    <n v="0"/>
    <n v="0"/>
    <n v="0"/>
    <n v="0"/>
    <n v="0"/>
    <n v="0"/>
    <n v="0"/>
    <n v="0"/>
    <s v="https://www.clickideacore.com/ClickHTML5/Visit.aspx?ID=//50DAEwASwAzADMAOAA2ADEAMAA0ADIASQBEAEUAQQA2=&amp;Tipo=2&amp;ST=1&amp;nLang=0"/>
    <n v="0"/>
    <n v="0"/>
    <n v="0"/>
    <n v="0"/>
    <n v="0"/>
    <n v="0"/>
    <n v="0"/>
    <n v="0"/>
  </r>
  <r>
    <x v="9"/>
    <x v="1"/>
    <s v="OP-DYR-004"/>
    <x v="42"/>
    <d v="2025-06-03T00:00:00"/>
    <n v="31"/>
    <x v="0"/>
    <n v="30"/>
    <n v="0"/>
    <n v="0"/>
    <n v="1"/>
    <n v="0"/>
    <n v="0"/>
    <n v="0"/>
    <n v="0"/>
    <n v="0"/>
    <n v="0"/>
    <n v="0"/>
    <n v="0"/>
    <s v="https://www.clickideacore.com/ClickHTML5/Visit.aspx?ID=//50DAEwASwAzADMAOAA2ADEAMAA0ADIASQBEAEUAQQA2=&amp;Tipo=2&amp;ST=1&amp;nLang=0"/>
    <n v="0"/>
    <n v="0"/>
    <n v="0"/>
    <n v="0"/>
    <n v="0"/>
    <n v="0"/>
    <n v="0"/>
    <n v="0"/>
  </r>
  <r>
    <x v="3"/>
    <x v="3"/>
    <s v="OP-S-076"/>
    <x v="42"/>
    <d v="2025-06-03T00:00:00"/>
    <n v="34"/>
    <x v="0"/>
    <n v="32"/>
    <n v="0"/>
    <n v="0"/>
    <n v="0"/>
    <n v="1"/>
    <n v="0"/>
    <n v="0"/>
    <n v="0"/>
    <n v="0"/>
    <n v="0"/>
    <n v="0"/>
    <n v="0"/>
    <s v="https://www.clickideacore.com/ClickHTML5/Visit.aspx?ID=//57DAEwASwAzADMAOAA1ADgAOQA1ADgASQBEAEUAQQAC=&amp;Tipo=2&amp;ST=1&amp;nLang=0"/>
    <n v="0"/>
    <n v="0"/>
    <n v="0"/>
    <n v="0"/>
    <n v="0"/>
    <n v="0"/>
    <n v="0"/>
    <n v="0"/>
  </r>
  <r>
    <x v="4"/>
    <x v="6"/>
    <s v="OP-S-076"/>
    <x v="42"/>
    <d v="2025-06-03T00:00:00"/>
    <n v="34"/>
    <x v="0"/>
    <n v="20"/>
    <n v="0"/>
    <n v="0"/>
    <n v="0"/>
    <n v="1"/>
    <n v="0"/>
    <n v="0"/>
    <n v="0"/>
    <n v="0"/>
    <n v="1"/>
    <n v="0"/>
    <n v="0"/>
    <s v="https://www.clickideacore.com/ClickHTML5/Visit.aspx?ID=//57DAEwASwAzADMAOAA1ADgAOQA1ADgASQBEAEUAQQAC=&amp;Tipo=2&amp;ST=1&amp;nLang=0"/>
    <n v="0"/>
    <n v="0"/>
    <n v="0"/>
    <n v="0"/>
    <n v="0"/>
    <n v="0"/>
    <n v="0"/>
    <n v="0"/>
  </r>
  <r>
    <x v="9"/>
    <x v="4"/>
    <s v="OP-S-076"/>
    <x v="42"/>
    <d v="2025-06-03T00:00:00"/>
    <n v="34"/>
    <x v="0"/>
    <n v="34"/>
    <n v="0"/>
    <n v="0"/>
    <n v="0"/>
    <n v="1"/>
    <n v="0"/>
    <n v="0"/>
    <n v="0"/>
    <n v="0"/>
    <n v="0"/>
    <n v="0"/>
    <n v="0"/>
    <s v="https://www.clickideacore.com/ClickHTML5/Visit.aspx?ID=//57DAEwASwAzADMAOAA1ADgAOQA1ADgASQBEAEUAQQAC=&amp;Tipo=2&amp;ST=1&amp;nLang=0"/>
    <n v="0"/>
    <n v="0"/>
    <n v="0"/>
    <n v="0"/>
    <n v="0"/>
    <n v="0"/>
    <n v="0"/>
    <n v="0"/>
  </r>
  <r>
    <x v="5"/>
    <x v="2"/>
    <n v="0"/>
    <x v="42"/>
    <d v="2025-06-03T00:00:00"/>
    <n v="0"/>
    <x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n v="0"/>
    <x v="42"/>
    <d v="2025-06-03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2"/>
    <d v="2025-06-0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n v="0"/>
    <x v="42"/>
    <d v="2025-06-0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2"/>
    <d v="2025-06-0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43"/>
    <d v="2025-06-04T00:00:00"/>
    <n v="26"/>
    <x v="0"/>
    <n v="0"/>
    <n v="0"/>
    <n v="0"/>
    <n v="0"/>
    <n v="0"/>
    <n v="0"/>
    <n v="0"/>
    <n v="0"/>
    <n v="0"/>
    <n v="0"/>
    <n v="0"/>
    <n v="0"/>
    <s v="https://www.clickideacore.com/ClickHTML5/Visit.aspx?ID=//50DAEwASwAzADMAOAA3ADYAMQA0ADUASQBEAEUAQQA6=&amp;Tipo=2&amp;ST=1&amp;nLang=0"/>
    <n v="0"/>
    <n v="20"/>
    <n v="0"/>
    <n v="0"/>
    <n v="0"/>
    <n v="0"/>
    <n v="0"/>
    <n v="0"/>
  </r>
  <r>
    <x v="1"/>
    <x v="1"/>
    <s v="OP-DYR-004"/>
    <x v="43"/>
    <d v="2025-06-04T00:00:00"/>
    <n v="35"/>
    <x v="0"/>
    <n v="28"/>
    <n v="0"/>
    <n v="0"/>
    <n v="1"/>
    <n v="0"/>
    <n v="0"/>
    <n v="0"/>
    <n v="0"/>
    <n v="0"/>
    <n v="0"/>
    <n v="0"/>
    <n v="0"/>
    <s v="https://www.clickideacore.com/ClickHTML5/Visit.aspx?ID=//57DAEwASwAzADMAOAA4ADAANQA3ADIASQBEAEUAQQA3=&amp;Tipo=2&amp;ST=1&amp;nLang=0"/>
    <n v="0"/>
    <n v="20"/>
    <n v="0"/>
    <n v="0"/>
    <n v="0"/>
    <n v="0"/>
    <n v="0"/>
    <n v="0"/>
  </r>
  <r>
    <x v="2"/>
    <x v="2"/>
    <s v="OP-S-200"/>
    <x v="43"/>
    <d v="2025-06-04T00:00:00"/>
    <n v="20"/>
    <x v="0"/>
    <n v="40"/>
    <n v="0"/>
    <n v="0"/>
    <n v="0"/>
    <n v="1"/>
    <n v="1"/>
    <n v="0"/>
    <n v="0"/>
    <n v="0"/>
    <n v="0"/>
    <n v="0"/>
    <n v="0"/>
    <s v="https://www.clickideacore.com/ClickHTML5/Visit.aspx?ID=//52DAEwASwAzADMAOAA3ADgAOQA2ADUASQBEAEUAQQA3=&amp;Tipo=2&amp;ST=1&amp;nLang=0"/>
    <n v="0"/>
    <n v="6"/>
    <n v="0"/>
    <n v="0"/>
    <n v="0"/>
    <n v="0"/>
    <n v="0"/>
    <n v="0"/>
  </r>
  <r>
    <x v="3"/>
    <x v="3"/>
    <s v="OP-S-076"/>
    <x v="43"/>
    <d v="2025-06-04T00:00:00"/>
    <n v="55"/>
    <x v="0"/>
    <n v="43"/>
    <n v="0"/>
    <n v="0"/>
    <n v="1"/>
    <n v="0"/>
    <n v="0"/>
    <n v="0"/>
    <n v="0"/>
    <n v="0"/>
    <n v="0"/>
    <n v="0"/>
    <n v="0"/>
    <s v="https://www.clickideacore.com/ClickHTML5/Visit.aspx?ID=//5ADAEwASwAzADMAOAA4ADQANAA4ADEASQBEAEUAQQA6=&amp;Tipo=2&amp;ST=1&amp;nLang=0"/>
    <n v="0"/>
    <n v="0"/>
    <n v="0"/>
    <n v="0"/>
    <n v="0"/>
    <n v="0"/>
    <n v="0"/>
    <n v="0"/>
  </r>
  <r>
    <x v="4"/>
    <x v="4"/>
    <s v="OP-DYR-005"/>
    <x v="43"/>
    <d v="2025-06-04T00:00:00"/>
    <n v="18"/>
    <x v="0"/>
    <n v="31"/>
    <n v="0"/>
    <n v="0"/>
    <n v="1"/>
    <n v="0"/>
    <n v="1"/>
    <n v="0"/>
    <n v="0"/>
    <n v="0"/>
    <n v="0"/>
    <n v="0"/>
    <n v="0"/>
    <s v="https://www.clickideacore.com/ClickHTML5/Visit.aspx?ID=//55DAEwASwAzADMAOAA4ADQAOAA0ADAASQBEAEUAQQA9=&amp;Tipo=2&amp;ST=1&amp;nLang=0"/>
    <n v="0"/>
    <n v="0"/>
    <n v="0"/>
    <n v="0"/>
    <n v="0"/>
    <n v="0"/>
    <n v="0"/>
    <n v="0"/>
  </r>
  <r>
    <x v="5"/>
    <x v="12"/>
    <s v="OP-DYR-005"/>
    <x v="43"/>
    <d v="2025-06-04T00:00:00"/>
    <n v="18"/>
    <x v="0"/>
    <n v="0"/>
    <n v="0"/>
    <n v="0"/>
    <n v="0"/>
    <n v="0"/>
    <n v="0"/>
    <n v="0"/>
    <n v="0"/>
    <n v="0"/>
    <n v="0"/>
    <n v="0"/>
    <n v="0"/>
    <s v="https://www.clickideacore.com/ClickHTML5/Visit.aspx?ID=//55DAEwASwAzADMAOAA4ADQAOAA0ADAASQBEAEUAQQA9=&amp;Tipo=2&amp;ST=1&amp;nLang=0"/>
    <n v="0"/>
    <n v="10"/>
    <n v="0"/>
    <n v="0"/>
    <n v="0"/>
    <n v="0"/>
    <n v="0"/>
    <n v="0"/>
  </r>
  <r>
    <x v="10"/>
    <x v="8"/>
    <n v="0"/>
    <x v="43"/>
    <d v="2025-06-04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3"/>
    <d v="2025-06-0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3"/>
    <d v="2025-06-04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44"/>
    <d v="2025-06-05T00:00:00"/>
    <n v="100"/>
    <x v="0"/>
    <n v="74"/>
    <n v="0"/>
    <n v="0"/>
    <n v="1"/>
    <n v="0"/>
    <n v="0"/>
    <n v="0"/>
    <n v="0"/>
    <n v="0"/>
    <n v="0"/>
    <n v="0"/>
    <n v="0"/>
    <s v="https://www.clickideacore.com/ClickHTML5/Visit.aspx?ID=//57DAEwASwAzADMAOQAwADcANwAzADUASQBEAEUAQQAB=&amp;Tipo=2&amp;ST=1&amp;nLang=0"/>
    <n v="0"/>
    <n v="32"/>
    <n v="0"/>
    <n v="0"/>
    <n v="0"/>
    <n v="0"/>
    <n v="0"/>
    <n v="0"/>
  </r>
  <r>
    <x v="5"/>
    <x v="2"/>
    <s v="OP-S-005"/>
    <x v="44"/>
    <d v="2025-06-05T00:00:00"/>
    <n v="16"/>
    <x v="0"/>
    <n v="30"/>
    <n v="0"/>
    <n v="0"/>
    <n v="1"/>
    <n v="0"/>
    <n v="0"/>
    <n v="1"/>
    <n v="0"/>
    <n v="0"/>
    <n v="0"/>
    <n v="0"/>
    <n v="0"/>
    <s v="https://www.clickideacore.com/ClickHTML5/Visit.aspx?ID=//5BDAEwASwAzADMAOQAwADMAMAAwADUASQBEAEUAQQA6=&amp;Tipo=2&amp;ST=1&amp;nLang=0"/>
    <n v="0"/>
    <n v="0"/>
    <n v="0"/>
    <n v="0"/>
    <n v="0"/>
    <n v="0"/>
    <n v="0"/>
    <n v="0"/>
  </r>
  <r>
    <x v="0"/>
    <x v="0"/>
    <s v="OP-S-100"/>
    <x v="44"/>
    <d v="2025-06-05T00:00:00"/>
    <n v="30"/>
    <x v="0"/>
    <n v="34"/>
    <n v="0"/>
    <n v="0"/>
    <n v="1"/>
    <n v="0"/>
    <n v="0"/>
    <n v="0"/>
    <n v="0"/>
    <n v="0"/>
    <n v="0"/>
    <n v="0"/>
    <n v="0"/>
    <s v="https://www.clickideacore.com/ClickHTML5/Visit.aspx?ID=//5DDAEwASwAzADMAOQAwADYANwA0ADMASQBEAEUAQQA9=&amp;Tipo=2&amp;ST=1&amp;nLang=0"/>
    <n v="0"/>
    <n v="0"/>
    <n v="6"/>
    <n v="0"/>
    <n v="0"/>
    <n v="0"/>
    <n v="0"/>
    <n v="0"/>
  </r>
  <r>
    <x v="3"/>
    <x v="3"/>
    <s v="OP-S-076"/>
    <x v="44"/>
    <d v="2025-06-05T00:00:00"/>
    <n v="53"/>
    <x v="0"/>
    <n v="22"/>
    <n v="0"/>
    <n v="1"/>
    <n v="0"/>
    <n v="1"/>
    <n v="0"/>
    <n v="0"/>
    <n v="0"/>
    <n v="0"/>
    <n v="0"/>
    <n v="0"/>
    <n v="0"/>
    <s v="https://www.clickideacore.com/ClickHTML5/Visit.aspx?ID=//57DAEwASwAzADMAOQAwADgANgA3ADkASQBEAEUAQQAE=&amp;Tipo=2&amp;ST=1&amp;nLang=0"/>
    <n v="0"/>
    <n v="22"/>
    <n v="4"/>
    <n v="0"/>
    <n v="0"/>
    <n v="0"/>
    <n v="0"/>
    <n v="0"/>
  </r>
  <r>
    <x v="2"/>
    <x v="6"/>
    <n v="0"/>
    <x v="44"/>
    <d v="2025-06-05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n v="0"/>
    <x v="44"/>
    <d v="2025-06-0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n v="0"/>
    <x v="44"/>
    <d v="2025-06-05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4"/>
    <d v="2025-06-0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4"/>
    <d v="2025-06-05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45"/>
    <d v="2025-06-06T00:00:00"/>
    <n v="23"/>
    <x v="0"/>
    <n v="16"/>
    <n v="0"/>
    <n v="0"/>
    <n v="1"/>
    <n v="0"/>
    <n v="0"/>
    <n v="0"/>
    <n v="0"/>
    <n v="0"/>
    <n v="0"/>
    <n v="0"/>
    <n v="0"/>
    <s v="https://www.clickideacore.com/ClickHTML5/Visit.aspx?ID=//5EDAEwASwAzADMAOQAzADEAMQAyADQASQBEAEUAQQAF=&amp;Tipo=2&amp;ST=1&amp;nLang=0"/>
    <n v="0"/>
    <n v="0"/>
    <n v="0"/>
    <n v="0"/>
    <n v="0"/>
    <n v="0"/>
    <n v="0"/>
    <n v="0"/>
  </r>
  <r>
    <x v="1"/>
    <x v="1"/>
    <s v="OP-DYR-004"/>
    <x v="45"/>
    <d v="2025-06-06T00:00:00"/>
    <n v="26"/>
    <x v="0"/>
    <n v="30"/>
    <n v="0"/>
    <n v="0"/>
    <n v="1"/>
    <n v="0"/>
    <n v="0"/>
    <n v="0"/>
    <n v="0"/>
    <n v="0"/>
    <n v="0"/>
    <n v="0"/>
    <n v="0"/>
    <s v="https://www.clickideacore.com/ClickHTML5/Visit.aspx?ID=//5ADAEwASwAzADMAOQAzADIAMAA2ADEASQBEAEUAQQA0=&amp;Tipo=2&amp;ST=1&amp;nLang=0"/>
    <n v="0"/>
    <n v="0"/>
    <n v="0"/>
    <n v="0"/>
    <n v="0"/>
    <n v="0"/>
    <n v="0"/>
    <n v="0"/>
  </r>
  <r>
    <x v="4"/>
    <x v="4"/>
    <s v="OP-DYR-005"/>
    <x v="45"/>
    <d v="2025-06-06T00:00:00"/>
    <n v="45"/>
    <x v="0"/>
    <n v="25"/>
    <n v="0"/>
    <n v="0"/>
    <n v="1"/>
    <n v="0"/>
    <n v="0"/>
    <n v="0"/>
    <n v="0"/>
    <n v="0"/>
    <n v="0"/>
    <n v="0"/>
    <n v="0"/>
    <s v="https://www.clickideacore.com/ClickHTML5/Visit.aspx?ID=//5CDAEwASwAzADMAOQAyADgANwAyADYASQBEAEUAQQA7=&amp;Tipo=2&amp;ST=1&amp;nLang=0"/>
    <n v="0"/>
    <n v="0"/>
    <n v="0"/>
    <n v="0"/>
    <n v="0"/>
    <n v="0"/>
    <n v="0"/>
    <n v="0"/>
  </r>
  <r>
    <x v="2"/>
    <x v="2"/>
    <n v="0"/>
    <x v="45"/>
    <d v="2025-06-06T00:00:00"/>
    <n v="0"/>
    <x v="0"/>
    <n v="31"/>
    <n v="0"/>
    <n v="0"/>
    <n v="0"/>
    <n v="1"/>
    <n v="0"/>
    <n v="0"/>
    <n v="0"/>
    <n v="0"/>
    <n v="0"/>
    <n v="0"/>
    <n v="0"/>
    <n v="0"/>
    <n v="0"/>
    <n v="14"/>
    <n v="0"/>
    <n v="0"/>
    <n v="0"/>
    <n v="0"/>
    <n v="0"/>
    <n v="0"/>
  </r>
  <r>
    <x v="3"/>
    <x v="3"/>
    <n v="0"/>
    <x v="45"/>
    <d v="2025-06-06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n v="0"/>
    <x v="45"/>
    <d v="2025-06-06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"/>
    <n v="0"/>
    <x v="45"/>
    <d v="2025-06-06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5"/>
    <d v="2025-06-0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5"/>
    <d v="2025-06-0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46"/>
    <d v="2025-06-07T00:00:00"/>
    <n v="97"/>
    <x v="0"/>
    <n v="0"/>
    <n v="0"/>
    <n v="0"/>
    <n v="0"/>
    <n v="0"/>
    <n v="0"/>
    <n v="0"/>
    <n v="0"/>
    <n v="0"/>
    <n v="8"/>
    <n v="1"/>
    <n v="0"/>
    <s v="https://www.clickideacore.com/ClickHTML5/Visit.aspx?ID=//5BDAEwASwAzADMAOQA1ADAAMQA4ADcASQBEAEUAQQAF=&amp;Tipo=2&amp;ST=1&amp;nLang=0"/>
    <n v="23"/>
    <n v="0"/>
    <n v="0"/>
    <n v="0"/>
    <n v="0"/>
    <n v="0"/>
    <n v="1"/>
    <n v="0"/>
  </r>
  <r>
    <x v="1"/>
    <x v="1"/>
    <s v="OP-DYR-004"/>
    <x v="46"/>
    <d v="2025-06-07T00:00:00"/>
    <n v="37"/>
    <x v="0"/>
    <n v="0"/>
    <n v="0"/>
    <n v="0"/>
    <n v="0"/>
    <n v="0"/>
    <n v="0"/>
    <n v="0"/>
    <n v="1"/>
    <n v="0"/>
    <n v="3"/>
    <n v="1"/>
    <n v="0"/>
    <s v="https://www.clickideacore.com/ClickHTML5/Visit.aspx?ID=//58DAEwASwAzADMAOQA1ADEAMAA4ADUASQBEAEUAQQA3=&amp;Tipo=2&amp;ST=1&amp;nLang=0"/>
    <n v="13"/>
    <n v="0"/>
    <n v="0"/>
    <n v="0"/>
    <n v="0"/>
    <n v="0"/>
    <n v="0"/>
    <n v="0"/>
  </r>
  <r>
    <x v="3"/>
    <x v="3"/>
    <s v="OP-S-076"/>
    <x v="46"/>
    <d v="2025-06-07T00:00:00"/>
    <n v="38"/>
    <x v="0"/>
    <n v="0"/>
    <n v="0"/>
    <n v="0"/>
    <n v="0"/>
    <n v="0"/>
    <n v="0"/>
    <n v="0"/>
    <n v="1"/>
    <n v="0"/>
    <n v="4"/>
    <n v="1"/>
    <n v="0"/>
    <s v="https://www.clickideacore.com/ClickHTML5/Visit.aspx?ID=//56DAEwASwAzADMAOQA0ADkAMgA0ADgASQBEAEUAQQAB=&amp;Tipo=2&amp;ST=1&amp;nLang=0"/>
    <n v="0"/>
    <n v="0"/>
    <n v="0"/>
    <n v="0"/>
    <n v="0"/>
    <n v="0"/>
    <n v="0"/>
    <n v="0"/>
  </r>
  <r>
    <x v="4"/>
    <x v="4"/>
    <s v="OP-DYR-005"/>
    <x v="46"/>
    <d v="2025-06-07T00:00:00"/>
    <n v="26"/>
    <x v="0"/>
    <n v="0"/>
    <n v="0"/>
    <n v="0"/>
    <n v="0"/>
    <n v="0"/>
    <n v="0"/>
    <n v="0"/>
    <n v="1"/>
    <n v="0"/>
    <n v="3"/>
    <n v="1"/>
    <n v="0"/>
    <s v="https://www.clickideacore.com/ClickHTML5/Visit.aspx?ID=//58DAEwASwAzADMAOQA1ADAANwAzADcASQBEAEUAQQAC=&amp;Tipo=2&amp;ST=1&amp;nLang=0"/>
    <n v="0"/>
    <n v="0"/>
    <n v="0"/>
    <n v="0"/>
    <n v="0"/>
    <n v="0"/>
    <n v="0"/>
    <n v="0"/>
  </r>
  <r>
    <x v="10"/>
    <x v="8"/>
    <s v="OP-DYR-011"/>
    <x v="47"/>
    <d v="2025-06-08T00:00:00"/>
    <n v="25"/>
    <x v="0"/>
    <n v="0"/>
    <n v="0"/>
    <n v="0"/>
    <n v="0"/>
    <n v="0"/>
    <n v="1"/>
    <n v="0"/>
    <n v="0"/>
    <n v="1"/>
    <n v="3"/>
    <n v="0"/>
    <n v="1"/>
    <s v="https://www.clickideacore.com/ClickHTML5/Visit.aspx?ID=//59DAEwASwAzADMAOQA1ADgAOAA5ADEASQBEAEUAQQA9=&amp;Tipo=2&amp;ST=1&amp;nLang=0"/>
    <n v="16"/>
    <n v="0"/>
    <n v="0"/>
    <n v="0"/>
    <n v="0"/>
    <n v="0"/>
    <n v="0"/>
    <n v="0"/>
  </r>
  <r>
    <x v="1"/>
    <x v="1"/>
    <s v="OP-DYR-004"/>
    <x v="47"/>
    <d v="2025-06-08T00:00:00"/>
    <n v="31"/>
    <x v="0"/>
    <n v="0"/>
    <n v="0"/>
    <n v="0"/>
    <n v="0"/>
    <n v="0"/>
    <n v="0"/>
    <n v="0"/>
    <n v="0"/>
    <n v="1"/>
    <n v="1"/>
    <n v="0"/>
    <n v="1"/>
    <s v="https://www.clickideacore.com/ClickHTML5/Visit.aspx?ID=//50DAEwASwAzADMAOQA1ADgAMgA1ADIASQBEAEUAQQA2=&amp;Tipo=2&amp;ST=1&amp;nLang=0"/>
    <n v="17"/>
    <n v="0"/>
    <n v="0"/>
    <n v="0"/>
    <n v="0"/>
    <n v="0"/>
    <n v="0"/>
    <n v="0"/>
  </r>
  <r>
    <x v="3"/>
    <x v="3"/>
    <s v="OP-S-076"/>
    <x v="47"/>
    <d v="2025-06-08T00:00:00"/>
    <n v="56"/>
    <x v="0"/>
    <n v="0"/>
    <n v="0"/>
    <n v="1"/>
    <n v="0"/>
    <n v="0"/>
    <n v="0"/>
    <n v="0"/>
    <n v="0"/>
    <n v="0"/>
    <n v="10"/>
    <n v="0"/>
    <n v="1"/>
    <s v="https://www.clickideacore.com/ClickHTML5/Visit.aspx?ID=//56DAEwASwAzADMAOQA1ADkAMAA4ADEASQBEAEUAQQAC=&amp;Tipo=2&amp;ST=1&amp;nLang=0"/>
    <n v="10"/>
    <n v="0"/>
    <n v="0"/>
    <n v="0"/>
    <n v="0"/>
    <n v="0"/>
    <n v="0"/>
    <n v="1"/>
  </r>
  <r>
    <x v="4"/>
    <x v="4"/>
    <s v="OP-DYR-005"/>
    <x v="47"/>
    <d v="2025-06-08T00:00:00"/>
    <n v="28"/>
    <x v="0"/>
    <n v="0"/>
    <n v="0"/>
    <n v="0"/>
    <n v="0"/>
    <n v="0"/>
    <n v="0"/>
    <n v="0"/>
    <n v="0"/>
    <n v="1"/>
    <n v="1"/>
    <n v="0"/>
    <n v="1"/>
    <s v="https://www.clickideacore.com/ClickHTML5/Visit.aspx?ID=//59DAEwASwAzADMAOQA1ADkAMQA1ADIASQBEAEUAQQA1=&amp;Tipo=2&amp;ST=1&amp;nLang=0"/>
    <n v="0"/>
    <n v="0"/>
    <n v="0"/>
    <n v="0"/>
    <n v="0"/>
    <n v="0"/>
    <n v="0"/>
    <n v="0"/>
  </r>
  <r>
    <x v="10"/>
    <x v="8"/>
    <s v="OP-DYR-011"/>
    <x v="48"/>
    <d v="2025-06-09T00:00:00"/>
    <n v="19"/>
    <x v="0"/>
    <n v="14"/>
    <n v="0"/>
    <n v="0"/>
    <n v="0"/>
    <n v="0"/>
    <n v="0"/>
    <n v="0"/>
    <n v="0"/>
    <n v="0"/>
    <n v="0"/>
    <n v="0"/>
    <n v="0"/>
    <s v="https://www.clickideacore.com/ClickHTML5/Visit.aspx?ID=//5EDAEwASwAzADMAOQA2ADcANgA3ADgASQBEAEUAQQA0=&amp;Tipo=2&amp;ST=1&amp;nLang=0"/>
    <n v="0"/>
    <n v="0"/>
    <n v="0"/>
    <n v="0"/>
    <n v="0"/>
    <n v="0"/>
    <n v="0"/>
    <n v="0"/>
  </r>
  <r>
    <x v="1"/>
    <x v="1"/>
    <s v="OP-DYR-004"/>
    <x v="48"/>
    <d v="2025-06-09T00:00:00"/>
    <n v="20"/>
    <x v="0"/>
    <n v="20"/>
    <n v="0"/>
    <n v="0"/>
    <n v="0"/>
    <n v="0"/>
    <n v="0"/>
    <n v="0"/>
    <n v="0"/>
    <n v="0"/>
    <n v="0"/>
    <n v="0"/>
    <n v="0"/>
    <s v="https://www.clickideacore.com/ClickHTML5/Visit.aspx?ID=//54DAEwASwAzADMAOQA3ADcANAAxADUASQBEAEUAQQAD=&amp;Tipo=2&amp;ST=1&amp;nLang=0"/>
    <n v="0"/>
    <n v="0"/>
    <n v="0"/>
    <n v="0"/>
    <n v="0"/>
    <n v="0"/>
    <n v="0"/>
    <n v="0"/>
  </r>
  <r>
    <x v="3"/>
    <x v="3"/>
    <s v="OP-S-076"/>
    <x v="48"/>
    <d v="2025-06-09T00:00:00"/>
    <n v="29"/>
    <x v="0"/>
    <n v="5"/>
    <n v="0"/>
    <n v="0"/>
    <n v="0"/>
    <n v="0"/>
    <n v="0"/>
    <n v="0"/>
    <n v="0"/>
    <n v="0"/>
    <n v="0"/>
    <n v="0"/>
    <n v="0"/>
    <s v="https://www.clickideacore.com/ClickHTML5/Visit.aspx?ID=//55DAEwASwAzADMAOQA3ADAANgA3ADEASQBEAEUAQQAE=&amp;Tipo=2&amp;ST=1&amp;nLang=0"/>
    <n v="0"/>
    <n v="8"/>
    <n v="0"/>
    <n v="0"/>
    <n v="0"/>
    <n v="0"/>
    <n v="0"/>
    <n v="0"/>
  </r>
  <r>
    <x v="5"/>
    <x v="0"/>
    <s v="OP-S-076"/>
    <x v="48"/>
    <d v="2025-06-09T00:00:00"/>
    <n v="29"/>
    <x v="0"/>
    <n v="0"/>
    <n v="0"/>
    <n v="0"/>
    <n v="0"/>
    <n v="0"/>
    <n v="0"/>
    <n v="0"/>
    <n v="0"/>
    <n v="0"/>
    <n v="0"/>
    <n v="0"/>
    <n v="0"/>
    <s v="https://www.clickideacore.com/ClickHTML5/Visit.aspx?ID=//55DAEwASwAzADMAOQA3ADAANgA3ADEASQBEAEUAQQAE=&amp;Tipo=2&amp;ST=1&amp;nLang=0"/>
    <n v="0"/>
    <n v="14"/>
    <n v="0"/>
    <n v="0"/>
    <n v="0"/>
    <n v="0"/>
    <n v="0"/>
    <n v="0"/>
  </r>
  <r>
    <x v="4"/>
    <x v="4"/>
    <s v="OP-S-076"/>
    <x v="48"/>
    <d v="2025-06-09T00:00:00"/>
    <n v="29"/>
    <x v="0"/>
    <n v="8"/>
    <n v="0"/>
    <n v="0"/>
    <n v="0"/>
    <n v="0"/>
    <n v="0"/>
    <n v="0"/>
    <n v="0"/>
    <n v="0"/>
    <n v="0"/>
    <n v="0"/>
    <n v="0"/>
    <s v="https://www.clickideacore.com/ClickHTML5/Visit.aspx?ID=//55DAEwASwAzADMAOQA3ADAANgA3ADEASQBEAEUAQQAE=&amp;Tipo=2&amp;ST=1&amp;nLang=0"/>
    <n v="0"/>
    <n v="9"/>
    <n v="0"/>
    <n v="0"/>
    <n v="0"/>
    <n v="0"/>
    <n v="0"/>
    <n v="0"/>
  </r>
  <r>
    <x v="0"/>
    <x v="6"/>
    <n v="0"/>
    <x v="48"/>
    <d v="2025-06-09T00:00:00"/>
    <n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2"/>
    <x v="2"/>
    <n v="0"/>
    <x v="48"/>
    <d v="2025-06-09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8"/>
    <d v="2025-06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8"/>
    <d v="2025-06-0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49"/>
    <d v="2025-06-10T00:00:00"/>
    <n v="22"/>
    <x v="0"/>
    <n v="5"/>
    <n v="0"/>
    <n v="0"/>
    <n v="0"/>
    <n v="0"/>
    <n v="0"/>
    <n v="1"/>
    <n v="0"/>
    <n v="0"/>
    <n v="0"/>
    <n v="0"/>
    <n v="0"/>
    <s v="https://www.clickideacore.com/ClickHTML5/Visit.aspx?ID=//5CDAEwASwAzADMAOQA5ADgAOAAzADMASQBEAEUAQQAF=&amp;Tipo=2&amp;ST=1&amp;nLang=0"/>
    <n v="0"/>
    <n v="0"/>
    <n v="0"/>
    <n v="0"/>
    <n v="0"/>
    <n v="0"/>
    <n v="0"/>
    <n v="0"/>
  </r>
  <r>
    <x v="0"/>
    <x v="0"/>
    <s v="OP-S-100"/>
    <x v="49"/>
    <d v="2025-06-10T00:00:00"/>
    <n v="31"/>
    <x v="0"/>
    <n v="16"/>
    <n v="0"/>
    <n v="0"/>
    <n v="1"/>
    <n v="0"/>
    <n v="0"/>
    <n v="0"/>
    <n v="0"/>
    <n v="0"/>
    <n v="0"/>
    <n v="0"/>
    <n v="0"/>
    <s v="https://www.clickideacore.com/ClickHTML5/Visit.aspx?ID=//56DAEwASwAzADQAMAAwADMANQA4ADYASQBEAEUAQQA4=&amp;Tipo=2&amp;ST=1&amp;nLang=0"/>
    <n v="0"/>
    <n v="51"/>
    <n v="0"/>
    <n v="0"/>
    <n v="0"/>
    <n v="0"/>
    <n v="0"/>
    <n v="0"/>
  </r>
  <r>
    <x v="1"/>
    <x v="1"/>
    <s v="OP-DYR-004"/>
    <x v="49"/>
    <d v="2025-06-10T00:00:00"/>
    <n v="21"/>
    <x v="0"/>
    <n v="20"/>
    <n v="0"/>
    <n v="0"/>
    <n v="1"/>
    <n v="0"/>
    <n v="0"/>
    <n v="0"/>
    <n v="0"/>
    <n v="0"/>
    <n v="0"/>
    <n v="0"/>
    <n v="0"/>
    <s v="https://www.clickideacore.com/ClickHTML5/Visit.aspx?ID=//52DAEwASwAzADQAMAAwADgAMgA4ADgASQBEAEUAQQAA=&amp;Tipo=2&amp;ST=1&amp;nLang=0"/>
    <n v="0"/>
    <n v="0"/>
    <n v="0"/>
    <n v="0"/>
    <n v="0"/>
    <n v="0"/>
    <n v="0"/>
    <n v="0"/>
  </r>
  <r>
    <x v="2"/>
    <x v="2"/>
    <s v="OP-S-200"/>
    <x v="49"/>
    <d v="2025-06-10T00:00:00"/>
    <n v="33"/>
    <x v="0"/>
    <n v="30"/>
    <n v="0"/>
    <n v="0"/>
    <n v="1"/>
    <n v="0"/>
    <n v="0"/>
    <n v="0"/>
    <n v="0"/>
    <n v="0"/>
    <n v="0"/>
    <n v="0"/>
    <n v="0"/>
    <s v="https://www.clickideacore.com/ClickHTML5/Visit.aspx?ID=//5ADAEwASwAzADMAOQA5ADkANAAzADYASQBEAEUAQQAD=&amp;Tipo=2&amp;ST=1&amp;nLang=0"/>
    <n v="0"/>
    <n v="0"/>
    <n v="0"/>
    <n v="0"/>
    <n v="0"/>
    <n v="0"/>
    <n v="0"/>
    <n v="0"/>
  </r>
  <r>
    <x v="3"/>
    <x v="1"/>
    <s v="OP-S-076"/>
    <x v="49"/>
    <d v="2025-06-10T00:00:00"/>
    <n v="21"/>
    <x v="0"/>
    <n v="20"/>
    <n v="0"/>
    <n v="0"/>
    <n v="0"/>
    <n v="0"/>
    <n v="0"/>
    <n v="0"/>
    <n v="0"/>
    <n v="0"/>
    <n v="0"/>
    <n v="0"/>
    <n v="0"/>
    <s v="https://www.clickideacore.com/ClickHTML5/Visit.aspx?ID=//5EDAEwASwAzADMAOQA5ADkAMQAzADUASQBEAEUAQQAE=&amp;Tipo=2&amp;ST=1&amp;nLang=0"/>
    <n v="0"/>
    <n v="0"/>
    <n v="0"/>
    <n v="0"/>
    <n v="0"/>
    <n v="0"/>
    <n v="0"/>
    <n v="0"/>
  </r>
  <r>
    <x v="4"/>
    <x v="4"/>
    <s v="OP-DYR-005"/>
    <x v="49"/>
    <d v="2025-06-10T00:00:00"/>
    <n v="29"/>
    <x v="0"/>
    <n v="22"/>
    <n v="0"/>
    <n v="0"/>
    <n v="0"/>
    <n v="1"/>
    <n v="0"/>
    <n v="0"/>
    <n v="0"/>
    <n v="0"/>
    <n v="0"/>
    <n v="0"/>
    <n v="0"/>
    <s v="https://www.clickideacore.com/ClickHTML5/Visit.aspx?ID=//54DAEwASwAzADQAMAAwADYANAAxADkASQBEAEUAQQA4=&amp;Tipo=2&amp;ST=1&amp;nLang=0"/>
    <n v="0"/>
    <n v="50"/>
    <n v="0"/>
    <n v="0"/>
    <n v="0"/>
    <n v="0"/>
    <n v="0"/>
    <n v="0"/>
  </r>
  <r>
    <x v="5"/>
    <x v="3"/>
    <n v="0"/>
    <x v="49"/>
    <d v="2025-06-10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49"/>
    <d v="2025-06-1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49"/>
    <d v="2025-06-10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s v="OP-S-005"/>
    <x v="50"/>
    <d v="2025-06-11T00:00:00"/>
    <n v="39"/>
    <x v="0"/>
    <n v="39"/>
    <n v="0"/>
    <n v="0"/>
    <n v="1"/>
    <n v="0"/>
    <n v="2"/>
    <n v="1"/>
    <n v="0"/>
    <n v="0"/>
    <n v="0"/>
    <n v="0"/>
    <n v="0"/>
    <s v="https://www.clickideacore.com/ClickHTML5/Visit.aspx?ID=//57DAEwASwAzADQAMAAyADcAMgAxADgASQBEAEUAQQA4=&amp;Tipo=2&amp;ST=1&amp;nLang=0"/>
    <n v="0"/>
    <n v="0"/>
    <n v="0"/>
    <n v="0"/>
    <n v="0"/>
    <n v="0"/>
    <n v="0"/>
    <n v="0"/>
  </r>
  <r>
    <x v="1"/>
    <x v="1"/>
    <s v="OP-DYR-004"/>
    <x v="50"/>
    <d v="2025-06-11T00:00:00"/>
    <n v="82"/>
    <x v="0"/>
    <n v="36"/>
    <n v="0"/>
    <n v="0"/>
    <n v="0"/>
    <n v="1"/>
    <n v="0"/>
    <n v="0"/>
    <n v="0"/>
    <n v="0"/>
    <n v="0"/>
    <n v="0"/>
    <n v="0"/>
    <s v="https://www.clickideacore.com/ClickHTML5/Visit.aspx?ID=//58DAEwASwAzADQAMAAzADQAMQA0ADcASQBEAEUAQQA9=&amp;Tipo=2&amp;ST=1&amp;nLang=0"/>
    <n v="0"/>
    <n v="0"/>
    <n v="0"/>
    <n v="0"/>
    <n v="0"/>
    <n v="0"/>
    <n v="0"/>
    <n v="0"/>
  </r>
  <r>
    <x v="4"/>
    <x v="5"/>
    <s v="OP-DYR-005"/>
    <x v="50"/>
    <d v="2025-06-11T00:00:00"/>
    <n v="20"/>
    <x v="0"/>
    <n v="28"/>
    <n v="0"/>
    <n v="0"/>
    <n v="1"/>
    <n v="0"/>
    <n v="0"/>
    <n v="0"/>
    <n v="0"/>
    <n v="0"/>
    <n v="0"/>
    <n v="0"/>
    <n v="0"/>
    <s v="https://www.clickideacore.com/ClickHTML5/Visit.aspx?ID=//58DAEwASwAzADQAMAAzADMAOQA2ADkASQBEAEUAQQAD=&amp;Tipo=2&amp;ST=1&amp;nLang=0"/>
    <n v="0"/>
    <n v="0"/>
    <n v="0"/>
    <n v="0"/>
    <n v="0"/>
    <n v="0"/>
    <n v="0"/>
    <n v="0"/>
  </r>
  <r>
    <x v="2"/>
    <x v="2"/>
    <s v="OP-DYR-005"/>
    <x v="50"/>
    <d v="2025-06-11T00:00:00"/>
    <n v="19"/>
    <x v="0"/>
    <n v="26"/>
    <n v="0"/>
    <n v="0"/>
    <n v="1"/>
    <n v="0"/>
    <n v="0"/>
    <n v="0"/>
    <n v="0"/>
    <n v="0"/>
    <n v="1"/>
    <n v="0"/>
    <n v="0"/>
    <s v="https://www.clickideacore.com/ClickHTML5/Visit.aspx?ID=//5ADAEwASwAzADQAMAAyADYAMAAzADAASQBEAEUAQQA2=&amp;Tipo=2&amp;ST=1&amp;nLang=0"/>
    <n v="0"/>
    <n v="0"/>
    <n v="0"/>
    <n v="0"/>
    <n v="0"/>
    <n v="0"/>
    <n v="0"/>
    <n v="0"/>
  </r>
  <r>
    <x v="3"/>
    <x v="6"/>
    <n v="0"/>
    <x v="50"/>
    <d v="2025-06-11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4"/>
    <n v="0"/>
    <x v="50"/>
    <d v="2025-06-11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8"/>
    <n v="0"/>
    <x v="50"/>
    <d v="2025-06-11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0"/>
    <d v="2025-06-11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0"/>
    <d v="2025-06-11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s v="OP-S-005"/>
    <x v="51"/>
    <d v="2025-06-12T00:00:00"/>
    <n v="43"/>
    <x v="0"/>
    <n v="22"/>
    <n v="0"/>
    <n v="0"/>
    <n v="0"/>
    <n v="1"/>
    <n v="0"/>
    <n v="0"/>
    <n v="0"/>
    <n v="0"/>
    <n v="0"/>
    <n v="0"/>
    <n v="0"/>
    <s v="https://www.clickideacore.com/ClickHTML5/Visit.aspx?ID=//53DAEwASwAzADQAMAA1ADkAMgA5ADUASQBEAEUAQQA5=&amp;Tipo=2&amp;ST=1&amp;nLang=0"/>
    <n v="0"/>
    <n v="14"/>
    <n v="0"/>
    <n v="0"/>
    <n v="0"/>
    <n v="0"/>
    <n v="0"/>
    <n v="0"/>
  </r>
  <r>
    <x v="0"/>
    <x v="4"/>
    <s v="OP-S-100"/>
    <x v="51"/>
    <d v="2025-06-12T00:00:00"/>
    <n v="25"/>
    <x v="0"/>
    <n v="32"/>
    <n v="0"/>
    <n v="0"/>
    <n v="1"/>
    <n v="0"/>
    <n v="0"/>
    <n v="0"/>
    <n v="0"/>
    <n v="0"/>
    <n v="0"/>
    <n v="0"/>
    <n v="0"/>
    <s v="https://www.clickideacore.com/ClickHTML5/Visit.aspx?ID=//52DAEwASwAzADQAMAA1ADAAMAAyADMASQBEAEUAQQAF=&amp;Tipo=2&amp;ST=1&amp;nLang=0"/>
    <n v="0"/>
    <n v="20"/>
    <n v="0"/>
    <n v="0"/>
    <n v="0"/>
    <n v="0"/>
    <n v="0"/>
    <n v="0"/>
  </r>
  <r>
    <x v="2"/>
    <x v="2"/>
    <s v="OP-S-200"/>
    <x v="51"/>
    <d v="2025-06-12T00:00:00"/>
    <n v="19"/>
    <x v="0"/>
    <n v="38"/>
    <n v="0"/>
    <n v="0"/>
    <n v="1"/>
    <n v="0"/>
    <n v="0"/>
    <n v="0"/>
    <n v="0"/>
    <n v="0"/>
    <n v="0"/>
    <n v="0"/>
    <n v="0"/>
    <s v="https://www.clickideacore.com/ClickHTML5/Visit.aspx?ID=//50DAEwASwAzADQAMAA1ADEAMQAzADYASQBEAEUAQQA9=&amp;Tipo=2&amp;ST=1&amp;nLang=0"/>
    <n v="0"/>
    <n v="20"/>
    <n v="0"/>
    <n v="0"/>
    <n v="0"/>
    <n v="0"/>
    <n v="0"/>
    <n v="0"/>
  </r>
  <r>
    <x v="3"/>
    <x v="8"/>
    <s v="OP-S-076"/>
    <x v="51"/>
    <d v="2025-06-12T00:00:00"/>
    <n v="36"/>
    <x v="0"/>
    <n v="33"/>
    <n v="0"/>
    <n v="0"/>
    <n v="1"/>
    <n v="0"/>
    <n v="0"/>
    <n v="0"/>
    <n v="0"/>
    <n v="0"/>
    <n v="0"/>
    <n v="0"/>
    <n v="0"/>
    <s v="https://www.clickideacore.com/ClickHTML5/Visit.aspx?ID=//54DAEwASwAzADQAMAA1ADEAOQA4ADgASQBEAEUAQQA2=&amp;Tipo=2&amp;ST=1&amp;nLang=0"/>
    <n v="0"/>
    <n v="14"/>
    <n v="0"/>
    <n v="0"/>
    <n v="0"/>
    <n v="0"/>
    <n v="0"/>
    <n v="0"/>
  </r>
  <r>
    <x v="1"/>
    <x v="1"/>
    <n v="0"/>
    <x v="51"/>
    <d v="2025-06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"/>
    <n v="0"/>
    <x v="51"/>
    <d v="2025-06-12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n v="0"/>
    <x v="51"/>
    <d v="2025-06-12T00:00:00"/>
    <n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1"/>
    <d v="2025-06-1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1"/>
    <d v="2025-06-12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52"/>
    <d v="2025-06-13T00:00:00"/>
    <n v="21"/>
    <x v="0"/>
    <n v="26"/>
    <n v="0"/>
    <n v="0"/>
    <n v="1"/>
    <n v="0"/>
    <n v="0"/>
    <n v="0"/>
    <n v="0"/>
    <n v="0"/>
    <n v="0"/>
    <n v="0"/>
    <n v="0"/>
    <s v="https://www.clickideacore.com/ClickHTML5/Visit.aspx?ID=//53DAEwASwAzADQAMAA3ADYANQA2ADkASQBEAEUAQQAD=&amp;Tipo=2&amp;ST=1&amp;nLang=0"/>
    <n v="0"/>
    <n v="0"/>
    <n v="0"/>
    <n v="0"/>
    <n v="0"/>
    <n v="0"/>
    <n v="0"/>
    <n v="0"/>
  </r>
  <r>
    <x v="5"/>
    <x v="3"/>
    <s v="OP-S-005"/>
    <x v="52"/>
    <d v="2025-06-13T00:00:00"/>
    <n v="33"/>
    <x v="0"/>
    <n v="24"/>
    <n v="0"/>
    <n v="1"/>
    <n v="0"/>
    <n v="1"/>
    <n v="0"/>
    <n v="0"/>
    <n v="0"/>
    <n v="0"/>
    <n v="0"/>
    <n v="0"/>
    <n v="0"/>
    <s v="https://www.clickideacore.com/ClickHTML5/Visit.aspx?ID=//53DAEwASwAzADQAMAA4ADEANwA4ADUASQBEAEUAQQA3=&amp;Tipo=2&amp;ST=1&amp;nLang=0"/>
    <n v="0"/>
    <n v="58"/>
    <n v="2"/>
    <n v="0"/>
    <n v="0"/>
    <n v="0"/>
    <n v="0"/>
    <n v="0"/>
  </r>
  <r>
    <x v="0"/>
    <x v="0"/>
    <s v="OP-S-100"/>
    <x v="52"/>
    <d v="2025-06-13T00:00:00"/>
    <n v="31"/>
    <x v="0"/>
    <n v="16"/>
    <n v="0"/>
    <n v="1"/>
    <n v="1"/>
    <n v="0"/>
    <n v="0"/>
    <n v="0"/>
    <n v="0"/>
    <n v="0"/>
    <n v="0"/>
    <n v="0"/>
    <n v="0"/>
    <s v="https://www.clickideacore.com/ClickHTML5/Visit.aspx?ID=//53DAEwASwAzADQAMAA4ADIANgA3ADAASQBEAEUAQQAE=&amp;Tipo=2&amp;ST=1&amp;nLang=0"/>
    <n v="0"/>
    <n v="42"/>
    <n v="0"/>
    <n v="0"/>
    <n v="0"/>
    <n v="0"/>
    <n v="0"/>
    <n v="0"/>
  </r>
  <r>
    <x v="1"/>
    <x v="1"/>
    <s v="OP-DYR-004"/>
    <x v="52"/>
    <d v="2025-06-13T00:00:00"/>
    <n v="20"/>
    <x v="0"/>
    <n v="11"/>
    <n v="0"/>
    <n v="0"/>
    <n v="0"/>
    <n v="0"/>
    <n v="0"/>
    <n v="0"/>
    <n v="0"/>
    <n v="0"/>
    <n v="0"/>
    <n v="0"/>
    <n v="0"/>
    <s v="https://www.clickideacore.com/ClickHTML5/Visit.aspx?ID=//54DAEwASwAzADQAMAA4ADIANgAxADUASQBEAEUAQQAB=&amp;Tipo=2&amp;ST=1&amp;nLang=0"/>
    <n v="0"/>
    <n v="11"/>
    <n v="0"/>
    <n v="0"/>
    <n v="0"/>
    <n v="0"/>
    <n v="0"/>
    <n v="0"/>
  </r>
  <r>
    <x v="2"/>
    <x v="2"/>
    <s v="OP-S-200"/>
    <x v="52"/>
    <d v="2025-06-13T00:00:00"/>
    <n v="20"/>
    <x v="0"/>
    <n v="30"/>
    <n v="0"/>
    <n v="1"/>
    <n v="1"/>
    <n v="0"/>
    <n v="0"/>
    <n v="0"/>
    <n v="0"/>
    <n v="0"/>
    <n v="0"/>
    <n v="0"/>
    <n v="0"/>
    <s v="https://www.clickideacore.com/ClickHTML5/Visit.aspx?ID=//5FDAEwASwAzADQAMAA4ADIAOAA3ADAASQBEAEUAQQA4=&amp;Tipo=2&amp;ST=1&amp;nLang=0"/>
    <n v="0"/>
    <n v="40"/>
    <n v="0"/>
    <n v="0"/>
    <n v="0"/>
    <n v="0"/>
    <n v="0"/>
    <n v="0"/>
  </r>
  <r>
    <x v="4"/>
    <x v="4"/>
    <s v="OP-DYR-005"/>
    <x v="52"/>
    <d v="2025-06-13T00:00:00"/>
    <n v="16"/>
    <x v="0"/>
    <n v="7"/>
    <n v="0"/>
    <n v="0"/>
    <n v="0"/>
    <n v="0"/>
    <n v="0"/>
    <n v="0"/>
    <n v="0"/>
    <n v="0"/>
    <n v="0"/>
    <n v="0"/>
    <n v="0"/>
    <s v="https://www.clickideacore.com/ClickHTML5/Visit.aspx?ID=//50DAEwASwAzADQAMAA4ADIANAA2ADIASQBEAEUAQQA1=&amp;Tipo=2&amp;ST=1&amp;nLang=0"/>
    <n v="0"/>
    <n v="0"/>
    <n v="8"/>
    <n v="0"/>
    <n v="0"/>
    <n v="0"/>
    <n v="0"/>
    <n v="0"/>
  </r>
  <r>
    <x v="3"/>
    <x v="6"/>
    <n v="0"/>
    <x v="52"/>
    <d v="2025-06-13T00:00:00"/>
    <n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2"/>
    <d v="2025-06-1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2"/>
    <d v="2025-06-13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53"/>
    <d v="2025-06-14T00:00:00"/>
    <n v="137"/>
    <x v="0"/>
    <n v="0"/>
    <n v="0"/>
    <n v="0"/>
    <n v="0"/>
    <n v="0"/>
    <n v="1"/>
    <n v="0"/>
    <n v="0"/>
    <n v="0"/>
    <n v="8"/>
    <n v="1"/>
    <n v="0"/>
    <s v="https://www.clickideacore.com/ClickHTML5/Visit.aspx?ID=//53DAEwASwAzADQAMAA5ADUANwA1ADIASQBEAEUAQQA2=&amp;Tipo=2&amp;ST=1&amp;nLang=0"/>
    <n v="22"/>
    <n v="0"/>
    <n v="0"/>
    <n v="0"/>
    <n v="0"/>
    <n v="0"/>
    <n v="1"/>
    <n v="0"/>
  </r>
  <r>
    <x v="11"/>
    <x v="10"/>
    <s v="OP-SDYR-001"/>
    <x v="53"/>
    <d v="2025-06-14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5DAEwASwAzADQAMAA5ADUAMAA2ADYASQBEAEUAQQAE=&amp;Tipo=2&amp;ST=1&amp;nLang=0"/>
    <n v="0"/>
    <n v="0"/>
    <n v="0"/>
    <n v="0"/>
    <n v="0"/>
    <n v="0"/>
    <n v="0"/>
    <n v="0"/>
  </r>
  <r>
    <x v="2"/>
    <x v="2"/>
    <s v="OP-SDYR-001"/>
    <x v="53"/>
    <d v="2025-06-14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5DAEwASwAzADQAMAA5ADUAMAA2ADYASQBEAEUAQQAE=&amp;Tipo=2&amp;ST=1&amp;nLang=0"/>
    <n v="0"/>
    <n v="0"/>
    <n v="0"/>
    <n v="0"/>
    <n v="0"/>
    <n v="0"/>
    <n v="0"/>
    <n v="0"/>
  </r>
  <r>
    <x v="5"/>
    <x v="3"/>
    <s v="OP-SDYR-001"/>
    <x v="53"/>
    <d v="2025-06-14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5DAEwASwAzADQAMAA5ADUAMAA2ADYASQBEAEUAQQAE=&amp;Tipo=2&amp;ST=1&amp;nLang=0"/>
    <n v="0"/>
    <n v="0"/>
    <n v="0"/>
    <n v="0"/>
    <n v="0"/>
    <n v="0"/>
    <n v="0"/>
    <n v="0"/>
  </r>
  <r>
    <x v="5"/>
    <x v="3"/>
    <s v="OP-S-005"/>
    <x v="54"/>
    <d v="2025-06-15T00:00:00"/>
    <n v="40"/>
    <x v="0"/>
    <n v="0"/>
    <n v="0"/>
    <n v="0"/>
    <n v="0"/>
    <n v="0"/>
    <n v="0"/>
    <n v="0"/>
    <n v="0"/>
    <n v="0"/>
    <n v="9"/>
    <n v="0"/>
    <n v="1"/>
    <s v="https://www.clickideacore.com/ClickHTML5/Visit.aspx?ID=//54DAEwASwAzADQAMQAwADYAMAAzADgASQBEAEUAQQA2=&amp;Tipo=2&amp;ST=1&amp;nLang=0"/>
    <n v="9"/>
    <n v="0"/>
    <n v="0"/>
    <n v="0"/>
    <n v="0"/>
    <n v="0"/>
    <n v="0"/>
    <n v="1"/>
  </r>
  <r>
    <x v="0"/>
    <x v="0"/>
    <s v="OP-S-100"/>
    <x v="54"/>
    <d v="2025-06-15T00:00:00"/>
    <n v="37"/>
    <x v="0"/>
    <n v="0"/>
    <n v="0"/>
    <n v="0"/>
    <n v="0"/>
    <n v="0"/>
    <n v="0"/>
    <n v="0"/>
    <n v="0"/>
    <n v="1"/>
    <n v="3"/>
    <n v="0"/>
    <n v="1"/>
    <s v="https://www.clickideacore.com/ClickHTML5/Visit.aspx?ID=//55DAEwASwAzADQAMQAwADYANQA4ADAASQBEAEUAQQA0=&amp;Tipo=2&amp;ST=1&amp;nLang=0"/>
    <n v="16"/>
    <n v="0"/>
    <n v="0"/>
    <n v="0"/>
    <n v="0"/>
    <n v="0"/>
    <n v="0"/>
    <n v="0"/>
  </r>
  <r>
    <x v="11"/>
    <x v="10"/>
    <s v="OP-SDYR-001"/>
    <x v="54"/>
    <d v="2025-06-15T00:00:00"/>
    <n v="30"/>
    <x v="0"/>
    <n v="0"/>
    <n v="0"/>
    <n v="0"/>
    <n v="0"/>
    <n v="0"/>
    <n v="0"/>
    <n v="0"/>
    <n v="0"/>
    <n v="1"/>
    <n v="2"/>
    <n v="0"/>
    <n v="1"/>
    <s v="https://www.clickideacore.com/ClickHTML5/Visit.aspx?ID=//5EDAEwASwAzADQAMQAwADUANgA5ADQASQBEAEUAQQA7=&amp;Tipo=2&amp;ST=1&amp;nLang=0"/>
    <n v="0"/>
    <n v="0"/>
    <n v="0"/>
    <n v="0"/>
    <n v="0"/>
    <n v="0"/>
    <n v="0"/>
    <n v="0"/>
  </r>
  <r>
    <x v="2"/>
    <x v="2"/>
    <s v="OP-SDYR-001"/>
    <x v="54"/>
    <d v="2025-06-15T00:00:00"/>
    <n v="30"/>
    <x v="0"/>
    <n v="0"/>
    <n v="0"/>
    <n v="0"/>
    <n v="0"/>
    <n v="0"/>
    <n v="0"/>
    <n v="0"/>
    <n v="0"/>
    <n v="1"/>
    <n v="3"/>
    <n v="0"/>
    <n v="1"/>
    <s v="https://www.clickideacore.com/ClickHTML5/Visit.aspx?ID=//5EDAEwASwAzADQAMQAwADUANgA5ADQASQBEAEUAQQA7=&amp;Tipo=2&amp;ST=1&amp;nLang=0"/>
    <n v="0"/>
    <n v="0"/>
    <n v="0"/>
    <n v="0"/>
    <n v="0"/>
    <n v="0"/>
    <n v="0"/>
    <n v="0"/>
  </r>
  <r>
    <x v="0"/>
    <x v="0"/>
    <s v="OP-S-100"/>
    <x v="55"/>
    <d v="2025-06-16T00:00:00"/>
    <n v="30"/>
    <x v="0"/>
    <n v="0"/>
    <n v="0"/>
    <n v="0"/>
    <n v="0"/>
    <n v="0"/>
    <n v="0"/>
    <n v="0"/>
    <n v="0"/>
    <n v="0"/>
    <n v="1"/>
    <n v="0"/>
    <n v="0"/>
    <s v="https://www.clickideacore.com/ClickHTML5/Visit.aspx?ID=//56DAEwASwAzADQAMQAxADYAOAA3ADkASQBEAEUAQQA5=&amp;Tipo=2&amp;ST=1&amp;nLang=0"/>
    <n v="0"/>
    <n v="6"/>
    <n v="0"/>
    <n v="0"/>
    <n v="0"/>
    <n v="0"/>
    <n v="0"/>
    <n v="0"/>
  </r>
  <r>
    <x v="1"/>
    <x v="1"/>
    <s v="OP-DYR-004"/>
    <x v="55"/>
    <d v="2025-06-16T00:00:00"/>
    <n v="37"/>
    <x v="0"/>
    <n v="9"/>
    <n v="0"/>
    <n v="0"/>
    <n v="0"/>
    <n v="0"/>
    <n v="0"/>
    <n v="1"/>
    <n v="0"/>
    <n v="0"/>
    <n v="0"/>
    <n v="0"/>
    <n v="0"/>
    <s v="https://www.clickideacore.com/ClickHTML5/Visit.aspx?ID=//52DAEwASwAzADQAMQAyADgAMAA2ADEASQBEAEUAQQA8=&amp;Tipo=2&amp;ST=1&amp;nLang=0"/>
    <n v="0"/>
    <n v="0"/>
    <n v="0"/>
    <n v="0"/>
    <n v="0"/>
    <n v="0"/>
    <n v="0"/>
    <n v="0"/>
  </r>
  <r>
    <x v="3"/>
    <x v="3"/>
    <s v="OP-S-076"/>
    <x v="55"/>
    <d v="2025-06-16T00:00:00"/>
    <n v="48"/>
    <x v="0"/>
    <n v="1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2"/>
    <x v="2"/>
    <s v="OP-S-076"/>
    <x v="55"/>
    <d v="2025-06-16T00:00:00"/>
    <n v="48"/>
    <x v="0"/>
    <n v="16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5"/>
    <x v="4"/>
    <s v="OP-S-076"/>
    <x v="55"/>
    <d v="2025-06-16T00:00:00"/>
    <n v="48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10"/>
    <x v="8"/>
    <s v="OP-S-076"/>
    <x v="55"/>
    <d v="2025-06-16T00:00:00"/>
    <n v="48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4"/>
    <x v="6"/>
    <n v="0"/>
    <x v="55"/>
    <d v="2025-06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5"/>
    <d v="2025-06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5"/>
    <d v="2025-06-16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56"/>
    <d v="2025-06-17T00:00:00"/>
    <n v="42"/>
    <x v="0"/>
    <n v="20"/>
    <n v="0"/>
    <n v="0"/>
    <n v="1"/>
    <n v="0"/>
    <n v="0"/>
    <n v="0"/>
    <n v="0"/>
    <n v="0"/>
    <n v="0"/>
    <n v="0"/>
    <n v="0"/>
    <s v="https://www.clickideacore.com/ClickHTML5/Visit.aspx?ID=//51DAEwASwAzADQAMQA0ADgAMAA1ADgASQBEAEUAQQA1=&amp;Tipo=2&amp;ST=1&amp;nLang=0"/>
    <n v="0"/>
    <n v="10"/>
    <n v="0"/>
    <n v="0"/>
    <n v="0"/>
    <n v="0"/>
    <n v="0"/>
    <n v="0"/>
  </r>
  <r>
    <x v="5"/>
    <x v="4"/>
    <s v="OP-S-005"/>
    <x v="56"/>
    <d v="2025-06-17T00:00:00"/>
    <n v="62"/>
    <x v="0"/>
    <n v="39"/>
    <n v="0"/>
    <n v="0"/>
    <n v="0"/>
    <n v="1"/>
    <n v="0"/>
    <n v="0"/>
    <n v="0"/>
    <n v="0"/>
    <n v="0"/>
    <n v="0"/>
    <n v="0"/>
    <s v="https://www.clickideacore.com/ClickHTML5/Visit.aspx?ID=//56DAEwASwAzADQAMQA1ADQANgA0ADkASQBEAEUAQQAE=&amp;Tipo=2&amp;ST=1&amp;nLang=0"/>
    <n v="0"/>
    <n v="0"/>
    <n v="0"/>
    <n v="0"/>
    <n v="0"/>
    <n v="0"/>
    <n v="0"/>
    <n v="0"/>
  </r>
  <r>
    <x v="3"/>
    <x v="3"/>
    <s v="OP-S-076"/>
    <x v="56"/>
    <d v="2025-06-17T00:00:00"/>
    <n v="57"/>
    <x v="0"/>
    <n v="36"/>
    <n v="0"/>
    <n v="0"/>
    <n v="1"/>
    <n v="0"/>
    <n v="2"/>
    <n v="0"/>
    <n v="0"/>
    <n v="0"/>
    <n v="0"/>
    <n v="0"/>
    <n v="0"/>
    <s v="https://www.clickideacore.com/ClickHTML5/Visit.aspx?ID=//5DDAEwASwAzADQAMQA1ADAANAAyADgASQBEAEUAQQAF=&amp;Tipo=2&amp;ST=1&amp;nLang=0"/>
    <n v="0"/>
    <n v="0"/>
    <n v="0"/>
    <n v="0"/>
    <n v="0"/>
    <n v="0"/>
    <n v="0"/>
    <n v="0"/>
  </r>
  <r>
    <x v="2"/>
    <x v="2"/>
    <m/>
    <x v="56"/>
    <d v="2025-06-17T00:00:00"/>
    <n v="57"/>
    <x v="0"/>
    <n v="16"/>
    <n v="0"/>
    <n v="0"/>
    <n v="1"/>
    <n v="0"/>
    <n v="0"/>
    <n v="0"/>
    <n v="0"/>
    <n v="0"/>
    <n v="0"/>
    <n v="0"/>
    <n v="0"/>
    <s v="https://www.clickideacore.com/ClickHTML5/Visit.aspx?ID=//5DDAEwASwAzADQAMQA1ADAANAAyADgASQBEAEUAQQAF=&amp;Tipo=2&amp;ST=1&amp;nLang=0"/>
    <n v="0"/>
    <n v="0"/>
    <n v="0"/>
    <n v="0"/>
    <n v="0"/>
    <n v="0"/>
    <n v="0"/>
    <n v="0"/>
  </r>
  <r>
    <x v="1"/>
    <x v="1"/>
    <s v="OP-S-076"/>
    <x v="56"/>
    <d v="2025-06-17T00:00:00"/>
    <n v="4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0"/>
    <x v="6"/>
    <s v="OP-S-076"/>
    <x v="56"/>
    <d v="2025-06-17T00:00:00"/>
    <n v="48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4"/>
    <x v="6"/>
    <n v="0"/>
    <x v="56"/>
    <d v="2025-06-1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6"/>
    <d v="2025-06-1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6"/>
    <d v="2025-06-17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OP-S-100"/>
    <x v="57"/>
    <d v="2025-06-18T00:00:00"/>
    <n v="27"/>
    <x v="0"/>
    <n v="28"/>
    <n v="0"/>
    <n v="0"/>
    <n v="1"/>
    <n v="0"/>
    <n v="0"/>
    <n v="0"/>
    <n v="0"/>
    <n v="0"/>
    <n v="0"/>
    <n v="0"/>
    <n v="0"/>
    <s v="https://www.clickideacore.com/ClickHTML5/Visit.aspx?ID=//55DAEwASwAzADQAMQA3ADYAOQAxADMASQBEAEUAQQA1=&amp;Tipo=2&amp;ST=1&amp;nLang=0"/>
    <n v="0"/>
    <n v="0"/>
    <n v="0"/>
    <n v="0"/>
    <n v="0"/>
    <n v="0"/>
    <n v="0"/>
    <n v="0"/>
  </r>
  <r>
    <x v="1"/>
    <x v="1"/>
    <s v="OP-DYR-004"/>
    <x v="57"/>
    <d v="2025-06-18T00:00:00"/>
    <n v="31"/>
    <x v="0"/>
    <n v="42"/>
    <n v="0"/>
    <n v="0"/>
    <n v="0"/>
    <n v="1"/>
    <n v="0"/>
    <n v="0"/>
    <n v="0"/>
    <n v="0"/>
    <n v="0"/>
    <n v="0"/>
    <n v="0"/>
    <s v="https://www.clickideacore.com/ClickHTML5/Visit.aspx?ID=//56DAEwASwAzADQAMQA3ADgANgA2ADUASQBEAEUAQQAE=&amp;Tipo=2&amp;ST=1&amp;nLang=0"/>
    <n v="0"/>
    <n v="0"/>
    <n v="0"/>
    <n v="0"/>
    <n v="0"/>
    <n v="0"/>
    <n v="0"/>
    <n v="0"/>
  </r>
  <r>
    <x v="3"/>
    <x v="3"/>
    <s v="OP-S-076"/>
    <x v="57"/>
    <d v="2025-06-18T00:00:00"/>
    <n v="52"/>
    <x v="0"/>
    <n v="26"/>
    <n v="0"/>
    <n v="0"/>
    <n v="1"/>
    <n v="0"/>
    <n v="0"/>
    <n v="0"/>
    <n v="0"/>
    <n v="0"/>
    <n v="0"/>
    <n v="0"/>
    <n v="0"/>
    <s v="https://www.clickideacore.com/ClickHTML5/Visit.aspx?ID=//5EDAEwASwAzADQAMQA3ADUANAAyADEASQBEAEUAQQAF=&amp;Tipo=2&amp;ST=1&amp;nLang=0"/>
    <n v="0"/>
    <n v="0"/>
    <n v="0"/>
    <n v="0"/>
    <n v="0"/>
    <n v="0"/>
    <n v="0"/>
    <n v="0"/>
  </r>
  <r>
    <x v="2"/>
    <x v="6"/>
    <s v="OP-S-076"/>
    <x v="57"/>
    <d v="2025-06-18T00:00:00"/>
    <n v="52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QAMQA3ADUANAAyADEASQBEAEUAQQAF=&amp;Tipo=2&amp;ST=1&amp;nLang=0"/>
    <n v="0"/>
    <n v="0"/>
    <n v="0"/>
    <n v="0"/>
    <n v="0"/>
    <n v="0"/>
    <n v="0"/>
    <n v="0"/>
  </r>
  <r>
    <x v="9"/>
    <x v="2"/>
    <s v="OP-S-076"/>
    <x v="57"/>
    <d v="2025-06-18T00:00:00"/>
    <n v="52"/>
    <x v="0"/>
    <n v="35"/>
    <n v="0"/>
    <n v="0"/>
    <n v="1"/>
    <n v="0"/>
    <n v="0"/>
    <n v="0"/>
    <n v="0"/>
    <n v="0"/>
    <n v="0"/>
    <n v="0"/>
    <n v="0"/>
    <s v="https://www.clickideacore.com/ClickHTML5/Visit.aspx?ID=//5EDAEwASwAzADQAMQA3ADUANAAyADEASQBEAEUAQQAF=&amp;Tipo=2&amp;ST=1&amp;nLang=0"/>
    <n v="0"/>
    <n v="0"/>
    <n v="0"/>
    <n v="0"/>
    <n v="0"/>
    <n v="0"/>
    <n v="0"/>
    <n v="0"/>
  </r>
  <r>
    <x v="5"/>
    <x v="6"/>
    <s v="OP-S-076"/>
    <x v="57"/>
    <d v="2025-06-18T00:00:00"/>
    <n v="52"/>
    <x v="0"/>
    <n v="7"/>
    <n v="0"/>
    <n v="0"/>
    <n v="0"/>
    <n v="0"/>
    <n v="0"/>
    <n v="0"/>
    <n v="0"/>
    <n v="0"/>
    <n v="0"/>
    <n v="0"/>
    <n v="0"/>
    <s v="https://www.clickideacore.com/ClickHTML5/Visit.aspx?ID=//5EDAEwASwAzADQAMQA3ADUANAAyADEASQBEAEUAQQAF=&amp;Tipo=2&amp;ST=1&amp;nLang=0"/>
    <n v="0"/>
    <n v="0"/>
    <n v="0"/>
    <n v="0"/>
    <n v="0"/>
    <n v="0"/>
    <n v="0"/>
    <n v="0"/>
  </r>
  <r>
    <x v="10"/>
    <x v="8"/>
    <s v="OP-S-076"/>
    <x v="57"/>
    <d v="2025-06-18T00:00:00"/>
    <n v="4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9"/>
    <x v="4"/>
    <s v="OP-S-076"/>
    <x v="57"/>
    <d v="2025-06-18T00:00:00"/>
    <n v="4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4"/>
    <x v="6"/>
    <n v="0"/>
    <x v="57"/>
    <d v="2025-06-1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7"/>
    <d v="2025-06-1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7"/>
    <d v="2025-06-18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58"/>
    <d v="2025-06-19T00:00:00"/>
    <n v="21"/>
    <x v="0"/>
    <n v="24"/>
    <n v="0"/>
    <n v="0"/>
    <n v="1"/>
    <n v="0"/>
    <n v="0"/>
    <n v="0"/>
    <n v="0"/>
    <n v="0"/>
    <n v="0"/>
    <n v="0"/>
    <n v="0"/>
    <s v="https://www.clickideacore.com/ClickHTML5/Visit.aspx?ID=//51DAEwASwAzADQAMgAwADEANwA0ADEASQBEAEUAQQAE=&amp;Tipo=2&amp;ST=1&amp;nLang=0"/>
    <n v="0"/>
    <n v="22"/>
    <n v="0"/>
    <n v="0"/>
    <n v="0"/>
    <n v="0"/>
    <n v="0"/>
    <n v="0"/>
  </r>
  <r>
    <x v="5"/>
    <x v="4"/>
    <s v="OP-S-005"/>
    <x v="58"/>
    <d v="2025-06-19T00:00:00"/>
    <n v="45"/>
    <x v="0"/>
    <n v="31"/>
    <n v="0"/>
    <n v="0"/>
    <n v="0"/>
    <n v="1"/>
    <n v="1"/>
    <n v="0"/>
    <n v="0"/>
    <n v="0"/>
    <n v="0"/>
    <n v="0"/>
    <n v="0"/>
    <s v="https://www.clickideacore.com/ClickHTML5/Visit.aspx?ID=//56DAEwASwAzADQAMgAwADIAMwA5ADAASQBEAEUAQQA2=&amp;Tipo=2&amp;ST=1&amp;nLang=0"/>
    <n v="0"/>
    <n v="8"/>
    <n v="0"/>
    <n v="0"/>
    <n v="0"/>
    <n v="0"/>
    <n v="0"/>
    <n v="0"/>
  </r>
  <r>
    <x v="1"/>
    <x v="1"/>
    <s v="OP-DYR-004"/>
    <x v="58"/>
    <d v="2025-06-19T00:00:00"/>
    <n v="22"/>
    <x v="0"/>
    <n v="35"/>
    <n v="0"/>
    <n v="0"/>
    <n v="1"/>
    <n v="0"/>
    <n v="0"/>
    <n v="0"/>
    <n v="0"/>
    <n v="0"/>
    <n v="0"/>
    <n v="0"/>
    <n v="0"/>
    <s v="https://www.clickideacore.com/ClickHTML5/Visit.aspx?ID=//5DDAEwASwAzADQAMgAwADMAMgAwADQASQBEAEUAQQAD=&amp;Tipo=2&amp;ST=1&amp;nLang=0"/>
    <n v="0"/>
    <n v="20"/>
    <n v="0"/>
    <n v="0"/>
    <n v="0"/>
    <n v="0"/>
    <n v="0"/>
    <n v="0"/>
  </r>
  <r>
    <x v="3"/>
    <x v="0"/>
    <s v="OP-S-076"/>
    <x v="58"/>
    <d v="2025-06-19T00:00:00"/>
    <n v="62"/>
    <x v="0"/>
    <n v="38"/>
    <n v="0"/>
    <n v="0"/>
    <n v="1"/>
    <n v="0"/>
    <n v="0"/>
    <n v="0"/>
    <n v="0"/>
    <n v="0"/>
    <n v="0"/>
    <n v="0"/>
    <n v="0"/>
    <s v="https://www.clickideacore.com/ClickHTML5/Visit.aspx?ID=//5BDAEwASwAzADQAMQA5ADkANAAyADcASQBEAEUAQQA4=&amp;Tipo=2&amp;ST=1&amp;nLang=0"/>
    <n v="0"/>
    <n v="20"/>
    <n v="0"/>
    <n v="0"/>
    <n v="0"/>
    <n v="0"/>
    <n v="0"/>
    <n v="0"/>
  </r>
  <r>
    <x v="2"/>
    <x v="2"/>
    <s v="OP-S-076"/>
    <x v="58"/>
    <d v="2025-06-19T00:00:00"/>
    <n v="62"/>
    <x v="0"/>
    <n v="3"/>
    <n v="0"/>
    <n v="0"/>
    <n v="0"/>
    <n v="0"/>
    <n v="0"/>
    <n v="0"/>
    <n v="0"/>
    <n v="0"/>
    <n v="0"/>
    <n v="0"/>
    <n v="0"/>
    <s v="https://www.clickideacore.com/ClickHTML5/Visit.aspx?ID=//5BDAEwASwAzADQAMQA5ADkANAAyADcASQBEAEUAQQA4=&amp;Tipo=2&amp;ST=1&amp;nLang=0"/>
    <n v="0"/>
    <n v="14"/>
    <n v="0"/>
    <n v="0"/>
    <n v="0"/>
    <n v="0"/>
    <n v="0"/>
    <n v="0"/>
  </r>
  <r>
    <x v="0"/>
    <x v="18"/>
    <s v="OP-S-076"/>
    <x v="58"/>
    <d v="2025-06-19T00:00:00"/>
    <n v="62"/>
    <x v="0"/>
    <n v="0"/>
    <n v="0"/>
    <n v="0"/>
    <n v="0"/>
    <n v="0"/>
    <n v="0"/>
    <n v="0"/>
    <n v="0"/>
    <n v="0"/>
    <n v="0"/>
    <n v="0"/>
    <n v="0"/>
    <s v="https://www.clickideacore.com/ClickHTML5/Visit.aspx?ID=//5BDAEwASwAzADQAMQA5ADkANAAyADcASQBEAEUAQQA4=&amp;Tipo=2&amp;ST=1&amp;nLang=0"/>
    <n v="0"/>
    <n v="22"/>
    <n v="0"/>
    <n v="0"/>
    <n v="0"/>
    <n v="0"/>
    <n v="0"/>
    <n v="0"/>
  </r>
  <r>
    <x v="16"/>
    <x v="19"/>
    <s v="OP-S-076"/>
    <x v="58"/>
    <d v="2025-06-19T00:00:00"/>
    <n v="62"/>
    <x v="0"/>
    <n v="0"/>
    <n v="0"/>
    <n v="0"/>
    <n v="0"/>
    <n v="0"/>
    <n v="0"/>
    <n v="0"/>
    <n v="0"/>
    <n v="0"/>
    <n v="1"/>
    <n v="0"/>
    <n v="0"/>
    <s v="https://www.clickideacore.com/ClickHTML5/Visit.aspx?ID=//5BDAEwASwAzADQAMQA5ADkANAAyADcASQBEAEUAQQA4=&amp;Tipo=2&amp;ST=1&amp;nLang=0"/>
    <n v="0"/>
    <n v="0"/>
    <n v="0"/>
    <n v="0"/>
    <n v="0"/>
    <n v="0"/>
    <n v="0"/>
    <n v="0"/>
  </r>
  <r>
    <x v="9"/>
    <x v="3"/>
    <s v="OP-S-076"/>
    <x v="58"/>
    <d v="2025-06-19T00:00:00"/>
    <n v="4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QAyADIANgA0ADEASQBEAEUAQQA8=&amp;Tipo=2&amp;ST=1&amp;nLang=0"/>
    <n v="0"/>
    <n v="0"/>
    <n v="0"/>
    <n v="0"/>
    <n v="0"/>
    <n v="0"/>
    <n v="0"/>
    <n v="0"/>
  </r>
  <r>
    <x v="4"/>
    <x v="6"/>
    <n v="0"/>
    <x v="58"/>
    <d v="2025-06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"/>
    <n v="0"/>
    <x v="58"/>
    <d v="2025-06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7"/>
    <n v="0"/>
    <x v="58"/>
    <d v="2025-06-19T00:00:00"/>
    <n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8"/>
    <s v="OP-DYR-011"/>
    <x v="59"/>
    <d v="2025-06-20T00:00:00"/>
    <n v="40"/>
    <x v="0"/>
    <n v="0"/>
    <n v="0"/>
    <n v="0"/>
    <n v="0"/>
    <n v="0"/>
    <n v="0"/>
    <n v="0"/>
    <n v="0"/>
    <n v="1"/>
    <n v="0"/>
    <n v="0"/>
    <n v="1"/>
    <s v="https://www.clickideacore.com/ClickHTML5/Visit.aspx?ID=//52DAEwASwAzADQAMgAyADAAMgAwADgASQBEAEUAQQA8=&amp;Tipo=2&amp;ST=1&amp;nLang=0"/>
    <n v="0"/>
    <n v="0"/>
    <n v="0"/>
    <n v="0"/>
    <n v="0"/>
    <n v="0"/>
    <n v="0"/>
    <n v="0"/>
  </r>
  <r>
    <x v="1"/>
    <x v="1"/>
    <s v="OP-DYR-004"/>
    <x v="59"/>
    <d v="2025-06-20T00:00:00"/>
    <n v="29"/>
    <x v="0"/>
    <n v="0"/>
    <n v="0"/>
    <n v="0"/>
    <n v="0"/>
    <n v="0"/>
    <n v="0"/>
    <n v="0"/>
    <n v="0"/>
    <n v="1"/>
    <n v="0"/>
    <n v="0"/>
    <n v="1"/>
    <s v="https://www.clickideacore.com/ClickHTML5/Visit.aspx?ID=//5EDAEwASwAzADQAMgAyADMAOQAwADkASQBEAEUAQQAE=&amp;Tipo=2&amp;ST=1&amp;nLang=0"/>
    <n v="8"/>
    <n v="0"/>
    <n v="0"/>
    <n v="0"/>
    <n v="0"/>
    <n v="0"/>
    <n v="0"/>
    <n v="0"/>
  </r>
  <r>
    <x v="12"/>
    <x v="4"/>
    <s v="OP-S-DYR-009"/>
    <x v="59"/>
    <d v="2025-06-20T00:00:00"/>
    <n v="208"/>
    <x v="0"/>
    <n v="0"/>
    <n v="0"/>
    <n v="0"/>
    <n v="0"/>
    <n v="0"/>
    <n v="0"/>
    <n v="0"/>
    <n v="0"/>
    <n v="1"/>
    <n v="0"/>
    <n v="0"/>
    <n v="1"/>
    <s v="https://www.clickideacore.com/ClickHTML5/Visit.aspx?ID=//50DAEwASwAzADQAMgAyADMAMwAzADAASQBEAEUAQQAE=&amp;Tipo=2&amp;ST=1&amp;nLang=0"/>
    <n v="0"/>
    <n v="0"/>
    <n v="0"/>
    <n v="0"/>
    <n v="0"/>
    <n v="0"/>
    <n v="0"/>
    <n v="1"/>
  </r>
  <r>
    <x v="3"/>
    <x v="3"/>
    <s v="OP-S-076"/>
    <x v="59"/>
    <d v="2025-06-20T00:00:00"/>
    <n v="48"/>
    <x v="0"/>
    <n v="0"/>
    <n v="0"/>
    <n v="0"/>
    <n v="0"/>
    <n v="0"/>
    <n v="0"/>
    <n v="0"/>
    <n v="0"/>
    <n v="1"/>
    <n v="0"/>
    <n v="0"/>
    <n v="1"/>
    <s v="https://www.clickideacore.com/ClickHTML5/Visit.aspx?ID=//50DAEwASwAzADQAMgAyADIAMwA2ADgASQBEAEUAQQAD=&amp;Tipo=2&amp;ST=1&amp;nLang=0"/>
    <n v="0"/>
    <n v="0"/>
    <n v="0"/>
    <n v="0"/>
    <n v="0"/>
    <n v="0"/>
    <n v="0"/>
    <n v="0"/>
  </r>
  <r>
    <x v="10"/>
    <x v="8"/>
    <s v="OP-DYR-011"/>
    <x v="60"/>
    <d v="2025-06-21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EDAEwASwAzADQAMgAzADcAOAAyADYASQBEAEUAQQAE=&amp;Tipo=2&amp;ST=1&amp;nLang=0"/>
    <n v="0"/>
    <n v="0"/>
    <n v="0"/>
    <n v="0"/>
    <n v="0"/>
    <n v="0"/>
    <n v="0"/>
    <n v="0"/>
  </r>
  <r>
    <x v="1"/>
    <x v="1"/>
    <s v="OP-DYR-004"/>
    <x v="60"/>
    <d v="2025-06-21T00:00:00"/>
    <n v="66"/>
    <x v="0"/>
    <n v="0"/>
    <n v="0"/>
    <n v="0"/>
    <n v="0"/>
    <n v="0"/>
    <n v="0"/>
    <n v="0"/>
    <n v="1"/>
    <n v="0"/>
    <n v="6"/>
    <n v="1"/>
    <n v="0"/>
    <s v="https://www.clickideacore.com/ClickHTML5/Visit.aspx?ID=//53DAEwASwAzADQAMgAzADYAOQA1ADUASQBEAEUAQQAA=&amp;Tipo=2&amp;ST=1&amp;nLang=0"/>
    <n v="22"/>
    <n v="0"/>
    <n v="0"/>
    <n v="0"/>
    <n v="0"/>
    <n v="0"/>
    <n v="1"/>
    <n v="0"/>
  </r>
  <r>
    <x v="3"/>
    <x v="3"/>
    <s v="OP-S-076"/>
    <x v="60"/>
    <d v="2025-06-21T00:00:00"/>
    <n v="31"/>
    <x v="0"/>
    <n v="0"/>
    <n v="0"/>
    <n v="0"/>
    <n v="0"/>
    <n v="0"/>
    <n v="0"/>
    <n v="0"/>
    <n v="1"/>
    <n v="0"/>
    <n v="0"/>
    <n v="1"/>
    <n v="0"/>
    <s v="https://www.clickideacore.com/ClickHTML5/Visit.aspx?ID=//55DAEwASwAzADQAMgAzADYAOQAyADkASQBEAEUAQQAA=&amp;Tipo=2&amp;ST=1&amp;nLang=0"/>
    <n v="0"/>
    <n v="0"/>
    <n v="0"/>
    <n v="0"/>
    <n v="0"/>
    <n v="0"/>
    <n v="0"/>
    <n v="0"/>
  </r>
  <r>
    <x v="14"/>
    <x v="4"/>
    <s v="OP-S-0010"/>
    <x v="60"/>
    <d v="2025-06-21T00:00:00"/>
    <n v="70"/>
    <x v="0"/>
    <n v="0"/>
    <n v="0"/>
    <n v="1"/>
    <n v="0"/>
    <n v="0"/>
    <n v="0"/>
    <n v="0"/>
    <n v="1"/>
    <n v="0"/>
    <n v="0"/>
    <n v="1"/>
    <n v="0"/>
    <s v="https://www.clickideacore.com/ClickHTML5/Visit.aspx?ID=//51DAEwASwAzADQAMgAzADcAOQAzADYASQBEAEUAQQA9=&amp;Tipo=2&amp;ST=1&amp;nLang=0"/>
    <n v="0"/>
    <n v="0"/>
    <n v="0"/>
    <n v="0"/>
    <n v="0"/>
    <n v="0"/>
    <n v="0"/>
    <n v="0"/>
  </r>
  <r>
    <x v="10"/>
    <x v="8"/>
    <s v="OP-DYR-011"/>
    <x v="61"/>
    <d v="2025-06-22T00:00:00"/>
    <n v="23"/>
    <x v="0"/>
    <n v="0"/>
    <n v="0"/>
    <n v="0"/>
    <n v="0"/>
    <n v="0"/>
    <n v="0"/>
    <n v="0"/>
    <n v="0"/>
    <n v="1"/>
    <n v="4"/>
    <n v="0"/>
    <n v="1"/>
    <s v="https://www.clickideacore.com/ClickHTML5/Visit.aspx?ID=//5BDAEwASwAzADQAMgA0ADYANQAwADQASQBEAEUAQQAC=&amp;Tipo=2&amp;ST=1&amp;nLang=0"/>
    <n v="0"/>
    <n v="0"/>
    <n v="0"/>
    <n v="0"/>
    <n v="0"/>
    <n v="0"/>
    <n v="0"/>
    <n v="0"/>
  </r>
  <r>
    <x v="1"/>
    <x v="1"/>
    <s v="OP-DYR-004"/>
    <x v="61"/>
    <d v="2025-06-22T00:00:00"/>
    <n v="123"/>
    <x v="0"/>
    <n v="0"/>
    <n v="0"/>
    <n v="0"/>
    <n v="0"/>
    <n v="0"/>
    <n v="0"/>
    <n v="0"/>
    <n v="0"/>
    <n v="1"/>
    <n v="1"/>
    <n v="0"/>
    <n v="1"/>
    <s v="https://www.clickideacore.com/ClickHTML5/Visit.aspx?ID=//50DAEwASwAzADQAMgA0ADUAOAAzADEASQBEAEUAQQAE=&amp;Tipo=2&amp;ST=1&amp;nLang=0"/>
    <n v="16"/>
    <n v="0"/>
    <n v="0"/>
    <n v="0"/>
    <n v="0"/>
    <n v="0"/>
    <n v="0"/>
    <n v="0"/>
  </r>
  <r>
    <x v="3"/>
    <x v="3"/>
    <s v="OP-S-076"/>
    <x v="61"/>
    <d v="2025-06-22T00:00:00"/>
    <n v="34"/>
    <x v="0"/>
    <n v="0"/>
    <n v="0"/>
    <n v="0"/>
    <n v="0"/>
    <n v="0"/>
    <n v="0"/>
    <n v="0"/>
    <n v="0"/>
    <n v="1"/>
    <n v="2"/>
    <n v="0"/>
    <n v="1"/>
    <s v="https://www.clickideacore.com/ClickHTML5/Visit.aspx?ID=//57DAEwASwAzADQAMgA0ADYAMQAwADgASQBEAEUAQQAA=&amp;Tipo=2&amp;ST=1&amp;nLang=0"/>
    <n v="17"/>
    <n v="0"/>
    <n v="0"/>
    <n v="0"/>
    <n v="0"/>
    <n v="0"/>
    <n v="0"/>
    <n v="0"/>
  </r>
  <r>
    <x v="14"/>
    <x v="4"/>
    <s v="OP-S-0010"/>
    <x v="61"/>
    <d v="2025-06-22T00:00:00"/>
    <n v="63"/>
    <x v="0"/>
    <n v="0"/>
    <n v="0"/>
    <n v="0"/>
    <n v="0"/>
    <n v="0"/>
    <n v="0"/>
    <n v="0"/>
    <n v="0"/>
    <n v="0"/>
    <n v="8"/>
    <n v="0"/>
    <n v="1"/>
    <s v="https://www.clickideacore.com/ClickHTML5/Visit.aspx?ID=//57DAEwASwAzADQAMgA0ADYAOQA2ADQASQBEAEUAQQA7=&amp;Tipo=2&amp;ST=1&amp;nLang=0"/>
    <n v="10"/>
    <n v="0"/>
    <n v="0"/>
    <n v="0"/>
    <n v="0"/>
    <n v="0"/>
    <n v="0"/>
    <n v="1"/>
  </r>
  <r>
    <x v="5"/>
    <x v="6"/>
    <s v="OP-S-0010"/>
    <x v="61"/>
    <d v="2025-06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61"/>
    <d v="2025-06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61"/>
    <d v="2025-06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6"/>
    <s v="OP-S-0010"/>
    <x v="61"/>
    <d v="2025-06-22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7"/>
    <x v="6"/>
    <s v="OP-S-0010"/>
    <x v="61"/>
    <d v="2025-06-22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1"/>
    <d v="2025-06-22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200"/>
    <x v="62"/>
    <d v="2025-06-23T00:00:00"/>
    <n v="24"/>
    <x v="0"/>
    <n v="13"/>
    <n v="0"/>
    <n v="0"/>
    <n v="0"/>
    <n v="0"/>
    <n v="1"/>
    <n v="0"/>
    <n v="0"/>
    <n v="0"/>
    <n v="0"/>
    <n v="0"/>
    <n v="0"/>
    <s v="https://www.clickideacore.com/ClickHTML5/Visit.aspx?ID=//5BDAEwASwAzADQAMgA1ADQAMwA0ADAASQBEAEUAQQA4=&amp;Tipo=2&amp;ST=1&amp;nLang=0"/>
    <n v="0"/>
    <n v="6"/>
    <n v="0"/>
    <n v="0"/>
    <n v="0"/>
    <n v="0"/>
    <n v="0"/>
    <n v="0"/>
  </r>
  <r>
    <x v="3"/>
    <x v="3"/>
    <s v="OP-S-076"/>
    <x v="62"/>
    <d v="2025-06-23T00:00:00"/>
    <n v="32"/>
    <x v="0"/>
    <n v="12"/>
    <n v="0"/>
    <n v="0"/>
    <n v="0"/>
    <n v="0"/>
    <n v="0"/>
    <n v="0"/>
    <n v="0"/>
    <n v="0"/>
    <n v="0"/>
    <n v="0"/>
    <n v="0"/>
    <s v="https://www.clickideacore.com/ClickHTML5/Visit.aspx?ID=//56DAEwASwAzADQAMgA1ADIANwAxADcASQBEAEUAQQA1=&amp;Tipo=2&amp;ST=1&amp;nLang=0"/>
    <n v="0"/>
    <n v="0"/>
    <n v="0"/>
    <n v="0"/>
    <n v="0"/>
    <n v="0"/>
    <n v="0"/>
    <n v="0"/>
  </r>
  <r>
    <x v="1"/>
    <x v="1"/>
    <s v="OP-S-0010"/>
    <x v="62"/>
    <d v="2025-06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62"/>
    <d v="2025-06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62"/>
    <d v="2025-06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S-0010"/>
    <x v="62"/>
    <d v="2025-06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6"/>
    <s v="OP-S-0010"/>
    <x v="62"/>
    <d v="2025-06-2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7"/>
    <x v="6"/>
    <s v="OP-S-0010"/>
    <x v="62"/>
    <d v="2025-06-2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2"/>
    <d v="2025-06-2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63"/>
    <d v="2025-06-24T00:00:00"/>
    <n v="47"/>
    <x v="0"/>
    <n v="33"/>
    <n v="0"/>
    <n v="0"/>
    <n v="0"/>
    <n v="1"/>
    <n v="1"/>
    <n v="0"/>
    <n v="0"/>
    <n v="0"/>
    <n v="1"/>
    <n v="0"/>
    <n v="0"/>
    <s v="https://www.clickideacore.com/ClickHTML5/Visit.aspx?ID=//54DAEwASwAzADQAMgA3ADUANgA0ADEASQBEAEUAQQA5=&amp;Tipo=2&amp;ST=1&amp;nLang=0"/>
    <n v="0"/>
    <n v="0"/>
    <n v="0"/>
    <n v="0"/>
    <n v="0"/>
    <n v="0"/>
    <n v="0"/>
    <n v="0"/>
  </r>
  <r>
    <x v="1"/>
    <x v="1"/>
    <s v="OP-DYR-004"/>
    <x v="63"/>
    <d v="2025-06-24T00:00:00"/>
    <n v="55"/>
    <x v="0"/>
    <n v="28"/>
    <n v="0"/>
    <n v="0"/>
    <n v="1"/>
    <n v="0"/>
    <n v="1"/>
    <n v="0"/>
    <n v="0"/>
    <n v="0"/>
    <n v="0"/>
    <n v="0"/>
    <n v="0"/>
    <s v="https://www.clickideacore.com/ClickHTML5/Visit.aspx?ID=//50DAEwASwAzADQAMgA4ADEAMQAzADMASQBEAEUAQQA1=&amp;Tipo=2&amp;ST=1&amp;nLang=0"/>
    <n v="0"/>
    <n v="0"/>
    <n v="0"/>
    <n v="0"/>
    <n v="0"/>
    <n v="0"/>
    <n v="0"/>
    <n v="0"/>
  </r>
  <r>
    <x v="3"/>
    <x v="4"/>
    <s v="OP-S-076"/>
    <x v="63"/>
    <d v="2025-06-24T00:00:00"/>
    <n v="28"/>
    <x v="0"/>
    <n v="34"/>
    <n v="0"/>
    <n v="0"/>
    <n v="1"/>
    <n v="0"/>
    <n v="0"/>
    <n v="0"/>
    <n v="0"/>
    <n v="0"/>
    <n v="0"/>
    <n v="0"/>
    <n v="0"/>
    <s v="https://www.clickideacore.com/ClickHTML5/Visit.aspx?ID=//50DAEwASwAzADQAMgA3ADYAMAAwADUASQBEAEUAQQA4=&amp;Tipo=2&amp;ST=1&amp;nLang=0"/>
    <n v="0"/>
    <n v="0"/>
    <n v="0"/>
    <n v="0"/>
    <n v="0"/>
    <n v="0"/>
    <n v="0"/>
    <n v="0"/>
  </r>
  <r>
    <x v="2"/>
    <x v="2"/>
    <s v="OP-S-076"/>
    <x v="63"/>
    <d v="2025-06-24T00:00:00"/>
    <n v="28"/>
    <x v="0"/>
    <n v="16"/>
    <n v="0"/>
    <n v="0"/>
    <n v="1"/>
    <n v="0"/>
    <n v="0"/>
    <n v="0"/>
    <n v="0"/>
    <n v="0"/>
    <n v="1"/>
    <n v="0"/>
    <n v="0"/>
    <s v="https://www.clickideacore.com/ClickHTML5/Visit.aspx?ID=//50DAEwASwAzADQAMgA3ADYAMAAwADUASQBEAEUAQQA4=&amp;Tipo=2&amp;ST=1&amp;nLang=0"/>
    <n v="0"/>
    <n v="0"/>
    <n v="0"/>
    <n v="0"/>
    <n v="0"/>
    <n v="0"/>
    <n v="0"/>
    <n v="0"/>
  </r>
  <r>
    <x v="5"/>
    <x v="3"/>
    <s v="OP-S-0010"/>
    <x v="63"/>
    <d v="2025-06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63"/>
    <d v="2025-06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6"/>
    <s v="OP-S-0010"/>
    <x v="63"/>
    <d v="2025-06-2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7"/>
    <x v="6"/>
    <s v="OP-S-0010"/>
    <x v="63"/>
    <d v="2025-06-2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3"/>
    <d v="2025-06-2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64"/>
    <d v="2025-06-25T00:00:00"/>
    <n v="229"/>
    <x v="0"/>
    <n v="43"/>
    <n v="0"/>
    <n v="0"/>
    <n v="1"/>
    <n v="0"/>
    <n v="0"/>
    <n v="0"/>
    <n v="0"/>
    <n v="0"/>
    <n v="0"/>
    <n v="0"/>
    <n v="0"/>
    <s v="https://www.clickideacore.com/ClickHTML5/Visit.aspx?ID=//52DAEwASwAzADQAMgA5ADgANgAwADgASQBEAEUAQQA4=&amp;Tipo=2&amp;ST=1&amp;nLang=0"/>
    <n v="0"/>
    <n v="0"/>
    <n v="0"/>
    <n v="0"/>
    <n v="0"/>
    <n v="0"/>
    <n v="0"/>
    <n v="0"/>
  </r>
  <r>
    <x v="1"/>
    <x v="1"/>
    <s v="OP-DYR-004"/>
    <x v="64"/>
    <d v="2025-06-25T00:00:00"/>
    <n v="21"/>
    <x v="0"/>
    <n v="3"/>
    <n v="0"/>
    <n v="0"/>
    <n v="0"/>
    <n v="0"/>
    <n v="1"/>
    <n v="0"/>
    <n v="0"/>
    <n v="0"/>
    <n v="0"/>
    <n v="0"/>
    <n v="0"/>
    <s v="https://www.clickideacore.com/ClickHTML5/Visit.aspx?ID=//57DAEwASwAzADQAMwAwADMAOAAyADYASQBEAEUAQQAD=&amp;Tipo=2&amp;ST=1&amp;nLang=0"/>
    <n v="0"/>
    <n v="0"/>
    <n v="0"/>
    <n v="0"/>
    <n v="0"/>
    <n v="0"/>
    <n v="0"/>
    <n v="0"/>
  </r>
  <r>
    <x v="2"/>
    <x v="2"/>
    <s v="OP-S-200"/>
    <x v="64"/>
    <d v="2025-06-25T00:00:00"/>
    <n v="20"/>
    <x v="0"/>
    <n v="75"/>
    <n v="0"/>
    <n v="0"/>
    <n v="0"/>
    <n v="1"/>
    <n v="0"/>
    <n v="0"/>
    <n v="0"/>
    <n v="0"/>
    <n v="0"/>
    <n v="0"/>
    <n v="0"/>
    <s v="https://www.clickideacore.com/ClickHTML5/Visit.aspx?ID=//50DAEwASwAzADQAMgA5ADgANwA0ADIASQBEAEUAQQA2=&amp;Tipo=2&amp;ST=1&amp;nLang=0"/>
    <n v="0"/>
    <n v="0"/>
    <n v="0"/>
    <n v="0"/>
    <n v="0"/>
    <n v="0"/>
    <n v="0"/>
    <n v="0"/>
  </r>
  <r>
    <x v="5"/>
    <x v="3"/>
    <s v="OP-S-0010"/>
    <x v="64"/>
    <d v="2025-06-25T00:00:00"/>
    <n v="57"/>
    <x v="0"/>
    <n v="54"/>
    <n v="0"/>
    <n v="0"/>
    <n v="1"/>
    <n v="0"/>
    <n v="0"/>
    <n v="0"/>
    <n v="0"/>
    <n v="0"/>
    <n v="0"/>
    <n v="0"/>
    <n v="0"/>
    <s v="https://www.clickideacore.com/ClickHTML5/Visit.aspx?ID=//5DDAEwASwAzADQAMwAwADAAMQA2ADIASQBEAEUAQQA4=&amp;Tipo=2&amp;ST=1&amp;nLang=0"/>
    <n v="0"/>
    <n v="0"/>
    <n v="0"/>
    <n v="0"/>
    <n v="0"/>
    <n v="0"/>
    <n v="0"/>
    <n v="0"/>
  </r>
  <r>
    <x v="0"/>
    <x v="0"/>
    <s v="OP-S-0010"/>
    <x v="64"/>
    <d v="2025-06-25T00:00:00"/>
    <n v="57"/>
    <x v="0"/>
    <n v="56"/>
    <n v="0"/>
    <n v="0"/>
    <n v="1"/>
    <n v="0"/>
    <n v="0"/>
    <n v="0"/>
    <n v="0"/>
    <n v="0"/>
    <n v="0"/>
    <n v="0"/>
    <n v="0"/>
    <s v="https://www.clickideacore.com/ClickHTML5/Visit.aspx?ID=//5DDAEwASwAzADQAMwAwADAAMQA2ADIASQBEAEUAQQA4=&amp;Tipo=2&amp;ST=1&amp;nLang=0"/>
    <n v="0"/>
    <n v="0"/>
    <n v="0"/>
    <n v="0"/>
    <n v="0"/>
    <n v="0"/>
    <n v="0"/>
    <n v="0"/>
  </r>
  <r>
    <x v="9"/>
    <x v="4"/>
    <s v="OP-S-0010"/>
    <x v="64"/>
    <d v="2025-06-2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64"/>
    <d v="2025-06-2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6"/>
    <s v="OP-S-0010"/>
    <x v="64"/>
    <d v="2025-06-25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7"/>
    <x v="6"/>
    <s v="OP-S-0010"/>
    <x v="64"/>
    <d v="2025-06-25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4"/>
    <d v="2025-06-25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65"/>
    <d v="2025-06-26T00:00:00"/>
    <n v="61"/>
    <x v="0"/>
    <n v="20"/>
    <n v="0"/>
    <n v="0"/>
    <n v="1"/>
    <n v="0"/>
    <n v="0"/>
    <n v="0"/>
    <n v="0"/>
    <n v="0"/>
    <n v="0"/>
    <n v="0"/>
    <n v="0"/>
    <s v="https://www.clickideacore.com/ClickHTML5/Visit.aspx?ID=//5ADAEwASwAzADQAMwAyADMANAA4ADIASQBEAEUAQQA8=&amp;Tipo=2&amp;ST=1&amp;nLang=0"/>
    <n v="0"/>
    <n v="0"/>
    <n v="0"/>
    <n v="0"/>
    <n v="0"/>
    <n v="0"/>
    <n v="0"/>
    <n v="0"/>
  </r>
  <r>
    <x v="2"/>
    <x v="2"/>
    <s v="OP-S-200"/>
    <x v="65"/>
    <d v="2025-06-26T00:00:00"/>
    <n v="943"/>
    <x v="0"/>
    <n v="16"/>
    <n v="0"/>
    <n v="0"/>
    <n v="1"/>
    <n v="0"/>
    <n v="0"/>
    <n v="0"/>
    <n v="0"/>
    <n v="0"/>
    <n v="0"/>
    <n v="0"/>
    <n v="0"/>
    <s v="https://www.clickideacore.com/ClickHTML5/Visit.aspx?ID=//52DAEwASwAzADQAMwAyADQANwAwADkASQBEAEUAQQAD=&amp;Tipo=2&amp;ST=1&amp;nLang=0"/>
    <n v="0"/>
    <n v="0"/>
    <n v="0"/>
    <n v="0"/>
    <n v="0"/>
    <n v="0"/>
    <n v="0"/>
    <n v="0"/>
  </r>
  <r>
    <x v="4"/>
    <x v="6"/>
    <s v="OP-DYR-005"/>
    <x v="65"/>
    <d v="2025-06-26T00:00:00"/>
    <n v="20"/>
    <x v="0"/>
    <n v="13"/>
    <n v="0"/>
    <n v="0"/>
    <n v="0"/>
    <n v="0"/>
    <n v="0"/>
    <n v="0"/>
    <n v="0"/>
    <n v="0"/>
    <n v="0"/>
    <n v="0"/>
    <n v="0"/>
    <s v="https://www.clickideacore.com/ClickHTML5/Visit.aspx?ID=//52DAEwASwAzADQAMwAyADAANwA0ADMASQBEAEUAQQAA=&amp;Tipo=2&amp;ST=1&amp;nLang=0"/>
    <n v="0"/>
    <n v="0"/>
    <n v="0"/>
    <n v="0"/>
    <n v="0"/>
    <n v="0"/>
    <n v="0"/>
    <n v="0"/>
  </r>
  <r>
    <x v="9"/>
    <x v="4"/>
    <s v="OP-DYR-005"/>
    <x v="65"/>
    <d v="2025-06-26T00:00:00"/>
    <n v="20"/>
    <x v="0"/>
    <n v="33"/>
    <n v="0"/>
    <n v="0"/>
    <n v="1"/>
    <n v="0"/>
    <n v="0"/>
    <n v="0"/>
    <n v="0"/>
    <n v="0"/>
    <n v="0"/>
    <n v="0"/>
    <n v="0"/>
    <s v="https://www.clickideacore.com/ClickHTML5/Visit.aspx?ID=//52DAEwASwAzADQAMwAyADAANwA0ADMASQBEAEUAQQAA=&amp;Tipo=2&amp;ST=1&amp;nLang=0"/>
    <n v="0"/>
    <n v="0"/>
    <n v="0"/>
    <n v="0"/>
    <n v="0"/>
    <n v="0"/>
    <n v="0"/>
    <n v="0"/>
  </r>
  <r>
    <x v="5"/>
    <x v="3"/>
    <s v="OP-S-0010"/>
    <x v="65"/>
    <d v="2025-06-26T00:00:00"/>
    <n v="20"/>
    <x v="0"/>
    <n v="30"/>
    <n v="0"/>
    <n v="0"/>
    <n v="1"/>
    <n v="0"/>
    <n v="0"/>
    <n v="0"/>
    <n v="0"/>
    <n v="0"/>
    <n v="0"/>
    <n v="0"/>
    <n v="0"/>
    <s v="https://www.clickideacore.com/ClickHTML5/Visit.aspx?ID=//5BDAEwASwAzADQAMwAyADYANQA3ADUASQBEAEUAQQA5=&amp;Tipo=2&amp;ST=1&amp;nLang=0"/>
    <n v="0"/>
    <n v="0"/>
    <n v="0"/>
    <n v="0"/>
    <n v="0"/>
    <n v="0"/>
    <n v="0"/>
    <n v="0"/>
  </r>
  <r>
    <x v="0"/>
    <x v="0"/>
    <s v="OP-S-0010"/>
    <x v="65"/>
    <d v="2025-06-26T00:00:00"/>
    <n v="20"/>
    <x v="0"/>
    <n v="36"/>
    <n v="0"/>
    <n v="0"/>
    <n v="0"/>
    <n v="1"/>
    <n v="0"/>
    <n v="0"/>
    <n v="0"/>
    <n v="0"/>
    <n v="0"/>
    <n v="0"/>
    <n v="0"/>
    <s v="https://www.clickideacore.com/ClickHTML5/Visit.aspx?ID=//5BDAEwASwAzADQAMwAyADYANQA3ADUASQBEAEUAQQA5=&amp;Tipo=2&amp;ST=1&amp;nLang=0"/>
    <n v="0"/>
    <n v="0"/>
    <n v="0"/>
    <n v="0"/>
    <n v="0"/>
    <n v="0"/>
    <n v="0"/>
    <n v="0"/>
  </r>
  <r>
    <x v="3"/>
    <x v="6"/>
    <s v="OP-S-0010"/>
    <x v="65"/>
    <d v="2025-06-26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65"/>
    <d v="2025-06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8"/>
    <s v="OP-S-0010"/>
    <x v="65"/>
    <d v="2025-06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5"/>
    <d v="2025-06-26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66"/>
    <d v="2025-06-27T00:00:00"/>
    <n v="19"/>
    <x v="0"/>
    <n v="10"/>
    <n v="0"/>
    <n v="0"/>
    <n v="1"/>
    <n v="0"/>
    <n v="0"/>
    <n v="0"/>
    <n v="0"/>
    <n v="0"/>
    <n v="0"/>
    <n v="0"/>
    <n v="0"/>
    <s v="https://www.clickideacore.com/ClickHTML5/Visit.aspx?ID=//5ADAEwASwAzADQAMwA0ADgAMAAyADcASQBEAEUAQQAB=&amp;Tipo=2&amp;ST=1&amp;nLang=0"/>
    <n v="0"/>
    <n v="0"/>
    <n v="0"/>
    <n v="0"/>
    <n v="0"/>
    <n v="0"/>
    <n v="0"/>
    <n v="0"/>
  </r>
  <r>
    <x v="1"/>
    <x v="1"/>
    <s v="OP-DYR-004"/>
    <x v="66"/>
    <d v="2025-06-27T00:00:00"/>
    <n v="40"/>
    <x v="0"/>
    <n v="31"/>
    <n v="0"/>
    <n v="0"/>
    <n v="1"/>
    <n v="0"/>
    <n v="0"/>
    <n v="0"/>
    <n v="0"/>
    <n v="0"/>
    <n v="0"/>
    <n v="0"/>
    <n v="0"/>
    <s v="https://www.clickideacore.com/ClickHTML5/Visit.aspx?ID=//57DAEwASwAzADQAMwA1ADMAOQAwADMASQBEAEUAQQA7=&amp;Tipo=2&amp;ST=1&amp;nLang=0"/>
    <n v="0"/>
    <n v="1"/>
    <n v="0"/>
    <n v="0"/>
    <n v="0"/>
    <n v="0"/>
    <n v="0"/>
    <n v="0"/>
  </r>
  <r>
    <x v="4"/>
    <x v="4"/>
    <s v="OP-DYR-005"/>
    <x v="66"/>
    <d v="2025-06-27T00:00:00"/>
    <n v="24"/>
    <x v="0"/>
    <n v="10"/>
    <n v="0"/>
    <n v="0"/>
    <n v="1"/>
    <n v="0"/>
    <n v="0"/>
    <n v="0"/>
    <n v="0"/>
    <n v="0"/>
    <n v="0"/>
    <n v="0"/>
    <n v="0"/>
    <s v="https://www.clickideacore.com/ClickHTML5/Visit.aspx?ID=//50DAEwASwAzADQAMwA1ADEANgAzADEASQBEAEUAQQA9=&amp;Tipo=2&amp;ST=1&amp;nLang=0"/>
    <n v="0"/>
    <n v="0"/>
    <n v="0"/>
    <n v="0"/>
    <n v="0"/>
    <n v="0"/>
    <n v="0"/>
    <n v="0"/>
  </r>
  <r>
    <x v="0"/>
    <x v="0"/>
    <s v="OP-S-0010"/>
    <x v="66"/>
    <d v="2025-06-27T00:00:00"/>
    <n v="25"/>
    <x v="0"/>
    <n v="33"/>
    <n v="0"/>
    <n v="0"/>
    <n v="0"/>
    <n v="1"/>
    <n v="0"/>
    <n v="0"/>
    <n v="0"/>
    <n v="0"/>
    <n v="0"/>
    <n v="0"/>
    <n v="0"/>
    <s v="https://www.clickideacore.com/ClickHTML5/Visit.aspx?ID=//54DAEwASwAzADQAMwA1ADEAMwA1ADMASQBEAEUAQQAE=&amp;Tipo=2&amp;ST=1&amp;nLang=0"/>
    <n v="0"/>
    <n v="0"/>
    <n v="0"/>
    <n v="0"/>
    <n v="0"/>
    <n v="0"/>
    <n v="0"/>
    <n v="0"/>
  </r>
  <r>
    <x v="5"/>
    <x v="3"/>
    <s v="OP-S-0010"/>
    <x v="66"/>
    <d v="2025-06-27T00:00:00"/>
    <n v="25"/>
    <x v="0"/>
    <n v="38"/>
    <n v="0"/>
    <n v="0"/>
    <n v="1"/>
    <n v="0"/>
    <n v="0"/>
    <n v="0"/>
    <n v="0"/>
    <n v="0"/>
    <n v="0"/>
    <n v="0"/>
    <n v="0"/>
    <s v="https://www.clickideacore.com/ClickHTML5/Visit.aspx?ID=//54DAEwASwAzADQAMwA1ADEAMwA1ADMASQBEAEUAQQAE=&amp;Tipo=2&amp;ST=1&amp;nLang=0"/>
    <n v="0"/>
    <n v="0"/>
    <n v="0"/>
    <n v="0"/>
    <n v="0"/>
    <n v="0"/>
    <n v="0"/>
    <n v="0"/>
  </r>
  <r>
    <x v="2"/>
    <x v="2"/>
    <s v="OP-S-0010"/>
    <x v="66"/>
    <d v="2025-06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66"/>
    <d v="2025-06-27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6"/>
    <d v="2025-06-27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1"/>
    <x v="17"/>
    <s v="OP-SDYR-001"/>
    <x v="67"/>
    <d v="2025-06-28T00:00:00"/>
    <n v="16"/>
    <x v="0"/>
    <n v="0"/>
    <n v="0"/>
    <n v="0"/>
    <n v="0"/>
    <n v="0"/>
    <n v="0"/>
    <n v="0"/>
    <n v="1"/>
    <n v="0"/>
    <n v="0"/>
    <n v="1"/>
    <n v="0"/>
    <s v="https://www.clickideacore.com/ClickHTML5/Visit.aspx?ID=//59DAEwASwAzADQAMwA2ADgAMAAwADIASQBEAEUAQQA0=&amp;Tipo=2&amp;ST=1&amp;nLang=0"/>
    <n v="0"/>
    <n v="0"/>
    <n v="0"/>
    <n v="0"/>
    <n v="0"/>
    <n v="0"/>
    <n v="0"/>
    <n v="0"/>
  </r>
  <r>
    <x v="2"/>
    <x v="2"/>
    <s v="OP-S-200"/>
    <x v="67"/>
    <d v="2025-06-28T00:00:00"/>
    <n v="39"/>
    <x v="0"/>
    <n v="0"/>
    <n v="0"/>
    <n v="0"/>
    <n v="0"/>
    <n v="0"/>
    <n v="0"/>
    <n v="0"/>
    <n v="0"/>
    <n v="0"/>
    <n v="6"/>
    <n v="1"/>
    <n v="0"/>
    <s v="https://www.clickideacore.com/ClickHTML5/Visit.aspx?ID=//51DAEwASwAzADQAMwA2ADkANQAwADEASQBEAEUAQQAD=&amp;Tipo=2&amp;ST=1&amp;nLang=0"/>
    <n v="22"/>
    <n v="0"/>
    <n v="0"/>
    <n v="0"/>
    <n v="0"/>
    <n v="0"/>
    <n v="1"/>
    <n v="0"/>
  </r>
  <r>
    <x v="0"/>
    <x v="0"/>
    <s v="OP-S-0010"/>
    <x v="67"/>
    <d v="2025-06-28T00:00:00"/>
    <n v="86"/>
    <x v="0"/>
    <n v="0"/>
    <n v="0"/>
    <n v="0"/>
    <n v="0"/>
    <n v="0"/>
    <n v="0"/>
    <n v="0"/>
    <n v="1"/>
    <n v="0"/>
    <n v="0"/>
    <n v="1"/>
    <n v="0"/>
    <s v="https://www.clickideacore.com/ClickHTML5/Visit.aspx?ID=//59DAEwASwAzADQAMwA2ADgAMwAyADMASQBEAEUAQQA2=&amp;Tipo=2&amp;ST=1&amp;nLang=0"/>
    <n v="0"/>
    <n v="0"/>
    <n v="0"/>
    <n v="0"/>
    <n v="0"/>
    <n v="0"/>
    <n v="0"/>
    <n v="0"/>
  </r>
  <r>
    <x v="5"/>
    <x v="3"/>
    <s v="OP-S-200"/>
    <x v="67"/>
    <d v="2025-06-28T00:00:00"/>
    <n v="39"/>
    <x v="0"/>
    <n v="0"/>
    <n v="0"/>
    <n v="0"/>
    <n v="0"/>
    <n v="0"/>
    <n v="0"/>
    <n v="0"/>
    <n v="1"/>
    <n v="0"/>
    <n v="2"/>
    <n v="1"/>
    <n v="0"/>
    <s v="https://www.clickideacore.com/ClickHTML5/Visit.aspx?ID=//51DAEwASwAzADQAMwA2ADkANQAwADEASQBEAEUAQQAD=&amp;Tipo=2&amp;ST=1&amp;nLang=0"/>
    <n v="0"/>
    <n v="0"/>
    <n v="0"/>
    <n v="0"/>
    <n v="0"/>
    <n v="0"/>
    <n v="0"/>
    <n v="0"/>
  </r>
  <r>
    <x v="4"/>
    <x v="4"/>
    <s v="OP-S-0010"/>
    <x v="67"/>
    <d v="2025-06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67"/>
    <d v="2025-06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S-0010"/>
    <x v="67"/>
    <d v="2025-06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67"/>
    <d v="2025-06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7"/>
    <d v="2025-06-28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1"/>
    <x v="17"/>
    <s v="OP-SDYR-001"/>
    <x v="68"/>
    <d v="2025-06-29T00:00:00"/>
    <n v="20"/>
    <x v="0"/>
    <n v="0"/>
    <n v="0"/>
    <n v="0"/>
    <n v="0"/>
    <n v="0"/>
    <n v="0"/>
    <n v="0"/>
    <n v="0"/>
    <n v="1"/>
    <n v="0"/>
    <n v="0"/>
    <n v="1"/>
    <s v="https://www.clickideacore.com/ClickHTML5/Visit.aspx?ID=//57DAEwASwAzADQAMwA3ADYANwAzADEASQBEAEUAQQA3=&amp;Tipo=2&amp;ST=1&amp;nLang=0"/>
    <n v="0"/>
    <n v="0"/>
    <n v="0"/>
    <n v="0"/>
    <n v="0"/>
    <n v="0"/>
    <n v="0"/>
    <n v="0"/>
  </r>
  <r>
    <x v="2"/>
    <x v="2"/>
    <s v="OP-S-200"/>
    <x v="68"/>
    <d v="2025-06-29T00:00:00"/>
    <n v="26"/>
    <x v="0"/>
    <n v="0"/>
    <n v="0"/>
    <n v="0"/>
    <n v="0"/>
    <n v="0"/>
    <n v="0"/>
    <n v="0"/>
    <n v="0"/>
    <n v="1"/>
    <n v="0"/>
    <n v="0"/>
    <n v="1"/>
    <s v="https://www.clickideacore.com/ClickHTML5/Visit.aspx?ID=//5DDAEwASwAzADQAMwA3ADcANgA1ADIASQBEAEUAQQA1=&amp;Tipo=2&amp;ST=1&amp;nLang=0"/>
    <n v="16"/>
    <n v="0"/>
    <n v="0"/>
    <n v="0"/>
    <n v="0"/>
    <n v="0"/>
    <n v="0"/>
    <n v="0"/>
  </r>
  <r>
    <x v="5"/>
    <x v="3"/>
    <s v="OP-S-0010"/>
    <x v="68"/>
    <d v="2025-06-29T00:00:00"/>
    <n v="62"/>
    <x v="0"/>
    <n v="0"/>
    <n v="0"/>
    <n v="0"/>
    <n v="0"/>
    <n v="0"/>
    <n v="0"/>
    <n v="0"/>
    <n v="0"/>
    <n v="1"/>
    <n v="0"/>
    <n v="0"/>
    <n v="1"/>
    <s v="https://www.clickideacore.com/ClickHTML5/Visit.aspx?ID=//56DAEwASwAzADQAMwA3ADcAMQA3ADgASQBEAEUAQQA5=&amp;Tipo=2&amp;ST=1&amp;nLang=0"/>
    <n v="0"/>
    <n v="0"/>
    <n v="0"/>
    <n v="0"/>
    <n v="0"/>
    <n v="0"/>
    <n v="0"/>
    <n v="0"/>
  </r>
  <r>
    <x v="0"/>
    <x v="0"/>
    <s v="OP-S-0010"/>
    <x v="68"/>
    <d v="2025-06-29T00:00:00"/>
    <n v="62"/>
    <x v="0"/>
    <n v="0"/>
    <n v="0"/>
    <n v="0"/>
    <n v="0"/>
    <n v="0"/>
    <n v="0"/>
    <n v="0"/>
    <n v="0"/>
    <n v="0"/>
    <n v="5"/>
    <n v="0"/>
    <n v="1"/>
    <s v="https://www.clickideacore.com/ClickHTML5/Visit.aspx?ID=//56DAEwASwAzADQAMwA3ADcAMQA3ADgASQBEAEUAQQA5=&amp;Tipo=2&amp;ST=1&amp;nLang=0"/>
    <n v="10"/>
    <n v="0"/>
    <n v="0"/>
    <n v="0"/>
    <n v="0"/>
    <n v="0"/>
    <n v="0"/>
    <n v="1"/>
  </r>
  <r>
    <x v="4"/>
    <x v="4"/>
    <s v="OP-S-0010"/>
    <x v="68"/>
    <d v="2025-06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68"/>
    <d v="2025-06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S-0010"/>
    <x v="68"/>
    <d v="2025-06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68"/>
    <d v="2025-06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8"/>
    <d v="2025-06-29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69"/>
    <d v="2025-06-30T00:00:00"/>
    <n v="37"/>
    <x v="0"/>
    <n v="11"/>
    <n v="0"/>
    <n v="0"/>
    <n v="0"/>
    <n v="0"/>
    <n v="1"/>
    <n v="0"/>
    <n v="0"/>
    <n v="0"/>
    <n v="0"/>
    <n v="0"/>
    <n v="0"/>
    <s v="https://www.clickideacore.com/ClickHTML5/Visit.aspx?ID=//5EDAEwASwAzADQAMwA4ADQAMgAwADQASQBEAEUAQQA8=&amp;Tipo=2&amp;ST=1&amp;nLang=0"/>
    <n v="0"/>
    <n v="0"/>
    <n v="0"/>
    <n v="0"/>
    <n v="0"/>
    <n v="0"/>
    <n v="0"/>
    <n v="0"/>
  </r>
  <r>
    <x v="3"/>
    <x v="3"/>
    <s v="OP-S-076"/>
    <x v="69"/>
    <d v="2025-06-30T00:00:00"/>
    <n v="28"/>
    <x v="0"/>
    <n v="11"/>
    <n v="0"/>
    <n v="0"/>
    <n v="0"/>
    <n v="0"/>
    <n v="0"/>
    <n v="1"/>
    <n v="0"/>
    <n v="0"/>
    <n v="0"/>
    <n v="0"/>
    <n v="0"/>
    <s v="https://www.clickideacore.com/ClickHTML5/Visit.aspx?ID=//59DAEwASwAzADQAMwA4ADIAOAAzADQASQBEAEUAQQA7=&amp;Tipo=2&amp;ST=1&amp;nLang=0"/>
    <n v="0"/>
    <n v="0"/>
    <n v="0"/>
    <n v="0"/>
    <n v="0"/>
    <n v="0"/>
    <n v="0"/>
    <n v="0"/>
  </r>
  <r>
    <x v="4"/>
    <x v="4"/>
    <s v="OP-DYR-005"/>
    <x v="69"/>
    <d v="2025-06-30T00:00:00"/>
    <n v="16"/>
    <x v="0"/>
    <n v="12"/>
    <n v="0"/>
    <n v="0"/>
    <n v="0"/>
    <n v="0"/>
    <n v="0"/>
    <n v="0"/>
    <n v="0"/>
    <n v="0"/>
    <n v="0"/>
    <n v="0"/>
    <n v="0"/>
    <s v="https://www.clickideacore.com/ClickHTML5/Visit.aspx?ID=//58DAEwASwAzADQAMwA4ADUAMQAyADcASQBEAEUAQQAD=&amp;Tipo=2&amp;ST=1&amp;nLang=0"/>
    <n v="0"/>
    <n v="0"/>
    <n v="0"/>
    <n v="0"/>
    <n v="0"/>
    <n v="0"/>
    <n v="0"/>
    <n v="0"/>
  </r>
  <r>
    <x v="5"/>
    <x v="6"/>
    <s v="OP-DYR-005"/>
    <x v="69"/>
    <d v="2025-06-30T00:00:00"/>
    <n v="16"/>
    <x v="0"/>
    <n v="0"/>
    <n v="0"/>
    <n v="0"/>
    <n v="0"/>
    <n v="0"/>
    <n v="0"/>
    <n v="0"/>
    <n v="0"/>
    <n v="0"/>
    <n v="1"/>
    <n v="0"/>
    <n v="0"/>
    <s v="https://www.clickideacore.com/ClickHTML5/Visit.aspx?ID=//58DAEwASwAzADQAMwA4ADUAMQAyADcASQBEAEUAQQAD=&amp;Tipo=2&amp;ST=1&amp;nLang=0"/>
    <n v="0"/>
    <n v="0"/>
    <n v="0"/>
    <n v="0"/>
    <n v="0"/>
    <n v="0"/>
    <n v="0"/>
    <n v="0"/>
  </r>
  <r>
    <x v="0"/>
    <x v="0"/>
    <s v="OP-S-0010"/>
    <x v="69"/>
    <d v="2025-06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69"/>
    <d v="2025-06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69"/>
    <d v="2025-06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69"/>
    <d v="2025-06-30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100"/>
    <x v="70"/>
    <d v="2025-07-01T00:00:00"/>
    <n v="25"/>
    <x v="0"/>
    <n v="6"/>
    <n v="0"/>
    <n v="0"/>
    <n v="0"/>
    <n v="0"/>
    <n v="0"/>
    <n v="0"/>
    <n v="0"/>
    <n v="0"/>
    <n v="0"/>
    <n v="0"/>
    <n v="0"/>
    <s v="https://www.clickideacore.com/ClickHTML5/Visit.aspx?ID=//50DAEwASwAzADQANAAwADAANwA2ADcASQBEAEUAQQAE=&amp;Tipo=2&amp;ST=1&amp;nLang=0"/>
    <n v="0"/>
    <n v="0"/>
    <n v="0"/>
    <n v="0"/>
    <n v="0"/>
    <n v="0"/>
    <n v="0"/>
    <n v="0"/>
  </r>
  <r>
    <x v="1"/>
    <x v="1"/>
    <s v="OP-DYR-004"/>
    <x v="70"/>
    <d v="2025-07-01T00:00:00"/>
    <n v="31"/>
    <x v="0"/>
    <n v="33"/>
    <n v="0"/>
    <n v="0"/>
    <n v="1"/>
    <n v="0"/>
    <n v="0"/>
    <n v="1"/>
    <n v="0"/>
    <n v="0"/>
    <n v="0"/>
    <n v="0"/>
    <n v="0"/>
    <s v="https://www.clickideacore.com/ClickHTML5/Visit.aspx?ID=//51DAEwASwAzADQANAAwADkAOQA0ADUASQBEAEUAQQA5=&amp;Tipo=2&amp;ST=1&amp;nLang=0"/>
    <n v="0"/>
    <n v="0"/>
    <n v="0"/>
    <n v="0"/>
    <n v="0"/>
    <n v="0"/>
    <n v="0"/>
    <n v="0"/>
  </r>
  <r>
    <x v="3"/>
    <x v="3"/>
    <s v="OP-S-076"/>
    <x v="70"/>
    <d v="2025-07-01T00:00:00"/>
    <n v="53"/>
    <x v="0"/>
    <n v="16"/>
    <n v="0"/>
    <n v="0"/>
    <n v="1"/>
    <n v="0"/>
    <n v="0"/>
    <n v="0"/>
    <n v="0"/>
    <n v="0"/>
    <n v="0"/>
    <n v="0"/>
    <n v="0"/>
    <s v="https://www.clickideacore.com/ClickHTML5/Visit.aspx?ID=//5EDAEwASwAzADQANAAwADYANAAwADcASQBEAEUAQQA7=&amp;Tipo=2&amp;ST=1&amp;nLang=0"/>
    <n v="0"/>
    <n v="0"/>
    <n v="0"/>
    <n v="0"/>
    <n v="0"/>
    <n v="0"/>
    <n v="0"/>
    <n v="0"/>
  </r>
  <r>
    <x v="4"/>
    <x v="4"/>
    <s v="OP-DYR-005"/>
    <x v="70"/>
    <d v="2025-07-01T00:00:00"/>
    <n v="30"/>
    <x v="0"/>
    <n v="25"/>
    <n v="0"/>
    <n v="0"/>
    <n v="0"/>
    <n v="1"/>
    <n v="0"/>
    <n v="0"/>
    <n v="0"/>
    <n v="0"/>
    <n v="0"/>
    <n v="0"/>
    <n v="0"/>
    <s v="https://www.clickideacore.com/ClickHTML5/Visit.aspx?ID=//57DAEwASwAzADQANAAwADgAMgA3ADgASQBEAEUAQQAF=&amp;Tipo=2&amp;ST=1&amp;nLang=0"/>
    <n v="0"/>
    <n v="0"/>
    <n v="0"/>
    <n v="0"/>
    <n v="0"/>
    <n v="0"/>
    <n v="0"/>
    <n v="0"/>
  </r>
  <r>
    <x v="5"/>
    <x v="6"/>
    <s v="OP-DYR-005"/>
    <x v="70"/>
    <d v="2025-07-01T00:00:00"/>
    <n v="30"/>
    <x v="0"/>
    <n v="30"/>
    <n v="0"/>
    <n v="0"/>
    <n v="1"/>
    <n v="0"/>
    <n v="0"/>
    <n v="0"/>
    <n v="0"/>
    <n v="0"/>
    <n v="0"/>
    <n v="0"/>
    <n v="0"/>
    <s v="https://www.clickideacore.com/ClickHTML5/Visit.aspx?ID=//57DAEwASwAzADQANAAwADgAMgA3ADgASQBEAEUAQQAF=&amp;Tipo=2&amp;ST=1&amp;nLang=0"/>
    <n v="0"/>
    <n v="0"/>
    <n v="0"/>
    <n v="0"/>
    <n v="0"/>
    <n v="0"/>
    <n v="0"/>
    <n v="0"/>
  </r>
  <r>
    <x v="2"/>
    <x v="2"/>
    <s v="OP-S-200"/>
    <x v="70"/>
    <d v="2025-07-01T00:00:00"/>
    <n v="26"/>
    <x v="0"/>
    <n v="10"/>
    <n v="0"/>
    <n v="0"/>
    <n v="0"/>
    <n v="0"/>
    <n v="0"/>
    <n v="0"/>
    <n v="0"/>
    <n v="0"/>
    <n v="0"/>
    <n v="0"/>
    <n v="0"/>
    <s v="https://www.clickideacore.com/ClickHTML5/Visit.aspx?ID=//5DDAEwASwAzADQAMwA3ADcANgA1ADIASQBEAEUAQQA1=&amp;Tipo=2&amp;ST=1&amp;nLang=0"/>
    <n v="0"/>
    <n v="0"/>
    <n v="0"/>
    <n v="0"/>
    <n v="0"/>
    <n v="0"/>
    <n v="0"/>
    <n v="0"/>
  </r>
  <r>
    <x v="9"/>
    <x v="0"/>
    <s v="OP-S-100"/>
    <x v="70"/>
    <d v="2025-07-01T00:00:00"/>
    <n v="25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QANAAwADAANwA2ADcASQBEAEUAQQAE=&amp;Tipo=2&amp;ST=1&amp;nLang=0"/>
    <n v="0"/>
    <n v="0"/>
    <n v="0"/>
    <n v="0"/>
    <n v="0"/>
    <n v="0"/>
    <n v="0"/>
    <n v="0"/>
  </r>
  <r>
    <x v="10"/>
    <x v="8"/>
    <s v="OP-S-0010"/>
    <x v="70"/>
    <d v="2025-07-0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0"/>
    <d v="2025-07-01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1"/>
    <d v="2025-07-02T00:00:00"/>
    <n v="17"/>
    <x v="0"/>
    <n v="32"/>
    <n v="0"/>
    <n v="0"/>
    <n v="1"/>
    <n v="0"/>
    <n v="1"/>
    <n v="0"/>
    <n v="0"/>
    <n v="0"/>
    <n v="0"/>
    <n v="0"/>
    <n v="0"/>
    <s v="https://www.clickideacore.com/ClickHTML5/Visit.aspx?ID=//59DAEwASwAzADQANAAyADcAOQA5ADQASQBEAEUAQQA0=&amp;Tipo=2&amp;ST=1&amp;nLang=0"/>
    <n v="0"/>
    <n v="0"/>
    <n v="0"/>
    <n v="0"/>
    <n v="0"/>
    <n v="0"/>
    <n v="0"/>
    <n v="0"/>
  </r>
  <r>
    <x v="3"/>
    <x v="3"/>
    <s v="OP-S-076"/>
    <x v="71"/>
    <d v="2025-07-02T00:00:00"/>
    <n v="41"/>
    <x v="0"/>
    <n v="32"/>
    <n v="0"/>
    <n v="0"/>
    <n v="0"/>
    <n v="1"/>
    <n v="0"/>
    <n v="0"/>
    <n v="0"/>
    <n v="0"/>
    <n v="0"/>
    <n v="0"/>
    <n v="0"/>
    <s v="https://www.clickideacore.com/ClickHTML5/Visit.aspx?ID=//59DAEwASwAzADQANAAzADAAMQA4ADYASQBEAEUAQQAF=&amp;Tipo=2&amp;ST=1&amp;nLang=0"/>
    <n v="0"/>
    <n v="0"/>
    <n v="0"/>
    <n v="0"/>
    <n v="0"/>
    <n v="0"/>
    <n v="0"/>
    <n v="0"/>
  </r>
  <r>
    <x v="4"/>
    <x v="4"/>
    <s v="OP-DYR-005"/>
    <x v="71"/>
    <d v="2025-07-02T00:00:00"/>
    <n v="18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QANAAzADAANwA2ADMASQBEAEUAQQAF=&amp;Tipo=2&amp;ST=1&amp;nLang=0"/>
    <n v="0"/>
    <n v="0"/>
    <n v="0"/>
    <n v="0"/>
    <n v="0"/>
    <n v="0"/>
    <n v="0"/>
    <n v="0"/>
  </r>
  <r>
    <x v="2"/>
    <x v="2"/>
    <s v="OP-DYR-005"/>
    <x v="71"/>
    <d v="2025-07-02T00:00:00"/>
    <n v="18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QANAAzADAANwA2ADMASQBEAEUAQQAF=&amp;Tipo=2&amp;ST=1&amp;nLang=0"/>
    <n v="0"/>
    <n v="0"/>
    <n v="0"/>
    <n v="0"/>
    <n v="0"/>
    <n v="0"/>
    <n v="0"/>
    <n v="0"/>
  </r>
  <r>
    <x v="5"/>
    <x v="6"/>
    <s v="OP-DYR-005"/>
    <x v="71"/>
    <d v="2025-07-02T00:00:00"/>
    <n v="30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NAAwADgAMgA3ADgASQBEAEUAQQAF=&amp;Tipo=2&amp;ST=1&amp;nLang=0"/>
    <n v="0"/>
    <n v="0"/>
    <n v="0"/>
    <n v="0"/>
    <n v="0"/>
    <n v="0"/>
    <n v="0"/>
    <n v="0"/>
  </r>
  <r>
    <x v="0"/>
    <x v="0"/>
    <s v="OP-S-100"/>
    <x v="71"/>
    <d v="2025-07-02T00:00:00"/>
    <n v="25"/>
    <x v="6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71"/>
    <d v="2025-07-0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1"/>
    <d v="2025-07-02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2"/>
    <d v="2025-07-03T00:00:00"/>
    <n v="26"/>
    <x v="0"/>
    <n v="30"/>
    <n v="0"/>
    <n v="0"/>
    <n v="1"/>
    <n v="0"/>
    <n v="0"/>
    <n v="0"/>
    <n v="0"/>
    <n v="0"/>
    <n v="0"/>
    <n v="0"/>
    <n v="0"/>
    <s v="https://www.clickideacore.com/ClickHTML5/Visit.aspx?ID=//5FDAEwASwAzADQANAA1ADAAMwA5ADQASQBEAEUAQQAA=&amp;Tipo=2&amp;ST=1&amp;nLang=0"/>
    <n v="0"/>
    <n v="0"/>
    <n v="0"/>
    <n v="0"/>
    <n v="0"/>
    <n v="0"/>
    <n v="0"/>
    <n v="0"/>
  </r>
  <r>
    <x v="1"/>
    <x v="1"/>
    <s v="OP-DYR-004"/>
    <x v="72"/>
    <d v="2025-07-03T00:00:00"/>
    <n v="32"/>
    <x v="0"/>
    <n v="28"/>
    <n v="0"/>
    <n v="0"/>
    <n v="1"/>
    <n v="0"/>
    <n v="0"/>
    <n v="0"/>
    <n v="0"/>
    <n v="0"/>
    <n v="0"/>
    <n v="0"/>
    <n v="0"/>
    <s v="https://www.clickideacore.com/ClickHTML5/Visit.aspx?ID=//5DDAEwASwAzADQANAA0ADgANgA4ADMASQBEAEUAQQAF=&amp;Tipo=2&amp;ST=1&amp;nLang=0"/>
    <n v="0"/>
    <n v="10"/>
    <n v="0"/>
    <n v="0"/>
    <n v="0"/>
    <n v="0"/>
    <n v="0"/>
    <n v="0"/>
  </r>
  <r>
    <x v="3"/>
    <x v="3"/>
    <s v="OP-S-076"/>
    <x v="72"/>
    <d v="2025-07-03T00:00:00"/>
    <n v="41"/>
    <x v="0"/>
    <n v="32"/>
    <n v="0"/>
    <n v="0"/>
    <n v="1"/>
    <n v="0"/>
    <n v="0"/>
    <n v="0"/>
    <n v="0"/>
    <n v="0"/>
    <n v="0"/>
    <n v="0"/>
    <n v="0"/>
    <s v="https://www.clickideacore.com/ClickHTML5/Visit.aspx?ID=//5DDAEwASwAzADQANAA1ADQAMAAwADYASQBEAEUAQQAC=&amp;Tipo=2&amp;ST=1&amp;nLang=0"/>
    <n v="0"/>
    <n v="0"/>
    <n v="0"/>
    <n v="0"/>
    <n v="0"/>
    <n v="0"/>
    <n v="0"/>
    <n v="0"/>
  </r>
  <r>
    <x v="4"/>
    <x v="4"/>
    <s v="OP-DYR-005"/>
    <x v="72"/>
    <d v="2025-07-03T00:00:00"/>
    <n v="20"/>
    <x v="0"/>
    <n v="22"/>
    <n v="0"/>
    <n v="0"/>
    <n v="0"/>
    <n v="1"/>
    <n v="0"/>
    <n v="0"/>
    <n v="0"/>
    <n v="0"/>
    <n v="0"/>
    <n v="0"/>
    <n v="0"/>
    <s v="https://www.clickideacore.com/ClickHTML5/Visit.aspx?ID=//54DAEwASwAzADQANAA1ADUAMwA5ADEASQBEAEUAQQA3=&amp;Tipo=2&amp;ST=1&amp;nLang=0"/>
    <n v="0"/>
    <n v="0"/>
    <n v="2"/>
    <n v="0"/>
    <n v="0"/>
    <n v="0"/>
    <n v="0"/>
    <n v="0"/>
  </r>
  <r>
    <x v="0"/>
    <x v="6"/>
    <s v="OP-S-100"/>
    <x v="72"/>
    <d v="2025-07-03T00:00:00"/>
    <n v="25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0"/>
    <s v="OP-DYR-005"/>
    <x v="72"/>
    <d v="2025-07-03T00:00:00"/>
    <n v="30"/>
    <x v="0"/>
    <n v="10"/>
    <n v="0"/>
    <n v="0"/>
    <n v="0"/>
    <n v="0"/>
    <n v="0"/>
    <n v="0"/>
    <n v="0"/>
    <n v="0"/>
    <n v="0"/>
    <n v="0"/>
    <n v="0"/>
    <s v="https://www.clickideacore.com/ClickHTML5/Visit.aspx?ID=//57DAEwASwAzADQANAAwADgAMgA3ADgASQBEAEUAQQAF=&amp;Tipo=2&amp;ST=1&amp;nLang=0"/>
    <n v="0"/>
    <n v="0"/>
    <n v="0"/>
    <n v="0"/>
    <n v="0"/>
    <n v="0"/>
    <n v="0"/>
    <n v="0"/>
  </r>
  <r>
    <x v="2"/>
    <x v="2"/>
    <s v="OP-DYR-005"/>
    <x v="72"/>
    <d v="2025-07-03T00:00:00"/>
    <n v="20"/>
    <x v="0"/>
    <n v="11"/>
    <n v="0"/>
    <n v="0"/>
    <n v="0"/>
    <n v="0"/>
    <n v="0"/>
    <n v="0"/>
    <n v="0"/>
    <n v="0"/>
    <n v="0"/>
    <n v="0"/>
    <n v="0"/>
    <s v="https://www.clickideacore.com/ClickHTML5/Visit.aspx?ID=//54DAEwASwAzADQANAA1ADUAMwA5ADEASQBEAEUAQQA3=&amp;Tipo=2&amp;ST=1&amp;nLang=0"/>
    <n v="0"/>
    <n v="0"/>
    <n v="0"/>
    <n v="0"/>
    <n v="0"/>
    <n v="0"/>
    <n v="0"/>
    <n v="0"/>
  </r>
  <r>
    <x v="9"/>
    <x v="7"/>
    <s v="OP-S-0010"/>
    <x v="72"/>
    <d v="2025-07-0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3"/>
    <d v="2025-07-04T00:00:00"/>
    <n v="55"/>
    <x v="0"/>
    <n v="30"/>
    <n v="0"/>
    <n v="0"/>
    <n v="1"/>
    <n v="0"/>
    <n v="0"/>
    <n v="0"/>
    <n v="0"/>
    <n v="0"/>
    <n v="0"/>
    <n v="0"/>
    <n v="0"/>
    <s v="https://www.clickideacore.com/ClickHTML5/Visit.aspx?ID=//58DAEwASwAzADQANAA3ADMAOAA5ADEASQBEAEUAQQA3=&amp;Tipo=2&amp;ST=1&amp;nLang=0"/>
    <n v="0"/>
    <n v="40"/>
    <n v="0"/>
    <n v="0"/>
    <n v="0"/>
    <n v="0"/>
    <n v="0"/>
    <n v="0"/>
  </r>
  <r>
    <x v="0"/>
    <x v="0"/>
    <s v="OP-S-100"/>
    <x v="73"/>
    <d v="2025-07-04T00:00:00"/>
    <n v="40"/>
    <x v="0"/>
    <n v="33"/>
    <n v="0"/>
    <n v="0"/>
    <n v="0"/>
    <n v="1"/>
    <n v="1"/>
    <n v="0"/>
    <n v="0"/>
    <n v="0"/>
    <n v="1"/>
    <n v="0"/>
    <n v="0"/>
    <s v="https://www.clickideacore.com/ClickHTML5/Visit.aspx?ID=//57DAEwASwAzADQANAA3ADYANAA2ADgASQBEAEUAQQAA=&amp;Tipo=2&amp;ST=1&amp;nLang=0"/>
    <n v="0"/>
    <n v="10"/>
    <n v="0"/>
    <n v="0"/>
    <n v="0"/>
    <n v="0"/>
    <n v="0"/>
    <n v="0"/>
  </r>
  <r>
    <x v="1"/>
    <x v="1"/>
    <s v="OP-DYR-004"/>
    <x v="73"/>
    <d v="2025-07-04T00:00:00"/>
    <n v="28"/>
    <x v="0"/>
    <n v="20"/>
    <n v="0"/>
    <n v="0"/>
    <n v="1"/>
    <n v="0"/>
    <n v="0"/>
    <n v="0"/>
    <n v="0"/>
    <n v="0"/>
    <n v="0"/>
    <n v="0"/>
    <n v="0"/>
    <s v="https://www.clickideacore.com/ClickHTML5/Visit.aspx?ID=//5EDAEwASwAzADQANAA3ADkANAA1ADUASQBEAEUAQQA3=&amp;Tipo=2&amp;ST=1&amp;nLang=0"/>
    <n v="0"/>
    <n v="40"/>
    <n v="0"/>
    <n v="0"/>
    <n v="0"/>
    <n v="0"/>
    <n v="0"/>
    <n v="0"/>
  </r>
  <r>
    <x v="5"/>
    <x v="2"/>
    <s v="OP-DYR-004"/>
    <x v="73"/>
    <d v="2025-07-04T00:00:00"/>
    <n v="28"/>
    <x v="0"/>
    <n v="16"/>
    <n v="0"/>
    <n v="0"/>
    <n v="1"/>
    <n v="0"/>
    <n v="0"/>
    <n v="0"/>
    <n v="0"/>
    <n v="0"/>
    <n v="0"/>
    <n v="0"/>
    <n v="0"/>
    <s v="https://www.clickideacore.com/ClickHTML5/Visit.aspx?ID=//5EDAEwASwAzADQANAA3ADkANAA1ADUASQBEAEUAQQA3=&amp;Tipo=2&amp;ST=1&amp;nLang=0"/>
    <n v="0"/>
    <n v="34"/>
    <n v="0"/>
    <n v="0"/>
    <n v="0"/>
    <n v="0"/>
    <n v="0"/>
    <n v="0"/>
  </r>
  <r>
    <x v="2"/>
    <x v="20"/>
    <s v="OP-DYR-005"/>
    <x v="73"/>
    <d v="2025-07-04T00:00:00"/>
    <n v="20"/>
    <x v="0"/>
    <n v="0"/>
    <n v="0"/>
    <n v="0"/>
    <n v="0"/>
    <n v="0"/>
    <n v="0"/>
    <n v="0"/>
    <n v="0"/>
    <n v="0"/>
    <n v="0"/>
    <n v="0"/>
    <n v="0"/>
    <s v="https://www.clickideacore.com/ClickHTML5/Visit.aspx?ID=//54DAEwASwAzADQANAA1ADUAMwA5ADEASQBEAEUAQQA3=&amp;Tipo=2&amp;ST=1&amp;nLang=0"/>
    <n v="0"/>
    <n v="14"/>
    <n v="0"/>
    <n v="0"/>
    <n v="0"/>
    <n v="0"/>
    <n v="0"/>
    <n v="0"/>
  </r>
  <r>
    <x v="3"/>
    <x v="3"/>
    <s v="OP-S-076"/>
    <x v="73"/>
    <d v="2025-07-04T00:00:00"/>
    <n v="41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4"/>
    <s v="OP-DYR-005"/>
    <x v="73"/>
    <d v="2025-07-04T00:00:00"/>
    <n v="2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3"/>
    <d v="2025-07-0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4"/>
    <d v="2025-07-05T00:00:00"/>
    <n v="103"/>
    <x v="0"/>
    <n v="0"/>
    <n v="0"/>
    <n v="0"/>
    <n v="0"/>
    <n v="0"/>
    <n v="0"/>
    <n v="0"/>
    <n v="1"/>
    <n v="0"/>
    <n v="6"/>
    <n v="1"/>
    <n v="0"/>
    <s v="https://www.clickideacore.com/ClickHTML5/Visit.aspx?ID=//5DDAEwASwAzADQANAA5ADMANgAyADEASQBEAEUAQQA7=&amp;Tipo=2&amp;ST=1&amp;nLang=0"/>
    <n v="0"/>
    <n v="0"/>
    <n v="0"/>
    <n v="0"/>
    <n v="0"/>
    <n v="0"/>
    <n v="0"/>
    <n v="0"/>
  </r>
  <r>
    <x v="1"/>
    <x v="1"/>
    <s v="OP-DYR-004"/>
    <x v="74"/>
    <d v="2025-07-05T00:00:00"/>
    <n v="29"/>
    <x v="0"/>
    <n v="0"/>
    <n v="0"/>
    <n v="0"/>
    <n v="0"/>
    <n v="0"/>
    <n v="0"/>
    <n v="0"/>
    <n v="1"/>
    <n v="0"/>
    <n v="4"/>
    <n v="1"/>
    <n v="0"/>
    <s v="https://www.clickideacore.com/ClickHTML5/Visit.aspx?ID=//5ADAEwASwAzADQANAA5ADQAMwA4ADYASQBEAEUAQQAA=&amp;Tipo=2&amp;ST=1&amp;nLang=0"/>
    <n v="0"/>
    <n v="0"/>
    <n v="0"/>
    <n v="0"/>
    <n v="0"/>
    <n v="0"/>
    <n v="0"/>
    <n v="0"/>
  </r>
  <r>
    <x v="3"/>
    <x v="3"/>
    <s v="OP-S-076"/>
    <x v="74"/>
    <d v="2025-07-05T00:00:00"/>
    <n v="45"/>
    <x v="0"/>
    <n v="0"/>
    <n v="0"/>
    <n v="0"/>
    <n v="0"/>
    <n v="0"/>
    <n v="0"/>
    <n v="0"/>
    <n v="0"/>
    <n v="0"/>
    <n v="6"/>
    <n v="1"/>
    <n v="0"/>
    <s v="https://www.clickideacore.com/ClickHTML5/Visit.aspx?ID=//58DAEwASwAzADQANAA5ADMANwA4ADAASQBEAEUAQQA3=&amp;Tipo=2&amp;ST=1&amp;nLang=0"/>
    <n v="23"/>
    <n v="0"/>
    <n v="0"/>
    <n v="0"/>
    <n v="0"/>
    <n v="0"/>
    <n v="1"/>
    <n v="0"/>
  </r>
  <r>
    <x v="4"/>
    <x v="4"/>
    <s v="OP-DYR-005"/>
    <x v="74"/>
    <d v="2025-07-05T00:00:00"/>
    <n v="169"/>
    <x v="0"/>
    <n v="0"/>
    <n v="0"/>
    <n v="0"/>
    <n v="0"/>
    <n v="0"/>
    <n v="0"/>
    <n v="0"/>
    <n v="1"/>
    <n v="0"/>
    <n v="5"/>
    <n v="1"/>
    <n v="0"/>
    <s v="https://www.clickideacore.com/ClickHTML5/Visit.aspx?ID=//5ADAEwASwAzADQANAA5ADQANAA1ADAASQBEAEUAQQAF=&amp;Tipo=2&amp;ST=1&amp;nLang=0"/>
    <n v="0"/>
    <n v="0"/>
    <n v="0"/>
    <n v="0"/>
    <n v="0"/>
    <n v="0"/>
    <n v="0"/>
    <n v="0"/>
  </r>
  <r>
    <x v="9"/>
    <x v="7"/>
    <s v="OP-S-0010"/>
    <x v="74"/>
    <d v="2025-07-05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10"/>
    <x v="74"/>
    <d v="2025-07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74"/>
    <d v="2025-07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74"/>
    <d v="2025-07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5"/>
    <d v="2025-07-06T00:00:00"/>
    <n v="53"/>
    <x v="0"/>
    <n v="0"/>
    <n v="0"/>
    <n v="0"/>
    <n v="0"/>
    <n v="0"/>
    <n v="0"/>
    <n v="0"/>
    <n v="0"/>
    <n v="1"/>
    <n v="0"/>
    <n v="0"/>
    <n v="1"/>
    <s v="https://www.clickideacore.com/ClickHTML5/Visit.aspx?ID=//5CDAEwASwAzADQANQAwADIAMgA2ADkASQBEAEUAQQAE=&amp;Tipo=2&amp;ST=1&amp;nLang=0"/>
    <n v="0"/>
    <n v="0"/>
    <n v="0"/>
    <n v="0"/>
    <n v="0"/>
    <n v="0"/>
    <n v="0"/>
    <n v="0"/>
  </r>
  <r>
    <x v="1"/>
    <x v="1"/>
    <s v="OP-DYR-004"/>
    <x v="75"/>
    <d v="2025-07-06T00:00:00"/>
    <n v="26"/>
    <x v="0"/>
    <n v="0"/>
    <n v="0"/>
    <n v="0"/>
    <n v="0"/>
    <n v="0"/>
    <n v="0"/>
    <n v="0"/>
    <n v="0"/>
    <n v="1"/>
    <n v="0"/>
    <n v="0"/>
    <n v="1"/>
    <s v="https://www.clickideacore.com/ClickHTML5/Visit.aspx?ID=//51DAEwASwAzADQANQAwADIANQA2ADAASQBEAEUAQQAB=&amp;Tipo=2&amp;ST=1&amp;nLang=0"/>
    <n v="0"/>
    <n v="0"/>
    <n v="0"/>
    <n v="0"/>
    <n v="0"/>
    <n v="0"/>
    <n v="0"/>
    <n v="0"/>
  </r>
  <r>
    <x v="3"/>
    <x v="3"/>
    <s v="OP-S-076"/>
    <x v="75"/>
    <d v="2025-07-06T00:00:00"/>
    <n v="133"/>
    <x v="0"/>
    <n v="0"/>
    <n v="0"/>
    <n v="0"/>
    <n v="0"/>
    <n v="0"/>
    <n v="1"/>
    <n v="0"/>
    <n v="0"/>
    <n v="1"/>
    <n v="2"/>
    <n v="0"/>
    <n v="1"/>
    <s v="https://www.clickideacore.com/ClickHTML5/Visit.aspx?ID=//5BDAEwASwAzADQANQAwADIANgAxADMASQBEAEUAQQA3=&amp;Tipo=2&amp;ST=1&amp;nLang=0"/>
    <n v="18"/>
    <n v="0"/>
    <n v="0"/>
    <n v="0"/>
    <n v="0"/>
    <n v="0"/>
    <n v="0"/>
    <n v="0"/>
  </r>
  <r>
    <x v="4"/>
    <x v="4"/>
    <s v="OP-DYR-005"/>
    <x v="75"/>
    <d v="2025-07-06T00:00:00"/>
    <n v="45"/>
    <x v="0"/>
    <n v="0"/>
    <n v="0"/>
    <n v="0"/>
    <n v="0"/>
    <n v="0"/>
    <n v="0"/>
    <n v="0"/>
    <n v="0"/>
    <n v="0"/>
    <n v="7"/>
    <n v="0"/>
    <n v="1"/>
    <s v="https://www.clickideacore.com/ClickHTML5/Visit.aspx?ID=//5EDAEwASwAzADQANQAwADIAOQA0ADYASQBEAEUAQQAA=&amp;Tipo=2&amp;ST=1&amp;nLang=0"/>
    <n v="10"/>
    <n v="0"/>
    <n v="0"/>
    <n v="0"/>
    <n v="0"/>
    <n v="0"/>
    <n v="0"/>
    <n v="1"/>
  </r>
  <r>
    <x v="9"/>
    <x v="7"/>
    <s v="OP-S-0010"/>
    <x v="75"/>
    <d v="2025-07-06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10"/>
    <x v="75"/>
    <d v="2025-07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75"/>
    <d v="2025-07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75"/>
    <d v="2025-07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6"/>
    <d v="2025-07-07T00:00:00"/>
    <n v="28"/>
    <x v="0"/>
    <n v="7"/>
    <n v="0"/>
    <n v="0"/>
    <n v="0"/>
    <n v="0"/>
    <n v="0"/>
    <n v="0"/>
    <n v="0"/>
    <n v="0"/>
    <n v="0"/>
    <n v="0"/>
    <n v="0"/>
    <s v="https://www.clickideacore.com/ClickHTML5/Visit.aspx?ID=//59DAEwASwAzADQANQAxADUAMwA0ADQASQBEAEUAQQA6=&amp;Tipo=2&amp;ST=1&amp;nLang=0"/>
    <n v="0"/>
    <n v="9"/>
    <n v="1"/>
    <n v="0"/>
    <n v="0"/>
    <n v="0"/>
    <n v="0"/>
    <n v="0"/>
  </r>
  <r>
    <x v="0"/>
    <x v="0"/>
    <s v="OP-S-100"/>
    <x v="76"/>
    <d v="2025-07-07T00:00:00"/>
    <n v="22"/>
    <x v="0"/>
    <n v="14"/>
    <n v="0"/>
    <n v="0"/>
    <n v="0"/>
    <n v="0"/>
    <n v="0"/>
    <n v="0"/>
    <n v="0"/>
    <n v="0"/>
    <n v="0"/>
    <n v="0"/>
    <n v="0"/>
    <s v="https://www.clickideacore.com/ClickHTML5/Visit.aspx?ID=//5FDAEwASwAzADQANQAxADcANQAwADYASQBEAEUAQQA8=&amp;Tipo=2&amp;ST=1&amp;nLang=0"/>
    <n v="0"/>
    <n v="9"/>
    <n v="0"/>
    <n v="0"/>
    <n v="0"/>
    <n v="0"/>
    <n v="0"/>
    <n v="0"/>
  </r>
  <r>
    <x v="1"/>
    <x v="6"/>
    <s v="OP-DYR-004"/>
    <x v="76"/>
    <d v="2025-07-07T00:00:00"/>
    <n v="35"/>
    <x v="0"/>
    <n v="0"/>
    <n v="0"/>
    <n v="0"/>
    <n v="0"/>
    <n v="0"/>
    <n v="0"/>
    <n v="0"/>
    <n v="0"/>
    <n v="0"/>
    <n v="0"/>
    <n v="0"/>
    <n v="0"/>
    <s v="https://www.clickideacore.com/ClickHTML5/Visit.aspx?ID=//5DDAEwASwAzADQANQAyADYAOAAyADAASQBEAEUAQQA0=&amp;Tipo=2&amp;ST=1&amp;nLang=0"/>
    <n v="0"/>
    <n v="20"/>
    <n v="0"/>
    <n v="0"/>
    <n v="0"/>
    <n v="0"/>
    <n v="0"/>
    <n v="0"/>
  </r>
  <r>
    <x v="2"/>
    <x v="2"/>
    <s v="OP-S-200"/>
    <x v="76"/>
    <d v="2025-07-07T00:00:00"/>
    <n v="29"/>
    <x v="0"/>
    <n v="12"/>
    <n v="0"/>
    <n v="0"/>
    <n v="0"/>
    <n v="0"/>
    <n v="1"/>
    <n v="0"/>
    <n v="0"/>
    <n v="0"/>
    <n v="0"/>
    <n v="0"/>
    <n v="0"/>
    <s v="https://www.clickideacore.com/ClickHTML5/Visit.aspx?ID=//5FDAEwASwAzADQANQAyADMANAA1ADgASQBEAEUAQQA4=&amp;Tipo=2&amp;ST=1&amp;nLang=0"/>
    <n v="0"/>
    <n v="0"/>
    <n v="0"/>
    <n v="0"/>
    <n v="0"/>
    <n v="0"/>
    <n v="0"/>
    <n v="0"/>
  </r>
  <r>
    <x v="4"/>
    <x v="6"/>
    <s v="OP-DYR-005"/>
    <x v="76"/>
    <d v="2025-07-07T00:00:00"/>
    <n v="24"/>
    <x v="0"/>
    <n v="0"/>
    <n v="0"/>
    <n v="0"/>
    <n v="0"/>
    <n v="0"/>
    <n v="0"/>
    <n v="0"/>
    <n v="0"/>
    <n v="0"/>
    <n v="0"/>
    <n v="0"/>
    <n v="0"/>
    <s v="https://www.clickideacore.com/ClickHTML5/Visit.aspx?ID=//5DDAEwASwAzADQANQAxADYAMAA0ADEASQBEAEUAQQA5=&amp;Tipo=2&amp;ST=1&amp;nLang=0"/>
    <n v="0"/>
    <n v="24"/>
    <n v="2"/>
    <n v="0"/>
    <n v="0"/>
    <n v="0"/>
    <n v="0"/>
    <n v="0"/>
  </r>
  <r>
    <x v="9"/>
    <x v="1"/>
    <s v="OP-DYR-004"/>
    <x v="76"/>
    <d v="2025-07-07T00:00:00"/>
    <n v="35"/>
    <x v="0"/>
    <n v="0"/>
    <n v="0"/>
    <n v="0"/>
    <n v="0"/>
    <n v="0"/>
    <n v="0"/>
    <n v="0"/>
    <n v="0"/>
    <n v="0"/>
    <n v="0"/>
    <n v="0"/>
    <n v="0"/>
    <s v="https://www.clickideacore.com/ClickHTML5/Visit.aspx?ID=//5DDAEwASwAzADQANQAyADYAOAAyADAASQBEAEUAQQA0=&amp;Tipo=2&amp;ST=1&amp;nLang=0"/>
    <n v="0"/>
    <n v="44"/>
    <n v="2"/>
    <n v="0"/>
    <n v="0"/>
    <n v="0"/>
    <n v="0"/>
    <n v="0"/>
  </r>
  <r>
    <x v="5"/>
    <x v="4"/>
    <s v="OP-S-076"/>
    <x v="76"/>
    <d v="2025-07-07T00:00:00"/>
    <n v="41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76"/>
    <x v="76"/>
    <d v="2025-07-07T00:00:00"/>
    <n v="41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6"/>
    <d v="2025-07-07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77"/>
    <d v="2025-07-08T00:00:00"/>
    <n v="60"/>
    <x v="0"/>
    <n v="40"/>
    <n v="0"/>
    <n v="0"/>
    <n v="1"/>
    <n v="0"/>
    <n v="0"/>
    <n v="0"/>
    <n v="0"/>
    <n v="0"/>
    <n v="0"/>
    <n v="0"/>
    <n v="0"/>
    <s v="https://www.clickideacore.com/ClickHTML5/Visit.aspx?ID=//57DAEwASwAzADQANQA0ADUAOAA0ADIASQBEAEUAQQA6=&amp;Tipo=2&amp;ST=1&amp;nLang=0"/>
    <n v="0"/>
    <n v="0"/>
    <n v="0"/>
    <n v="0"/>
    <n v="0"/>
    <n v="0"/>
    <n v="0"/>
    <n v="0"/>
  </r>
  <r>
    <x v="1"/>
    <x v="6"/>
    <s v="OP-DYR-004"/>
    <x v="77"/>
    <d v="2025-07-08T00:00:00"/>
    <n v="32"/>
    <x v="0"/>
    <n v="20"/>
    <n v="0"/>
    <n v="0"/>
    <n v="1"/>
    <n v="0"/>
    <n v="0"/>
    <n v="0"/>
    <n v="0"/>
    <n v="0"/>
    <n v="0"/>
    <n v="0"/>
    <n v="0"/>
    <s v="https://www.clickideacore.com/ClickHTML5/Visit.aspx?ID=//5BDAEwASwAzADQANQA0ADcANQAyADYASQBEAEUAQQA8=&amp;Tipo=2&amp;ST=1&amp;nLang=0"/>
    <n v="0"/>
    <n v="0"/>
    <n v="0"/>
    <n v="0"/>
    <n v="0"/>
    <n v="0"/>
    <n v="0"/>
    <n v="0"/>
  </r>
  <r>
    <x v="2"/>
    <x v="2"/>
    <s v="OP-S-200"/>
    <x v="77"/>
    <d v="2025-07-08T00:00:00"/>
    <n v="25"/>
    <x v="0"/>
    <n v="36"/>
    <n v="0"/>
    <n v="0"/>
    <n v="0"/>
    <n v="1"/>
    <n v="1"/>
    <n v="0"/>
    <n v="0"/>
    <n v="0"/>
    <n v="0"/>
    <n v="0"/>
    <n v="0"/>
    <s v="https://www.clickideacore.com/ClickHTML5/Visit.aspx?ID=//5BDAEwASwAzADQANQA0ADYANgAzADMASQBEAEUAQQAD=&amp;Tipo=2&amp;ST=1&amp;nLang=0"/>
    <n v="0"/>
    <n v="0"/>
    <n v="0"/>
    <n v="0"/>
    <n v="0"/>
    <n v="0"/>
    <n v="0"/>
    <n v="0"/>
  </r>
  <r>
    <x v="3"/>
    <x v="6"/>
    <s v="OP-S-076"/>
    <x v="77"/>
    <d v="2025-07-08T00:00:00"/>
    <n v="22"/>
    <x v="0"/>
    <n v="4"/>
    <n v="0"/>
    <n v="0"/>
    <n v="0"/>
    <n v="0"/>
    <n v="0"/>
    <n v="0"/>
    <n v="0"/>
    <n v="0"/>
    <n v="0"/>
    <n v="0"/>
    <n v="0"/>
    <s v="https://www.clickideacore.com/ClickHTML5/Visit.aspx?ID=//57DAEwASwAzADQANQAzADQAMwA2ADUASQBEAEUAQQAB=&amp;Tipo=2&amp;ST=1&amp;nLang=0"/>
    <n v="0"/>
    <n v="0"/>
    <n v="0"/>
    <n v="0"/>
    <n v="0"/>
    <n v="0"/>
    <n v="0"/>
    <n v="0"/>
  </r>
  <r>
    <x v="4"/>
    <x v="4"/>
    <s v="OP-DYR-005"/>
    <x v="77"/>
    <d v="2025-07-08T00:00:00"/>
    <n v="19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QANQA0ADkANAA3ADAASQBEAEUAQQA1=&amp;Tipo=2&amp;ST=1&amp;nLang=0"/>
    <n v="0"/>
    <n v="0"/>
    <n v="0"/>
    <n v="0"/>
    <n v="0"/>
    <n v="0"/>
    <n v="0"/>
    <n v="0"/>
  </r>
  <r>
    <x v="9"/>
    <x v="1"/>
    <s v="OP-DYR-004"/>
    <x v="77"/>
    <d v="2025-07-08T00:00:00"/>
    <n v="32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QANQA0ADcANQAyADYASQBEAEUAQQA8=&amp;Tipo=2&amp;ST=1&amp;nLang=0"/>
    <n v="0"/>
    <n v="0"/>
    <n v="0"/>
    <n v="0"/>
    <n v="0"/>
    <n v="0"/>
    <n v="0"/>
    <n v="0"/>
  </r>
  <r>
    <x v="5"/>
    <x v="3"/>
    <s v="OP-S-076"/>
    <x v="77"/>
    <d v="2025-07-08T00:00:00"/>
    <n v="41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S-076"/>
    <x v="77"/>
    <d v="2025-07-08T00:00:00"/>
    <n v="41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7"/>
    <d v="2025-07-08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78"/>
    <d v="2025-07-09T00:00:00"/>
    <n v="17"/>
    <x v="0"/>
    <n v="28"/>
    <n v="0"/>
    <n v="0"/>
    <n v="1"/>
    <n v="0"/>
    <n v="0"/>
    <n v="0"/>
    <n v="0"/>
    <n v="0"/>
    <n v="1"/>
    <n v="0"/>
    <n v="0"/>
    <s v="https://www.clickideacore.com/ClickHTML5/Visit.aspx?ID=//52DAEwASwAzADQANQA3ADIAMAA5ADQASQBEAEUAQQA5=&amp;Tipo=2&amp;ST=1&amp;nLang=0"/>
    <n v="0"/>
    <n v="0"/>
    <n v="0"/>
    <n v="0"/>
    <n v="0"/>
    <n v="0"/>
    <n v="0"/>
    <n v="0"/>
  </r>
  <r>
    <x v="9"/>
    <x v="8"/>
    <s v="OP-DYR-011"/>
    <x v="78"/>
    <d v="2025-07-09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QANQA3ADIAMAA5ADQASQBEAEUAQQA5=&amp;Tipo=2&amp;ST=1&amp;nLang=0"/>
    <n v="0"/>
    <n v="0"/>
    <n v="0"/>
    <n v="0"/>
    <n v="0"/>
    <n v="0"/>
    <n v="0"/>
    <n v="0"/>
  </r>
  <r>
    <x v="5"/>
    <x v="3"/>
    <s v="OP-S-005"/>
    <x v="78"/>
    <d v="2025-07-09T00:00:00"/>
    <n v="44"/>
    <x v="0"/>
    <n v="34"/>
    <n v="0"/>
    <n v="0"/>
    <n v="0"/>
    <n v="1"/>
    <n v="1"/>
    <n v="0"/>
    <n v="0"/>
    <n v="0"/>
    <n v="0"/>
    <n v="0"/>
    <n v="0"/>
    <s v="https://www.clickideacore.com/ClickHTML5/Visit.aspx?ID=//5ADAEwASwAzADQANQA3ADIANwA0ADYASQBEAEUAQQA7=&amp;Tipo=2&amp;ST=1&amp;nLang=0"/>
    <n v="0"/>
    <n v="0"/>
    <n v="0"/>
    <n v="0"/>
    <n v="0"/>
    <n v="0"/>
    <n v="0"/>
    <n v="0"/>
  </r>
  <r>
    <x v="1"/>
    <x v="1"/>
    <s v="OP-DYR-004"/>
    <x v="78"/>
    <d v="2025-07-09T00:00:00"/>
    <n v="37"/>
    <x v="0"/>
    <n v="26"/>
    <n v="0"/>
    <n v="0"/>
    <n v="1"/>
    <n v="0"/>
    <n v="0"/>
    <n v="0"/>
    <n v="0"/>
    <n v="0"/>
    <n v="0"/>
    <n v="0"/>
    <n v="0"/>
    <s v="https://www.clickideacore.com/ClickHTML5/Visit.aspx?ID=//5BDAEwASwAzADQANQA3ADIANQA5ADQASQBEAEUAQQAB=&amp;Tipo=2&amp;ST=1&amp;nLang=0"/>
    <n v="0"/>
    <n v="0"/>
    <n v="0"/>
    <n v="0"/>
    <n v="0"/>
    <n v="0"/>
    <n v="0"/>
    <n v="0"/>
  </r>
  <r>
    <x v="4"/>
    <x v="6"/>
    <s v="OP-DYR-005"/>
    <x v="78"/>
    <d v="2025-07-09T00:00:00"/>
    <n v="14"/>
    <x v="0"/>
    <n v="7"/>
    <n v="0"/>
    <n v="0"/>
    <n v="0"/>
    <n v="0"/>
    <n v="0"/>
    <n v="0"/>
    <n v="0"/>
    <n v="0"/>
    <n v="0"/>
    <n v="0"/>
    <n v="0"/>
    <s v="https://www.clickideacore.com/ClickHTML5/Visit.aspx?ID=//5CDAEwASwAzADQANQA2ADEANQA1ADQASQBEAEUAQQA7=&amp;Tipo=2&amp;ST=1&amp;nLang=0"/>
    <n v="0"/>
    <n v="0"/>
    <n v="0"/>
    <n v="0"/>
    <n v="0"/>
    <n v="0"/>
    <n v="0"/>
    <n v="0"/>
  </r>
  <r>
    <x v="2"/>
    <x v="6"/>
    <s v="OP-DYR-005"/>
    <x v="78"/>
    <d v="2025-07-09T00:00:00"/>
    <n v="14"/>
    <x v="0"/>
    <n v="28"/>
    <n v="0"/>
    <n v="0"/>
    <n v="1"/>
    <n v="0"/>
    <n v="0"/>
    <n v="0"/>
    <n v="0"/>
    <n v="0"/>
    <n v="0"/>
    <n v="0"/>
    <n v="0"/>
    <s v="https://www.clickideacore.com/ClickHTML5/Visit.aspx?ID=//5CDAEwASwAzADQANQA2ADEANQA1ADQASQBEAEUAQQA7=&amp;Tipo=2&amp;ST=1&amp;nLang=0"/>
    <n v="0"/>
    <n v="0"/>
    <n v="0"/>
    <n v="0"/>
    <n v="0"/>
    <n v="0"/>
    <n v="0"/>
    <n v="0"/>
  </r>
  <r>
    <x v="9"/>
    <x v="2"/>
    <s v="OP-DYR-005"/>
    <x v="78"/>
    <d v="2025-07-09T00:00:00"/>
    <n v="14"/>
    <x v="0"/>
    <n v="35"/>
    <n v="0"/>
    <n v="0"/>
    <n v="1"/>
    <n v="0"/>
    <n v="0"/>
    <n v="0"/>
    <n v="0"/>
    <n v="0"/>
    <n v="0"/>
    <n v="0"/>
    <n v="0"/>
    <s v="https://www.clickideacore.com/ClickHTML5/Visit.aspx?ID=//5CDAEwASwAzADQANQA2ADEANQA1ADQASQBEAEUAQQA7=&amp;Tipo=2&amp;ST=1&amp;nLang=0"/>
    <n v="0"/>
    <n v="0"/>
    <n v="0"/>
    <n v="0"/>
    <n v="0"/>
    <n v="0"/>
    <n v="0"/>
    <n v="0"/>
  </r>
  <r>
    <x v="9"/>
    <x v="4"/>
    <s v="OP-S-076"/>
    <x v="78"/>
    <d v="2025-07-09T00:00:00"/>
    <n v="41"/>
    <x v="6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76"/>
    <x v="78"/>
    <d v="2025-07-09T00:00:00"/>
    <n v="41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78"/>
    <d v="2025-07-09T00:00:00"/>
    <n v="41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8"/>
    <d v="2025-07-09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8"/>
    <s v="OP-DYR-011"/>
    <x v="79"/>
    <d v="2025-07-10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DDAEwASwAzADQANQA4ADcANgAzADIASQBEAEUAQQA1=&amp;Tipo=2&amp;ST=1&amp;nLang=0"/>
    <n v="0"/>
    <n v="20"/>
    <n v="0"/>
    <n v="0"/>
    <n v="0"/>
    <n v="0"/>
    <n v="0"/>
    <n v="0"/>
  </r>
  <r>
    <x v="0"/>
    <x v="0"/>
    <s v="OP-S-100"/>
    <x v="79"/>
    <d v="2025-07-10T00:00:00"/>
    <n v="32"/>
    <x v="0"/>
    <n v="30"/>
    <n v="0"/>
    <n v="0"/>
    <n v="1"/>
    <n v="0"/>
    <n v="0"/>
    <n v="0"/>
    <n v="0"/>
    <n v="0"/>
    <n v="0"/>
    <n v="0"/>
    <n v="0"/>
    <s v="https://www.clickideacore.com/ClickHTML5/Visit.aspx?ID=//5CDAEwASwAzADQANQA5ADEANQA3ADcASQBEAEUAQQAB=&amp;Tipo=2&amp;ST=1&amp;nLang=0"/>
    <n v="0"/>
    <n v="66"/>
    <n v="0"/>
    <n v="0"/>
    <n v="0"/>
    <n v="0"/>
    <n v="0"/>
    <n v="0"/>
  </r>
  <r>
    <x v="1"/>
    <x v="21"/>
    <s v="OP-DYR-004"/>
    <x v="79"/>
    <d v="2025-07-10T00:00:00"/>
    <n v="35"/>
    <x v="0"/>
    <n v="0"/>
    <n v="0"/>
    <n v="0"/>
    <n v="0"/>
    <n v="0"/>
    <n v="0"/>
    <n v="0"/>
    <n v="0"/>
    <n v="0"/>
    <n v="0"/>
    <n v="0"/>
    <n v="0"/>
    <s v="https://www.clickideacore.com/ClickHTML5/Visit.aspx?ID=//5ADAEwASwAzADQANQA5ADIAOQA0ADkASQBEAEUAQQAA=&amp;Tipo=2&amp;ST=1&amp;nLang=0"/>
    <n v="0"/>
    <n v="40"/>
    <n v="0"/>
    <n v="0"/>
    <n v="0"/>
    <n v="0"/>
    <n v="0"/>
    <n v="0"/>
  </r>
  <r>
    <x v="3"/>
    <x v="1"/>
    <s v="OP-S-076"/>
    <x v="79"/>
    <d v="2025-07-10T00:00:00"/>
    <n v="37"/>
    <x v="0"/>
    <n v="22"/>
    <n v="0"/>
    <n v="0"/>
    <n v="0"/>
    <n v="1"/>
    <n v="0"/>
    <n v="0"/>
    <n v="0"/>
    <n v="0"/>
    <n v="0"/>
    <n v="0"/>
    <n v="0"/>
    <s v="https://www.clickideacore.com/ClickHTML5/Visit.aspx?ID=//55DAEwASwAzADQANQA5ADQANAA4ADYASQBEAEUAQQA7=&amp;Tipo=2&amp;ST=1&amp;nLang=0"/>
    <n v="0"/>
    <n v="55"/>
    <n v="0"/>
    <n v="0"/>
    <n v="0"/>
    <n v="0"/>
    <n v="0"/>
    <n v="0"/>
  </r>
  <r>
    <x v="4"/>
    <x v="4"/>
    <s v="OP-DYR-005"/>
    <x v="79"/>
    <d v="2025-07-10T00:00:00"/>
    <n v="17"/>
    <x v="0"/>
    <n v="29"/>
    <n v="0"/>
    <n v="0"/>
    <n v="1"/>
    <n v="0"/>
    <n v="0"/>
    <n v="0"/>
    <n v="0"/>
    <n v="0"/>
    <n v="0"/>
    <n v="0"/>
    <n v="0"/>
    <s v="https://www.clickideacore.com/ClickHTML5/Visit.aspx?ID=//5ADAEwASwAzADQANQA5ADMANgAzADUASQBEAEUAQQAD=&amp;Tipo=2&amp;ST=1&amp;nLang=0"/>
    <n v="0"/>
    <n v="25"/>
    <n v="0"/>
    <n v="0"/>
    <n v="0"/>
    <n v="0"/>
    <n v="0"/>
    <n v="0"/>
  </r>
  <r>
    <x v="5"/>
    <x v="3"/>
    <s v="OP-DYR-005"/>
    <x v="79"/>
    <d v="2025-07-10T00:00:00"/>
    <n v="17"/>
    <x v="0"/>
    <n v="32"/>
    <n v="0"/>
    <n v="0"/>
    <n v="1"/>
    <n v="0"/>
    <n v="0"/>
    <n v="0"/>
    <n v="0"/>
    <n v="0"/>
    <n v="0"/>
    <n v="0"/>
    <n v="0"/>
    <s v="https://www.clickideacore.com/ClickHTML5/Visit.aspx?ID=//5ADAEwASwAzADQANQA5ADMANgAzADUASQBEAEUAQQAD=&amp;Tipo=2&amp;ST=1&amp;nLang=0"/>
    <n v="0"/>
    <n v="44"/>
    <n v="0"/>
    <n v="0"/>
    <n v="0"/>
    <n v="0"/>
    <n v="0"/>
    <n v="0"/>
  </r>
  <r>
    <x v="2"/>
    <x v="2"/>
    <s v="OP-S-076"/>
    <x v="79"/>
    <d v="2025-07-10T00:00:00"/>
    <n v="41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79"/>
    <d v="2025-07-10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80"/>
    <d v="2025-07-11T00:00:00"/>
    <n v="35"/>
    <x v="0"/>
    <n v="30"/>
    <n v="0"/>
    <n v="0"/>
    <n v="1"/>
    <n v="0"/>
    <n v="0"/>
    <n v="0"/>
    <n v="0"/>
    <n v="0"/>
    <n v="0"/>
    <n v="0"/>
    <n v="0"/>
    <s v="https://www.clickideacore.com/ClickHTML5/Visit.aspx?ID=//57DAEwASwAzADQANgAxADYANQAzADYASQBEAEUAQQA9=&amp;Tipo=2&amp;ST=1&amp;nLang=0"/>
    <n v="0"/>
    <n v="0"/>
    <n v="10"/>
    <n v="0"/>
    <n v="0"/>
    <n v="0"/>
    <n v="0"/>
    <n v="0"/>
  </r>
  <r>
    <x v="2"/>
    <x v="2"/>
    <s v="OP-S-200"/>
    <x v="80"/>
    <d v="2025-07-11T00:00:00"/>
    <n v="18"/>
    <x v="0"/>
    <n v="35"/>
    <n v="0"/>
    <n v="0"/>
    <n v="0"/>
    <n v="1"/>
    <n v="0"/>
    <n v="0"/>
    <n v="0"/>
    <n v="0"/>
    <n v="0"/>
    <n v="0"/>
    <n v="0"/>
    <s v="https://www.clickideacore.com/ClickHTML5/Visit.aspx?ID=//55DAEwASwAzADQANgAxADQAMQA3ADcASQBEAEUAQQAF=&amp;Tipo=2&amp;ST=1&amp;nLang=0"/>
    <n v="0"/>
    <n v="0"/>
    <n v="2"/>
    <n v="0"/>
    <n v="0"/>
    <n v="0"/>
    <n v="0"/>
    <n v="0"/>
  </r>
  <r>
    <x v="3"/>
    <x v="1"/>
    <s v="OP-S-076"/>
    <x v="80"/>
    <d v="2025-07-11T00:00:00"/>
    <n v="110"/>
    <x v="0"/>
    <n v="20"/>
    <n v="0"/>
    <n v="0"/>
    <n v="1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3"/>
    <s v="OP-S-076"/>
    <x v="80"/>
    <d v="2025-07-11T00:00:00"/>
    <n v="110"/>
    <x v="0"/>
    <n v="25"/>
    <n v="0"/>
    <n v="0"/>
    <n v="1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4"/>
    <x v="4"/>
    <s v="OP-S-076"/>
    <x v="80"/>
    <d v="2025-07-11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10"/>
    <x v="8"/>
    <s v="OP-S-076"/>
    <x v="80"/>
    <d v="2025-07-11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1"/>
    <x v="6"/>
    <s v="OP-S-076"/>
    <x v="80"/>
    <d v="2025-07-11T00:00:00"/>
    <n v="110"/>
    <x v="0"/>
    <n v="1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79"/>
    <d v="2025-07-10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3"/>
    <s v="OP-S-005"/>
    <x v="81"/>
    <d v="2025-07-12T00:00:00"/>
    <n v="64"/>
    <x v="0"/>
    <n v="0"/>
    <n v="0"/>
    <n v="0"/>
    <n v="0"/>
    <n v="0"/>
    <n v="0"/>
    <n v="0"/>
    <n v="0"/>
    <n v="0"/>
    <n v="6"/>
    <n v="1"/>
    <n v="0"/>
    <s v="https://www.clickideacore.com/ClickHTML5/Visit.aspx?ID=//54DAEwASwAzADQANgAzADYAMAAwADQASQBEAEUAQQAB=&amp;Tipo=2&amp;ST=1&amp;nLang=0"/>
    <n v="23"/>
    <n v="0"/>
    <n v="0"/>
    <n v="0"/>
    <n v="0"/>
    <n v="0"/>
    <n v="1"/>
    <n v="0"/>
  </r>
  <r>
    <x v="0"/>
    <x v="0"/>
    <s v="OP-S-100"/>
    <x v="81"/>
    <d v="2025-07-12T00:00:00"/>
    <n v="49"/>
    <x v="0"/>
    <n v="0"/>
    <n v="0"/>
    <n v="0"/>
    <n v="0"/>
    <n v="0"/>
    <n v="0"/>
    <n v="0"/>
    <n v="1"/>
    <n v="0"/>
    <n v="0"/>
    <n v="1"/>
    <n v="0"/>
    <s v="https://www.clickideacore.com/ClickHTML5/Visit.aspx?ID=//5EDAEwASwAzADQANgAzADQAOQA5ADYASQBEAEUAQQA8=&amp;Tipo=2&amp;ST=1&amp;nLang=0"/>
    <n v="0"/>
    <n v="0"/>
    <n v="0"/>
    <n v="0"/>
    <n v="0"/>
    <n v="0"/>
    <n v="0"/>
    <n v="0"/>
  </r>
  <r>
    <x v="11"/>
    <x v="17"/>
    <s v="OP-SDYR-001"/>
    <x v="81"/>
    <d v="2025-07-12T00:00:00"/>
    <n v="39"/>
    <x v="0"/>
    <n v="0"/>
    <n v="0"/>
    <n v="0"/>
    <n v="0"/>
    <n v="0"/>
    <n v="0"/>
    <n v="0"/>
    <n v="1"/>
    <n v="0"/>
    <n v="0"/>
    <n v="1"/>
    <n v="0"/>
    <s v="https://www.clickideacore.com/ClickHTML5/Visit.aspx?ID=//5DDAEwASwAzADQANgAzADUAMQAyADkASQBEAEUAQQA4=&amp;Tipo=2&amp;ST=1&amp;nLang=0"/>
    <n v="0"/>
    <n v="0"/>
    <n v="0"/>
    <n v="0"/>
    <n v="0"/>
    <n v="0"/>
    <n v="0"/>
    <n v="0"/>
  </r>
  <r>
    <x v="2"/>
    <x v="2"/>
    <s v="OP-S-200"/>
    <x v="81"/>
    <d v="2025-07-12T00:00:00"/>
    <n v="35"/>
    <x v="0"/>
    <n v="0"/>
    <n v="0"/>
    <n v="0"/>
    <n v="0"/>
    <n v="0"/>
    <n v="0"/>
    <n v="0"/>
    <n v="1"/>
    <n v="0"/>
    <n v="1"/>
    <n v="1"/>
    <n v="0"/>
    <s v="https://www.clickideacore.com/ClickHTML5/Visit.aspx?ID=//56DAEwASwAzADQANgAzADUANQA4ADkASQBEAEUAQQA8=&amp;Tipo=2&amp;ST=1&amp;nLang=0"/>
    <n v="0"/>
    <n v="0"/>
    <n v="0"/>
    <n v="0"/>
    <n v="0"/>
    <n v="0"/>
    <n v="0"/>
    <n v="0"/>
  </r>
  <r>
    <x v="10"/>
    <x v="8"/>
    <s v="OP-DYR-011"/>
    <x v="81"/>
    <d v="2025-07-1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81"/>
    <d v="2025-07-1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81"/>
    <d v="2025-07-1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4"/>
    <s v="OP-S-0010"/>
    <x v="81"/>
    <d v="2025-07-1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1"/>
    <d v="2025-07-12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3"/>
    <s v="OP-S-005"/>
    <x v="82"/>
    <d v="2025-07-13T00:00:00"/>
    <n v="54"/>
    <x v="0"/>
    <n v="0"/>
    <n v="0"/>
    <n v="0"/>
    <n v="0"/>
    <n v="0"/>
    <n v="0"/>
    <n v="0"/>
    <n v="0"/>
    <n v="1"/>
    <n v="0"/>
    <n v="0"/>
    <n v="1"/>
    <s v="https://www.clickideacore.com/ClickHTML5/Visit.aspx?ID=//52DAEwASwAzADQANgA0ADMAOAAyADEASQBEAEUAQQAE=&amp;Tipo=2&amp;ST=1&amp;nLang=0"/>
    <n v="0"/>
    <n v="0"/>
    <n v="0"/>
    <n v="0"/>
    <n v="0"/>
    <n v="0"/>
    <n v="0"/>
    <n v="0"/>
  </r>
  <r>
    <x v="0"/>
    <x v="0"/>
    <s v="OP-S-100"/>
    <x v="82"/>
    <d v="2025-07-13T00:00:00"/>
    <n v="88"/>
    <x v="0"/>
    <n v="0"/>
    <n v="0"/>
    <n v="0"/>
    <n v="0"/>
    <n v="0"/>
    <n v="0"/>
    <n v="0"/>
    <n v="0"/>
    <n v="1"/>
    <n v="0"/>
    <n v="0"/>
    <n v="1"/>
    <s v="https://www.clickideacore.com/ClickHTML5/Visit.aspx?ID=//57DAEwASwAzADQANgA0ADQAMAAyADYASQBEAEUAQQAD=&amp;Tipo=2&amp;ST=1&amp;nLang=0"/>
    <n v="0"/>
    <n v="0"/>
    <n v="0"/>
    <n v="0"/>
    <n v="0"/>
    <n v="0"/>
    <n v="0"/>
    <n v="0"/>
  </r>
  <r>
    <x v="2"/>
    <x v="2"/>
    <s v="OP-SDYR-001"/>
    <x v="82"/>
    <d v="2025-07-13T00:00:00"/>
    <n v="15"/>
    <x v="0"/>
    <n v="0"/>
    <n v="0"/>
    <n v="0"/>
    <n v="0"/>
    <n v="0"/>
    <n v="0"/>
    <n v="0"/>
    <n v="0"/>
    <n v="0"/>
    <n v="4"/>
    <n v="0"/>
    <n v="1"/>
    <s v="https://www.clickideacore.com/ClickHTML5/Visit.aspx?ID=//5ADAEwASwAzADQANgA0ADMANAAzADUASQBEAEUAQQAB=&amp;Tipo=2&amp;ST=1&amp;nLang=0"/>
    <n v="10"/>
    <n v="0"/>
    <n v="0"/>
    <n v="0"/>
    <n v="0"/>
    <n v="0"/>
    <n v="0"/>
    <n v="1"/>
  </r>
  <r>
    <x v="11"/>
    <x v="17"/>
    <s v="OP-SDYR-001"/>
    <x v="82"/>
    <d v="2025-07-13T00:00:00"/>
    <n v="15"/>
    <x v="0"/>
    <n v="0"/>
    <n v="0"/>
    <n v="0"/>
    <n v="0"/>
    <n v="0"/>
    <n v="0"/>
    <n v="0"/>
    <n v="0"/>
    <n v="1"/>
    <n v="0"/>
    <n v="0"/>
    <n v="1"/>
    <s v="https://www.clickideacore.com/ClickHTML5/Visit.aspx?ID=//5ADAEwASwAzADQANgA0ADMANAAzADUASQBEAEUAQQAB=&amp;Tipo=2&amp;ST=1&amp;nLang=0"/>
    <n v="0"/>
    <n v="0"/>
    <n v="0"/>
    <n v="0"/>
    <n v="0"/>
    <n v="0"/>
    <n v="0"/>
    <n v="0"/>
  </r>
  <r>
    <x v="10"/>
    <x v="8"/>
    <s v="OP-DYR-011"/>
    <x v="82"/>
    <d v="2025-07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82"/>
    <d v="2025-07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82"/>
    <d v="2025-07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4"/>
    <s v="OP-S-0010"/>
    <x v="82"/>
    <d v="2025-07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2"/>
    <d v="2025-07-1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83"/>
    <d v="2025-07-14T00:00:00"/>
    <n v="54"/>
    <x v="0"/>
    <n v="12"/>
    <n v="0"/>
    <n v="0"/>
    <n v="0"/>
    <n v="0"/>
    <n v="0"/>
    <n v="0"/>
    <n v="0"/>
    <n v="0"/>
    <n v="0"/>
    <n v="0"/>
    <n v="0"/>
    <s v="https://www.clickideacore.com/ClickHTML5/Visit.aspx?ID=//5EDAEwASwAzADQANgA1ADUANgA4ADIASQBEAEUAQQA3=&amp;Tipo=2&amp;ST=1&amp;nLang=0"/>
    <n v="0"/>
    <n v="0"/>
    <n v="0"/>
    <n v="0"/>
    <n v="0"/>
    <n v="0"/>
    <n v="0"/>
    <n v="0"/>
  </r>
  <r>
    <x v="3"/>
    <x v="8"/>
    <s v="OP-S-076"/>
    <x v="83"/>
    <d v="2025-07-14T00:00:00"/>
    <n v="34"/>
    <x v="0"/>
    <n v="15"/>
    <n v="0"/>
    <n v="0"/>
    <n v="0"/>
    <n v="0"/>
    <n v="0"/>
    <n v="0"/>
    <n v="0"/>
    <n v="0"/>
    <n v="0"/>
    <n v="0"/>
    <n v="0"/>
    <s v="https://www.clickideacore.com/ClickHTML5/Visit.aspx?ID=//53DAEwASwAzADQANgA1ADUAMwA3ADgASQBEAEUAQQAD=&amp;Tipo=2&amp;ST=1&amp;nLang=0"/>
    <n v="0"/>
    <n v="0"/>
    <n v="0"/>
    <n v="0"/>
    <n v="0"/>
    <n v="0"/>
    <n v="0"/>
    <n v="0"/>
  </r>
  <r>
    <x v="4"/>
    <x v="4"/>
    <s v="OP-DYR-005"/>
    <x v="83"/>
    <d v="2025-07-14T00:00:00"/>
    <n v="22"/>
    <x v="0"/>
    <n v="7"/>
    <n v="0"/>
    <n v="0"/>
    <n v="0"/>
    <n v="0"/>
    <n v="1"/>
    <n v="0"/>
    <n v="0"/>
    <n v="0"/>
    <n v="0"/>
    <n v="0"/>
    <n v="0"/>
    <s v="https://www.clickideacore.com/ClickHTML5/Visit.aspx?ID=//58DAEwASwAzADQANgA2ADAANwA4ADYASQBEAEUAQQAF=&amp;Tipo=2&amp;ST=1&amp;nLang=0"/>
    <n v="0"/>
    <n v="9"/>
    <n v="0"/>
    <n v="0"/>
    <n v="0"/>
    <n v="0"/>
    <n v="0"/>
    <n v="0"/>
  </r>
  <r>
    <x v="0"/>
    <x v="6"/>
    <s v="OP-S-076"/>
    <x v="83"/>
    <d v="2025-07-14T00:00:00"/>
    <n v="110"/>
    <x v="0"/>
    <n v="1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76"/>
    <x v="83"/>
    <d v="2025-07-14T00:00:00"/>
    <n v="110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1"/>
    <s v="OP-S-076"/>
    <x v="83"/>
    <d v="2025-07-14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2"/>
    <x v="2"/>
    <s v="OP-S-076"/>
    <x v="83"/>
    <d v="2025-07-14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6"/>
    <s v="OP-S-076"/>
    <x v="83"/>
    <d v="2025-07-14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1"/>
    <x v="6"/>
    <s v="OP-S-076"/>
    <x v="83"/>
    <d v="2025-07-14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83"/>
    <d v="2025-07-1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84"/>
    <d v="2025-07-15T00:00:00"/>
    <n v="88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QANgA4ADgANwA3ADgASQBEAEUAQQAC=&amp;Tipo=2&amp;ST=1&amp;nLang=0"/>
    <n v="0"/>
    <n v="14"/>
    <n v="0"/>
    <n v="0"/>
    <n v="0"/>
    <n v="0"/>
    <n v="0"/>
    <n v="0"/>
  </r>
  <r>
    <x v="5"/>
    <x v="6"/>
    <s v="OP-DYR-011"/>
    <x v="84"/>
    <d v="2025-07-15T00:00:00"/>
    <n v="88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QANgA4ADgANwA3ADgASQBEAEUAQQAC=&amp;Tipo=2&amp;ST=1&amp;nLang=0"/>
    <n v="0"/>
    <n v="0"/>
    <n v="0"/>
    <n v="0"/>
    <n v="0"/>
    <n v="0"/>
    <n v="0"/>
    <n v="0"/>
  </r>
  <r>
    <x v="2"/>
    <x v="2"/>
    <s v="OP-S-200"/>
    <x v="84"/>
    <d v="2025-07-15T00:00:00"/>
    <n v="29"/>
    <x v="0"/>
    <n v="16"/>
    <n v="0"/>
    <n v="0"/>
    <n v="1"/>
    <n v="0"/>
    <n v="0"/>
    <n v="0"/>
    <n v="0"/>
    <n v="0"/>
    <n v="0"/>
    <n v="0"/>
    <n v="0"/>
    <s v="https://www.clickideacore.com/ClickHTML5/Visit.aspx?ID=//57DAEwASwAzADQANgA4ADcANgA0ADcASQBEAEUAQQA6=&amp;Tipo=2&amp;ST=1&amp;nLang=0"/>
    <n v="0"/>
    <n v="14"/>
    <n v="0"/>
    <n v="0"/>
    <n v="0"/>
    <n v="0"/>
    <n v="0"/>
    <n v="0"/>
  </r>
  <r>
    <x v="3"/>
    <x v="8"/>
    <s v="OP-S-076"/>
    <x v="84"/>
    <d v="2025-07-15T00:00:00"/>
    <n v="55"/>
    <x v="0"/>
    <n v="25"/>
    <n v="0"/>
    <n v="0"/>
    <n v="1"/>
    <n v="0"/>
    <n v="0"/>
    <n v="0"/>
    <n v="0"/>
    <n v="0"/>
    <n v="0"/>
    <n v="0"/>
    <n v="0"/>
    <s v="https://www.clickideacore.com/ClickHTML5/Visit.aspx?ID=//59DAEwASwAzADQANgA4ADYANAAyADQASQBEAEUAQQAD=&amp;Tipo=2&amp;ST=1&amp;nLang=0"/>
    <n v="0"/>
    <n v="0"/>
    <n v="0"/>
    <n v="0"/>
    <n v="0"/>
    <n v="0"/>
    <n v="0"/>
    <n v="0"/>
  </r>
  <r>
    <x v="0"/>
    <x v="0"/>
    <s v="OP-S-076"/>
    <x v="84"/>
    <d v="2025-07-15T00:00:00"/>
    <n v="55"/>
    <x v="0"/>
    <n v="24"/>
    <n v="0"/>
    <n v="0"/>
    <n v="0"/>
    <n v="1"/>
    <n v="0"/>
    <n v="0"/>
    <n v="0"/>
    <n v="0"/>
    <n v="0"/>
    <n v="0"/>
    <n v="0"/>
    <s v="https://www.clickideacore.com/ClickHTML5/Visit.aspx?ID=//59DAEwASwAzADQANgA4ADYANAAyADQASQBEAEUAQQAD=&amp;Tipo=2&amp;ST=1&amp;nLang=0"/>
    <n v="0"/>
    <n v="0"/>
    <n v="0"/>
    <n v="0"/>
    <n v="0"/>
    <n v="0"/>
    <n v="0"/>
    <n v="0"/>
  </r>
  <r>
    <x v="1"/>
    <x v="1"/>
    <s v="OP-S-076"/>
    <x v="84"/>
    <d v="2025-07-15T00:00:00"/>
    <n v="110"/>
    <x v="1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4"/>
    <x v="4"/>
    <s v="OP-S-076"/>
    <x v="84"/>
    <d v="2025-07-15T00:00:00"/>
    <n v="110"/>
    <x v="1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010"/>
    <x v="84"/>
    <d v="2025-07-15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4"/>
    <d v="2025-07-1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85"/>
    <d v="2025-07-16T00:00:00"/>
    <n v="75"/>
    <x v="0"/>
    <n v="0"/>
    <n v="0"/>
    <n v="0"/>
    <n v="0"/>
    <n v="0"/>
    <n v="0"/>
    <n v="0"/>
    <n v="0"/>
    <n v="1"/>
    <n v="0"/>
    <n v="0"/>
    <n v="1"/>
    <s v="https://www.clickideacore.com/ClickHTML5/Visit.aspx?ID=//5CDAEwASwAzADQANwAxADEAOQA2ADIASQBEAEUAQQA3=&amp;Tipo=2&amp;ST=1&amp;nLang=0"/>
    <n v="0"/>
    <n v="0"/>
    <n v="0"/>
    <n v="0"/>
    <n v="0"/>
    <n v="0"/>
    <n v="0"/>
    <n v="0"/>
  </r>
  <r>
    <x v="1"/>
    <x v="1"/>
    <s v="OP-DYR-004"/>
    <x v="85"/>
    <d v="2025-07-16T00:00:00"/>
    <n v="25"/>
    <x v="0"/>
    <n v="0"/>
    <n v="0"/>
    <n v="0"/>
    <n v="0"/>
    <n v="0"/>
    <n v="0"/>
    <n v="0"/>
    <n v="0"/>
    <n v="1"/>
    <n v="0"/>
    <n v="0"/>
    <n v="1"/>
    <s v="https://www.clickideacore.com/ClickHTML5/Visit.aspx?ID=//51DAEwASwAzADQANwAxADYAOQA3ADQASQBEAEUAQQA0=&amp;Tipo=2&amp;ST=1&amp;nLang=0"/>
    <n v="0"/>
    <n v="0"/>
    <n v="0"/>
    <n v="0"/>
    <n v="0"/>
    <n v="0"/>
    <n v="0"/>
    <n v="0"/>
  </r>
  <r>
    <x v="3"/>
    <x v="8"/>
    <s v="OP-S-076"/>
    <x v="85"/>
    <d v="2025-07-16T00:00:00"/>
    <n v="67"/>
    <x v="0"/>
    <n v="0"/>
    <n v="0"/>
    <n v="0"/>
    <n v="0"/>
    <n v="0"/>
    <n v="0"/>
    <n v="0"/>
    <n v="0"/>
    <n v="1"/>
    <n v="0"/>
    <n v="0"/>
    <n v="1"/>
    <s v="https://www.clickideacore.com/ClickHTML5/Visit.aspx?ID=//5ADAEwASwAzADQANwAxADYANAA0ADIASQBEAEUAQQAA=&amp;Tipo=2&amp;ST=1&amp;nLang=0"/>
    <n v="14"/>
    <n v="0"/>
    <n v="0"/>
    <n v="0"/>
    <n v="0"/>
    <n v="0"/>
    <n v="0"/>
    <n v="0"/>
  </r>
  <r>
    <x v="4"/>
    <x v="4"/>
    <s v="OP-DYR-005"/>
    <x v="85"/>
    <d v="2025-07-16T00:00:00"/>
    <n v="26"/>
    <x v="0"/>
    <n v="0"/>
    <n v="0"/>
    <n v="0"/>
    <n v="0"/>
    <n v="0"/>
    <n v="0"/>
    <n v="0"/>
    <n v="0"/>
    <n v="1"/>
    <n v="0"/>
    <n v="0"/>
    <n v="1"/>
    <s v="https://www.clickideacore.com/ClickHTML5/Visit.aspx?ID=//55DAEwASwAzADQANwAxADYAMwA4ADUASQBEAEUAQQAF=&amp;Tipo=2&amp;ST=1&amp;nLang=0"/>
    <n v="15"/>
    <n v="0"/>
    <n v="0"/>
    <n v="0"/>
    <n v="0"/>
    <n v="0"/>
    <n v="0"/>
    <n v="1"/>
  </r>
  <r>
    <x v="5"/>
    <x v="6"/>
    <s v="OP-DYR-004"/>
    <x v="85"/>
    <d v="2025-07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76"/>
    <x v="85"/>
    <d v="2025-07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85"/>
    <d v="2025-07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3"/>
    <s v="OP-S-0010"/>
    <x v="85"/>
    <d v="2025-07-16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5"/>
    <d v="2025-07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86"/>
    <d v="2025-07-17T00:00:00"/>
    <n v="36"/>
    <x v="0"/>
    <n v="30"/>
    <n v="0"/>
    <n v="0"/>
    <n v="1"/>
    <n v="0"/>
    <n v="0"/>
    <n v="0"/>
    <n v="0"/>
    <n v="0"/>
    <n v="0"/>
    <n v="0"/>
    <n v="0"/>
    <s v="https://www.clickideacore.com/ClickHTML5/Visit.aspx?ID=//5EDAEwASwAzADQANwAzADMANAA0ADIASQBEAEUAQQAB=&amp;Tipo=2&amp;ST=1&amp;nLang=0"/>
    <n v="0"/>
    <n v="0"/>
    <n v="0"/>
    <n v="0"/>
    <n v="0"/>
    <n v="0"/>
    <n v="0"/>
    <n v="0"/>
  </r>
  <r>
    <x v="5"/>
    <x v="6"/>
    <s v="OP-DYR-011"/>
    <x v="86"/>
    <d v="2025-07-17T00:00:00"/>
    <n v="36"/>
    <x v="0"/>
    <n v="30"/>
    <n v="0"/>
    <n v="0"/>
    <n v="1"/>
    <n v="0"/>
    <n v="0"/>
    <n v="0"/>
    <n v="0"/>
    <n v="0"/>
    <n v="0"/>
    <n v="0"/>
    <n v="0"/>
    <s v="https://www.clickideacore.com/ClickHTML5/Visit.aspx?ID=//5EDAEwASwAzADQANwAzADMANAA0ADIASQBEAEUAQQAB=&amp;Tipo=2&amp;ST=1&amp;nLang=0"/>
    <n v="0"/>
    <n v="0"/>
    <n v="0"/>
    <n v="0"/>
    <n v="0"/>
    <n v="0"/>
    <n v="0"/>
    <n v="0"/>
  </r>
  <r>
    <x v="1"/>
    <x v="1"/>
    <s v="OP-DYR-004"/>
    <x v="86"/>
    <d v="2025-07-17T00:00:00"/>
    <n v="26"/>
    <x v="0"/>
    <n v="34"/>
    <n v="0"/>
    <n v="0"/>
    <n v="0"/>
    <n v="1"/>
    <n v="0"/>
    <n v="0"/>
    <n v="0"/>
    <n v="0"/>
    <n v="0"/>
    <n v="0"/>
    <n v="0"/>
    <s v="https://www.clickideacore.com/ClickHTML5/Visit.aspx?ID=//53DAEwASwAzADQANwAzADkAOQA5ADkASQBEAEUAQQAE=&amp;Tipo=2&amp;ST=1&amp;nLang=0"/>
    <n v="0"/>
    <n v="0"/>
    <n v="0"/>
    <n v="0"/>
    <n v="0"/>
    <n v="0"/>
    <n v="0"/>
    <n v="0"/>
  </r>
  <r>
    <x v="4"/>
    <x v="4"/>
    <s v="OP-DYR-005"/>
    <x v="86"/>
    <d v="2025-07-17T00:00:00"/>
    <n v="40"/>
    <x v="0"/>
    <n v="34"/>
    <n v="0"/>
    <n v="0"/>
    <n v="1"/>
    <n v="0"/>
    <n v="1"/>
    <n v="0"/>
    <n v="0"/>
    <n v="0"/>
    <n v="0"/>
    <n v="0"/>
    <n v="0"/>
    <s v="https://www.clickideacore.com/ClickHTML5/Visit.aspx?ID=//5EDAEwASwAzADQANwAzADgANAA4ADYASQBEAEUAQQAC=&amp;Tipo=2&amp;ST=1&amp;nLang=0"/>
    <n v="0"/>
    <n v="0"/>
    <n v="0"/>
    <n v="0"/>
    <n v="0"/>
    <n v="0"/>
    <n v="0"/>
    <n v="0"/>
  </r>
  <r>
    <x v="2"/>
    <x v="2"/>
    <s v="OP-DYR-005"/>
    <x v="86"/>
    <d v="2025-07-17T00:00:00"/>
    <n v="40"/>
    <x v="0"/>
    <n v="24"/>
    <n v="0"/>
    <n v="0"/>
    <n v="1"/>
    <n v="0"/>
    <n v="0"/>
    <n v="0"/>
    <n v="0"/>
    <n v="0"/>
    <n v="0"/>
    <n v="0"/>
    <n v="0"/>
    <s v="https://www.clickideacore.com/ClickHTML5/Visit.aspx?ID=//5EDAEwASwAzADQANwAzADgANAA4ADYASQBEAEUAQQAC=&amp;Tipo=2&amp;ST=1&amp;nLang=0"/>
    <n v="0"/>
    <n v="0"/>
    <n v="0"/>
    <n v="0"/>
    <n v="0"/>
    <n v="0"/>
    <n v="0"/>
    <n v="0"/>
  </r>
  <r>
    <x v="0"/>
    <x v="6"/>
    <s v="OP-S-076"/>
    <x v="86"/>
    <d v="2025-07-17T00:00:00"/>
    <n v="110"/>
    <x v="6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3"/>
    <x v="8"/>
    <s v="OP-S-076"/>
    <x v="86"/>
    <d v="2025-07-17T00:00:00"/>
    <n v="110"/>
    <x v="1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0"/>
    <s v="OP-S-076"/>
    <x v="86"/>
    <d v="2025-07-17T00:00:00"/>
    <n v="110"/>
    <x v="1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010"/>
    <x v="86"/>
    <d v="2025-07-17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6"/>
    <d v="2025-07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87"/>
    <d v="2025-07-18T00:00:00"/>
    <n v="88"/>
    <x v="0"/>
    <n v="28"/>
    <n v="0"/>
    <n v="1"/>
    <n v="1"/>
    <n v="0"/>
    <n v="0"/>
    <n v="0"/>
    <n v="0"/>
    <n v="0"/>
    <n v="0"/>
    <n v="0"/>
    <n v="0"/>
    <s v="https://www.clickideacore.com/ClickHTML5/Visit.aspx?ID=//51DAEwASwAzADQANwA2ADIANQAxADUASQBEAEUAQQA2=&amp;Tipo=2&amp;ST=1&amp;nLang=0"/>
    <n v="0"/>
    <n v="66"/>
    <n v="10"/>
    <n v="0"/>
    <n v="0"/>
    <n v="0"/>
    <n v="0"/>
    <n v="0"/>
  </r>
  <r>
    <x v="1"/>
    <x v="1"/>
    <s v="OP-DYR-004"/>
    <x v="87"/>
    <d v="2025-07-18T00:00:00"/>
    <n v="26"/>
    <x v="0"/>
    <n v="37"/>
    <n v="0"/>
    <n v="0"/>
    <n v="0"/>
    <n v="1"/>
    <n v="0"/>
    <n v="0"/>
    <n v="0"/>
    <n v="0"/>
    <n v="0"/>
    <n v="0"/>
    <n v="0"/>
    <s v="https://www.clickideacore.com/ClickHTML5/Visit.aspx?ID=//58DAEwASwAzADQANwA2ADIAMQAzADYASQBEAEUAQQAF=&amp;Tipo=2&amp;ST=1&amp;nLang=0"/>
    <n v="0"/>
    <n v="44"/>
    <n v="0"/>
    <n v="0"/>
    <n v="0"/>
    <n v="0"/>
    <n v="0"/>
    <n v="0"/>
  </r>
  <r>
    <x v="3"/>
    <x v="8"/>
    <s v="OP-S-076"/>
    <x v="87"/>
    <d v="2025-07-18T00:00:00"/>
    <n v="23"/>
    <x v="0"/>
    <n v="20"/>
    <n v="0"/>
    <n v="0"/>
    <n v="1"/>
    <n v="0"/>
    <n v="0"/>
    <n v="0"/>
    <n v="0"/>
    <n v="0"/>
    <n v="0"/>
    <n v="0"/>
    <n v="0"/>
    <s v="https://www.clickideacore.com/ClickHTML5/Visit.aspx?ID=//58DAEwASwAzADQANwA1ADkAMwAxADkASQBEAEUAQQAD=&amp;Tipo=2&amp;ST=1&amp;nLang=0"/>
    <n v="0"/>
    <n v="60"/>
    <n v="0"/>
    <n v="0"/>
    <n v="0"/>
    <n v="0"/>
    <n v="0"/>
    <n v="0"/>
  </r>
  <r>
    <x v="4"/>
    <x v="4"/>
    <s v="OP-DYR-005"/>
    <x v="87"/>
    <d v="2025-07-18T00:00:00"/>
    <n v="17"/>
    <x v="0"/>
    <n v="22"/>
    <n v="0"/>
    <n v="0"/>
    <n v="1"/>
    <n v="0"/>
    <n v="0"/>
    <n v="0"/>
    <n v="0"/>
    <n v="0"/>
    <n v="0"/>
    <n v="0"/>
    <n v="0"/>
    <s v="https://www.clickideacore.com/ClickHTML5/Visit.aspx?ID=//5FDAEwASwAzADQANwA2ADEAOQAwADIASQBEAEUAQQAF=&amp;Tipo=2&amp;ST=1&amp;nLang=0"/>
    <n v="0"/>
    <n v="66"/>
    <n v="0"/>
    <n v="0"/>
    <n v="0"/>
    <n v="0"/>
    <n v="0"/>
    <n v="0"/>
  </r>
  <r>
    <x v="2"/>
    <x v="2"/>
    <s v="OP-DYR-005"/>
    <x v="87"/>
    <d v="2025-07-18T00:00:00"/>
    <n v="17"/>
    <x v="0"/>
    <n v="16"/>
    <n v="0"/>
    <n v="0"/>
    <n v="1"/>
    <n v="0"/>
    <n v="0"/>
    <n v="1"/>
    <n v="0"/>
    <n v="0"/>
    <n v="0"/>
    <n v="0"/>
    <n v="0"/>
    <s v="https://www.clickideacore.com/ClickHTML5/Visit.aspx?ID=//5FDAEwASwAzADQANwA2ADEAOQAwADIASQBEAEUAQQAF=&amp;Tipo=2&amp;ST=1&amp;nLang=0"/>
    <n v="0"/>
    <n v="0"/>
    <n v="0"/>
    <n v="0"/>
    <n v="0"/>
    <n v="1"/>
    <n v="0"/>
    <n v="0"/>
  </r>
  <r>
    <x v="10"/>
    <x v="6"/>
    <s v="OP-S-076"/>
    <x v="87"/>
    <d v="2025-07-18T00:00:00"/>
    <n v="110"/>
    <x v="1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6"/>
    <s v="OP-S-076"/>
    <x v="87"/>
    <d v="2025-07-18T00:00:00"/>
    <n v="110"/>
    <x v="4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010"/>
    <x v="87"/>
    <d v="2025-07-18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7"/>
    <d v="2025-07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88"/>
    <d v="2025-07-19T00:00:00"/>
    <n v="35"/>
    <x v="0"/>
    <n v="0"/>
    <n v="0"/>
    <n v="0"/>
    <n v="0"/>
    <n v="0"/>
    <n v="0"/>
    <n v="0"/>
    <n v="1"/>
    <n v="0"/>
    <n v="0"/>
    <n v="1"/>
    <n v="0"/>
    <s v="https://www.clickideacore.com/ClickHTML5/Visit.aspx?ID=//58DAEwASwAzADQANwA3ADcAMAA0ADgASQBEAEUAQQAC=&amp;Tipo=2&amp;ST=1&amp;nLang=0"/>
    <n v="0"/>
    <n v="0"/>
    <n v="0"/>
    <n v="0"/>
    <n v="0"/>
    <n v="0"/>
    <n v="0"/>
    <n v="0"/>
  </r>
  <r>
    <x v="1"/>
    <x v="1"/>
    <s v="OP-DYR-004"/>
    <x v="88"/>
    <d v="2025-07-19T00:00:00"/>
    <n v="24"/>
    <x v="0"/>
    <n v="0"/>
    <n v="0"/>
    <n v="0"/>
    <n v="0"/>
    <n v="0"/>
    <n v="0"/>
    <n v="0"/>
    <n v="1"/>
    <n v="0"/>
    <n v="0"/>
    <n v="1"/>
    <n v="0"/>
    <s v="https://www.clickideacore.com/ClickHTML5/Visit.aspx?ID=//5BDAEwASwAzADQANwA3ADkAMAAxADkASQBEAEUAQQA9=&amp;Tipo=2&amp;ST=1&amp;nLang=0"/>
    <n v="0"/>
    <n v="0"/>
    <n v="0"/>
    <n v="0"/>
    <n v="0"/>
    <n v="0"/>
    <n v="0"/>
    <n v="0"/>
  </r>
  <r>
    <x v="3"/>
    <x v="8"/>
    <s v="OP-S-076"/>
    <x v="88"/>
    <d v="2025-07-19T00:00:00"/>
    <n v="39"/>
    <x v="0"/>
    <n v="0"/>
    <n v="0"/>
    <n v="0"/>
    <n v="0"/>
    <n v="0"/>
    <n v="0"/>
    <n v="0"/>
    <n v="1"/>
    <n v="0"/>
    <n v="0"/>
    <n v="1"/>
    <n v="0"/>
    <s v="https://www.clickideacore.com/ClickHTML5/Visit.aspx?ID=//5BDAEwASwAzADQANwA3ADcANwA4ADQASQBEAEUAQQA1=&amp;Tipo=2&amp;ST=1&amp;nLang=0"/>
    <n v="0"/>
    <n v="0"/>
    <n v="0"/>
    <n v="0"/>
    <n v="0"/>
    <n v="0"/>
    <n v="0"/>
    <n v="0"/>
  </r>
  <r>
    <x v="4"/>
    <x v="4"/>
    <s v="OP-DYR-005"/>
    <x v="88"/>
    <d v="2025-07-19T00:00:00"/>
    <n v="55"/>
    <x v="0"/>
    <n v="0"/>
    <n v="0"/>
    <n v="0"/>
    <n v="0"/>
    <n v="0"/>
    <n v="0"/>
    <n v="0"/>
    <n v="0"/>
    <n v="0"/>
    <n v="6"/>
    <n v="1"/>
    <n v="0"/>
    <s v="https://www.clickideacore.com/ClickHTML5/Visit.aspx?ID=//5FDAEwASwAzADQANwA3ADgANQA3ADEASQBEAEUAQQA0=&amp;Tipo=2&amp;ST=1&amp;nLang=0"/>
    <n v="22"/>
    <n v="0"/>
    <n v="0"/>
    <n v="0"/>
    <n v="0"/>
    <n v="0"/>
    <n v="1"/>
    <n v="0"/>
  </r>
  <r>
    <x v="0"/>
    <x v="6"/>
    <s v="OP-S-076"/>
    <x v="88"/>
    <d v="2025-07-19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2"/>
    <x v="2"/>
    <s v="OP-S-076"/>
    <x v="88"/>
    <d v="2025-07-19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6"/>
    <s v="OP-S-076"/>
    <x v="88"/>
    <d v="2025-07-19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010"/>
    <x v="88"/>
    <d v="2025-07-19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8"/>
    <d v="2025-07-1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89"/>
    <d v="2025-07-20T00:00:00"/>
    <n v="39"/>
    <x v="0"/>
    <n v="0"/>
    <n v="0"/>
    <n v="0"/>
    <n v="0"/>
    <n v="0"/>
    <n v="0"/>
    <n v="0"/>
    <n v="0"/>
    <n v="1"/>
    <n v="0"/>
    <n v="0"/>
    <n v="1"/>
    <s v="https://www.clickideacore.com/ClickHTML5/Visit.aspx?ID=//54DAEwASwAzADQANwA4ADcAMAAzADgASQBEAEUAQQA6=&amp;Tipo=2&amp;ST=1&amp;nLang=0"/>
    <n v="0"/>
    <n v="0"/>
    <n v="0"/>
    <n v="0"/>
    <n v="0"/>
    <n v="0"/>
    <n v="0"/>
    <n v="0"/>
  </r>
  <r>
    <x v="3"/>
    <x v="8"/>
    <s v="OP-S-076"/>
    <x v="89"/>
    <d v="2025-07-20T00:00:00"/>
    <n v="33"/>
    <x v="0"/>
    <n v="0"/>
    <n v="0"/>
    <n v="0"/>
    <n v="0"/>
    <n v="0"/>
    <n v="0"/>
    <n v="0"/>
    <n v="0"/>
    <n v="1"/>
    <n v="0"/>
    <n v="0"/>
    <n v="1"/>
    <s v="https://www.clickideacore.com/ClickHTML5/Visit.aspx?ID=//51DAEwASwAzADQANwA4ADcANgA2ADcASQBEAEUAQQAA=&amp;Tipo=2&amp;ST=1&amp;nLang=0"/>
    <n v="0"/>
    <n v="0"/>
    <n v="0"/>
    <n v="0"/>
    <n v="0"/>
    <n v="0"/>
    <n v="0"/>
    <n v="0"/>
  </r>
  <r>
    <x v="4"/>
    <x v="4"/>
    <s v="OP-DYR-005"/>
    <x v="89"/>
    <d v="2025-07-20T00:00:00"/>
    <n v="26"/>
    <x v="0"/>
    <n v="0"/>
    <n v="0"/>
    <n v="0"/>
    <n v="0"/>
    <n v="0"/>
    <n v="0"/>
    <n v="0"/>
    <n v="0"/>
    <n v="1"/>
    <n v="0"/>
    <n v="0"/>
    <n v="1"/>
    <s v="https://www.clickideacore.com/ClickHTML5/Visit.aspx?ID=//5EDAEwASwAzADQANwA4ADgAMAA3ADYASQBEAEUAQQA6=&amp;Tipo=2&amp;ST=1&amp;nLang=0"/>
    <n v="16"/>
    <n v="0"/>
    <n v="0"/>
    <n v="0"/>
    <n v="0"/>
    <n v="0"/>
    <n v="0"/>
    <n v="0"/>
  </r>
  <r>
    <x v="1"/>
    <x v="1"/>
    <s v="OP-DYR-004"/>
    <x v="89"/>
    <d v="2025-07-20T00:00:00"/>
    <n v="24"/>
    <x v="0"/>
    <n v="0"/>
    <n v="0"/>
    <n v="0"/>
    <n v="0"/>
    <n v="0"/>
    <n v="0"/>
    <n v="0"/>
    <n v="0"/>
    <n v="0"/>
    <n v="6"/>
    <n v="0"/>
    <n v="1"/>
    <s v="https://www.clickideacore.com/ClickHTML5/Visit.aspx?ID=//5BDAEwASwAzADQANwA3ADkAMAAxADkASQBEAEUAQQA9=&amp;Tipo=2&amp;ST=1&amp;nLang=0"/>
    <n v="11"/>
    <n v="0"/>
    <n v="0"/>
    <n v="0"/>
    <n v="0"/>
    <n v="0"/>
    <n v="0"/>
    <n v="1"/>
  </r>
  <r>
    <x v="0"/>
    <x v="6"/>
    <s v="OP-S-076"/>
    <x v="89"/>
    <d v="2025-07-20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2"/>
    <x v="2"/>
    <s v="OP-S-076"/>
    <x v="89"/>
    <d v="2025-07-20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6"/>
    <s v="OP-S-076"/>
    <x v="89"/>
    <d v="2025-07-20T00:00:00"/>
    <n v="11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3"/>
    <s v="OP-S-0010"/>
    <x v="89"/>
    <d v="2025-07-20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89"/>
    <d v="2025-07-2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90"/>
    <d v="2025-07-21T00:00:00"/>
    <n v="25"/>
    <x v="0"/>
    <n v="23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4"/>
    <n v="0"/>
    <n v="0"/>
    <n v="0"/>
    <n v="0"/>
    <n v="0"/>
    <n v="0"/>
  </r>
  <r>
    <x v="5"/>
    <x v="4"/>
    <s v="OP-DYR-004"/>
    <x v="90"/>
    <d v="2025-07-21T00:00:00"/>
    <n v="26"/>
    <x v="0"/>
    <n v="11"/>
    <n v="0"/>
    <n v="0"/>
    <n v="0"/>
    <n v="0"/>
    <n v="1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2"/>
    <x v="6"/>
    <s v="OP-DYR-011"/>
    <x v="90"/>
    <d v="2025-07-21T00:00:00"/>
    <n v="25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1"/>
    <s v="OP-DYR-011"/>
    <x v="90"/>
    <d v="2025-07-21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3"/>
    <x v="8"/>
    <s v="OP-DYR-011"/>
    <x v="90"/>
    <d v="2025-07-21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4"/>
    <x v="6"/>
    <s v="OP-DYR-011"/>
    <x v="90"/>
    <d v="2025-07-21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0"/>
    <s v="OP-DYR-011"/>
    <x v="90"/>
    <d v="2025-07-21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S-100"/>
    <x v="90"/>
    <d v="2025-07-21T00:00:00"/>
    <n v="88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90"/>
    <d v="2025-07-2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1"/>
    <s v="OP-DYR-011"/>
    <x v="91"/>
    <d v="2025-07-22T00:00:00"/>
    <n v="36"/>
    <x v="0"/>
    <n v="16"/>
    <n v="0"/>
    <n v="0"/>
    <n v="1"/>
    <n v="0"/>
    <n v="0"/>
    <n v="0"/>
    <n v="0"/>
    <n v="0"/>
    <n v="0"/>
    <n v="0"/>
    <n v="0"/>
    <s v="https://www.clickideacore.com/ClickHTML5/Visit.aspx?ID=//57DAEwASwAzADQAOAAyADYAMgA1ADkASQBEAEUAQQAC=&amp;Tipo=2&amp;ST=1&amp;nLang=0"/>
    <n v="0"/>
    <n v="0"/>
    <n v="0"/>
    <n v="0"/>
    <n v="0"/>
    <n v="0"/>
    <n v="0"/>
    <n v="0"/>
  </r>
  <r>
    <x v="5"/>
    <x v="4"/>
    <s v="OP-S-005"/>
    <x v="91"/>
    <d v="2025-07-22T00:00:00"/>
    <n v="61"/>
    <x v="0"/>
    <n v="29"/>
    <n v="0"/>
    <n v="0"/>
    <n v="0"/>
    <n v="1"/>
    <n v="0"/>
    <n v="0"/>
    <n v="0"/>
    <n v="0"/>
    <n v="0"/>
    <n v="0"/>
    <n v="0"/>
    <s v="https://www.clickideacore.com/ClickHTML5/Visit.aspx?ID=//54DAEwASwAzADQAOAAzADMAMAA0ADEASQBEAEUAQQA7=&amp;Tipo=2&amp;ST=1&amp;nLang=0"/>
    <n v="0"/>
    <n v="0"/>
    <n v="0"/>
    <n v="0"/>
    <n v="0"/>
    <n v="0"/>
    <n v="0"/>
    <n v="0"/>
  </r>
  <r>
    <x v="2"/>
    <x v="2"/>
    <s v="OP-S-200"/>
    <x v="91"/>
    <d v="2025-07-22T00:00:00"/>
    <n v="30"/>
    <x v="0"/>
    <n v="37"/>
    <n v="0"/>
    <n v="0"/>
    <n v="1"/>
    <n v="0"/>
    <n v="1"/>
    <n v="0"/>
    <n v="0"/>
    <n v="0"/>
    <n v="0"/>
    <n v="0"/>
    <n v="0"/>
    <s v="https://www.clickideacore.com/ClickHTML5/Visit.aspx?ID=//52DAEwASwAzADQAOAAyADcAOAA3ADIASQBEAEUAQQA9=&amp;Tipo=2&amp;ST=1&amp;nLang=0"/>
    <n v="0"/>
    <n v="0"/>
    <n v="0"/>
    <n v="0"/>
    <n v="0"/>
    <n v="0"/>
    <n v="0"/>
    <n v="0"/>
  </r>
  <r>
    <x v="3"/>
    <x v="8"/>
    <s v="OP-S-076"/>
    <x v="91"/>
    <d v="2025-07-22T00:00:00"/>
    <n v="27"/>
    <x v="0"/>
    <n v="20"/>
    <n v="0"/>
    <n v="0"/>
    <n v="1"/>
    <n v="0"/>
    <n v="0"/>
    <n v="0"/>
    <n v="0"/>
    <n v="0"/>
    <n v="0"/>
    <n v="0"/>
    <n v="0"/>
    <s v="https://www.clickideacore.com/ClickHTML5/Visit.aspx?ID=//5EDAEwASwAzADQAOAAyADgAMAA4ADMASQBEAEUAQQA5=&amp;Tipo=2&amp;ST=1&amp;nLang=0"/>
    <n v="0"/>
    <n v="0"/>
    <n v="0"/>
    <n v="0"/>
    <n v="0"/>
    <n v="0"/>
    <n v="0"/>
    <n v="0"/>
  </r>
  <r>
    <x v="4"/>
    <x v="6"/>
    <s v="OP-DYR-011"/>
    <x v="91"/>
    <d v="2025-07-22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0"/>
    <s v="OP-DYR-011"/>
    <x v="91"/>
    <d v="2025-07-22T00:00:00"/>
    <n v="25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S-100"/>
    <x v="91"/>
    <d v="2025-07-22T00:00:00"/>
    <n v="88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91"/>
    <d v="2025-07-2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92"/>
    <d v="2025-07-23T00:00:00"/>
    <n v="33"/>
    <x v="0"/>
    <n v="0"/>
    <n v="0"/>
    <n v="0"/>
    <n v="0"/>
    <n v="0"/>
    <n v="0"/>
    <n v="0"/>
    <n v="0"/>
    <n v="0"/>
    <n v="0"/>
    <n v="0"/>
    <n v="0"/>
    <s v="https://www.clickideacore.com/ClickHTML5/Visit.aspx?ID=//58DAEwASwAzADQAOAA0ADIANgAzADgASQBEAEUAQQA8=&amp;Tipo=2&amp;ST=1&amp;nLang=0"/>
    <n v="0"/>
    <n v="11"/>
    <n v="0"/>
    <n v="0"/>
    <n v="0"/>
    <n v="0"/>
    <n v="0"/>
    <n v="0"/>
  </r>
  <r>
    <x v="5"/>
    <x v="6"/>
    <s v="OP-S-005"/>
    <x v="92"/>
    <d v="2025-07-23T00:00:00"/>
    <n v="54"/>
    <x v="0"/>
    <n v="30"/>
    <n v="0"/>
    <n v="0"/>
    <n v="1"/>
    <n v="0"/>
    <n v="0"/>
    <n v="0"/>
    <n v="0"/>
    <n v="0"/>
    <n v="0"/>
    <n v="0"/>
    <n v="0"/>
    <s v="https://www.clickideacore.com/ClickHTML5/Visit.aspx?ID=//5FDAEwASwAzADQAOAA1ADQAOAAwADEASQBEAEUAQQA0=&amp;Tipo=2&amp;ST=1&amp;nLang=0"/>
    <n v="0"/>
    <n v="2"/>
    <n v="0"/>
    <n v="0"/>
    <n v="0"/>
    <n v="0"/>
    <n v="0"/>
    <n v="0"/>
  </r>
  <r>
    <x v="9"/>
    <x v="4"/>
    <s v="OP-S-005"/>
    <x v="92"/>
    <d v="2025-07-23T00:00:00"/>
    <n v="54"/>
    <x v="0"/>
    <n v="30"/>
    <n v="0"/>
    <n v="0"/>
    <n v="1"/>
    <n v="0"/>
    <n v="0"/>
    <n v="0"/>
    <n v="0"/>
    <n v="0"/>
    <n v="0"/>
    <n v="0"/>
    <n v="0"/>
    <s v="https://www.clickideacore.com/ClickHTML5/Visit.aspx?ID=//5FDAEwASwAzADQAOAA1ADQAOAAwADEASQBEAEUAQQA0=&amp;Tipo=2&amp;ST=1&amp;nLang=0"/>
    <n v="0"/>
    <n v="13"/>
    <n v="0"/>
    <n v="0"/>
    <n v="0"/>
    <n v="0"/>
    <n v="0"/>
    <n v="0"/>
  </r>
  <r>
    <x v="1"/>
    <x v="0"/>
    <s v="OP-DYR-004"/>
    <x v="92"/>
    <d v="2025-07-23T00:00:00"/>
    <n v="33"/>
    <x v="0"/>
    <n v="31"/>
    <n v="0"/>
    <n v="0"/>
    <n v="0"/>
    <n v="1"/>
    <n v="0"/>
    <n v="0"/>
    <n v="0"/>
    <n v="0"/>
    <n v="0"/>
    <n v="0"/>
    <n v="0"/>
    <s v="https://www.clickideacore.com/ClickHTML5/Visit.aspx?ID=//54DAEwASwAzADQAOAA1ADQANAAwADAASQBEAEUAQQA1=&amp;Tipo=2&amp;ST=1&amp;nLang=0"/>
    <n v="0"/>
    <n v="11"/>
    <n v="0"/>
    <n v="0"/>
    <n v="0"/>
    <n v="0"/>
    <n v="0"/>
    <n v="0"/>
  </r>
  <r>
    <x v="3"/>
    <x v="8"/>
    <s v="OP-S-076"/>
    <x v="92"/>
    <d v="2025-07-23T00:00:00"/>
    <n v="28"/>
    <x v="0"/>
    <n v="30"/>
    <n v="0"/>
    <n v="0"/>
    <n v="1"/>
    <n v="0"/>
    <n v="0"/>
    <n v="0"/>
    <n v="0"/>
    <n v="0"/>
    <n v="0"/>
    <n v="0"/>
    <n v="0"/>
    <s v="https://www.clickideacore.com/ClickHTML5/Visit.aspx?ID=//57DAEwASwAzADQAOAA1ADQAMAAwADcASQBEAEUAQQA5=&amp;Tipo=2&amp;ST=1&amp;nLang=0"/>
    <n v="0"/>
    <n v="10"/>
    <n v="0"/>
    <n v="0"/>
    <n v="0"/>
    <n v="0"/>
    <n v="0"/>
    <n v="0"/>
  </r>
  <r>
    <x v="4"/>
    <x v="1"/>
    <s v="OP-DYR-005"/>
    <x v="92"/>
    <d v="2025-07-23T00:00:00"/>
    <n v="21"/>
    <x v="0"/>
    <n v="40"/>
    <n v="0"/>
    <n v="0"/>
    <n v="1"/>
    <n v="0"/>
    <n v="0"/>
    <n v="0"/>
    <n v="0"/>
    <n v="0"/>
    <n v="0"/>
    <n v="0"/>
    <n v="0"/>
    <s v="https://www.clickideacore.com/ClickHTML5/Visit.aspx?ID=//56DAEwASwAzADQAOAA1ADMAMgAzADkASQBEAEUAQQAF=&amp;Tipo=2&amp;ST=1&amp;nLang=0"/>
    <n v="0"/>
    <n v="0"/>
    <n v="0"/>
    <n v="0"/>
    <n v="0"/>
    <n v="0"/>
    <n v="0"/>
    <n v="0"/>
  </r>
  <r>
    <x v="2"/>
    <x v="2"/>
    <s v="OP-DYR-011"/>
    <x v="92"/>
    <d v="2025-07-23T00:00:00"/>
    <n v="25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S-100"/>
    <x v="92"/>
    <d v="2025-07-23T00:00:00"/>
    <n v="88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92"/>
    <d v="2025-07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93"/>
    <d v="2025-07-24T00:00:00"/>
    <n v="68"/>
    <x v="0"/>
    <n v="23"/>
    <n v="0"/>
    <n v="0"/>
    <n v="0"/>
    <n v="1"/>
    <n v="0"/>
    <n v="0"/>
    <n v="0"/>
    <n v="0"/>
    <n v="0"/>
    <n v="0"/>
    <n v="0"/>
    <s v="https://www.clickideacore.com/ClickHTML5/Visit.aspx?ID=//5DDAEwASwAzADQAOAA3ADcANQA3ADMASQBEAEUAQQA1=&amp;Tipo=2&amp;ST=1&amp;nLang=0"/>
    <n v="0"/>
    <n v="11"/>
    <n v="0"/>
    <n v="0"/>
    <n v="0"/>
    <n v="0"/>
    <n v="0"/>
    <n v="0"/>
  </r>
  <r>
    <x v="1"/>
    <x v="0"/>
    <s v="OP-DYR-004"/>
    <x v="93"/>
    <d v="2025-07-24T00:00:00"/>
    <n v="40"/>
    <x v="0"/>
    <n v="36"/>
    <n v="0"/>
    <n v="0"/>
    <n v="1"/>
    <n v="0"/>
    <n v="0"/>
    <n v="0"/>
    <n v="0"/>
    <n v="0"/>
    <n v="0"/>
    <n v="0"/>
    <n v="0"/>
    <s v="https://www.clickideacore.com/ClickHTML5/Visit.aspx?ID=//58DAEwASwAzADQAOAA3ADUANwA2ADEASQBEAEUAQQAF=&amp;Tipo=2&amp;ST=1&amp;nLang=0"/>
    <n v="0"/>
    <n v="10"/>
    <n v="0"/>
    <n v="0"/>
    <n v="0"/>
    <n v="0"/>
    <n v="0"/>
    <n v="0"/>
  </r>
  <r>
    <x v="2"/>
    <x v="2"/>
    <s v="OP-S-200"/>
    <x v="93"/>
    <d v="2025-07-24T00:00:00"/>
    <n v="25"/>
    <x v="0"/>
    <n v="30"/>
    <n v="0"/>
    <n v="0"/>
    <n v="1"/>
    <n v="0"/>
    <n v="0"/>
    <n v="0"/>
    <n v="0"/>
    <n v="0"/>
    <n v="1"/>
    <n v="0"/>
    <n v="0"/>
    <s v="https://www.clickideacore.com/ClickHTML5/Visit.aspx?ID=//56DAEwASwAzADQAOAA3ADUAOAA3ADYASQBEAEUAQQAF=&amp;Tipo=2&amp;ST=1&amp;nLang=0"/>
    <n v="0"/>
    <n v="0"/>
    <n v="0"/>
    <n v="0"/>
    <n v="0"/>
    <n v="0"/>
    <n v="0"/>
    <n v="0"/>
  </r>
  <r>
    <x v="3"/>
    <x v="8"/>
    <s v="OP-S-076"/>
    <x v="93"/>
    <d v="2025-07-24T00:00:00"/>
    <n v="25"/>
    <x v="0"/>
    <n v="9"/>
    <n v="0"/>
    <n v="0"/>
    <n v="0"/>
    <n v="0"/>
    <n v="0"/>
    <n v="0"/>
    <n v="0"/>
    <n v="0"/>
    <n v="0"/>
    <n v="0"/>
    <n v="0"/>
    <s v="https://www.clickideacore.com/ClickHTML5/Visit.aspx?ID=//55DAEwASwAzADQAOAA2ADgAMAA4ADkASQBEAEUAQQA8=&amp;Tipo=2&amp;ST=1&amp;nLang=0"/>
    <n v="0"/>
    <n v="0"/>
    <n v="0"/>
    <n v="0"/>
    <n v="0"/>
    <n v="0"/>
    <n v="0"/>
    <n v="0"/>
  </r>
  <r>
    <x v="4"/>
    <x v="6"/>
    <s v="OP-DYR-005"/>
    <x v="93"/>
    <d v="2025-07-24T00:00:00"/>
    <n v="16"/>
    <x v="0"/>
    <n v="27"/>
    <n v="0"/>
    <n v="0"/>
    <n v="1"/>
    <n v="0"/>
    <n v="0"/>
    <n v="0"/>
    <n v="0"/>
    <n v="0"/>
    <n v="0"/>
    <n v="0"/>
    <n v="0"/>
    <s v="https://www.clickideacore.com/ClickHTML5/Visit.aspx?ID=//53DAEwASwAzADQAOAA3ADcAMwA2ADgASQBEAEUAQQA0=&amp;Tipo=2&amp;ST=1&amp;nLang=0"/>
    <n v="0"/>
    <n v="11"/>
    <n v="0"/>
    <n v="0"/>
    <n v="0"/>
    <n v="0"/>
    <n v="0"/>
    <n v="0"/>
  </r>
  <r>
    <x v="10"/>
    <x v="6"/>
    <s v="OP-DYR-005"/>
    <x v="93"/>
    <d v="2025-07-24T00:00:00"/>
    <n v="16"/>
    <x v="0"/>
    <n v="27"/>
    <n v="0"/>
    <n v="0"/>
    <n v="1"/>
    <n v="0"/>
    <n v="0"/>
    <n v="0"/>
    <n v="0"/>
    <n v="0"/>
    <n v="0"/>
    <n v="0"/>
    <n v="0"/>
    <s v="https://www.clickideacore.com/ClickHTML5/Visit.aspx?ID=//53DAEwASwAzADQAOAA3ADcAMwA2ADgASQBEAEUAQQA0=&amp;Tipo=2&amp;ST=1&amp;nLang=0"/>
    <n v="0"/>
    <n v="11"/>
    <n v="0"/>
    <n v="0"/>
    <n v="0"/>
    <n v="0"/>
    <n v="0"/>
    <n v="0"/>
  </r>
  <r>
    <x v="9"/>
    <x v="1"/>
    <s v="OP-DYR-011"/>
    <x v="93"/>
    <d v="2025-07-24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S-100"/>
    <x v="93"/>
    <d v="2025-07-24T00:00:00"/>
    <n v="88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9"/>
    <x v="7"/>
    <s v="OP-S-0010"/>
    <x v="93"/>
    <d v="2025-07-2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1"/>
    <s v="OP-DYR-011"/>
    <x v="94"/>
    <d v="2025-07-25T00:00:00"/>
    <n v="53"/>
    <x v="0"/>
    <n v="40"/>
    <n v="0"/>
    <n v="0"/>
    <n v="0"/>
    <n v="1"/>
    <n v="0"/>
    <n v="0"/>
    <n v="0"/>
    <n v="0"/>
    <n v="0"/>
    <n v="0"/>
    <n v="0"/>
    <s v="https://www.clickideacore.com/ClickHTML5/Visit.aspx?ID=//50DAEwASwAzADQAOAA5ADgAMQAxADcASQBEAEUAQQA3=&amp;Tipo=2&amp;ST=1&amp;nLang=0"/>
    <n v="0"/>
    <n v="0"/>
    <n v="0"/>
    <n v="0"/>
    <n v="0"/>
    <n v="0"/>
    <n v="0"/>
    <n v="0"/>
  </r>
  <r>
    <x v="1"/>
    <x v="0"/>
    <s v="OP-DYR-004"/>
    <x v="94"/>
    <d v="2025-07-25T00:00:00"/>
    <n v="26"/>
    <x v="0"/>
    <n v="16"/>
    <n v="0"/>
    <n v="0"/>
    <n v="1"/>
    <n v="0"/>
    <n v="0"/>
    <n v="0"/>
    <n v="0"/>
    <n v="0"/>
    <n v="0"/>
    <n v="0"/>
    <n v="0"/>
    <s v="https://www.clickideacore.com/ClickHTML5/Visit.aspx?ID=//5BDAEwASwAzADQAOQAwADAAOAA3ADgASQBEAEUAQQAF=&amp;Tipo=2&amp;ST=1&amp;nLang=0"/>
    <n v="0"/>
    <n v="20"/>
    <n v="0"/>
    <n v="0"/>
    <n v="0"/>
    <n v="0"/>
    <n v="0"/>
    <n v="0"/>
  </r>
  <r>
    <x v="2"/>
    <x v="2"/>
    <s v="OP-S-200"/>
    <x v="94"/>
    <d v="2025-07-25T00:00:00"/>
    <n v="33"/>
    <x v="0"/>
    <n v="36"/>
    <n v="0"/>
    <n v="0"/>
    <n v="1"/>
    <n v="0"/>
    <n v="1"/>
    <n v="0"/>
    <n v="0"/>
    <n v="0"/>
    <n v="0"/>
    <n v="0"/>
    <n v="0"/>
    <s v="https://www.clickideacore.com/ClickHTML5/Visit.aspx?ID=//58DAEwASwAzADQAOAA5ADkANgA5ADQASQBEAEUAQQA4=&amp;Tipo=2&amp;ST=1&amp;nLang=0"/>
    <n v="0"/>
    <n v="0"/>
    <n v="0"/>
    <n v="0"/>
    <n v="0"/>
    <n v="0"/>
    <n v="0"/>
    <n v="0"/>
  </r>
  <r>
    <x v="3"/>
    <x v="8"/>
    <s v="OP-S-076"/>
    <x v="94"/>
    <d v="2025-07-25T00:00:00"/>
    <n v="66"/>
    <x v="0"/>
    <n v="23"/>
    <n v="0"/>
    <n v="0"/>
    <n v="1"/>
    <n v="0"/>
    <n v="1"/>
    <n v="0"/>
    <n v="0"/>
    <n v="0"/>
    <n v="0"/>
    <n v="0"/>
    <n v="0"/>
    <s v="https://www.clickideacore.com/ClickHTML5/Visit.aspx?ID=//54DAEwASwAzADQAOAA5ADgANQA2ADUASQBEAEUAQQA7=&amp;Tipo=2&amp;ST=1&amp;nLang=0"/>
    <n v="0"/>
    <n v="4"/>
    <n v="0"/>
    <n v="0"/>
    <n v="0"/>
    <n v="0"/>
    <n v="0"/>
    <n v="0"/>
  </r>
  <r>
    <x v="4"/>
    <x v="6"/>
    <s v="OP-DYR-011"/>
    <x v="94"/>
    <d v="2025-07-25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S-100"/>
    <x v="94"/>
    <d v="2025-07-25T00:00:00"/>
    <n v="88"/>
    <x v="3"/>
    <n v="0"/>
    <n v="0"/>
    <n v="0"/>
    <n v="0"/>
    <n v="0"/>
    <n v="0"/>
    <n v="0"/>
    <n v="0"/>
    <n v="0"/>
    <n v="0"/>
    <n v="0"/>
    <n v="0"/>
    <s v="https://www.clickideacore.com/ClickHTML5/Visit.aspx?ID=//59DAEwASwAzADQANgAxADgAMAA5ADgASQBEAEUAQQAA=&amp;Tipo=2&amp;ST=1&amp;nLang=0"/>
    <n v="0"/>
    <n v="0"/>
    <n v="0"/>
    <n v="0"/>
    <n v="0"/>
    <n v="0"/>
    <n v="0"/>
    <n v="0"/>
  </r>
  <r>
    <x v="5"/>
    <x v="4"/>
    <s v="OP-S-0010"/>
    <x v="94"/>
    <d v="2025-07-2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94"/>
    <d v="2025-07-2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95"/>
    <d v="2025-07-26T00:00:00"/>
    <n v="52"/>
    <x v="0"/>
    <n v="0"/>
    <n v="0"/>
    <n v="0"/>
    <n v="0"/>
    <n v="0"/>
    <n v="0"/>
    <n v="0"/>
    <n v="1"/>
    <n v="0"/>
    <n v="2"/>
    <n v="1"/>
    <n v="0"/>
    <s v="https://www.clickideacore.com/ClickHTML5/Visit.aspx?ID=//54DAEwASwAzADQAOQAxADUANgAwADEASQBEAEUAQQAB=&amp;Tipo=2&amp;ST=1&amp;nLang=0"/>
    <n v="0"/>
    <n v="0"/>
    <n v="0"/>
    <n v="0"/>
    <n v="0"/>
    <n v="0"/>
    <n v="0"/>
    <n v="0"/>
  </r>
  <r>
    <x v="1"/>
    <x v="0"/>
    <s v="OP-DYR-004"/>
    <x v="95"/>
    <d v="2025-07-26T00:00:00"/>
    <n v="87"/>
    <x v="0"/>
    <n v="0"/>
    <n v="0"/>
    <n v="0"/>
    <n v="0"/>
    <n v="0"/>
    <n v="0"/>
    <n v="0"/>
    <n v="0"/>
    <n v="0"/>
    <n v="7"/>
    <n v="1"/>
    <n v="0"/>
    <s v="https://www.clickideacore.com/ClickHTML5/Visit.aspx?ID=//50DAEwASwAzADQAOQAxADMAOQAzADgASQBEAEUAQQA3=&amp;Tipo=2&amp;ST=1&amp;nLang=0"/>
    <n v="24"/>
    <n v="0"/>
    <n v="0"/>
    <n v="0"/>
    <n v="0"/>
    <n v="0"/>
    <n v="1"/>
    <n v="0"/>
  </r>
  <r>
    <x v="11"/>
    <x v="17"/>
    <s v="OP-SDYR-001"/>
    <x v="95"/>
    <d v="2025-07-26T00:00:00"/>
    <n v="41"/>
    <x v="0"/>
    <n v="0"/>
    <n v="0"/>
    <n v="0"/>
    <n v="0"/>
    <n v="0"/>
    <n v="0"/>
    <n v="0"/>
    <n v="1"/>
    <n v="0"/>
    <n v="2"/>
    <n v="1"/>
    <n v="0"/>
    <s v="https://www.clickideacore.com/ClickHTML5/Visit.aspx?ID=//59DAEwASwAzADQAOQAxADYAMwA5ADEASQBEAEUAQQAB=&amp;Tipo=2&amp;ST=1&amp;nLang=0"/>
    <n v="0"/>
    <n v="0"/>
    <n v="0"/>
    <n v="0"/>
    <n v="0"/>
    <n v="0"/>
    <n v="0"/>
    <n v="0"/>
  </r>
  <r>
    <x v="2"/>
    <x v="2"/>
    <s v="OP-S-200"/>
    <x v="95"/>
    <d v="2025-07-26T00:00:00"/>
    <n v="24"/>
    <x v="0"/>
    <n v="0"/>
    <n v="0"/>
    <n v="0"/>
    <n v="0"/>
    <n v="0"/>
    <n v="0"/>
    <n v="0"/>
    <n v="1"/>
    <n v="0"/>
    <n v="2"/>
    <n v="1"/>
    <n v="0"/>
    <s v="https://www.clickideacore.com/ClickHTML5/Visit.aspx?ID=//5BDAEwASwAzADQAOQAxADQAMAAxADMASQBEAEUAQQA6=&amp;Tipo=2&amp;ST=1&amp;nLang=0"/>
    <n v="0"/>
    <n v="0"/>
    <n v="0"/>
    <n v="0"/>
    <n v="0"/>
    <n v="0"/>
    <n v="0"/>
    <n v="0"/>
  </r>
  <r>
    <x v="4"/>
    <x v="6"/>
    <s v="OP-DYR-011"/>
    <x v="95"/>
    <d v="2025-07-26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1"/>
    <s v="OP-DYR-011"/>
    <x v="95"/>
    <d v="2025-07-26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3"/>
    <x v="8"/>
    <s v="OP-DYR-011"/>
    <x v="95"/>
    <d v="2025-07-26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95"/>
    <d v="2025-07-26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DYR-011"/>
    <x v="95"/>
    <d v="2025-07-26T00:00:00"/>
    <n v="25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5"/>
    <x v="4"/>
    <s v="OP-S-005"/>
    <x v="96"/>
    <d v="2025-07-27T00:00:00"/>
    <n v="51"/>
    <x v="0"/>
    <n v="0"/>
    <n v="0"/>
    <n v="0"/>
    <n v="0"/>
    <n v="0"/>
    <n v="0"/>
    <n v="0"/>
    <n v="0"/>
    <n v="0"/>
    <n v="7"/>
    <n v="0"/>
    <n v="1"/>
    <s v="https://www.clickideacore.com/ClickHTML5/Visit.aspx?ID=//5DDAEwASwAzADQAOQAyADMANgA0ADAASQBEAEUAQQAA=&amp;Tipo=2&amp;ST=1&amp;nLang=0"/>
    <n v="5"/>
    <n v="0"/>
    <n v="0"/>
    <n v="0"/>
    <n v="0"/>
    <n v="0"/>
    <n v="0"/>
    <n v="1"/>
  </r>
  <r>
    <x v="1"/>
    <x v="0"/>
    <s v="OP-DYR-004"/>
    <x v="96"/>
    <d v="2025-07-27T00:00:00"/>
    <n v="48"/>
    <x v="0"/>
    <n v="0"/>
    <n v="0"/>
    <n v="0"/>
    <n v="0"/>
    <n v="0"/>
    <n v="0"/>
    <n v="0"/>
    <n v="0"/>
    <n v="1"/>
    <n v="1"/>
    <n v="0"/>
    <n v="1"/>
    <s v="https://www.clickideacore.com/ClickHTML5/Visit.aspx?ID=//50DAEwASwAzADQAOQAxADYANAAzADQASQBEAEUAQQAD=&amp;Tipo=2&amp;ST=1&amp;nLang=0"/>
    <n v="18"/>
    <n v="0"/>
    <n v="0"/>
    <n v="0"/>
    <n v="0"/>
    <n v="0"/>
    <n v="0"/>
    <n v="0"/>
  </r>
  <r>
    <x v="11"/>
    <x v="17"/>
    <s v="OP-SDYR-001"/>
    <x v="96"/>
    <d v="2025-07-27T00:00:00"/>
    <n v="20"/>
    <x v="0"/>
    <n v="0"/>
    <n v="0"/>
    <n v="0"/>
    <n v="0"/>
    <n v="0"/>
    <n v="0"/>
    <n v="0"/>
    <n v="0"/>
    <n v="1"/>
    <n v="0"/>
    <n v="0"/>
    <n v="1"/>
    <s v="https://www.clickideacore.com/ClickHTML5/Visit.aspx?ID=//57DAEwASwAzADQAOQAyADIANgAzADIASQBEAEUAQQA8=&amp;Tipo=2&amp;ST=1&amp;nLang=0"/>
    <n v="10"/>
    <n v="0"/>
    <n v="0"/>
    <n v="0"/>
    <n v="0"/>
    <n v="0"/>
    <n v="0"/>
    <n v="0"/>
  </r>
  <r>
    <x v="2"/>
    <x v="2"/>
    <s v="OP-S-200"/>
    <x v="96"/>
    <d v="2025-07-27T00:00:00"/>
    <n v="16"/>
    <x v="0"/>
    <n v="0"/>
    <n v="0"/>
    <n v="0"/>
    <n v="0"/>
    <n v="0"/>
    <n v="0"/>
    <n v="0"/>
    <n v="0"/>
    <n v="1"/>
    <n v="0"/>
    <n v="0"/>
    <n v="1"/>
    <s v="https://www.clickideacore.com/ClickHTML5/Visit.aspx?ID=//5EDAEwASwAzADQAOQAyADIANgA5ADIASQBEAEUAQQA3=&amp;Tipo=2&amp;ST=1&amp;nLang=0"/>
    <n v="0"/>
    <n v="0"/>
    <n v="0"/>
    <n v="0"/>
    <n v="0"/>
    <n v="0"/>
    <n v="0"/>
    <n v="0"/>
  </r>
  <r>
    <x v="4"/>
    <x v="6"/>
    <s v="OP-DYR-011"/>
    <x v="96"/>
    <d v="2025-07-27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1"/>
    <s v="OP-DYR-011"/>
    <x v="96"/>
    <d v="2025-07-27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3"/>
    <x v="8"/>
    <s v="OP-DYR-011"/>
    <x v="96"/>
    <d v="2025-07-27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96"/>
    <d v="2025-07-27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6"/>
    <s v="OP-DYR-011"/>
    <x v="96"/>
    <d v="2025-07-27T00:00:00"/>
    <n v="25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6"/>
    <s v="OP-DYR-011"/>
    <x v="97"/>
    <d v="2025-07-28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8DAEwASwAzADQAOQAzADUANgAwADkASQBEAEUAQQAA=&amp;Tipo=2&amp;ST=1&amp;nLang=0"/>
    <n v="0"/>
    <n v="22"/>
    <n v="0"/>
    <n v="0"/>
    <n v="0"/>
    <n v="0"/>
    <n v="0"/>
    <n v="0"/>
  </r>
  <r>
    <x v="5"/>
    <x v="6"/>
    <s v="OP-DYR-011"/>
    <x v="97"/>
    <d v="2025-07-28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8DAEwASwAzADQAOQAzADUANgAwADkASQBEAEUAQQAA=&amp;Tipo=2&amp;ST=1&amp;nLang=0"/>
    <n v="0"/>
    <n v="22"/>
    <n v="0"/>
    <n v="0"/>
    <n v="0"/>
    <n v="0"/>
    <n v="0"/>
    <n v="0"/>
  </r>
  <r>
    <x v="0"/>
    <x v="0"/>
    <s v="OP-S-100"/>
    <x v="97"/>
    <d v="2025-07-28T00:00:00"/>
    <n v="38"/>
    <x v="0"/>
    <n v="2"/>
    <n v="0"/>
    <n v="0"/>
    <n v="0"/>
    <n v="0"/>
    <n v="0"/>
    <n v="0"/>
    <n v="0"/>
    <n v="0"/>
    <n v="0"/>
    <n v="0"/>
    <n v="0"/>
    <s v="https://www.clickideacore.com/ClickHTML5/Visit.aspx?ID=//59DAEwASwAzADQAOQAzADkAMwA2ADUASQBEAEUAQQAD=&amp;Tipo=2&amp;ST=1&amp;nLang=0"/>
    <n v="22"/>
    <n v="22"/>
    <n v="0"/>
    <n v="0"/>
    <n v="0"/>
    <n v="0"/>
    <n v="0"/>
    <n v="0"/>
  </r>
  <r>
    <x v="1"/>
    <x v="1"/>
    <s v="OP-DYR-004"/>
    <x v="97"/>
    <d v="2025-07-28T00:00:00"/>
    <n v="43"/>
    <x v="0"/>
    <n v="0"/>
    <n v="0"/>
    <n v="0"/>
    <n v="0"/>
    <n v="0"/>
    <n v="0"/>
    <n v="0"/>
    <n v="0"/>
    <n v="0"/>
    <n v="0"/>
    <n v="0"/>
    <n v="0"/>
    <s v="https://www.clickideacore.com/ClickHTML5/Visit.aspx?ID=//55DAEwASwAzADQAOQAzADYAOAA3ADUASQBEAEUAQQA2=&amp;Tipo=2&amp;ST=1&amp;nLang=0"/>
    <n v="0"/>
    <n v="40"/>
    <n v="0"/>
    <n v="0"/>
    <n v="0"/>
    <n v="0"/>
    <n v="0"/>
    <n v="0"/>
  </r>
  <r>
    <x v="3"/>
    <x v="8"/>
    <s v="OP-S-076"/>
    <x v="97"/>
    <d v="2025-07-28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DDAEwASwAzADQAOQAzADgAMgA5ADQASQBEAEUAQQA8=&amp;Tipo=2&amp;ST=1&amp;nLang=0"/>
    <n v="0"/>
    <n v="24"/>
    <n v="0"/>
    <n v="0"/>
    <n v="0"/>
    <n v="0"/>
    <n v="0"/>
    <n v="0"/>
  </r>
  <r>
    <x v="4"/>
    <x v="4"/>
    <s v="OP-DYR-005"/>
    <x v="97"/>
    <d v="2025-07-28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4DAEwASwAzADQAOQAzADcANgA1ADAASQBEAEUAQQA6=&amp;Tipo=2&amp;ST=1&amp;nLang=0"/>
    <n v="0"/>
    <n v="22"/>
    <n v="0"/>
    <n v="0"/>
    <n v="0"/>
    <n v="0"/>
    <n v="0"/>
    <n v="0"/>
  </r>
  <r>
    <x v="2"/>
    <x v="2"/>
    <s v="OP-DYR-005"/>
    <x v="97"/>
    <d v="2025-07-28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4DAEwASwAzADQAOQAzADcANgA1ADAASQBEAEUAQQA6=&amp;Tipo=2&amp;ST=1&amp;nLang=0"/>
    <n v="17"/>
    <n v="17"/>
    <n v="3"/>
    <n v="0"/>
    <n v="0"/>
    <n v="0"/>
    <n v="0"/>
    <n v="0"/>
  </r>
  <r>
    <x v="9"/>
    <x v="7"/>
    <s v="OP-S-0010"/>
    <x v="97"/>
    <d v="2025-07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98"/>
    <d v="2025-07-29T00:00:00"/>
    <n v="17"/>
    <x v="0"/>
    <n v="16"/>
    <n v="0"/>
    <n v="0"/>
    <n v="1"/>
    <n v="0"/>
    <n v="0"/>
    <n v="0"/>
    <n v="0"/>
    <n v="0"/>
    <n v="0"/>
    <n v="0"/>
    <n v="0"/>
    <s v="https://www.clickideacore.com/ClickHTML5/Visit.aspx?ID=//5EDAEwASwAzADQAOQA2ADUANwA3ADgASQBEAEUAQQAF=&amp;Tipo=2&amp;ST=1&amp;nLang=0"/>
    <n v="0"/>
    <n v="0"/>
    <n v="0"/>
    <n v="0"/>
    <n v="0"/>
    <n v="0"/>
    <n v="0"/>
    <n v="0"/>
  </r>
  <r>
    <x v="0"/>
    <x v="0"/>
    <s v="OP-S-100"/>
    <x v="98"/>
    <d v="2025-07-29T00:00:00"/>
    <n v="32"/>
    <x v="0"/>
    <n v="38"/>
    <n v="0"/>
    <n v="0"/>
    <n v="1"/>
    <n v="0"/>
    <n v="0"/>
    <n v="0"/>
    <n v="0"/>
    <n v="0"/>
    <n v="0"/>
    <n v="0"/>
    <n v="0"/>
    <s v="https://www.clickideacore.com/ClickHTML5/Visit.aspx?ID=//56DAEwASwAzADQAOQA2ADUAMAA4ADMASQBEAEUAQQAB=&amp;Tipo=2&amp;ST=1&amp;nLang=0"/>
    <n v="0"/>
    <n v="0"/>
    <n v="0"/>
    <n v="0"/>
    <n v="0"/>
    <n v="0"/>
    <n v="0"/>
    <n v="0"/>
  </r>
  <r>
    <x v="5"/>
    <x v="6"/>
    <s v="OP-S-100"/>
    <x v="98"/>
    <d v="2025-07-29T00:00:00"/>
    <n v="32"/>
    <x v="0"/>
    <n v="20"/>
    <n v="0"/>
    <n v="0"/>
    <n v="1"/>
    <n v="0"/>
    <n v="0"/>
    <n v="0"/>
    <n v="0"/>
    <n v="0"/>
    <n v="0"/>
    <n v="0"/>
    <n v="0"/>
    <s v="https://www.clickideacore.com/ClickHTML5/Visit.aspx?ID=//56DAEwASwAzADQAOQA2ADUAMAA4ADMASQBEAEUAQQAB=&amp;Tipo=2&amp;ST=1&amp;nLang=0"/>
    <n v="0"/>
    <n v="0"/>
    <n v="0"/>
    <n v="0"/>
    <n v="0"/>
    <n v="0"/>
    <n v="0"/>
    <n v="0"/>
  </r>
  <r>
    <x v="4"/>
    <x v="6"/>
    <s v="OP-S-100"/>
    <x v="98"/>
    <d v="2025-07-29T00:00:00"/>
    <n v="32"/>
    <x v="0"/>
    <n v="20"/>
    <n v="0"/>
    <n v="0"/>
    <n v="1"/>
    <n v="0"/>
    <n v="0"/>
    <n v="0"/>
    <n v="0"/>
    <n v="0"/>
    <n v="0"/>
    <n v="0"/>
    <n v="0"/>
    <s v="https://www.clickideacore.com/ClickHTML5/Visit.aspx?ID=//56DAEwASwAzADQAOQA2ADUAMAA4ADMASQBEAEUAQQAB=&amp;Tipo=2&amp;ST=1&amp;nLang=0"/>
    <n v="0"/>
    <n v="0"/>
    <n v="0"/>
    <n v="0"/>
    <n v="0"/>
    <n v="0"/>
    <n v="0"/>
    <n v="0"/>
  </r>
  <r>
    <x v="3"/>
    <x v="8"/>
    <s v="OP-S-076"/>
    <x v="98"/>
    <d v="2025-07-29T00:00:00"/>
    <n v="40"/>
    <x v="0"/>
    <n v="22"/>
    <n v="0"/>
    <n v="0"/>
    <n v="0"/>
    <n v="1"/>
    <n v="0"/>
    <n v="0"/>
    <n v="0"/>
    <n v="0"/>
    <n v="0"/>
    <n v="0"/>
    <n v="0"/>
    <s v="https://www.clickideacore.com/ClickHTML5/Visit.aspx?ID=//57DAEwASwAzADQAOQA2ADIAOQAyADYASQBEAEUAQQA9=&amp;Tipo=2&amp;ST=1&amp;nLang=0"/>
    <n v="0"/>
    <n v="0"/>
    <n v="0"/>
    <n v="0"/>
    <n v="0"/>
    <n v="0"/>
    <n v="0"/>
    <n v="0"/>
  </r>
  <r>
    <x v="2"/>
    <x v="6"/>
    <s v="OP-S-200"/>
    <x v="98"/>
    <d v="2025-07-29T00:00:00"/>
    <n v="20"/>
    <x v="0"/>
    <n v="12"/>
    <n v="0"/>
    <n v="0"/>
    <n v="0"/>
    <n v="0"/>
    <n v="0"/>
    <n v="0"/>
    <n v="0"/>
    <n v="0"/>
    <n v="0"/>
    <n v="0"/>
    <n v="0"/>
    <s v="https://www.clickideacore.com/ClickHTML5/Visit.aspx?ID=//5FDAEwASwAzADQAOQA1ADgANAA1ADkASQBEAEUAQQA9=&amp;Tipo=2&amp;ST=1&amp;nLang=0"/>
    <n v="0"/>
    <n v="0"/>
    <n v="0"/>
    <n v="0"/>
    <n v="0"/>
    <n v="0"/>
    <n v="0"/>
    <n v="0"/>
  </r>
  <r>
    <x v="9"/>
    <x v="2"/>
    <s v="OP-DYR-011"/>
    <x v="98"/>
    <d v="2025-07-29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QAOQA2ADUANwA3ADgASQBEAEUAQQAF=&amp;Tipo=2&amp;ST=1&amp;nLang=0"/>
    <n v="0"/>
    <n v="0"/>
    <n v="0"/>
    <n v="0"/>
    <n v="0"/>
    <n v="0"/>
    <n v="0"/>
    <n v="0"/>
  </r>
  <r>
    <x v="1"/>
    <x v="1"/>
    <s v="OP-S-0010"/>
    <x v="98"/>
    <d v="2025-07-2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4"/>
    <s v="OP-S-0010"/>
    <x v="98"/>
    <d v="2025-07-2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98"/>
    <d v="2025-07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0"/>
    <s v="OP-S-005"/>
    <x v="99"/>
    <d v="2025-07-30T00:00:00"/>
    <n v="25"/>
    <x v="0"/>
    <n v="7"/>
    <n v="0"/>
    <n v="0"/>
    <n v="0"/>
    <n v="0"/>
    <n v="1"/>
    <n v="0"/>
    <n v="0"/>
    <n v="0"/>
    <n v="0"/>
    <n v="0"/>
    <n v="0"/>
    <s v="https://www.clickideacore.com/ClickHTML5/Visit.aspx?ID=//5FDAEwASwAzADQAOQA3ADgANwA3ADQASQBEAEUAQQA1=&amp;Tipo=2&amp;ST=1&amp;nLang=0"/>
    <n v="0"/>
    <n v="2"/>
    <n v="0"/>
    <n v="0"/>
    <n v="0"/>
    <n v="0"/>
    <n v="0"/>
    <n v="0"/>
  </r>
  <r>
    <x v="2"/>
    <x v="2"/>
    <s v="OP-S-200"/>
    <x v="99"/>
    <d v="2025-07-30T00:00:00"/>
    <n v="19"/>
    <x v="0"/>
    <n v="30"/>
    <n v="0"/>
    <n v="0"/>
    <n v="0"/>
    <n v="1"/>
    <n v="0"/>
    <n v="0"/>
    <n v="0"/>
    <n v="0"/>
    <n v="0"/>
    <n v="0"/>
    <n v="0"/>
    <s v="https://www.clickideacore.com/ClickHTML5/Visit.aspx?ID=//56DAEwASwAzADQAOQA4ADcAMgA1ADIASQBEAEUAQQA2=&amp;Tipo=2&amp;ST=1&amp;nLang=0"/>
    <n v="0"/>
    <n v="0"/>
    <n v="0"/>
    <n v="0"/>
    <n v="0"/>
    <n v="0"/>
    <n v="0"/>
    <n v="0"/>
  </r>
  <r>
    <x v="1"/>
    <x v="1"/>
    <s v="OP-S-076"/>
    <x v="99"/>
    <d v="2025-07-30T00:00:00"/>
    <n v="41"/>
    <x v="0"/>
    <n v="37"/>
    <n v="0"/>
    <n v="0"/>
    <n v="1"/>
    <n v="0"/>
    <n v="0"/>
    <n v="0"/>
    <n v="0"/>
    <n v="0"/>
    <n v="0"/>
    <n v="0"/>
    <n v="0"/>
    <s v="https://www.clickideacore.com/ClickHTML5/Visit.aspx?ID=//53DAEwASwAzADQAOQA4ADMANQAwADYASQBEAEUAQQA4=&amp;Tipo=2&amp;ST=1&amp;nLang=0"/>
    <n v="0"/>
    <n v="0"/>
    <n v="0"/>
    <n v="0"/>
    <n v="0"/>
    <n v="0"/>
    <n v="0"/>
    <n v="0"/>
  </r>
  <r>
    <x v="3"/>
    <x v="8"/>
    <s v="OP-S-076"/>
    <x v="99"/>
    <d v="2025-07-30T00:00:00"/>
    <n v="41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QAOQA4ADMANQAwADYASQBEAEUAQQA4=&amp;Tipo=2&amp;ST=1&amp;nLang=0"/>
    <n v="0"/>
    <n v="0"/>
    <n v="0"/>
    <n v="0"/>
    <n v="0"/>
    <n v="0"/>
    <n v="0"/>
    <n v="0"/>
  </r>
  <r>
    <x v="0"/>
    <x v="4"/>
    <s v="OP-S-076"/>
    <x v="99"/>
    <d v="2025-07-30T00:00:00"/>
    <n v="41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QAOQA4ADMANQAwADYASQBEAEUAQQA4=&amp;Tipo=2&amp;ST=1&amp;nLang=0"/>
    <n v="0"/>
    <n v="0"/>
    <n v="0"/>
    <n v="0"/>
    <n v="0"/>
    <n v="0"/>
    <n v="0"/>
    <n v="0"/>
  </r>
  <r>
    <x v="4"/>
    <x v="6"/>
    <s v="OP-S-0010"/>
    <x v="99"/>
    <d v="2025-07-3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99"/>
    <d v="2025-07-3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99"/>
    <d v="2025-07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00"/>
    <d v="2025-07-31T00:00:00"/>
    <n v="18"/>
    <x v="0"/>
    <n v="42"/>
    <n v="0"/>
    <n v="0"/>
    <n v="1"/>
    <n v="0"/>
    <n v="0"/>
    <n v="0"/>
    <n v="0"/>
    <n v="0"/>
    <n v="0"/>
    <n v="0"/>
    <n v="0"/>
    <s v="https://www.clickideacore.com/ClickHTML5/Visit.aspx?ID=//56DAEwASwAzADQAOQA5ADgAOAAxADUASQBEAEUAQQAD=&amp;Tipo=2&amp;ST=1&amp;nLang=0"/>
    <n v="0"/>
    <n v="0"/>
    <n v="0"/>
    <n v="0"/>
    <n v="0"/>
    <n v="0"/>
    <n v="0"/>
    <n v="0"/>
  </r>
  <r>
    <x v="1"/>
    <x v="1"/>
    <s v="OP-DYR-004"/>
    <x v="100"/>
    <d v="2025-07-31T00:00:00"/>
    <n v="22"/>
    <x v="0"/>
    <n v="30"/>
    <n v="0"/>
    <n v="0"/>
    <n v="1"/>
    <n v="0"/>
    <n v="0"/>
    <n v="0"/>
    <n v="0"/>
    <n v="0"/>
    <n v="0"/>
    <n v="0"/>
    <n v="0"/>
    <s v="https://www.clickideacore.com/ClickHTML5/Visit.aspx?ID=//50DAEwASwAzADQAOQA5ADcANgAxADkASQBEAEUAQQAE=&amp;Tipo=2&amp;ST=1&amp;nLang=0"/>
    <n v="0"/>
    <n v="0"/>
    <n v="0"/>
    <n v="0"/>
    <n v="0"/>
    <n v="0"/>
    <n v="0"/>
    <n v="0"/>
  </r>
  <r>
    <x v="3"/>
    <x v="8"/>
    <s v="OP-S-076"/>
    <x v="100"/>
    <d v="2025-07-31T00:00:00"/>
    <n v="36"/>
    <x v="0"/>
    <n v="22"/>
    <n v="0"/>
    <n v="0"/>
    <n v="0"/>
    <n v="1"/>
    <n v="0"/>
    <n v="0"/>
    <n v="0"/>
    <n v="0"/>
    <n v="0"/>
    <n v="0"/>
    <n v="0"/>
    <s v="https://www.clickideacore.com/ClickHTML5/Visit.aspx?ID=//5DDAEwASwAzADUAMAAwADMAMQAwADgASQBEAEUAQQAC=&amp;Tipo=2&amp;ST=1&amp;nLang=0"/>
    <n v="0"/>
    <n v="0"/>
    <n v="0"/>
    <n v="0"/>
    <n v="0"/>
    <n v="0"/>
    <n v="0"/>
    <n v="0"/>
  </r>
  <r>
    <x v="4"/>
    <x v="4"/>
    <s v="OP-DYR-005"/>
    <x v="100"/>
    <d v="2025-07-31T00:00:00"/>
    <n v="23"/>
    <x v="0"/>
    <n v="28"/>
    <n v="0"/>
    <n v="0"/>
    <n v="1"/>
    <n v="0"/>
    <n v="1"/>
    <n v="0"/>
    <n v="0"/>
    <n v="0"/>
    <n v="0"/>
    <n v="0"/>
    <n v="0"/>
    <s v="https://www.clickideacore.com/ClickHTML5/Visit.aspx?ID=//59DAEwASwAzADUAMAAwADUAMwAyADgASQBEAEUAQQA1=&amp;Tipo=2&amp;ST=1&amp;nLang=0"/>
    <n v="0"/>
    <n v="0"/>
    <n v="0"/>
    <n v="0"/>
    <n v="0"/>
    <n v="0"/>
    <n v="0"/>
    <n v="0"/>
  </r>
  <r>
    <x v="5"/>
    <x v="6"/>
    <s v="OP-S-0010"/>
    <x v="100"/>
    <d v="2025-07-3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6"/>
    <s v="OP-S-0010"/>
    <x v="100"/>
    <d v="2025-07-3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00"/>
    <d v="2025-07-3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00"/>
    <d v="2025-07-3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01"/>
    <d v="2025-08-01T00:00:00"/>
    <n v="32"/>
    <x v="0"/>
    <n v="32"/>
    <n v="0"/>
    <n v="0"/>
    <n v="1"/>
    <n v="0"/>
    <n v="1"/>
    <n v="0"/>
    <n v="0"/>
    <n v="0"/>
    <n v="0"/>
    <n v="0"/>
    <n v="0"/>
    <s v="https://www.clickideacore.com/ClickHTML5/Visit.aspx?ID=//5FDAEwASwAzADUAMAAxADgANwA0ADMASQBEAEUAQQAD=&amp;Tipo=2&amp;ST=1&amp;nLang=0"/>
    <n v="0"/>
    <n v="0"/>
    <n v="0"/>
    <n v="0"/>
    <n v="0"/>
    <n v="0"/>
    <n v="0"/>
    <n v="0"/>
  </r>
  <r>
    <x v="5"/>
    <x v="6"/>
    <s v="OP-S-005"/>
    <x v="101"/>
    <d v="2025-08-01T00:00:00"/>
    <n v="122"/>
    <x v="0"/>
    <n v="35"/>
    <n v="0"/>
    <n v="0"/>
    <n v="0"/>
    <n v="1"/>
    <n v="0"/>
    <n v="0"/>
    <n v="0"/>
    <n v="0"/>
    <n v="0"/>
    <n v="0"/>
    <n v="0"/>
    <s v="https://www.clickideacore.com/ClickHTML5/Visit.aspx?ID=//5FDAEwASwAzADUAMAAyADQAOQAxADUASQBEAEUAQQAE=&amp;Tipo=2&amp;ST=1&amp;nLang=0"/>
    <n v="0"/>
    <n v="0"/>
    <n v="0"/>
    <n v="0"/>
    <n v="0"/>
    <n v="0"/>
    <n v="0"/>
    <n v="0"/>
  </r>
  <r>
    <x v="2"/>
    <x v="6"/>
    <s v="OP-S-005"/>
    <x v="101"/>
    <d v="2025-08-01T00:00:00"/>
    <n v="122"/>
    <x v="0"/>
    <n v="35"/>
    <n v="0"/>
    <n v="0"/>
    <n v="0"/>
    <n v="1"/>
    <n v="0"/>
    <n v="0"/>
    <n v="0"/>
    <n v="0"/>
    <n v="0"/>
    <n v="0"/>
    <n v="0"/>
    <s v="https://www.clickideacore.com/ClickHTML5/Visit.aspx?ID=//5FDAEwASwAzADUAMAAyADQAOQAxADUASQBEAEUAQQAE=&amp;Tipo=2&amp;ST=1&amp;nLang=0"/>
    <n v="0"/>
    <n v="0"/>
    <n v="0"/>
    <n v="0"/>
    <n v="0"/>
    <n v="0"/>
    <n v="0"/>
    <n v="0"/>
  </r>
  <r>
    <x v="1"/>
    <x v="1"/>
    <s v="OP-DYR-004"/>
    <x v="101"/>
    <d v="2025-08-01T00:00:00"/>
    <n v="19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UAMAAyADAAMgAwADQASQBEAEUAQQAB=&amp;Tipo=2&amp;ST=1&amp;nLang=0"/>
    <n v="0"/>
    <n v="0"/>
    <n v="0"/>
    <n v="0"/>
    <n v="0"/>
    <n v="0"/>
    <n v="0"/>
    <n v="0"/>
  </r>
  <r>
    <x v="4"/>
    <x v="4"/>
    <s v="OP-DYR-005"/>
    <x v="101"/>
    <d v="2025-08-01T00:00:00"/>
    <n v="19"/>
    <x v="0"/>
    <n v="20"/>
    <n v="0"/>
    <n v="0"/>
    <n v="1"/>
    <n v="0"/>
    <n v="0"/>
    <n v="0"/>
    <n v="0"/>
    <n v="0"/>
    <n v="0"/>
    <n v="0"/>
    <n v="0"/>
    <s v="https://www.clickideacore.com/ClickHTML5/Visit.aspx?ID=//54DAEwASwAzADUAMAAyADMANQA5ADcASQBEAEUAQQA3=&amp;Tipo=2&amp;ST=1&amp;nLang=0"/>
    <n v="0"/>
    <n v="0"/>
    <n v="0"/>
    <n v="0"/>
    <n v="0"/>
    <n v="0"/>
    <n v="0"/>
    <n v="0"/>
  </r>
  <r>
    <x v="3"/>
    <x v="8"/>
    <s v="OP-S-0010"/>
    <x v="101"/>
    <d v="2025-08-0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01"/>
    <d v="2025-08-0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01"/>
    <d v="2025-08-0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02"/>
    <d v="2025-08-02T00:00:00"/>
    <n v="25"/>
    <x v="0"/>
    <n v="0"/>
    <n v="0"/>
    <n v="0"/>
    <n v="0"/>
    <n v="0"/>
    <n v="0"/>
    <n v="0"/>
    <n v="0"/>
    <n v="0"/>
    <n v="8"/>
    <n v="1"/>
    <n v="0"/>
    <s v="https://www.clickideacore.com/ClickHTML5/Visit.aspx?ID=//54DAEwASwAzADUAMAAzADcAMwAzADAASQBEAEUAQQA3=&amp;Tipo=2&amp;ST=1&amp;nLang=0"/>
    <n v="23"/>
    <n v="0"/>
    <n v="0"/>
    <n v="0"/>
    <n v="0"/>
    <n v="0"/>
    <n v="1"/>
    <n v="0"/>
  </r>
  <r>
    <x v="1"/>
    <x v="1"/>
    <s v="OP-DYR-004"/>
    <x v="102"/>
    <d v="2025-08-02T00:00:00"/>
    <n v="32"/>
    <x v="0"/>
    <n v="0"/>
    <n v="0"/>
    <n v="0"/>
    <n v="0"/>
    <n v="0"/>
    <n v="0"/>
    <n v="0"/>
    <n v="1"/>
    <n v="0"/>
    <n v="4"/>
    <n v="1"/>
    <n v="0"/>
    <s v="https://www.clickideacore.com/ClickHTML5/Visit.aspx?ID=//5CDAEwASwAzADUAMAAzADcANgA5ADcASQBEAEUAQQAF=&amp;Tipo=2&amp;ST=1&amp;nLang=0"/>
    <n v="0"/>
    <n v="0"/>
    <n v="0"/>
    <n v="0"/>
    <n v="0"/>
    <n v="0"/>
    <n v="0"/>
    <n v="0"/>
  </r>
  <r>
    <x v="3"/>
    <x v="8"/>
    <s v="OP-S-076"/>
    <x v="102"/>
    <d v="2025-08-02T00:00:00"/>
    <n v="48"/>
    <x v="0"/>
    <n v="0"/>
    <n v="0"/>
    <n v="0"/>
    <n v="0"/>
    <n v="0"/>
    <n v="0"/>
    <n v="0"/>
    <n v="1"/>
    <n v="0"/>
    <n v="4"/>
    <n v="1"/>
    <n v="0"/>
    <s v="https://www.clickideacore.com/ClickHTML5/Visit.aspx?ID=//5EDAEwASwAzADUAMAAzADcAMQAzADUASQBEAEUAQQA7=&amp;Tipo=2&amp;ST=1&amp;nLang=0"/>
    <n v="0"/>
    <n v="0"/>
    <n v="0"/>
    <n v="0"/>
    <n v="0"/>
    <n v="0"/>
    <n v="0"/>
    <n v="0"/>
  </r>
  <r>
    <x v="4"/>
    <x v="4"/>
    <s v="OP-DYR-005"/>
    <x v="102"/>
    <d v="2025-08-02T00:00:00"/>
    <n v="24"/>
    <x v="0"/>
    <n v="0"/>
    <n v="0"/>
    <n v="0"/>
    <n v="0"/>
    <n v="0"/>
    <n v="0"/>
    <n v="0"/>
    <n v="1"/>
    <n v="0"/>
    <n v="6"/>
    <n v="1"/>
    <n v="0"/>
    <s v="https://www.clickideacore.com/ClickHTML5/Visit.aspx?ID=//55DAEwASwAzADUAMAAzADgANAA1ADIASQBEAEUAQQA9=&amp;Tipo=2&amp;ST=1&amp;nLang=0"/>
    <n v="0"/>
    <n v="0"/>
    <n v="0"/>
    <n v="0"/>
    <n v="0"/>
    <n v="0"/>
    <n v="0"/>
    <n v="0"/>
  </r>
  <r>
    <x v="5"/>
    <x v="6"/>
    <s v="OP-S-005"/>
    <x v="102"/>
    <d v="2025-08-02T00:00:00"/>
    <n v="52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0"/>
    <s v="OP-DYR-004"/>
    <x v="102"/>
    <d v="2025-08-02T00:00:00"/>
    <n v="87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2"/>
    <x v="6"/>
    <s v="OP-S-200"/>
    <x v="102"/>
    <d v="2025-08-02T00:00:00"/>
    <n v="24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102"/>
    <d v="2025-08-02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2"/>
    <s v="OP-DYR-011"/>
    <x v="103"/>
    <d v="2025-08-03T00:00:00"/>
    <n v="51"/>
    <x v="0"/>
    <n v="0"/>
    <n v="0"/>
    <n v="0"/>
    <n v="0"/>
    <n v="0"/>
    <n v="0"/>
    <n v="0"/>
    <n v="0"/>
    <n v="1"/>
    <n v="5"/>
    <n v="0"/>
    <n v="1"/>
    <s v="https://www.clickideacore.com/ClickHTML5/Visit.aspx?ID=//51DAEwASwAzADUAMAA0ADUANgA4ADYASQBEAEUAQQAB=&amp;Tipo=2&amp;ST=1&amp;nLang=0"/>
    <n v="16"/>
    <n v="0"/>
    <n v="0"/>
    <n v="0"/>
    <n v="0"/>
    <n v="0"/>
    <n v="0"/>
    <n v="0"/>
  </r>
  <r>
    <x v="1"/>
    <x v="1"/>
    <s v="OP-DYR-004"/>
    <x v="103"/>
    <d v="2025-08-03T00:00:00"/>
    <n v="30"/>
    <x v="0"/>
    <n v="0"/>
    <n v="0"/>
    <n v="0"/>
    <n v="0"/>
    <n v="0"/>
    <n v="0"/>
    <n v="0"/>
    <n v="0"/>
    <n v="1"/>
    <n v="3"/>
    <n v="0"/>
    <n v="1"/>
    <s v="https://www.clickideacore.com/ClickHTML5/Visit.aspx?ID=//5BDAEwASwAzADUAMAA0ADQAMgA0ADUASQBEAEUAQQA7=&amp;Tipo=2&amp;ST=1&amp;nLang=0"/>
    <n v="15"/>
    <n v="0"/>
    <n v="0"/>
    <n v="0"/>
    <n v="0"/>
    <n v="0"/>
    <n v="0"/>
    <n v="0"/>
  </r>
  <r>
    <x v="3"/>
    <x v="8"/>
    <s v="OP-S-076"/>
    <x v="103"/>
    <d v="2025-08-03T00:00:00"/>
    <n v="54"/>
    <x v="0"/>
    <n v="0"/>
    <n v="0"/>
    <n v="0"/>
    <n v="0"/>
    <n v="0"/>
    <n v="0"/>
    <n v="0"/>
    <n v="0"/>
    <n v="0"/>
    <n v="7"/>
    <n v="0"/>
    <n v="1"/>
    <s v="https://www.clickideacore.com/ClickHTML5/Visit.aspx?ID=//58DAEwASwAzADUAMAA0ADUANwA2ADMASQBEAEUAQQA8=&amp;Tipo=2&amp;ST=1&amp;nLang=0"/>
    <n v="10"/>
    <n v="0"/>
    <n v="0"/>
    <n v="0"/>
    <n v="0"/>
    <n v="0"/>
    <n v="0"/>
    <n v="1"/>
  </r>
  <r>
    <x v="4"/>
    <x v="4"/>
    <s v="OP-DYR-005"/>
    <x v="103"/>
    <d v="2025-08-03T00:00:00"/>
    <n v="29"/>
    <x v="0"/>
    <n v="0"/>
    <n v="0"/>
    <n v="0"/>
    <n v="0"/>
    <n v="0"/>
    <n v="0"/>
    <n v="0"/>
    <n v="0"/>
    <n v="1"/>
    <n v="3"/>
    <n v="0"/>
    <n v="1"/>
    <s v="https://www.clickideacore.com/ClickHTML5/Visit.aspx?ID=//5FDAEwASwAzADUAMAA0ADUANQAyADgASQBEAEUAQQA5=&amp;Tipo=2&amp;ST=1&amp;nLang=0"/>
    <n v="2"/>
    <n v="0"/>
    <n v="0"/>
    <n v="0"/>
    <n v="0"/>
    <n v="0"/>
    <n v="0"/>
    <n v="0"/>
  </r>
  <r>
    <x v="5"/>
    <x v="6"/>
    <s v="OP-S-005"/>
    <x v="103"/>
    <d v="2025-08-03T00:00:00"/>
    <n v="52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0"/>
    <s v="OP-DYR-004"/>
    <x v="103"/>
    <d v="2025-08-03T00:00:00"/>
    <n v="87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2"/>
    <x v="6"/>
    <s v="OP-S-200"/>
    <x v="103"/>
    <d v="2025-08-03T00:00:00"/>
    <n v="24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103"/>
    <d v="2025-08-03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0"/>
    <x v="0"/>
    <s v="OP-DYR-011"/>
    <x v="104"/>
    <d v="2025-08-04T00:00:00"/>
    <n v="29"/>
    <x v="0"/>
    <n v="2"/>
    <n v="0"/>
    <n v="0"/>
    <n v="0"/>
    <n v="0"/>
    <n v="0"/>
    <n v="0"/>
    <n v="0"/>
    <n v="0"/>
    <n v="0"/>
    <n v="0"/>
    <n v="0"/>
    <s v="https://www.clickideacore.com/ClickHTML5/Visit.aspx?ID=//53DAEwASwAzADUAMAA1ADgANwA0ADkASQBEAEUAQQA1=&amp;Tipo=2&amp;ST=1&amp;nLang=0"/>
    <n v="0"/>
    <n v="0"/>
    <n v="0"/>
    <n v="0"/>
    <n v="0"/>
    <n v="0"/>
    <n v="0"/>
    <n v="0"/>
  </r>
  <r>
    <x v="10"/>
    <x v="6"/>
    <s v="OP-DYR-005"/>
    <x v="104"/>
    <d v="2025-08-04T00:00:00"/>
    <n v="16"/>
    <x v="0"/>
    <n v="9"/>
    <n v="0"/>
    <n v="0"/>
    <n v="0"/>
    <n v="0"/>
    <n v="0"/>
    <n v="0"/>
    <n v="0"/>
    <n v="0"/>
    <n v="0"/>
    <n v="0"/>
    <n v="0"/>
    <s v="https://www.clickideacore.com/ClickHTML5/Visit.aspx?ID=//52DAEwASwAzADUAMAA2ADUANwA3ADgASQBEAEUAQQAB=&amp;Tipo=2&amp;ST=1&amp;nLang=0"/>
    <n v="0"/>
    <n v="0"/>
    <n v="0"/>
    <n v="0"/>
    <n v="0"/>
    <n v="0"/>
    <n v="0"/>
    <n v="0"/>
  </r>
  <r>
    <x v="4"/>
    <x v="6"/>
    <s v="OP-DYR-005"/>
    <x v="104"/>
    <d v="2025-08-04T00:00:00"/>
    <n v="22"/>
    <x v="0"/>
    <n v="9"/>
    <n v="0"/>
    <n v="0"/>
    <n v="0"/>
    <n v="0"/>
    <n v="0"/>
    <n v="0"/>
    <n v="0"/>
    <n v="0"/>
    <n v="0"/>
    <n v="0"/>
    <n v="0"/>
    <s v="https://www.clickideacore.com/ClickHTML5/Visit.aspx?ID=//5FDAEwASwAzADUAMAA1ADcANwA3ADUASQBEAEUAQQA0=&amp;Tipo=2&amp;ST=1&amp;nLang=0"/>
    <n v="0"/>
    <n v="0"/>
    <n v="0"/>
    <n v="0"/>
    <n v="0"/>
    <n v="0"/>
    <n v="0"/>
    <n v="0"/>
  </r>
  <r>
    <x v="1"/>
    <x v="1"/>
    <s v="OP-DYR-005"/>
    <x v="104"/>
    <d v="2025-08-04T00:00:00"/>
    <n v="22"/>
    <x v="4"/>
    <n v="0"/>
    <n v="0"/>
    <n v="0"/>
    <n v="0"/>
    <n v="0"/>
    <n v="0"/>
    <n v="0"/>
    <n v="0"/>
    <n v="0"/>
    <n v="0"/>
    <n v="0"/>
    <n v="0"/>
    <s v="https://www.clickideacore.com/ClickHTML5/Visit.aspx?ID=//5FDAEwASwAzADUAMAA1ADcANwA3ADUASQBEAEUAQQA0=&amp;Tipo=2&amp;ST=1&amp;nLang=0"/>
    <n v="0"/>
    <n v="0"/>
    <n v="0"/>
    <n v="0"/>
    <n v="0"/>
    <n v="0"/>
    <n v="0"/>
    <n v="0"/>
  </r>
  <r>
    <x v="3"/>
    <x v="8"/>
    <s v="OP-S-0010"/>
    <x v="104"/>
    <d v="2025-08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6"/>
    <s v="OP-S-0010"/>
    <x v="104"/>
    <d v="2025-08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04"/>
    <d v="2025-08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2"/>
    <s v="OP-S-0010"/>
    <x v="104"/>
    <d v="2025-08-0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04"/>
    <d v="2025-08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05"/>
    <d v="2025-08-05T00:00:00"/>
    <n v="78"/>
    <x v="0"/>
    <n v="22"/>
    <n v="0"/>
    <n v="0"/>
    <n v="0"/>
    <n v="1"/>
    <n v="0"/>
    <n v="0"/>
    <n v="0"/>
    <n v="0"/>
    <n v="0"/>
    <n v="0"/>
    <n v="0"/>
    <s v="https://www.clickideacore.com/ClickHTML5/Visit.aspx?ID=//5BDAEwASwAzADUAMAA4ADYAMAA0ADYASQBEAEUAQQA5=&amp;Tipo=2&amp;ST=1&amp;nLang=0"/>
    <n v="0"/>
    <n v="1"/>
    <n v="0"/>
    <n v="0"/>
    <n v="0"/>
    <n v="0"/>
    <n v="0"/>
    <n v="0"/>
  </r>
  <r>
    <x v="1"/>
    <x v="1"/>
    <s v="OP-DYR-004"/>
    <x v="105"/>
    <d v="2025-08-05T00:00:00"/>
    <n v="36"/>
    <x v="0"/>
    <n v="20"/>
    <n v="0"/>
    <n v="0"/>
    <n v="1"/>
    <n v="0"/>
    <n v="0"/>
    <n v="0"/>
    <n v="0"/>
    <n v="0"/>
    <n v="0"/>
    <n v="0"/>
    <n v="0"/>
    <s v="https://www.clickideacore.com/ClickHTML5/Visit.aspx?ID=//52DAEwASwAzADUAMAA4ADkAOQA4ADgASQBEAEUAQQA1=&amp;Tipo=2&amp;ST=1&amp;nLang=0"/>
    <n v="0"/>
    <n v="0"/>
    <n v="0"/>
    <n v="0"/>
    <n v="0"/>
    <n v="0"/>
    <n v="0"/>
    <n v="0"/>
  </r>
  <r>
    <x v="3"/>
    <x v="8"/>
    <s v="OP-S-076"/>
    <x v="105"/>
    <d v="2025-08-05T00:00:00"/>
    <n v="28"/>
    <x v="0"/>
    <n v="14"/>
    <n v="0"/>
    <n v="0"/>
    <n v="0"/>
    <n v="0"/>
    <n v="0"/>
    <n v="0"/>
    <n v="0"/>
    <n v="0"/>
    <n v="0"/>
    <n v="0"/>
    <n v="0"/>
    <s v="https://www.clickideacore.com/ClickHTML5/Visit.aspx?ID=//51DAEwASwAzADUAMAA3ADYANAAyADcASQBEAEUAQQAF=&amp;Tipo=2&amp;ST=1&amp;nLang=0"/>
    <n v="0"/>
    <n v="0"/>
    <n v="0"/>
    <n v="0"/>
    <n v="0"/>
    <n v="0"/>
    <n v="0"/>
    <n v="0"/>
  </r>
  <r>
    <x v="4"/>
    <x v="4"/>
    <s v="OP-DYR-005"/>
    <x v="105"/>
    <d v="2025-08-05T00:00:00"/>
    <n v="16"/>
    <x v="0"/>
    <n v="31"/>
    <n v="0"/>
    <n v="0"/>
    <n v="1"/>
    <n v="0"/>
    <n v="0"/>
    <n v="0"/>
    <n v="0"/>
    <n v="0"/>
    <n v="0"/>
    <n v="0"/>
    <n v="0"/>
    <s v="https://www.clickideacore.com/ClickHTML5/Visit.aspx?ID=//51DAEwASwAzADUAMAA4ADkAMQAyADUASQBEAEUAQQAB=&amp;Tipo=2&amp;ST=1&amp;nLang=0"/>
    <n v="0"/>
    <n v="0"/>
    <n v="0"/>
    <n v="0"/>
    <n v="0"/>
    <n v="0"/>
    <n v="0"/>
    <n v="0"/>
  </r>
  <r>
    <x v="2"/>
    <x v="2"/>
    <s v="OP-DYR-005"/>
    <x v="105"/>
    <d v="2025-08-05T00:00:00"/>
    <n v="16"/>
    <x v="0"/>
    <n v="16"/>
    <n v="0"/>
    <n v="0"/>
    <n v="1"/>
    <n v="0"/>
    <n v="0"/>
    <n v="0"/>
    <n v="0"/>
    <n v="0"/>
    <n v="0"/>
    <n v="0"/>
    <n v="0"/>
    <s v="https://www.clickideacore.com/ClickHTML5/Visit.aspx?ID=//51DAEwASwAzADUAMAA4ADkAMQAyADUASQBEAEUAQQAB=&amp;Tipo=2&amp;ST=1&amp;nLang=0"/>
    <n v="0"/>
    <n v="0"/>
    <n v="0"/>
    <n v="0"/>
    <n v="0"/>
    <n v="0"/>
    <n v="0"/>
    <n v="0"/>
  </r>
  <r>
    <x v="5"/>
    <x v="6"/>
    <s v="OP-S-0010"/>
    <x v="105"/>
    <d v="2025-08-0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05"/>
    <d v="2025-08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05"/>
    <d v="2025-08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DYR-011"/>
    <x v="106"/>
    <d v="2025-08-06T00:00:00"/>
    <n v="23"/>
    <x v="0"/>
    <n v="30"/>
    <n v="0"/>
    <n v="0"/>
    <n v="0"/>
    <n v="1"/>
    <n v="0"/>
    <n v="0"/>
    <n v="0"/>
    <n v="0"/>
    <n v="0"/>
    <n v="0"/>
    <n v="0"/>
    <s v="https://www.clickideacore.com/ClickHTML5/Visit.aspx?ID=//52DAEwASwAzADUAMQAwADYAMwAxADkASQBEAEUAQQAD=&amp;Tipo=2&amp;ST=1&amp;nLang=0"/>
    <n v="0"/>
    <n v="0"/>
    <n v="0"/>
    <n v="0"/>
    <n v="0"/>
    <n v="0"/>
    <n v="0"/>
    <n v="0"/>
  </r>
  <r>
    <x v="5"/>
    <x v="6"/>
    <s v="OP-S-005"/>
    <x v="106"/>
    <d v="2025-08-06T00:00:00"/>
    <n v="45"/>
    <x v="0"/>
    <n v="41"/>
    <n v="0"/>
    <n v="0"/>
    <n v="1"/>
    <n v="0"/>
    <n v="2"/>
    <n v="0"/>
    <n v="0"/>
    <n v="0"/>
    <n v="0"/>
    <n v="0"/>
    <n v="0"/>
    <s v="https://www.clickideacore.com/ClickHTML5/Visit.aspx?ID=//5EDAEwASwAzADUAMQAwADYAMgAyADcASQBEAEUAQQA2=&amp;Tipo=2&amp;ST=1&amp;nLang=0"/>
    <n v="0"/>
    <n v="0"/>
    <n v="1"/>
    <n v="0"/>
    <n v="0"/>
    <n v="0"/>
    <n v="0"/>
    <n v="0"/>
  </r>
  <r>
    <x v="10"/>
    <x v="6"/>
    <s v="OP-S-005"/>
    <x v="106"/>
    <d v="2025-08-06T00:00:00"/>
    <n v="45"/>
    <x v="0"/>
    <n v="41"/>
    <n v="0"/>
    <n v="0"/>
    <n v="1"/>
    <n v="0"/>
    <n v="2"/>
    <n v="0"/>
    <n v="0"/>
    <n v="0"/>
    <n v="0"/>
    <n v="0"/>
    <n v="0"/>
    <s v="https://www.clickideacore.com/ClickHTML5/Visit.aspx?ID=//5EDAEwASwAzADUAMQAwADYAMgAyADcASQBEAEUAQQA2=&amp;Tipo=2&amp;ST=1&amp;nLang=0"/>
    <n v="0"/>
    <n v="0"/>
    <n v="1"/>
    <n v="0"/>
    <n v="0"/>
    <n v="0"/>
    <n v="0"/>
    <n v="0"/>
  </r>
  <r>
    <x v="1"/>
    <x v="1"/>
    <s v="OP-DYR-004"/>
    <x v="106"/>
    <d v="2025-08-06T00:00:00"/>
    <n v="27"/>
    <x v="0"/>
    <n v="4"/>
    <n v="0"/>
    <n v="0"/>
    <n v="0"/>
    <n v="0"/>
    <n v="0"/>
    <n v="0"/>
    <n v="0"/>
    <n v="0"/>
    <n v="0"/>
    <n v="0"/>
    <n v="0"/>
    <s v="https://www.clickideacore.com/ClickHTML5/Visit.aspx?ID=//53DAEwASwAzADUAMQAxADIANgAwADEASQBEAEUAQQA8=&amp;Tipo=2&amp;ST=1&amp;nLang=0"/>
    <n v="0"/>
    <n v="0"/>
    <n v="0"/>
    <n v="0"/>
    <n v="0"/>
    <n v="0"/>
    <n v="0"/>
    <n v="0"/>
  </r>
  <r>
    <x v="3"/>
    <x v="8"/>
    <s v="OP-S-076"/>
    <x v="106"/>
    <d v="2025-08-06T00:00:00"/>
    <n v="32"/>
    <x v="0"/>
    <n v="33"/>
    <n v="0"/>
    <n v="0"/>
    <n v="1"/>
    <n v="0"/>
    <n v="0"/>
    <n v="0"/>
    <n v="0"/>
    <n v="0"/>
    <n v="0"/>
    <n v="0"/>
    <n v="0"/>
    <s v="https://www.clickideacore.com/ClickHTML5/Visit.aspx?ID=//54DAEwASwAzADUAMQAwADkAOAA0ADMASQBEAEUAQQA7=&amp;Tipo=2&amp;ST=1&amp;nLang=0"/>
    <n v="0"/>
    <n v="0"/>
    <n v="0"/>
    <n v="0"/>
    <n v="0"/>
    <n v="0"/>
    <n v="0"/>
    <n v="0"/>
  </r>
  <r>
    <x v="4"/>
    <x v="4"/>
    <s v="OP-S-076"/>
    <x v="106"/>
    <d v="2025-08-06T00:00:00"/>
    <n v="32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UAMQAwADkAOAA0ADMASQBEAEUAQQA7=&amp;Tipo=2&amp;ST=1&amp;nLang=0"/>
    <n v="0"/>
    <n v="0"/>
    <n v="0"/>
    <n v="0"/>
    <n v="0"/>
    <n v="0"/>
    <n v="0"/>
    <n v="0"/>
  </r>
  <r>
    <x v="0"/>
    <x v="0"/>
    <s v="OP-S-0010"/>
    <x v="106"/>
    <d v="2025-08-06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06"/>
    <d v="2025-08-0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DYR-011"/>
    <x v="107"/>
    <d v="2025-08-07T00:00:00"/>
    <n v="38"/>
    <x v="0"/>
    <n v="38"/>
    <n v="0"/>
    <n v="0"/>
    <n v="1"/>
    <n v="0"/>
    <n v="0"/>
    <n v="0"/>
    <n v="0"/>
    <n v="0"/>
    <n v="0"/>
    <n v="0"/>
    <n v="0"/>
    <s v="https://www.clickideacore.com/ClickHTML5/Visit.aspx?ID=//57DAEwASwAzADUAMQAyADAAMgA5ADUASQBEAEUAQQA7=&amp;Tipo=2&amp;ST=1&amp;nLang=0"/>
    <n v="0"/>
    <n v="0"/>
    <n v="0"/>
    <n v="0"/>
    <n v="0"/>
    <n v="0"/>
    <n v="0"/>
    <n v="0"/>
  </r>
  <r>
    <x v="5"/>
    <x v="6"/>
    <s v="OP-S-005"/>
    <x v="107"/>
    <d v="2025-08-07T00:00:00"/>
    <n v="21"/>
    <x v="0"/>
    <n v="30"/>
    <n v="0"/>
    <n v="0"/>
    <n v="1"/>
    <n v="0"/>
    <n v="0"/>
    <n v="0"/>
    <n v="0"/>
    <n v="0"/>
    <n v="0"/>
    <n v="0"/>
    <n v="0"/>
    <s v="https://www.clickideacore.com/ClickHTML5/Visit.aspx?ID=//56DAEwASwAzADUAMQAyADAAMgA3ADAASQBEAEUAQQA4=&amp;Tipo=2&amp;ST=1&amp;nLang=0"/>
    <n v="0"/>
    <n v="0"/>
    <n v="0"/>
    <n v="0"/>
    <n v="0"/>
    <n v="0"/>
    <n v="0"/>
    <n v="0"/>
  </r>
  <r>
    <x v="10"/>
    <x v="6"/>
    <s v="OP-S-005"/>
    <x v="107"/>
    <d v="2025-08-07T00:00:00"/>
    <n v="21"/>
    <x v="0"/>
    <n v="30"/>
    <n v="0"/>
    <n v="0"/>
    <n v="1"/>
    <n v="0"/>
    <n v="0"/>
    <n v="0"/>
    <n v="0"/>
    <n v="0"/>
    <n v="0"/>
    <n v="0"/>
    <n v="0"/>
    <s v="https://www.clickideacore.com/ClickHTML5/Visit.aspx?ID=//56DAEwASwAzADUAMQAyADAAMgA3ADAASQBEAEUAQQA4=&amp;Tipo=2&amp;ST=1&amp;nLang=0"/>
    <n v="0"/>
    <n v="0"/>
    <n v="0"/>
    <n v="0"/>
    <n v="0"/>
    <n v="0"/>
    <n v="0"/>
    <n v="0"/>
  </r>
  <r>
    <x v="0"/>
    <x v="0"/>
    <s v="OP-S-100"/>
    <x v="107"/>
    <d v="2025-08-07T00:00:00"/>
    <n v="76"/>
    <x v="0"/>
    <n v="27"/>
    <n v="0"/>
    <n v="0"/>
    <n v="0"/>
    <n v="1"/>
    <n v="0"/>
    <n v="0"/>
    <n v="0"/>
    <n v="0"/>
    <n v="0"/>
    <n v="0"/>
    <n v="0"/>
    <s v="https://www.clickideacore.com/ClickHTML5/Visit.aspx?ID=//57DAEwASwAzADUAMQAyADEANQAxADIASQBEAEUAQQA8=&amp;Tipo=2&amp;ST=1&amp;nLang=0"/>
    <n v="0"/>
    <n v="1"/>
    <n v="0"/>
    <n v="0"/>
    <n v="0"/>
    <n v="0"/>
    <n v="0"/>
    <n v="0"/>
  </r>
  <r>
    <x v="1"/>
    <x v="1"/>
    <s v="OP-DYR-004"/>
    <x v="107"/>
    <d v="2025-08-07T00:00:00"/>
    <n v="35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UAMQAyADEAOAAwADQASQBEAEUAQQA7=&amp;Tipo=2&amp;ST=1&amp;nLang=0"/>
    <n v="0"/>
    <n v="0"/>
    <n v="0"/>
    <n v="0"/>
    <n v="0"/>
    <n v="0"/>
    <n v="0"/>
    <n v="0"/>
  </r>
  <r>
    <x v="9"/>
    <x v="4"/>
    <s v="OP-DYR-004"/>
    <x v="107"/>
    <d v="2025-08-07T00:00:00"/>
    <n v="35"/>
    <x v="0"/>
    <n v="12"/>
    <n v="0"/>
    <n v="0"/>
    <n v="1"/>
    <n v="0"/>
    <n v="0"/>
    <n v="0"/>
    <n v="0"/>
    <n v="0"/>
    <n v="0"/>
    <n v="0"/>
    <n v="0"/>
    <s v="https://www.clickideacore.com/ClickHTML5/Visit.aspx?ID=//5BDAEwASwAzADUAMQAyADEAOAAwADQASQBEAEUAQQA7=&amp;Tipo=2&amp;ST=1&amp;nLang=0"/>
    <n v="0"/>
    <n v="0"/>
    <n v="0"/>
    <n v="0"/>
    <n v="0"/>
    <n v="0"/>
    <n v="0"/>
    <n v="0"/>
  </r>
  <r>
    <x v="3"/>
    <x v="8"/>
    <s v="OP-S-076"/>
    <x v="107"/>
    <d v="2025-08-07T00:00:00"/>
    <n v="31"/>
    <x v="0"/>
    <n v="10"/>
    <n v="0"/>
    <n v="0"/>
    <n v="0"/>
    <n v="0"/>
    <n v="1"/>
    <n v="0"/>
    <n v="0"/>
    <n v="0"/>
    <n v="0"/>
    <n v="0"/>
    <n v="0"/>
    <s v="https://www.clickideacore.com/ClickHTML5/Visit.aspx?ID=//56DAEwASwAzADUAMQAxADkANwA2ADkASQBEAEUAQQA0=&amp;Tipo=2&amp;ST=1&amp;nLang=0"/>
    <n v="0"/>
    <n v="0"/>
    <n v="0"/>
    <n v="0"/>
    <n v="0"/>
    <n v="0"/>
    <n v="0"/>
    <n v="0"/>
  </r>
  <r>
    <x v="4"/>
    <x v="6"/>
    <s v="OP-S-076"/>
    <x v="107"/>
    <d v="2025-08-07T00:00:00"/>
    <n v="31"/>
    <x v="0"/>
    <n v="10"/>
    <n v="0"/>
    <n v="0"/>
    <n v="0"/>
    <n v="0"/>
    <n v="0"/>
    <n v="0"/>
    <n v="0"/>
    <n v="0"/>
    <n v="0"/>
    <n v="0"/>
    <n v="0"/>
    <s v="https://www.clickideacore.com/ClickHTML5/Visit.aspx?ID=//56DAEwASwAzADUAMQAxADkANwA2ADkASQBEAEUAQQA0=&amp;Tipo=2&amp;ST=1&amp;nLang=0"/>
    <n v="0"/>
    <n v="0"/>
    <n v="0"/>
    <n v="0"/>
    <n v="0"/>
    <n v="0"/>
    <n v="0"/>
    <n v="0"/>
  </r>
  <r>
    <x v="9"/>
    <x v="7"/>
    <s v="OP-S-0010"/>
    <x v="107"/>
    <d v="2025-08-0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08"/>
    <d v="2025-08-08T00:00:00"/>
    <n v="108"/>
    <x v="0"/>
    <n v="28"/>
    <n v="0"/>
    <n v="0"/>
    <n v="1"/>
    <n v="0"/>
    <n v="0"/>
    <n v="0"/>
    <n v="0"/>
    <n v="0"/>
    <n v="0"/>
    <n v="0"/>
    <n v="0"/>
    <s v="https://www.clickideacore.com/ClickHTML5/Visit.aspx?ID=//57DAEwASwAzADUAMQA0ADAAMwA0ADUASQBEAEUAQQA0=&amp;Tipo=2&amp;ST=1&amp;nLang=0"/>
    <n v="0"/>
    <n v="18"/>
    <n v="0"/>
    <n v="0"/>
    <n v="0"/>
    <n v="0"/>
    <n v="0"/>
    <n v="0"/>
  </r>
  <r>
    <x v="10"/>
    <x v="6"/>
    <s v="OP-S-005"/>
    <x v="108"/>
    <d v="2025-08-08T00:00:00"/>
    <n v="108"/>
    <x v="0"/>
    <n v="28"/>
    <n v="0"/>
    <n v="0"/>
    <n v="1"/>
    <n v="0"/>
    <n v="0"/>
    <n v="0"/>
    <n v="0"/>
    <n v="0"/>
    <n v="0"/>
    <n v="0"/>
    <n v="0"/>
    <s v="https://www.clickideacore.com/ClickHTML5/Visit.aspx?ID=//57DAEwASwAzADUAMQA0ADAAMwA0ADUASQBEAEUAQQA0=&amp;Tipo=2&amp;ST=1&amp;nLang=0"/>
    <n v="0"/>
    <n v="18"/>
    <n v="0"/>
    <n v="0"/>
    <n v="0"/>
    <n v="0"/>
    <n v="0"/>
    <n v="0"/>
  </r>
  <r>
    <x v="0"/>
    <x v="0"/>
    <s v="OP-S-100"/>
    <x v="108"/>
    <d v="2025-08-08T00:00:00"/>
    <n v="20"/>
    <x v="0"/>
    <n v="28"/>
    <n v="0"/>
    <n v="0"/>
    <n v="0"/>
    <n v="1"/>
    <n v="0"/>
    <n v="0"/>
    <n v="0"/>
    <n v="0"/>
    <n v="0"/>
    <n v="0"/>
    <n v="0"/>
    <s v="https://www.clickideacore.com/ClickHTML5/Visit.aspx?ID=//51DAEwASwAzADUAMQA0ADIANAA4ADMASQBEAEUAQQAE=&amp;Tipo=2&amp;ST=1&amp;nLang=0"/>
    <n v="0"/>
    <n v="22"/>
    <n v="8"/>
    <n v="0"/>
    <n v="0"/>
    <n v="0"/>
    <n v="0"/>
    <n v="0"/>
  </r>
  <r>
    <x v="1"/>
    <x v="1"/>
    <s v="OP-DYR-004"/>
    <x v="108"/>
    <d v="2025-08-08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FDAEwASwAzADUAMQA0ADIAMwAyADkASQBEAEUAQQA0=&amp;Tipo=2&amp;ST=1&amp;nLang=0"/>
    <n v="0"/>
    <n v="20"/>
    <n v="0"/>
    <n v="0"/>
    <n v="0"/>
    <n v="0"/>
    <n v="0"/>
    <n v="0"/>
  </r>
  <r>
    <x v="3"/>
    <x v="8"/>
    <s v="OP-S-076"/>
    <x v="108"/>
    <d v="2025-08-08T00:00:00"/>
    <n v="90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UAMQA0ADEAMgAyADcASQBEAEUAQQAD=&amp;Tipo=2&amp;ST=1&amp;nLang=0"/>
    <n v="0"/>
    <n v="22"/>
    <n v="0"/>
    <n v="0"/>
    <n v="0"/>
    <n v="0"/>
    <n v="0"/>
    <n v="0"/>
  </r>
  <r>
    <x v="4"/>
    <x v="4"/>
    <s v="OP-DYR-005"/>
    <x v="108"/>
    <d v="2025-08-08T00:00:00"/>
    <n v="17"/>
    <x v="0"/>
    <n v="16"/>
    <n v="0"/>
    <n v="0"/>
    <n v="1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22"/>
    <n v="0"/>
    <n v="0"/>
    <n v="0"/>
    <n v="0"/>
    <n v="0"/>
    <n v="0"/>
  </r>
  <r>
    <x v="2"/>
    <x v="2"/>
    <s v="OP-DYR-005"/>
    <x v="108"/>
    <d v="2025-08-08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9"/>
    <x v="7"/>
    <s v="OP-S-0010"/>
    <x v="108"/>
    <d v="2025-08-0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09"/>
    <d v="2025-08-09T00:00:00"/>
    <n v="66"/>
    <x v="0"/>
    <n v="0"/>
    <n v="0"/>
    <n v="0"/>
    <n v="0"/>
    <n v="0"/>
    <n v="0"/>
    <n v="0"/>
    <n v="1"/>
    <n v="0"/>
    <n v="0"/>
    <n v="1"/>
    <n v="0"/>
    <s v="https://www.clickideacore.com/ClickHTML5/Visit.aspx?ID=//58DAEwASwAzADUAMQA1ADcANAA2ADgASQBEAEUAQQAC=&amp;Tipo=2&amp;ST=1&amp;nLang=0"/>
    <n v="0"/>
    <n v="0"/>
    <n v="0"/>
    <n v="0"/>
    <n v="0"/>
    <n v="0"/>
    <n v="0"/>
    <n v="0"/>
  </r>
  <r>
    <x v="2"/>
    <x v="2"/>
    <s v="OP-S-200"/>
    <x v="109"/>
    <d v="2025-08-09T00:00:00"/>
    <n v="34"/>
    <x v="0"/>
    <n v="0"/>
    <n v="0"/>
    <n v="0"/>
    <n v="0"/>
    <n v="0"/>
    <n v="0"/>
    <n v="0"/>
    <n v="1"/>
    <n v="0"/>
    <n v="9"/>
    <n v="1"/>
    <n v="0"/>
    <s v="https://www.clickideacore.com/ClickHTML5/Visit.aspx?ID=//56DAEwASwAzADUAMQA1ADcAOAAzADIASQBEAEUAQQAB=&amp;Tipo=2&amp;ST=1&amp;nLang=0"/>
    <n v="22"/>
    <n v="0"/>
    <n v="0"/>
    <n v="0"/>
    <n v="0"/>
    <n v="0"/>
    <n v="1"/>
    <n v="0"/>
  </r>
  <r>
    <x v="5"/>
    <x v="6"/>
    <s v="OP-S-200"/>
    <x v="109"/>
    <d v="2025-08-09T00:00:00"/>
    <n v="34"/>
    <x v="0"/>
    <n v="0"/>
    <n v="0"/>
    <n v="0"/>
    <n v="0"/>
    <n v="0"/>
    <n v="0"/>
    <n v="0"/>
    <n v="1"/>
    <n v="0"/>
    <n v="0"/>
    <n v="1"/>
    <n v="0"/>
    <s v="https://www.clickideacore.com/ClickHTML5/Visit.aspx?ID=//56DAEwASwAzADUAMQA1ADcAOAAzADIASQBEAEUAQQAB=&amp;Tipo=2&amp;ST=1&amp;nLang=0"/>
    <n v="0"/>
    <n v="0"/>
    <n v="0"/>
    <n v="0"/>
    <n v="0"/>
    <n v="0"/>
    <n v="0"/>
    <n v="0"/>
  </r>
  <r>
    <x v="11"/>
    <x v="6"/>
    <s v="OP-S-200"/>
    <x v="109"/>
    <d v="2025-08-09T00:00:00"/>
    <n v="34"/>
    <x v="0"/>
    <n v="0"/>
    <n v="0"/>
    <n v="0"/>
    <n v="0"/>
    <n v="0"/>
    <n v="0"/>
    <n v="0"/>
    <n v="1"/>
    <n v="0"/>
    <n v="0"/>
    <n v="1"/>
    <n v="0"/>
    <s v="https://www.clickideacore.com/ClickHTML5/Visit.aspx?ID=//56DAEwASwAzADUAMQA1ADcAOAAzADIASQBEAEUAQQAB=&amp;Tipo=2&amp;ST=1&amp;nLang=0"/>
    <n v="0"/>
    <n v="0"/>
    <n v="0"/>
    <n v="0"/>
    <n v="0"/>
    <n v="0"/>
    <n v="0"/>
    <n v="0"/>
  </r>
  <r>
    <x v="13"/>
    <x v="22"/>
    <s v="OP-S-200"/>
    <x v="109"/>
    <d v="2025-08-09T00:00:00"/>
    <n v="34"/>
    <x v="0"/>
    <n v="0"/>
    <n v="0"/>
    <n v="0"/>
    <n v="0"/>
    <n v="0"/>
    <n v="0"/>
    <n v="0"/>
    <n v="1"/>
    <n v="0"/>
    <n v="0"/>
    <n v="1"/>
    <n v="0"/>
    <s v="https://www.clickideacore.com/ClickHTML5/Visit.aspx?ID=//56DAEwASwAzADUAMQA1ADcAOAAzADIASQBEAEUAQQAB=&amp;Tipo=2&amp;ST=1&amp;nLang=0"/>
    <n v="0"/>
    <n v="0"/>
    <n v="0"/>
    <n v="0"/>
    <n v="0"/>
    <n v="0"/>
    <n v="0"/>
    <n v="0"/>
  </r>
  <r>
    <x v="4"/>
    <x v="4"/>
    <s v="OP-DYR-011"/>
    <x v="109"/>
    <d v="2025-08-09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6"/>
    <s v="OP-DYR-011"/>
    <x v="109"/>
    <d v="2025-08-09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1"/>
    <s v="OP-DYR-011"/>
    <x v="109"/>
    <d v="2025-08-09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3"/>
    <x v="8"/>
    <s v="OP-DYR-011"/>
    <x v="109"/>
    <d v="2025-08-09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109"/>
    <d v="2025-08-09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5"/>
    <x v="6"/>
    <s v="OP-S-005"/>
    <x v="110"/>
    <d v="2025-08-10T00:00:00"/>
    <n v="57"/>
    <x v="0"/>
    <n v="0"/>
    <n v="0"/>
    <n v="0"/>
    <n v="0"/>
    <n v="0"/>
    <n v="1"/>
    <n v="0"/>
    <n v="0"/>
    <n v="1"/>
    <n v="3"/>
    <n v="0"/>
    <n v="1"/>
    <s v="https://www.clickideacore.com/ClickHTML5/Visit.aspx?ID=//56DAEwASwAzADUAMQA2ADQAMwA4ADcASQBEAEUAQQA5=&amp;Tipo=2&amp;ST=1&amp;nLang=0"/>
    <n v="0"/>
    <n v="0"/>
    <n v="0"/>
    <n v="0"/>
    <n v="0"/>
    <n v="0"/>
    <n v="0"/>
    <n v="0"/>
  </r>
  <r>
    <x v="11"/>
    <x v="6"/>
    <s v="OP-S-005"/>
    <x v="110"/>
    <d v="2025-08-10T00:00:00"/>
    <n v="57"/>
    <x v="0"/>
    <n v="0"/>
    <n v="0"/>
    <n v="0"/>
    <n v="0"/>
    <n v="0"/>
    <n v="1"/>
    <n v="0"/>
    <n v="0"/>
    <n v="1"/>
    <n v="3"/>
    <n v="0"/>
    <n v="1"/>
    <s v="https://www.clickideacore.com/ClickHTML5/Visit.aspx?ID=//56DAEwASwAzADUAMQA2ADQAMwA4ADcASQBEAEUAQQA5=&amp;Tipo=2&amp;ST=1&amp;nLang=0"/>
    <n v="0"/>
    <n v="0"/>
    <n v="0"/>
    <n v="0"/>
    <n v="0"/>
    <n v="0"/>
    <n v="0"/>
    <n v="0"/>
  </r>
  <r>
    <x v="2"/>
    <x v="2"/>
    <s v="OP-S-200"/>
    <x v="110"/>
    <d v="2025-08-10T00:00:00"/>
    <n v="28"/>
    <x v="0"/>
    <n v="0"/>
    <n v="0"/>
    <n v="0"/>
    <n v="0"/>
    <n v="0"/>
    <n v="0"/>
    <n v="0"/>
    <n v="0"/>
    <n v="1"/>
    <n v="5"/>
    <n v="0"/>
    <n v="1"/>
    <s v="https://www.clickideacore.com/ClickHTML5/Visit.aspx?ID=//5FDAEwASwAzADUAMQA2ADUAMgAxADcASQBEAEUAQQAD=&amp;Tipo=2&amp;ST=1&amp;nLang=0"/>
    <n v="16"/>
    <n v="0"/>
    <n v="0"/>
    <n v="0"/>
    <n v="0"/>
    <n v="0"/>
    <n v="0"/>
    <n v="0"/>
  </r>
  <r>
    <x v="13"/>
    <x v="22"/>
    <s v="OP-S-200"/>
    <x v="110"/>
    <d v="2025-08-10T00:00:00"/>
    <n v="34"/>
    <x v="0"/>
    <n v="0"/>
    <n v="0"/>
    <n v="0"/>
    <n v="0"/>
    <n v="0"/>
    <n v="0"/>
    <n v="0"/>
    <n v="0"/>
    <n v="1"/>
    <n v="1"/>
    <n v="0"/>
    <n v="1"/>
    <s v="https://www.clickideacore.com/ClickHTML5/Visit.aspx?ID=//56DAEwASwAzADUAMQA1ADcAOAAzADIASQBEAEUAQQAB=&amp;Tipo=2&amp;ST=1&amp;nLang=0"/>
    <n v="0"/>
    <n v="0"/>
    <n v="0"/>
    <n v="0"/>
    <n v="0"/>
    <n v="0"/>
    <n v="0"/>
    <n v="0"/>
  </r>
  <r>
    <x v="0"/>
    <x v="0"/>
    <s v="OP-S-100"/>
    <x v="110"/>
    <d v="2025-08-10T00:00:00"/>
    <n v="66"/>
    <x v="0"/>
    <n v="0"/>
    <n v="0"/>
    <n v="0"/>
    <n v="0"/>
    <n v="0"/>
    <n v="0"/>
    <n v="0"/>
    <n v="0"/>
    <n v="0"/>
    <n v="8"/>
    <n v="0"/>
    <n v="1"/>
    <s v="https://www.clickideacore.com/ClickHTML5/Visit.aspx?ID=//58DAEwASwAzADUAMQA1ADcANAA2ADgASQBEAEUAQQAC=&amp;Tipo=2&amp;ST=1&amp;nLang=0"/>
    <n v="10"/>
    <n v="0"/>
    <n v="0"/>
    <n v="0"/>
    <n v="0"/>
    <n v="0"/>
    <n v="0"/>
    <n v="1"/>
  </r>
  <r>
    <x v="4"/>
    <x v="4"/>
    <s v="OP-DYR-011"/>
    <x v="110"/>
    <d v="2025-08-1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6"/>
    <s v="OP-DYR-011"/>
    <x v="110"/>
    <d v="2025-08-1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1"/>
    <s v="OP-DYR-011"/>
    <x v="110"/>
    <d v="2025-08-1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3"/>
    <x v="8"/>
    <s v="OP-DYR-011"/>
    <x v="110"/>
    <d v="2025-08-1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DYR-011"/>
    <x v="110"/>
    <d v="2025-08-1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0"/>
    <x v="4"/>
    <s v="OP-DYR-011"/>
    <x v="111"/>
    <d v="2025-08-11T00:00:00"/>
    <n v="24"/>
    <x v="0"/>
    <n v="20"/>
    <n v="0"/>
    <n v="0"/>
    <n v="0"/>
    <n v="0"/>
    <n v="1"/>
    <n v="0"/>
    <n v="0"/>
    <n v="0"/>
    <n v="0"/>
    <n v="0"/>
    <n v="0"/>
    <s v="https://www.clickideacore.com/ClickHTML5/Visit.aspx?ID=//54DAEwASwAzADUAMQA3ADgANgA4ADcASQBEAEUAQQAA=&amp;Tipo=2&amp;ST=1&amp;nLang=0"/>
    <n v="0"/>
    <n v="0"/>
    <n v="0"/>
    <n v="0"/>
    <n v="0"/>
    <n v="0"/>
    <n v="0"/>
    <n v="0"/>
  </r>
  <r>
    <x v="0"/>
    <x v="0"/>
    <s v="OP-S-100"/>
    <x v="111"/>
    <d v="2025-08-11T00:00:00"/>
    <n v="82"/>
    <x v="0"/>
    <n v="20"/>
    <n v="0"/>
    <n v="0"/>
    <n v="0"/>
    <n v="0"/>
    <n v="0"/>
    <n v="1"/>
    <n v="0"/>
    <n v="0"/>
    <n v="0"/>
    <n v="0"/>
    <n v="0"/>
    <s v="https://www.clickideacore.com/ClickHTML5/Visit.aspx?ID=//5BDAEwASwAzADUAMQA4ADgAMAA4ADcASQBEAEUAQQA1=&amp;Tipo=2&amp;ST=1&amp;nLang=0"/>
    <n v="0"/>
    <n v="0"/>
    <n v="0"/>
    <n v="0"/>
    <n v="0"/>
    <n v="0"/>
    <n v="0"/>
    <n v="0"/>
  </r>
  <r>
    <x v="17"/>
    <x v="6"/>
    <s v="OP-S-100"/>
    <x v="111"/>
    <d v="2025-08-11T00:00:00"/>
    <n v="82"/>
    <x v="0"/>
    <n v="20"/>
    <n v="0"/>
    <n v="0"/>
    <n v="0"/>
    <n v="0"/>
    <n v="0"/>
    <n v="1"/>
    <n v="0"/>
    <n v="0"/>
    <n v="0"/>
    <n v="0"/>
    <n v="0"/>
    <s v="https://www.clickideacore.com/ClickHTML5/Visit.aspx?ID=//5BDAEwASwAzADUAMQA4ADgAMAA4ADcASQBEAEUAQQA1=&amp;Tipo=2&amp;ST=1&amp;nLang=0"/>
    <n v="0"/>
    <n v="0"/>
    <n v="0"/>
    <n v="0"/>
    <n v="0"/>
    <n v="0"/>
    <n v="0"/>
    <n v="0"/>
  </r>
  <r>
    <x v="1"/>
    <x v="1"/>
    <s v="OP-DYR-004"/>
    <x v="111"/>
    <d v="2025-08-11T00:00:00"/>
    <n v="23"/>
    <x v="0"/>
    <n v="8"/>
    <n v="0"/>
    <n v="0"/>
    <n v="0"/>
    <n v="0"/>
    <n v="0"/>
    <n v="1"/>
    <n v="0"/>
    <n v="0"/>
    <n v="0"/>
    <n v="0"/>
    <n v="0"/>
    <s v="https://www.clickideacore.com/ClickHTML5/Visit.aspx?ID=//5FDAEwASwAzADUAMQA4ADYAMQA5ADQASQBEAEUAQQAB=&amp;Tipo=2&amp;ST=1&amp;nLang=0"/>
    <n v="0"/>
    <n v="0"/>
    <n v="0"/>
    <n v="0"/>
    <n v="0"/>
    <n v="0"/>
    <n v="0"/>
    <n v="0"/>
  </r>
  <r>
    <x v="2"/>
    <x v="2"/>
    <s v="OP-S-200"/>
    <x v="111"/>
    <d v="2025-08-11T00:00:00"/>
    <n v="24"/>
    <x v="0"/>
    <n v="7"/>
    <n v="0"/>
    <n v="0"/>
    <n v="0"/>
    <n v="0"/>
    <n v="1"/>
    <n v="0"/>
    <n v="0"/>
    <n v="0"/>
    <n v="0"/>
    <n v="0"/>
    <n v="0"/>
    <s v="https://www.clickideacore.com/ClickHTML5/Visit.aspx?ID=//54DAEwASwAzADUAMQA3ADgAOQAxADcASQBEAEUAQQA3=&amp;Tipo=2&amp;ST=1&amp;nLang=0"/>
    <n v="0"/>
    <n v="0"/>
    <n v="0"/>
    <n v="0"/>
    <n v="0"/>
    <n v="0"/>
    <n v="0"/>
    <n v="0"/>
  </r>
  <r>
    <x v="3"/>
    <x v="6"/>
    <s v="OP-S-076"/>
    <x v="111"/>
    <d v="2025-08-11T00:00:00"/>
    <n v="20"/>
    <x v="0"/>
    <n v="6"/>
    <n v="0"/>
    <n v="0"/>
    <n v="0"/>
    <n v="0"/>
    <n v="0"/>
    <n v="0"/>
    <n v="0"/>
    <n v="0"/>
    <n v="0"/>
    <n v="0"/>
    <n v="0"/>
    <s v="https://www.clickideacore.com/ClickHTML5/Visit.aspx?ID=//53DAEwASwAzADUAMQA3ADcANwA3ADMASQBEAEUAQQA0=&amp;Tipo=2&amp;ST=1&amp;nLang=0"/>
    <n v="0"/>
    <n v="8"/>
    <n v="0"/>
    <n v="0"/>
    <n v="0"/>
    <n v="0"/>
    <n v="0"/>
    <n v="0"/>
  </r>
  <r>
    <x v="5"/>
    <x v="6"/>
    <s v="OP-S-076"/>
    <x v="111"/>
    <d v="2025-08-11T00:00:00"/>
    <n v="20"/>
    <x v="0"/>
    <n v="6"/>
    <n v="0"/>
    <n v="0"/>
    <n v="0"/>
    <n v="0"/>
    <n v="0"/>
    <n v="0"/>
    <n v="0"/>
    <n v="0"/>
    <n v="0"/>
    <n v="0"/>
    <n v="0"/>
    <s v="https://www.clickideacore.com/ClickHTML5/Visit.aspx?ID=//53DAEwASwAzADUAMQA3ADcANwA3ADMASQBEAEUAQQA0=&amp;Tipo=2&amp;ST=1&amp;nLang=0"/>
    <n v="0"/>
    <n v="8"/>
    <n v="0"/>
    <n v="0"/>
    <n v="0"/>
    <n v="0"/>
    <n v="0"/>
    <n v="0"/>
  </r>
  <r>
    <x v="4"/>
    <x v="6"/>
    <s v="OP-S-0010"/>
    <x v="111"/>
    <d v="2025-08-1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8"/>
    <s v="OP-DYR-005"/>
    <x v="111"/>
    <d v="2025-08-11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9"/>
    <x v="7"/>
    <s v="OP-S-0010"/>
    <x v="111"/>
    <d v="2025-08-1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12"/>
    <d v="2025-08-12T00:00:00"/>
    <n v="86"/>
    <x v="0"/>
    <n v="25"/>
    <n v="0"/>
    <n v="0"/>
    <n v="1"/>
    <n v="0"/>
    <n v="1"/>
    <n v="0"/>
    <n v="0"/>
    <n v="0"/>
    <n v="0"/>
    <n v="0"/>
    <n v="0"/>
    <s v="https://www.clickideacore.com/ClickHTML5/Visit.aspx?ID=//5BDAEwASwAzADUAMgAwADMAOQA2ADQASQBEAEUAQQA9=&amp;Tipo=2&amp;ST=1&amp;nLang=0"/>
    <n v="0"/>
    <n v="0"/>
    <n v="0"/>
    <n v="0"/>
    <n v="0"/>
    <n v="0"/>
    <n v="0"/>
    <n v="0"/>
  </r>
  <r>
    <x v="5"/>
    <x v="6"/>
    <s v="OP-DYR-011"/>
    <x v="112"/>
    <d v="2025-08-12T00:00:00"/>
    <n v="86"/>
    <x v="0"/>
    <n v="25"/>
    <n v="0"/>
    <n v="0"/>
    <n v="1"/>
    <n v="0"/>
    <n v="1"/>
    <n v="0"/>
    <n v="0"/>
    <n v="0"/>
    <n v="0"/>
    <n v="0"/>
    <n v="0"/>
    <s v="https://www.clickideacore.com/ClickHTML5/Visit.aspx?ID=//5BDAEwASwAzADUAMgAwADMAOQA2ADQASQBEAEUAQQA9=&amp;Tipo=2&amp;ST=1&amp;nLang=0"/>
    <n v="0"/>
    <n v="0"/>
    <n v="0"/>
    <n v="0"/>
    <n v="0"/>
    <n v="0"/>
    <n v="0"/>
    <n v="0"/>
  </r>
  <r>
    <x v="0"/>
    <x v="0"/>
    <s v="OP-S-100"/>
    <x v="112"/>
    <d v="2025-08-12T00:00:00"/>
    <n v="39"/>
    <x v="0"/>
    <n v="16"/>
    <n v="0"/>
    <n v="0"/>
    <n v="1"/>
    <n v="0"/>
    <n v="0"/>
    <n v="0"/>
    <n v="0"/>
    <n v="0"/>
    <n v="0"/>
    <n v="0"/>
    <n v="0"/>
    <s v="https://www.clickideacore.com/ClickHTML5/Visit.aspx?ID=//50DAEwASwAzADUAMgAwADUAMAA1ADcASQBEAEUAQQAE=&amp;Tipo=2&amp;ST=1&amp;nLang=0"/>
    <n v="0"/>
    <n v="0"/>
    <n v="0"/>
    <n v="0"/>
    <n v="0"/>
    <n v="0"/>
    <n v="0"/>
    <n v="0"/>
  </r>
  <r>
    <x v="17"/>
    <x v="6"/>
    <s v="OP-S-100"/>
    <x v="112"/>
    <d v="2025-08-12T00:00:00"/>
    <n v="39"/>
    <x v="0"/>
    <n v="16"/>
    <n v="0"/>
    <n v="0"/>
    <n v="1"/>
    <n v="0"/>
    <n v="0"/>
    <n v="0"/>
    <n v="0"/>
    <n v="0"/>
    <n v="0"/>
    <n v="0"/>
    <n v="0"/>
    <s v="https://www.clickideacore.com/ClickHTML5/Visit.aspx?ID=//50DAEwASwAzADUAMgAwADUAMAA1ADcASQBEAEUAQQAE=&amp;Tipo=2&amp;ST=1&amp;nLang=0"/>
    <n v="0"/>
    <n v="0"/>
    <n v="0"/>
    <n v="0"/>
    <n v="0"/>
    <n v="0"/>
    <n v="0"/>
    <n v="0"/>
  </r>
  <r>
    <x v="2"/>
    <x v="4"/>
    <s v="OP-S-200"/>
    <x v="112"/>
    <d v="2025-08-12T00:00:00"/>
    <n v="73"/>
    <x v="0"/>
    <n v="42"/>
    <n v="0"/>
    <n v="0"/>
    <n v="0"/>
    <n v="1"/>
    <n v="0"/>
    <n v="0"/>
    <n v="0"/>
    <n v="0"/>
    <n v="0"/>
    <n v="0"/>
    <n v="0"/>
    <s v="https://www.clickideacore.com/ClickHTML5/Visit.aspx?ID=//52DAEwASwAzADUAMgAwADgAOQA5ADcASQBEAEUAQQAE=&amp;Tipo=2&amp;ST=1&amp;nLang=0"/>
    <n v="0"/>
    <n v="0"/>
    <n v="0"/>
    <n v="0"/>
    <n v="0"/>
    <n v="0"/>
    <n v="0"/>
    <n v="0"/>
  </r>
  <r>
    <x v="3"/>
    <x v="8"/>
    <s v="OP-S-076"/>
    <x v="112"/>
    <d v="2025-08-12T00:00:00"/>
    <n v="44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UAMgAwADYANwA5ADQASQBEAEUAQQA9=&amp;Tipo=2&amp;ST=1&amp;nLang=0"/>
    <n v="0"/>
    <n v="0"/>
    <n v="0"/>
    <n v="0"/>
    <n v="0"/>
    <n v="0"/>
    <n v="0"/>
    <n v="0"/>
  </r>
  <r>
    <x v="9"/>
    <x v="2"/>
    <s v="OP-DYR-005"/>
    <x v="112"/>
    <d v="2025-08-12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1"/>
    <x v="1"/>
    <s v="OP-DYR-005"/>
    <x v="112"/>
    <d v="2025-08-12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4"/>
    <x v="6"/>
    <s v="OP-DYR-005"/>
    <x v="112"/>
    <d v="2025-08-12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9"/>
    <x v="7"/>
    <s v="OP-S-0010"/>
    <x v="112"/>
    <d v="2025-08-1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113"/>
    <d v="2025-08-13T00:00:00"/>
    <n v="23"/>
    <x v="0"/>
    <n v="30"/>
    <n v="0"/>
    <n v="0"/>
    <n v="0"/>
    <n v="1"/>
    <n v="0"/>
    <n v="0"/>
    <n v="0"/>
    <n v="0"/>
    <n v="0"/>
    <n v="0"/>
    <n v="0"/>
    <s v="https://www.clickideacore.com/ClickHTML5/Visit.aspx?ID=//5DDAEwASwAzADUAMgAzADQAMwA1ADYASQBEAEUAQQA6=&amp;Tipo=2&amp;ST=1&amp;nLang=0"/>
    <n v="0"/>
    <n v="0"/>
    <n v="0"/>
    <n v="0"/>
    <n v="0"/>
    <n v="0"/>
    <n v="0"/>
    <n v="0"/>
  </r>
  <r>
    <x v="2"/>
    <x v="2"/>
    <s v="OP-S-200"/>
    <x v="113"/>
    <d v="2025-08-13T00:00:00"/>
    <n v="15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UAMgAyADkANQAzADQASQBEAEUAQQAE=&amp;Tipo=2&amp;ST=1&amp;nLang=0"/>
    <n v="0"/>
    <n v="0"/>
    <n v="0"/>
    <n v="0"/>
    <n v="0"/>
    <n v="0"/>
    <n v="0"/>
    <n v="0"/>
  </r>
  <r>
    <x v="0"/>
    <x v="0"/>
    <s v="OP-DYR-005"/>
    <x v="113"/>
    <d v="2025-08-13T00:00:00"/>
    <n v="16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UAMgAzADIAMQA2ADAASQBEAEUAQQAE=&amp;Tipo=2&amp;ST=1&amp;nLang=0"/>
    <n v="0"/>
    <n v="0"/>
    <n v="0"/>
    <n v="0"/>
    <n v="0"/>
    <n v="0"/>
    <n v="0"/>
    <n v="0"/>
  </r>
  <r>
    <x v="17"/>
    <x v="6"/>
    <s v="OP-DYR-005"/>
    <x v="113"/>
    <d v="2025-08-13T00:00:00"/>
    <n v="16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UAMgAzADIAMQA2ADAASQBEAEUAQQAE=&amp;Tipo=2&amp;ST=1&amp;nLang=0"/>
    <n v="0"/>
    <n v="0"/>
    <n v="0"/>
    <n v="0"/>
    <n v="0"/>
    <n v="0"/>
    <n v="0"/>
    <n v="0"/>
  </r>
  <r>
    <x v="4"/>
    <x v="4"/>
    <s v="OP-DYR-005"/>
    <x v="113"/>
    <d v="2025-08-13T00:00:00"/>
    <n v="16"/>
    <x v="0"/>
    <n v="34"/>
    <n v="0"/>
    <n v="0"/>
    <n v="1"/>
    <n v="0"/>
    <n v="0"/>
    <n v="0"/>
    <n v="0"/>
    <n v="0"/>
    <n v="0"/>
    <n v="0"/>
    <n v="0"/>
    <s v="https://www.clickideacore.com/ClickHTML5/Visit.aspx?ID=//54DAEwASwAzADUAMgAzADIAMQA2ADAASQBEAEUAQQAE=&amp;Tipo=2&amp;ST=1&amp;nLang=0"/>
    <n v="0"/>
    <n v="0"/>
    <n v="0"/>
    <n v="0"/>
    <n v="0"/>
    <n v="0"/>
    <n v="0"/>
    <n v="0"/>
  </r>
  <r>
    <x v="3"/>
    <x v="8"/>
    <s v="OP-DYR-005"/>
    <x v="113"/>
    <d v="2025-08-13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10"/>
    <x v="6"/>
    <s v="OP-DYR-005"/>
    <x v="113"/>
    <d v="2025-08-13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5"/>
    <x v="6"/>
    <s v="OP-S-0010"/>
    <x v="113"/>
    <d v="2025-08-1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13"/>
    <d v="2025-08-1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14"/>
    <d v="2025-08-14T00:00:00"/>
    <n v="17"/>
    <x v="0"/>
    <n v="24"/>
    <n v="0"/>
    <n v="0"/>
    <n v="1"/>
    <n v="0"/>
    <n v="0"/>
    <n v="0"/>
    <n v="0"/>
    <n v="0"/>
    <n v="0"/>
    <n v="0"/>
    <n v="0"/>
    <s v="https://www.clickideacore.com/ClickHTML5/Visit.aspx?ID=//52DAEwASwAzADUAMgA1ADEANAAyADkASQBEAEUAQQA9=&amp;Tipo=2&amp;ST=1&amp;nLang=0"/>
    <n v="0"/>
    <n v="0"/>
    <n v="0"/>
    <n v="0"/>
    <n v="0"/>
    <n v="0"/>
    <n v="0"/>
    <n v="0"/>
  </r>
  <r>
    <x v="9"/>
    <x v="2"/>
    <s v="OP-DYR-011"/>
    <x v="114"/>
    <d v="2025-08-14T00:00:00"/>
    <n v="17"/>
    <x v="0"/>
    <n v="24"/>
    <n v="0"/>
    <n v="0"/>
    <n v="1"/>
    <n v="0"/>
    <n v="0"/>
    <n v="0"/>
    <n v="0"/>
    <n v="0"/>
    <n v="0"/>
    <n v="0"/>
    <n v="0"/>
    <s v="https://www.clickideacore.com/ClickHTML5/Visit.aspx?ID=//52DAEwASwAzADUAMgA1ADEANAAyADkASQBEAEUAQQA9=&amp;Tipo=2&amp;ST=1&amp;nLang=0"/>
    <n v="0"/>
    <n v="0"/>
    <n v="0"/>
    <n v="0"/>
    <n v="0"/>
    <n v="0"/>
    <n v="0"/>
    <n v="0"/>
  </r>
  <r>
    <x v="0"/>
    <x v="0"/>
    <s v="OP-S-100"/>
    <x v="114"/>
    <d v="2025-08-14T00:00:00"/>
    <n v="27"/>
    <x v="0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12"/>
    <n v="0"/>
    <n v="0"/>
    <n v="0"/>
    <n v="0"/>
    <n v="0"/>
    <n v="0"/>
  </r>
  <r>
    <x v="1"/>
    <x v="1"/>
    <s v="OP-DYR-004"/>
    <x v="114"/>
    <d v="2025-08-14T00:00:00"/>
    <n v="61"/>
    <x v="0"/>
    <n v="41"/>
    <n v="0"/>
    <n v="0"/>
    <n v="1"/>
    <n v="0"/>
    <n v="0"/>
    <n v="0"/>
    <n v="0"/>
    <n v="0"/>
    <n v="0"/>
    <n v="0"/>
    <n v="0"/>
    <s v="https://www.clickideacore.com/ClickHTML5/Visit.aspx?ID=//5DDAEwASwAzADUAMgA1ADMANAA5ADkASQBEAEUAQQA2=&amp;Tipo=2&amp;ST=1&amp;nLang=0"/>
    <n v="0"/>
    <n v="0"/>
    <n v="0"/>
    <n v="0"/>
    <n v="0"/>
    <n v="0"/>
    <n v="0"/>
    <n v="0"/>
  </r>
  <r>
    <x v="17"/>
    <x v="6"/>
    <s v="OP-DYR-004"/>
    <x v="114"/>
    <d v="2025-08-14T00:00:00"/>
    <n v="61"/>
    <x v="0"/>
    <n v="41"/>
    <n v="0"/>
    <n v="0"/>
    <n v="1"/>
    <n v="0"/>
    <n v="0"/>
    <n v="0"/>
    <n v="0"/>
    <n v="0"/>
    <n v="0"/>
    <n v="0"/>
    <n v="0"/>
    <s v="https://www.clickideacore.com/ClickHTML5/Visit.aspx?ID=//5DDAEwASwAzADUAMgA1ADMANAA5ADkASQBEAEUAQQA2=&amp;Tipo=2&amp;ST=1&amp;nLang=0"/>
    <n v="0"/>
    <n v="0"/>
    <n v="0"/>
    <n v="0"/>
    <n v="0"/>
    <n v="0"/>
    <n v="0"/>
    <n v="0"/>
  </r>
  <r>
    <x v="3"/>
    <x v="8"/>
    <s v="OP-S-076"/>
    <x v="114"/>
    <d v="2025-08-14T00:00:00"/>
    <n v="34"/>
    <x v="0"/>
    <n v="30"/>
    <n v="0"/>
    <n v="0"/>
    <n v="1"/>
    <n v="0"/>
    <n v="0"/>
    <n v="0"/>
    <n v="0"/>
    <n v="0"/>
    <n v="0"/>
    <n v="0"/>
    <n v="0"/>
    <s v="https://www.clickideacore.com/ClickHTML5/Visit.aspx?ID=//55DAEwASwAzADUAMgA1ADIAOAAzADQASQBEAEUAQQAC=&amp;Tipo=2&amp;ST=1&amp;nLang=0"/>
    <n v="0"/>
    <n v="12"/>
    <n v="0"/>
    <n v="0"/>
    <n v="0"/>
    <n v="0"/>
    <n v="0"/>
    <n v="0"/>
  </r>
  <r>
    <x v="4"/>
    <x v="6"/>
    <s v="OP-DYR-005"/>
    <x v="114"/>
    <d v="2025-08-14T00:00:00"/>
    <n v="24"/>
    <x v="0"/>
    <n v="34"/>
    <n v="0"/>
    <n v="0"/>
    <n v="0"/>
    <n v="1"/>
    <n v="0"/>
    <n v="0"/>
    <n v="0"/>
    <n v="0"/>
    <n v="0"/>
    <n v="0"/>
    <n v="0"/>
    <s v="https://www.clickideacore.com/ClickHTML5/Visit.aspx?ID=//5FDAEwASwAzADUAMgA1ADUAMQAzADMASQBEAEUAQQA8=&amp;Tipo=2&amp;ST=1&amp;nLang=0"/>
    <n v="0"/>
    <n v="0"/>
    <n v="0"/>
    <n v="0"/>
    <n v="0"/>
    <n v="0"/>
    <n v="0"/>
    <n v="0"/>
  </r>
  <r>
    <x v="5"/>
    <x v="6"/>
    <s v="OP-DYR-005"/>
    <x v="114"/>
    <d v="2025-08-14T00:00:00"/>
    <n v="24"/>
    <x v="0"/>
    <n v="34"/>
    <n v="0"/>
    <n v="0"/>
    <n v="0"/>
    <n v="1"/>
    <n v="0"/>
    <n v="0"/>
    <n v="0"/>
    <n v="0"/>
    <n v="0"/>
    <n v="0"/>
    <n v="0"/>
    <s v="https://www.clickideacore.com/ClickHTML5/Visit.aspx?ID=//5FDAEwASwAzADUAMgA1ADUAMQAzADMASQBEAEUAQQA8=&amp;Tipo=2&amp;ST=1&amp;nLang=0"/>
    <n v="0"/>
    <n v="0"/>
    <n v="0"/>
    <n v="0"/>
    <n v="0"/>
    <n v="0"/>
    <n v="0"/>
    <n v="0"/>
  </r>
  <r>
    <x v="2"/>
    <x v="6"/>
    <s v="OP-S-100"/>
    <x v="114"/>
    <d v="2025-08-14T00:00:00"/>
    <n v="27"/>
    <x v="0"/>
    <n v="8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9"/>
    <x v="4"/>
    <s v="OP-DYR-005"/>
    <x v="114"/>
    <d v="2025-08-14T00:00:00"/>
    <n v="17"/>
    <x v="1"/>
    <n v="0"/>
    <n v="0"/>
    <n v="0"/>
    <n v="0"/>
    <n v="0"/>
    <n v="0"/>
    <n v="0"/>
    <n v="0"/>
    <n v="0"/>
    <n v="0"/>
    <n v="0"/>
    <n v="0"/>
    <s v="https://www.clickideacore.com/ClickHTML5/Visit.aspx?ID=//5BDAEwASwAzADUAMQA0ADIAOQA1ADEASQBEAEUAQQA8=&amp;Tipo=2&amp;ST=1&amp;nLang=0"/>
    <n v="0"/>
    <n v="0"/>
    <n v="0"/>
    <n v="0"/>
    <n v="0"/>
    <n v="0"/>
    <n v="0"/>
    <n v="0"/>
  </r>
  <r>
    <x v="9"/>
    <x v="7"/>
    <s v="OP-S-0010"/>
    <x v="114"/>
    <d v="2025-08-1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15"/>
    <d v="2025-08-15T00:00:00"/>
    <n v="24"/>
    <x v="0"/>
    <n v="0"/>
    <n v="0"/>
    <n v="0"/>
    <n v="0"/>
    <n v="0"/>
    <n v="0"/>
    <n v="0"/>
    <n v="0"/>
    <n v="1"/>
    <n v="0"/>
    <n v="0"/>
    <n v="1"/>
    <s v="https://www.clickideacore.com/ClickHTML5/Visit.aspx?ID=//5ADAEwASwAzADUAMgA3ADEAMQAwADIASQBEAEUAQQAD=&amp;Tipo=2&amp;ST=1&amp;nLang=0"/>
    <n v="0"/>
    <n v="0"/>
    <n v="0"/>
    <n v="0"/>
    <n v="0"/>
    <n v="0"/>
    <n v="0"/>
    <n v="0"/>
  </r>
  <r>
    <x v="1"/>
    <x v="1"/>
    <s v="OP-DYR-004"/>
    <x v="115"/>
    <d v="2025-08-15T00:00:00"/>
    <n v="28"/>
    <x v="0"/>
    <n v="0"/>
    <n v="0"/>
    <n v="0"/>
    <n v="0"/>
    <n v="0"/>
    <n v="0"/>
    <n v="0"/>
    <n v="0"/>
    <n v="1"/>
    <n v="0"/>
    <n v="0"/>
    <n v="1"/>
    <s v="https://www.clickideacore.com/ClickHTML5/Visit.aspx?ID=//52DAEwASwAzADUAMgA3ADQANQA4ADMASQBEAEUAQQA4=&amp;Tipo=2&amp;ST=1&amp;nLang=0"/>
    <n v="8"/>
    <n v="0"/>
    <n v="0"/>
    <n v="0"/>
    <n v="0"/>
    <n v="0"/>
    <n v="0"/>
    <n v="0"/>
  </r>
  <r>
    <x v="3"/>
    <x v="8"/>
    <s v="OP-S-076"/>
    <x v="115"/>
    <d v="2025-08-15T00:00:00"/>
    <n v="34"/>
    <x v="0"/>
    <n v="0"/>
    <n v="0"/>
    <n v="0"/>
    <n v="0"/>
    <n v="0"/>
    <n v="0"/>
    <n v="0"/>
    <n v="0"/>
    <n v="1"/>
    <n v="1"/>
    <n v="0"/>
    <n v="1"/>
    <s v="https://www.clickideacore.com/ClickHTML5/Visit.aspx?ID=//5BDAEwASwAzADUAMgA3ADMAOAAzADUASQBEAEUAQQAA=&amp;Tipo=2&amp;ST=1&amp;nLang=0"/>
    <n v="0"/>
    <n v="0"/>
    <n v="0"/>
    <n v="0"/>
    <n v="0"/>
    <n v="0"/>
    <n v="0"/>
    <n v="0"/>
  </r>
  <r>
    <x v="4"/>
    <x v="4"/>
    <s v="OP-DYR-005"/>
    <x v="115"/>
    <d v="2025-08-15T00:00:00"/>
    <n v="46"/>
    <x v="0"/>
    <n v="0"/>
    <n v="0"/>
    <n v="0"/>
    <n v="0"/>
    <n v="0"/>
    <n v="0"/>
    <n v="0"/>
    <n v="0"/>
    <n v="0"/>
    <n v="0"/>
    <n v="0"/>
    <n v="1"/>
    <s v="https://www.clickideacore.com/ClickHTML5/Visit.aspx?ID=//5CDAEwASwAzADUAMgA3ADUAMQA0ADgASQBEAEUAQQA2=&amp;Tipo=2&amp;ST=1&amp;nLang=0"/>
    <n v="5"/>
    <n v="0"/>
    <n v="0"/>
    <n v="0"/>
    <n v="0"/>
    <n v="0"/>
    <n v="0"/>
    <n v="1"/>
  </r>
  <r>
    <x v="0"/>
    <x v="0"/>
    <s v="OP-S-100"/>
    <x v="115"/>
    <d v="2025-08-15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17"/>
    <x v="6"/>
    <s v="OP-DYR-004"/>
    <x v="115"/>
    <d v="2025-08-15T00:00:00"/>
    <n v="61"/>
    <x v="5"/>
    <n v="0"/>
    <n v="0"/>
    <n v="0"/>
    <n v="0"/>
    <n v="0"/>
    <n v="0"/>
    <n v="0"/>
    <n v="0"/>
    <n v="0"/>
    <n v="0"/>
    <n v="0"/>
    <n v="0"/>
    <s v="https://www.clickideacore.com/ClickHTML5/Visit.aspx?ID=//5DDAEwASwAzADUAMgA1ADMANAA5ADkASQBEAEUAQQA2=&amp;Tipo=2&amp;ST=1&amp;nLang=0"/>
    <n v="0"/>
    <n v="0"/>
    <n v="0"/>
    <n v="0"/>
    <n v="0"/>
    <n v="0"/>
    <n v="0"/>
    <n v="0"/>
  </r>
  <r>
    <x v="5"/>
    <x v="6"/>
    <s v="OP-DYR-005"/>
    <x v="115"/>
    <d v="2025-08-15T00:00:00"/>
    <n v="24"/>
    <x v="5"/>
    <n v="0"/>
    <n v="0"/>
    <n v="0"/>
    <n v="0"/>
    <n v="0"/>
    <n v="0"/>
    <n v="0"/>
    <n v="0"/>
    <n v="0"/>
    <n v="0"/>
    <n v="0"/>
    <n v="0"/>
    <s v="https://www.clickideacore.com/ClickHTML5/Visit.aspx?ID=//5FDAEwASwAzADUAMgA1ADUAMQAzADMASQBEAEUAQQA8=&amp;Tipo=2&amp;ST=1&amp;nLang=0"/>
    <n v="0"/>
    <n v="0"/>
    <n v="0"/>
    <n v="0"/>
    <n v="0"/>
    <n v="0"/>
    <n v="0"/>
    <n v="0"/>
  </r>
  <r>
    <x v="2"/>
    <x v="6"/>
    <s v="OP-S-100"/>
    <x v="115"/>
    <d v="2025-08-15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9"/>
    <x v="7"/>
    <s v="OP-S-0010"/>
    <x v="115"/>
    <d v="2025-08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16"/>
    <d v="2025-08-16T00:00:00"/>
    <n v="30"/>
    <x v="0"/>
    <n v="0"/>
    <n v="0"/>
    <n v="0"/>
    <n v="0"/>
    <n v="0"/>
    <n v="0"/>
    <n v="0"/>
    <n v="1"/>
    <n v="0"/>
    <n v="1"/>
    <n v="1"/>
    <n v="0"/>
    <s v="https://www.clickideacore.com/ClickHTML5/Visit.aspx?ID=//58DAEwASwAzADUAMgA5ADAANwA2ADUASQBEAEUAQQA0=&amp;Tipo=2&amp;ST=1&amp;nLang=0"/>
    <n v="0"/>
    <n v="0"/>
    <n v="0"/>
    <n v="0"/>
    <n v="0"/>
    <n v="0"/>
    <n v="0"/>
    <n v="0"/>
  </r>
  <r>
    <x v="1"/>
    <x v="1"/>
    <s v="OP-DYR-004"/>
    <x v="116"/>
    <d v="2025-08-16T00:00:00"/>
    <n v="27"/>
    <x v="0"/>
    <n v="0"/>
    <n v="0"/>
    <n v="0"/>
    <n v="0"/>
    <n v="0"/>
    <n v="0"/>
    <n v="0"/>
    <n v="1"/>
    <n v="0"/>
    <n v="6"/>
    <n v="1"/>
    <n v="0"/>
    <s v="https://www.clickideacore.com/ClickHTML5/Visit.aspx?ID=//52DAEwASwAzADUAMgA5ADEAMgA2ADkASQBEAEUAQQA4=&amp;Tipo=2&amp;ST=1&amp;nLang=0"/>
    <n v="23"/>
    <n v="0"/>
    <n v="0"/>
    <n v="0"/>
    <n v="0"/>
    <n v="0"/>
    <n v="1"/>
    <n v="0"/>
  </r>
  <r>
    <x v="3"/>
    <x v="8"/>
    <s v="OP-S-076"/>
    <x v="116"/>
    <d v="2025-08-16T00:00:00"/>
    <n v="59"/>
    <x v="0"/>
    <n v="0"/>
    <n v="0"/>
    <n v="0"/>
    <n v="0"/>
    <n v="0"/>
    <n v="0"/>
    <n v="0"/>
    <n v="1"/>
    <n v="0"/>
    <n v="0"/>
    <n v="1"/>
    <n v="0"/>
    <s v="https://www.clickideacore.com/ClickHTML5/Visit.aspx?ID=//55DAEwASwAzADUAMgA4ADkAMAA2ADYASQBEAEUAQQA1=&amp;Tipo=2&amp;ST=1&amp;nLang=0"/>
    <n v="0"/>
    <n v="0"/>
    <n v="0"/>
    <n v="0"/>
    <n v="0"/>
    <n v="0"/>
    <n v="0"/>
    <n v="0"/>
  </r>
  <r>
    <x v="4"/>
    <x v="4"/>
    <s v="OP-DYR-005"/>
    <x v="116"/>
    <d v="2025-08-16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CDAEwASwAzADUAMgA4ADkANQA1ADkASQBEAEUAQQA0=&amp;Tipo=2&amp;ST=1&amp;nLang=0"/>
    <n v="0"/>
    <n v="0"/>
    <n v="0"/>
    <n v="0"/>
    <n v="0"/>
    <n v="0"/>
    <n v="0"/>
    <n v="0"/>
  </r>
  <r>
    <x v="0"/>
    <x v="0"/>
    <s v="OP-S-100"/>
    <x v="116"/>
    <d v="2025-08-16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17"/>
    <x v="6"/>
    <s v="OP-DYR-004"/>
    <x v="116"/>
    <d v="2025-08-16T00:00:00"/>
    <n v="61"/>
    <x v="5"/>
    <n v="0"/>
    <n v="0"/>
    <n v="0"/>
    <n v="0"/>
    <n v="0"/>
    <n v="0"/>
    <n v="0"/>
    <n v="0"/>
    <n v="0"/>
    <n v="0"/>
    <n v="0"/>
    <n v="0"/>
    <s v="https://www.clickideacore.com/ClickHTML5/Visit.aspx?ID=//5DDAEwASwAzADUAMgA1ADMANAA5ADkASQBEAEUAQQA2=&amp;Tipo=2&amp;ST=1&amp;nLang=0"/>
    <n v="0"/>
    <n v="0"/>
    <n v="0"/>
    <n v="0"/>
    <n v="0"/>
    <n v="0"/>
    <n v="0"/>
    <n v="0"/>
  </r>
  <r>
    <x v="5"/>
    <x v="6"/>
    <s v="OP-DYR-005"/>
    <x v="116"/>
    <d v="2025-08-16T00:00:00"/>
    <n v="24"/>
    <x v="5"/>
    <n v="0"/>
    <n v="0"/>
    <n v="0"/>
    <n v="0"/>
    <n v="0"/>
    <n v="0"/>
    <n v="0"/>
    <n v="0"/>
    <n v="0"/>
    <n v="0"/>
    <n v="0"/>
    <n v="0"/>
    <s v="https://www.clickideacore.com/ClickHTML5/Visit.aspx?ID=//5FDAEwASwAzADUAMgA1ADUAMQAzADMASQBEAEUAQQA8=&amp;Tipo=2&amp;ST=1&amp;nLang=0"/>
    <n v="0"/>
    <n v="0"/>
    <n v="0"/>
    <n v="0"/>
    <n v="0"/>
    <n v="0"/>
    <n v="0"/>
    <n v="0"/>
  </r>
  <r>
    <x v="2"/>
    <x v="6"/>
    <s v="OP-S-100"/>
    <x v="116"/>
    <d v="2025-08-16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9"/>
    <x v="7"/>
    <s v="OP-S-0010"/>
    <x v="116"/>
    <d v="2025-08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117"/>
    <d v="2025-08-17T00:00:00"/>
    <n v="24"/>
    <x v="0"/>
    <n v="0"/>
    <n v="0"/>
    <n v="0"/>
    <n v="0"/>
    <n v="0"/>
    <n v="0"/>
    <n v="0"/>
    <n v="0"/>
    <n v="1"/>
    <n v="0"/>
    <n v="0"/>
    <n v="1"/>
    <s v="https://www.clickideacore.com/ClickHTML5/Visit.aspx?ID=//5BDAEwASwAzADUAMgA5ADgANQAyADUASQBEAEUAQQAA=&amp;Tipo=2&amp;ST=1&amp;nLang=0"/>
    <n v="14"/>
    <n v="0"/>
    <n v="0"/>
    <n v="0"/>
    <n v="0"/>
    <n v="0"/>
    <n v="0"/>
    <n v="0"/>
  </r>
  <r>
    <x v="1"/>
    <x v="1"/>
    <s v="OP-DYR-004"/>
    <x v="117"/>
    <d v="2025-08-17T00:00:00"/>
    <n v="24"/>
    <x v="0"/>
    <n v="0"/>
    <n v="0"/>
    <n v="0"/>
    <n v="0"/>
    <n v="0"/>
    <n v="0"/>
    <n v="0"/>
    <n v="0"/>
    <n v="1"/>
    <n v="0"/>
    <n v="0"/>
    <n v="1"/>
    <s v="https://www.clickideacore.com/ClickHTML5/Visit.aspx?ID=//5CDAEwASwAzADUAMgA5ADgAOQAzADAASQBEAEUAQQAA=&amp;Tipo=2&amp;ST=1&amp;nLang=0"/>
    <n v="16"/>
    <n v="0"/>
    <n v="0"/>
    <n v="0"/>
    <n v="0"/>
    <n v="0"/>
    <n v="0"/>
    <n v="0"/>
  </r>
  <r>
    <x v="3"/>
    <x v="8"/>
    <s v="OP-S-076"/>
    <x v="117"/>
    <d v="2025-08-17T00:00:00"/>
    <n v="67"/>
    <x v="0"/>
    <n v="0"/>
    <n v="0"/>
    <n v="0"/>
    <n v="0"/>
    <n v="0"/>
    <n v="0"/>
    <n v="0"/>
    <n v="0"/>
    <n v="1"/>
    <n v="0"/>
    <n v="0"/>
    <n v="1"/>
    <s v="https://www.clickideacore.com/ClickHTML5/Visit.aspx?ID=//5DDAEwASwAzADUAMgA5ADgANgAyADkASQBEAEUAQQAD=&amp;Tipo=2&amp;ST=1&amp;nLang=0"/>
    <n v="17"/>
    <n v="0"/>
    <n v="0"/>
    <n v="0"/>
    <n v="0"/>
    <n v="0"/>
    <n v="0"/>
    <n v="0"/>
  </r>
  <r>
    <x v="4"/>
    <x v="4"/>
    <s v="OP-DYR-005"/>
    <x v="117"/>
    <d v="2025-08-17T00:00:00"/>
    <n v="23"/>
    <x v="0"/>
    <n v="0"/>
    <n v="0"/>
    <n v="0"/>
    <n v="0"/>
    <n v="0"/>
    <n v="0"/>
    <n v="0"/>
    <n v="0"/>
    <n v="0"/>
    <n v="6"/>
    <n v="0"/>
    <n v="1"/>
    <s v="https://www.clickideacore.com/ClickHTML5/Visit.aspx?ID=//5ADAEwASwAzADUAMwAwADAAMAA5ADEASQBEAEUAQQA0=&amp;Tipo=2&amp;ST=1&amp;nLang=0"/>
    <n v="17"/>
    <n v="0"/>
    <n v="0"/>
    <n v="0"/>
    <n v="0"/>
    <n v="0"/>
    <n v="0"/>
    <n v="1"/>
  </r>
  <r>
    <x v="0"/>
    <x v="0"/>
    <s v="OP-S-100"/>
    <x v="117"/>
    <d v="2025-08-17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17"/>
    <x v="6"/>
    <s v="OP-DYR-004"/>
    <x v="117"/>
    <d v="2025-08-17T00:00:00"/>
    <n v="61"/>
    <x v="5"/>
    <n v="0"/>
    <n v="0"/>
    <n v="0"/>
    <n v="0"/>
    <n v="0"/>
    <n v="0"/>
    <n v="0"/>
    <n v="0"/>
    <n v="0"/>
    <n v="0"/>
    <n v="0"/>
    <n v="0"/>
    <s v="https://www.clickideacore.com/ClickHTML5/Visit.aspx?ID=//5DDAEwASwAzADUAMgA1ADMANAA5ADkASQBEAEUAQQA2=&amp;Tipo=2&amp;ST=1&amp;nLang=0"/>
    <n v="0"/>
    <n v="0"/>
    <n v="0"/>
    <n v="0"/>
    <n v="0"/>
    <n v="0"/>
    <n v="0"/>
    <n v="0"/>
  </r>
  <r>
    <x v="5"/>
    <x v="6"/>
    <s v="OP-DYR-005"/>
    <x v="117"/>
    <d v="2025-08-17T00:00:00"/>
    <n v="24"/>
    <x v="5"/>
    <n v="0"/>
    <n v="0"/>
    <n v="0"/>
    <n v="0"/>
    <n v="0"/>
    <n v="0"/>
    <n v="0"/>
    <n v="0"/>
    <n v="0"/>
    <n v="0"/>
    <n v="0"/>
    <n v="0"/>
    <s v="https://www.clickideacore.com/ClickHTML5/Visit.aspx?ID=//5FDAEwASwAzADUAMgA1ADUAMQAzADMASQBEAEUAQQA8=&amp;Tipo=2&amp;ST=1&amp;nLang=0"/>
    <n v="0"/>
    <n v="0"/>
    <n v="0"/>
    <n v="0"/>
    <n v="0"/>
    <n v="0"/>
    <n v="0"/>
    <n v="0"/>
  </r>
  <r>
    <x v="2"/>
    <x v="6"/>
    <s v="OP-S-100"/>
    <x v="117"/>
    <d v="2025-08-17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gA1ADAAMgAxADcASQBEAEUAQQAD=&amp;Tipo=2&amp;ST=1&amp;nLang=0"/>
    <n v="0"/>
    <n v="0"/>
    <n v="0"/>
    <n v="0"/>
    <n v="0"/>
    <n v="0"/>
    <n v="0"/>
    <n v="0"/>
  </r>
  <r>
    <x v="9"/>
    <x v="7"/>
    <s v="OP-S-0010"/>
    <x v="117"/>
    <d v="2025-08-1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18"/>
    <d v="2025-08-18T00:00:00"/>
    <n v="28"/>
    <x v="0"/>
    <n v="18"/>
    <n v="0"/>
    <n v="0"/>
    <n v="0"/>
    <n v="0"/>
    <n v="1"/>
    <n v="0"/>
    <n v="0"/>
    <n v="0"/>
    <n v="0"/>
    <n v="0"/>
    <n v="0"/>
    <s v="https://www.clickideacore.com/ClickHTML5/Visit.aspx?ID=//53DAEwASwAzADUAMwAwADcAMgAzADgASQBEAEUAQQAE=&amp;Tipo=2&amp;ST=1&amp;nLang=0"/>
    <n v="0"/>
    <n v="0"/>
    <n v="0"/>
    <n v="0"/>
    <n v="0"/>
    <n v="0"/>
    <n v="0"/>
    <n v="0"/>
  </r>
  <r>
    <x v="2"/>
    <x v="2"/>
    <s v="OP-S-100"/>
    <x v="118"/>
    <d v="2025-08-18T00:00:00"/>
    <n v="28"/>
    <x v="0"/>
    <n v="18"/>
    <n v="0"/>
    <n v="0"/>
    <n v="0"/>
    <n v="0"/>
    <n v="0"/>
    <n v="0"/>
    <n v="0"/>
    <n v="0"/>
    <n v="0"/>
    <n v="0"/>
    <n v="0"/>
    <s v="https://www.clickideacore.com/ClickHTML5/Visit.aspx?ID=//53DAEwASwAzADUAMwAwADcAMgAzADgASQBEAEUAQQAE=&amp;Tipo=2&amp;ST=1&amp;nLang=0"/>
    <n v="0"/>
    <n v="0"/>
    <n v="0"/>
    <n v="0"/>
    <n v="0"/>
    <n v="0"/>
    <n v="0"/>
    <n v="0"/>
  </r>
  <r>
    <x v="17"/>
    <x v="6"/>
    <s v="OP-S-100"/>
    <x v="118"/>
    <d v="2025-08-18T00:00:00"/>
    <n v="28"/>
    <x v="0"/>
    <n v="18"/>
    <n v="0"/>
    <n v="0"/>
    <n v="0"/>
    <n v="0"/>
    <n v="0"/>
    <n v="0"/>
    <n v="0"/>
    <n v="0"/>
    <n v="0"/>
    <n v="0"/>
    <n v="0"/>
    <s v="https://www.clickideacore.com/ClickHTML5/Visit.aspx?ID=//53DAEwASwAzADUAMwAwADcAMgAzADgASQBEAEUAQQAE=&amp;Tipo=2&amp;ST=1&amp;nLang=0"/>
    <n v="0"/>
    <n v="0"/>
    <n v="0"/>
    <n v="0"/>
    <n v="0"/>
    <n v="0"/>
    <n v="0"/>
    <n v="0"/>
  </r>
  <r>
    <x v="1"/>
    <x v="1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8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4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18"/>
    <d v="2025-08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19"/>
    <d v="2025-08-19T00:00:00"/>
    <n v="17"/>
    <x v="0"/>
    <n v="11"/>
    <n v="0"/>
    <n v="0"/>
    <n v="0"/>
    <n v="0"/>
    <n v="0"/>
    <n v="0"/>
    <n v="0"/>
    <n v="0"/>
    <n v="0"/>
    <n v="0"/>
    <n v="0"/>
    <s v="https://www.clickideacore.com/ClickHTML5/Visit.aspx?ID=//5FDAEwASwAzADUAMwAxADcANQAxADQASQBEAEUAQQAE=&amp;Tipo=2&amp;ST=1&amp;nLang=0"/>
    <n v="0"/>
    <n v="0"/>
    <n v="0"/>
    <n v="0"/>
    <n v="0"/>
    <n v="0"/>
    <n v="0"/>
    <n v="0"/>
  </r>
  <r>
    <x v="9"/>
    <x v="2"/>
    <s v="OP-DYR-011"/>
    <x v="119"/>
    <d v="2025-08-19T00:00:00"/>
    <n v="17"/>
    <x v="0"/>
    <n v="33"/>
    <n v="0"/>
    <n v="0"/>
    <n v="0"/>
    <n v="1"/>
    <n v="0"/>
    <n v="0"/>
    <n v="0"/>
    <n v="0"/>
    <n v="0"/>
    <n v="0"/>
    <n v="0"/>
    <s v="https://www.clickideacore.com/ClickHTML5/Visit.aspx?ID=//5FDAEwASwAzADUAMwAxADcANQAxADQASQBEAEUAQQAE=&amp;Tipo=2&amp;ST=1&amp;nLang=0"/>
    <n v="0"/>
    <n v="0"/>
    <n v="0"/>
    <n v="0"/>
    <n v="0"/>
    <n v="0"/>
    <n v="0"/>
    <n v="0"/>
  </r>
  <r>
    <x v="0"/>
    <x v="0"/>
    <s v="OP-S-100"/>
    <x v="119"/>
    <d v="2025-08-19T00:00:00"/>
    <n v="22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UAMwAyADYANwAyADgASQBEAEUAQQAE=&amp;Tipo=2&amp;ST=1&amp;nLang=0"/>
    <n v="0"/>
    <n v="0"/>
    <n v="0"/>
    <n v="0"/>
    <n v="0"/>
    <n v="0"/>
    <n v="0"/>
    <n v="0"/>
  </r>
  <r>
    <x v="1"/>
    <x v="1"/>
    <s v="OP-DYR-004"/>
    <x v="119"/>
    <d v="2025-08-19T00:00:00"/>
    <n v="33"/>
    <x v="0"/>
    <n v="36"/>
    <n v="0"/>
    <n v="0"/>
    <n v="1"/>
    <n v="0"/>
    <n v="0"/>
    <n v="1"/>
    <n v="0"/>
    <n v="0"/>
    <n v="0"/>
    <n v="0"/>
    <n v="0"/>
    <s v="https://www.clickideacore.com/ClickHTML5/Visit.aspx?ID=//5FDAEwASwAzADUAMwAyADcAMQAxADgASQBEAEUAQQA4=&amp;Tipo=2&amp;ST=1&amp;nLang=0"/>
    <n v="0"/>
    <n v="0"/>
    <n v="0"/>
    <n v="0"/>
    <n v="0"/>
    <n v="0"/>
    <n v="0"/>
    <n v="0"/>
  </r>
  <r>
    <x v="2"/>
    <x v="6"/>
    <s v="OP-S-200"/>
    <x v="119"/>
    <d v="2025-08-19T00:00:00"/>
    <n v="43"/>
    <x v="0"/>
    <n v="40"/>
    <n v="0"/>
    <n v="0"/>
    <n v="0"/>
    <n v="1"/>
    <n v="0"/>
    <n v="0"/>
    <n v="0"/>
    <n v="0"/>
    <n v="0"/>
    <n v="0"/>
    <n v="0"/>
    <s v="https://www.clickideacore.com/ClickHTML5/Visit.aspx?ID=//58DAEwASwAzADUAMwAyADIANAA5ADUASQBEAEUAQQA4=&amp;Tipo=2&amp;ST=1&amp;nLang=0"/>
    <n v="0"/>
    <n v="0"/>
    <n v="0"/>
    <n v="0"/>
    <n v="0"/>
    <n v="0"/>
    <n v="0"/>
    <n v="0"/>
  </r>
  <r>
    <x v="3"/>
    <x v="8"/>
    <s v="OP-S-076"/>
    <x v="119"/>
    <d v="2025-08-19T00:00:00"/>
    <n v="43"/>
    <x v="0"/>
    <n v="3"/>
    <n v="0"/>
    <n v="0"/>
    <n v="0"/>
    <n v="0"/>
    <n v="0"/>
    <n v="0"/>
    <n v="0"/>
    <n v="0"/>
    <n v="0"/>
    <n v="0"/>
    <n v="0"/>
    <s v="https://www.clickideacore.com/ClickHTML5/Visit.aspx?ID=//52DAEwASwAzADUAMwAxADgAMQA2ADEASQBEAEUAQQAD=&amp;Tipo=2&amp;ST=1&amp;nLang=0"/>
    <n v="0"/>
    <n v="0"/>
    <n v="0"/>
    <n v="0"/>
    <n v="0"/>
    <n v="0"/>
    <n v="0"/>
    <n v="0"/>
  </r>
  <r>
    <x v="4"/>
    <x v="4"/>
    <s v="OP-DYR-005"/>
    <x v="119"/>
    <d v="2025-08-19T00:00:00"/>
    <n v="422"/>
    <x v="0"/>
    <n v="34"/>
    <n v="0"/>
    <n v="0"/>
    <n v="1"/>
    <n v="0"/>
    <n v="0"/>
    <n v="0"/>
    <n v="0"/>
    <n v="0"/>
    <n v="0"/>
    <n v="0"/>
    <n v="0"/>
    <s v="https://www.clickideacore.com/ClickHTML5/Visit.aspx?ID=//54DAEwASwAzADUAMwAyADgAMwA4ADIASQBEAEUAQQAF=&amp;Tipo=2&amp;ST=1&amp;nLang=0"/>
    <n v="0"/>
    <n v="0"/>
    <n v="0"/>
    <n v="0"/>
    <n v="0"/>
    <n v="0"/>
    <n v="0"/>
    <n v="0"/>
  </r>
  <r>
    <x v="5"/>
    <x v="6"/>
    <s v="OP-S-0010"/>
    <x v="119"/>
    <d v="2025-08-1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19"/>
    <d v="2025-08-1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19"/>
    <d v="2025-08-1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4"/>
    <s v="OP-DYR-011"/>
    <x v="120"/>
    <d v="2025-08-20T00:00:00"/>
    <n v="45"/>
    <x v="0"/>
    <n v="36"/>
    <n v="0"/>
    <n v="0"/>
    <n v="1"/>
    <n v="0"/>
    <n v="1"/>
    <n v="0"/>
    <n v="0"/>
    <n v="0"/>
    <n v="0"/>
    <n v="0"/>
    <n v="0"/>
    <s v="https://www.clickideacore.com/ClickHTML5/Visit.aspx?ID=//5EDAEwASwAzADUAMwA0ADkANAAwADEASQBEAEUAQQA6=&amp;Tipo=2&amp;ST=1&amp;nLang=0"/>
    <n v="0"/>
    <n v="0"/>
    <n v="0"/>
    <n v="0"/>
    <n v="0"/>
    <n v="0"/>
    <n v="0"/>
    <n v="0"/>
  </r>
  <r>
    <x v="5"/>
    <x v="6"/>
    <s v="OP-S-005"/>
    <x v="120"/>
    <d v="2025-08-20T00:00:00"/>
    <n v="49"/>
    <x v="0"/>
    <n v="30"/>
    <n v="0"/>
    <n v="0"/>
    <n v="0"/>
    <n v="1"/>
    <n v="0"/>
    <n v="0"/>
    <n v="0"/>
    <n v="0"/>
    <n v="0"/>
    <n v="0"/>
    <n v="0"/>
    <s v="https://www.clickideacore.com/ClickHTML5/Visit.aspx?ID=//54DAEwASwAzADUAMwA1ADQAOQAwADIASQBEAEUAQQA5=&amp;Tipo=2&amp;ST=1&amp;nLang=0"/>
    <n v="0"/>
    <n v="0"/>
    <n v="0"/>
    <n v="0"/>
    <n v="0"/>
    <n v="0"/>
    <n v="0"/>
    <n v="0"/>
  </r>
  <r>
    <x v="17"/>
    <x v="6"/>
    <s v="OP-S-005"/>
    <x v="120"/>
    <d v="2025-08-20T00:00:00"/>
    <n v="49"/>
    <x v="0"/>
    <n v="30"/>
    <n v="0"/>
    <n v="0"/>
    <n v="0"/>
    <n v="1"/>
    <n v="0"/>
    <n v="0"/>
    <n v="0"/>
    <n v="0"/>
    <n v="0"/>
    <n v="0"/>
    <n v="0"/>
    <s v="https://www.clickideacore.com/ClickHTML5/Visit.aspx?ID=//54DAEwASwAzADUAMwA1ADQAOQAwADIASQBEAEUAQQA5=&amp;Tipo=2&amp;ST=1&amp;nLang=0"/>
    <n v="0"/>
    <n v="0"/>
    <n v="0"/>
    <n v="0"/>
    <n v="0"/>
    <n v="0"/>
    <n v="0"/>
    <n v="0"/>
  </r>
  <r>
    <x v="1"/>
    <x v="1"/>
    <s v="OP-DYR-004"/>
    <x v="120"/>
    <d v="2025-08-20T00:00:00"/>
    <n v="92"/>
    <x v="0"/>
    <n v="37"/>
    <n v="0"/>
    <n v="0"/>
    <n v="1"/>
    <n v="0"/>
    <n v="0"/>
    <n v="0"/>
    <n v="0"/>
    <n v="0"/>
    <n v="0"/>
    <n v="0"/>
    <n v="0"/>
    <s v="https://www.clickideacore.com/ClickHTML5/Visit.aspx?ID=//59DAEwASwAzADUAMwA1ADQAMwAzADcASQBEAEUAQQA6=&amp;Tipo=2&amp;ST=1&amp;nLang=0"/>
    <n v="0"/>
    <n v="4"/>
    <n v="1"/>
    <n v="0"/>
    <n v="0"/>
    <n v="0"/>
    <n v="0"/>
    <n v="0"/>
  </r>
  <r>
    <x v="3"/>
    <x v="8"/>
    <s v="OP-S-076"/>
    <x v="120"/>
    <d v="2025-08-20T00:00:00"/>
    <n v="44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UAMwA1ADMAOQA4ADMASQBEAEUAQQA4=&amp;Tipo=2&amp;ST=1&amp;nLang=0"/>
    <n v="0"/>
    <n v="0"/>
    <n v="0"/>
    <n v="0"/>
    <n v="0"/>
    <n v="0"/>
    <n v="0"/>
    <n v="0"/>
  </r>
  <r>
    <x v="4"/>
    <x v="6"/>
    <s v="OP-S-076"/>
    <x v="120"/>
    <d v="2025-08-20T00:00:00"/>
    <n v="44"/>
    <x v="4"/>
    <n v="0"/>
    <n v="0"/>
    <n v="0"/>
    <n v="0"/>
    <n v="0"/>
    <n v="0"/>
    <n v="0"/>
    <n v="0"/>
    <n v="0"/>
    <n v="0"/>
    <n v="0"/>
    <n v="0"/>
    <s v="https://www.clickideacore.com/ClickHTML5/Visit.aspx?ID=//54DAEwASwAzADUAMwA1ADMAOQA4ADMASQBEAEUAQQA4=&amp;Tipo=2&amp;ST=1&amp;nLang=0"/>
    <n v="0"/>
    <n v="0"/>
    <n v="0"/>
    <n v="0"/>
    <n v="0"/>
    <n v="0"/>
    <n v="0"/>
    <n v="0"/>
  </r>
  <r>
    <x v="2"/>
    <x v="2"/>
    <s v="OP-S-0010"/>
    <x v="120"/>
    <d v="2025-08-2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20"/>
    <d v="2025-08-2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20"/>
    <d v="2025-08-2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21"/>
    <d v="2025-08-21T00:00:00"/>
    <n v="41"/>
    <x v="0"/>
    <n v="37"/>
    <n v="0"/>
    <n v="0"/>
    <n v="1"/>
    <n v="0"/>
    <n v="0"/>
    <n v="0"/>
    <n v="0"/>
    <n v="0"/>
    <n v="0"/>
    <n v="0"/>
    <n v="0"/>
    <s v="https://www.clickideacore.com/ClickHTML5/Visit.aspx?ID=//57DAEwASwAzADUAMwA3ADMAMAA4ADkASQBEAEUAQQA7=&amp;Tipo=2&amp;ST=1&amp;nLang=0"/>
    <n v="0"/>
    <n v="0"/>
    <n v="0"/>
    <n v="0"/>
    <n v="0"/>
    <n v="0"/>
    <n v="0"/>
    <n v="0"/>
  </r>
  <r>
    <x v="17"/>
    <x v="6"/>
    <s v="OP-S-005"/>
    <x v="121"/>
    <d v="2025-08-21T00:00:00"/>
    <n v="41"/>
    <x v="0"/>
    <n v="37"/>
    <n v="0"/>
    <n v="0"/>
    <n v="1"/>
    <n v="0"/>
    <n v="0"/>
    <n v="0"/>
    <n v="0"/>
    <n v="0"/>
    <n v="0"/>
    <n v="0"/>
    <n v="0"/>
    <s v="https://www.clickideacore.com/ClickHTML5/Visit.aspx?ID=//57DAEwASwAzADUAMwA3ADMAMAA4ADkASQBEAEUAQQA7=&amp;Tipo=2&amp;ST=1&amp;nLang=0"/>
    <n v="0"/>
    <n v="0"/>
    <n v="0"/>
    <n v="0"/>
    <n v="0"/>
    <n v="0"/>
    <n v="0"/>
    <n v="0"/>
  </r>
  <r>
    <x v="0"/>
    <x v="0"/>
    <s v="OP-S-100"/>
    <x v="121"/>
    <d v="2025-08-21T00:00:00"/>
    <n v="25"/>
    <x v="0"/>
    <n v="33"/>
    <n v="0"/>
    <n v="0"/>
    <n v="1"/>
    <n v="0"/>
    <n v="0"/>
    <n v="0"/>
    <n v="0"/>
    <n v="0"/>
    <n v="0"/>
    <n v="0"/>
    <n v="0"/>
    <s v="https://www.clickideacore.com/ClickHTML5/Visit.aspx?ID=//53DAEwASwAzADUAMwA3ADAAMwA0ADQASQBEAEUAQQAE=&amp;Tipo=2&amp;ST=1&amp;nLang=0"/>
    <n v="0"/>
    <n v="0"/>
    <n v="0"/>
    <n v="0"/>
    <n v="0"/>
    <n v="0"/>
    <n v="0"/>
    <n v="0"/>
  </r>
  <r>
    <x v="2"/>
    <x v="6"/>
    <s v="OP-S-100"/>
    <x v="121"/>
    <d v="2025-08-21T00:00:00"/>
    <n v="25"/>
    <x v="0"/>
    <n v="22"/>
    <n v="0"/>
    <n v="0"/>
    <n v="0"/>
    <n v="1"/>
    <n v="0"/>
    <n v="0"/>
    <n v="0"/>
    <n v="0"/>
    <n v="2"/>
    <n v="0"/>
    <n v="0"/>
    <s v="https://www.clickideacore.com/ClickHTML5/Visit.aspx?ID=//53DAEwASwAzADUAMwA3ADAAMwA0ADQASQBEAEUAQQAE=&amp;Tipo=2&amp;ST=1&amp;nLang=0"/>
    <n v="0"/>
    <n v="0"/>
    <n v="0"/>
    <n v="0"/>
    <n v="0"/>
    <n v="0"/>
    <n v="0"/>
    <n v="0"/>
  </r>
  <r>
    <x v="9"/>
    <x v="2"/>
    <s v="OP-S-100"/>
    <x v="121"/>
    <d v="2025-08-21T00:00:00"/>
    <n v="25"/>
    <x v="0"/>
    <n v="25"/>
    <n v="0"/>
    <n v="0"/>
    <n v="0"/>
    <n v="1"/>
    <n v="0"/>
    <n v="0"/>
    <n v="0"/>
    <n v="0"/>
    <n v="0"/>
    <n v="0"/>
    <n v="0"/>
    <s v="https://www.clickideacore.com/ClickHTML5/Visit.aspx?ID=//53DAEwASwAzADUAMwA3ADAAMwA0ADQASQBEAEUAQQAE=&amp;Tipo=2&amp;ST=1&amp;nLang=0"/>
    <n v="0"/>
    <n v="0"/>
    <n v="0"/>
    <n v="0"/>
    <n v="0"/>
    <n v="0"/>
    <n v="0"/>
    <n v="0"/>
  </r>
  <r>
    <x v="4"/>
    <x v="4"/>
    <s v="OP-S-100"/>
    <x v="121"/>
    <d v="2025-08-21T00:00:00"/>
    <n v="25"/>
    <x v="0"/>
    <n v="24"/>
    <n v="0"/>
    <n v="0"/>
    <n v="1"/>
    <n v="0"/>
    <n v="0"/>
    <n v="0"/>
    <n v="0"/>
    <n v="0"/>
    <n v="0"/>
    <n v="0"/>
    <n v="0"/>
    <s v="https://www.clickideacore.com/ClickHTML5/Visit.aspx?ID=//53DAEwASwAzADUAMwA3ADAAMwA0ADQASQBEAEUAQQAE=&amp;Tipo=2&amp;ST=1&amp;nLang=0"/>
    <n v="0"/>
    <n v="0"/>
    <n v="0"/>
    <n v="0"/>
    <n v="0"/>
    <n v="0"/>
    <n v="0"/>
    <n v="0"/>
  </r>
  <r>
    <x v="3"/>
    <x v="8"/>
    <s v="OP-S-076"/>
    <x v="121"/>
    <d v="2025-08-21T00:00:00"/>
    <n v="44"/>
    <x v="4"/>
    <n v="0"/>
    <n v="0"/>
    <n v="0"/>
    <n v="0"/>
    <n v="0"/>
    <n v="0"/>
    <n v="0"/>
    <n v="0"/>
    <n v="0"/>
    <n v="0"/>
    <n v="0"/>
    <n v="0"/>
    <s v="https://www.clickideacore.com/ClickHTML5/Visit.aspx?ID=//54DAEwASwAzADUAMwA1ADMAOQA4ADMASQBEAEUAQQA4=&amp;Tipo=2&amp;ST=1&amp;nLang=0"/>
    <n v="0"/>
    <n v="0"/>
    <n v="0"/>
    <n v="0"/>
    <n v="0"/>
    <n v="0"/>
    <n v="0"/>
    <n v="0"/>
  </r>
  <r>
    <x v="1"/>
    <x v="1"/>
    <s v="OP-S-076"/>
    <x v="121"/>
    <d v="2025-08-21T00:00:00"/>
    <n v="44"/>
    <x v="4"/>
    <n v="0"/>
    <n v="0"/>
    <n v="0"/>
    <n v="0"/>
    <n v="0"/>
    <n v="0"/>
    <n v="0"/>
    <n v="0"/>
    <n v="0"/>
    <n v="0"/>
    <n v="0"/>
    <n v="0"/>
    <s v="https://www.clickideacore.com/ClickHTML5/Visit.aspx?ID=//54DAEwASwAzADUAMwA1ADMAOQA4ADMASQBEAEUAQQA4=&amp;Tipo=2&amp;ST=1&amp;nLang=0"/>
    <n v="0"/>
    <n v="0"/>
    <n v="0"/>
    <n v="0"/>
    <n v="0"/>
    <n v="0"/>
    <n v="0"/>
    <n v="0"/>
  </r>
  <r>
    <x v="10"/>
    <x v="6"/>
    <s v="OP-S-076"/>
    <x v="121"/>
    <d v="2025-08-21T00:00:00"/>
    <n v="44"/>
    <x v="4"/>
    <n v="0"/>
    <n v="0"/>
    <n v="0"/>
    <n v="0"/>
    <n v="0"/>
    <n v="0"/>
    <n v="0"/>
    <n v="0"/>
    <n v="0"/>
    <n v="0"/>
    <n v="0"/>
    <n v="0"/>
    <s v="https://www.clickideacore.com/ClickHTML5/Visit.aspx?ID=//54DAEwASwAzADUAMwA1ADMAOQA4ADMASQBEAEUAQQA4=&amp;Tipo=2&amp;ST=1&amp;nLang=0"/>
    <n v="0"/>
    <n v="0"/>
    <n v="0"/>
    <n v="0"/>
    <n v="0"/>
    <n v="0"/>
    <n v="0"/>
    <n v="0"/>
  </r>
  <r>
    <x v="9"/>
    <x v="7"/>
    <s v="OP-S-0010"/>
    <x v="121"/>
    <d v="2025-08-2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22"/>
    <d v="2025-08-22T00:00:00"/>
    <n v="43"/>
    <x v="0"/>
    <n v="16"/>
    <n v="0"/>
    <n v="0"/>
    <n v="1"/>
    <n v="0"/>
    <n v="0"/>
    <n v="0"/>
    <n v="0"/>
    <n v="0"/>
    <n v="0"/>
    <n v="0"/>
    <n v="0"/>
    <s v="https://www.clickideacore.com/ClickHTML5/Visit.aspx?ID=//5ADAEwASwAzADUANAAwADAAMwA4ADEASQBEAEUAQQA1=&amp;Tipo=2&amp;ST=1&amp;nLang=0"/>
    <n v="0"/>
    <n v="0"/>
    <n v="0"/>
    <n v="0"/>
    <n v="0"/>
    <n v="0"/>
    <n v="0"/>
    <n v="0"/>
  </r>
  <r>
    <x v="17"/>
    <x v="6"/>
    <s v="OP-S-005"/>
    <x v="122"/>
    <d v="2025-08-22T00:00:00"/>
    <n v="43"/>
    <x v="0"/>
    <n v="16"/>
    <n v="0"/>
    <n v="0"/>
    <n v="1"/>
    <n v="0"/>
    <n v="0"/>
    <n v="0"/>
    <n v="0"/>
    <n v="0"/>
    <n v="0"/>
    <n v="0"/>
    <n v="0"/>
    <s v="https://www.clickideacore.com/ClickHTML5/Visit.aspx?ID=//5ADAEwASwAzADUANAAwADAAMwA4ADEASQBEAEUAQQA1=&amp;Tipo=2&amp;ST=1&amp;nLang=0"/>
    <n v="0"/>
    <n v="0"/>
    <n v="0"/>
    <n v="0"/>
    <n v="0"/>
    <n v="0"/>
    <n v="0"/>
    <n v="0"/>
  </r>
  <r>
    <x v="0"/>
    <x v="0"/>
    <s v="OP-S-100"/>
    <x v="122"/>
    <d v="2025-08-22T00:00:00"/>
    <n v="51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UAMwA5ADYANQAxADMASQBEAEUAQQA3=&amp;Tipo=2&amp;ST=1&amp;nLang=0"/>
    <n v="0"/>
    <n v="0"/>
    <n v="0"/>
    <n v="0"/>
    <n v="0"/>
    <n v="0"/>
    <n v="0"/>
    <n v="0"/>
  </r>
  <r>
    <x v="3"/>
    <x v="8"/>
    <s v="OP-S-076"/>
    <x v="122"/>
    <d v="2025-08-22T00:00:00"/>
    <n v="36"/>
    <x v="0"/>
    <n v="20"/>
    <n v="0"/>
    <n v="0"/>
    <n v="1"/>
    <n v="0"/>
    <n v="0"/>
    <n v="0"/>
    <n v="0"/>
    <n v="0"/>
    <n v="0"/>
    <n v="0"/>
    <n v="0"/>
    <s v="https://www.clickideacore.com/ClickHTML5/Visit.aspx?ID=//53DAEwASwAzADUAMwA5ADYANwAzADgASQBEAEUAQQA3=&amp;Tipo=2&amp;ST=1&amp;nLang=0"/>
    <n v="0"/>
    <n v="0"/>
    <n v="0"/>
    <n v="0"/>
    <n v="0"/>
    <n v="0"/>
    <n v="0"/>
    <n v="0"/>
  </r>
  <r>
    <x v="4"/>
    <x v="4"/>
    <s v="OP-DYR-005"/>
    <x v="122"/>
    <d v="2025-08-22T00:00:00"/>
    <n v="26"/>
    <x v="0"/>
    <n v="3"/>
    <n v="0"/>
    <n v="0"/>
    <n v="0"/>
    <n v="0"/>
    <n v="0"/>
    <n v="1"/>
    <n v="0"/>
    <n v="0"/>
    <n v="0"/>
    <n v="0"/>
    <n v="0"/>
    <s v="https://www.clickideacore.com/ClickHTML5/Visit.aspx?ID=//59DAEwASwAzADUAMwA5ADQAOQA3ADIASQBEAEUAQQA9=&amp;Tipo=2&amp;ST=1&amp;nLang=0"/>
    <n v="0"/>
    <n v="10"/>
    <n v="0"/>
    <n v="0"/>
    <n v="0"/>
    <n v="0"/>
    <n v="0"/>
    <n v="0"/>
  </r>
  <r>
    <x v="2"/>
    <x v="2"/>
    <s v="OP-DYR-005"/>
    <x v="122"/>
    <d v="2025-08-22T00:00:00"/>
    <n v="26"/>
    <x v="0"/>
    <n v="18"/>
    <n v="0"/>
    <n v="0"/>
    <n v="0"/>
    <n v="1"/>
    <n v="0"/>
    <n v="0"/>
    <n v="0"/>
    <n v="0"/>
    <n v="0"/>
    <n v="0"/>
    <n v="0"/>
    <s v="https://www.clickideacore.com/ClickHTML5/Visit.aspx?ID=//59DAEwASwAzADUAMwA5ADQAOQA3ADIASQBEAEUAQQA9=&amp;Tipo=2&amp;ST=1&amp;nLang=0"/>
    <n v="0"/>
    <n v="1"/>
    <n v="0"/>
    <n v="0"/>
    <n v="0"/>
    <n v="0"/>
    <n v="0"/>
    <n v="0"/>
  </r>
  <r>
    <x v="9"/>
    <x v="3"/>
    <s v="OP-DYR-011"/>
    <x v="122"/>
    <d v="2025-08-22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1"/>
    <s v="OP-DYR-011"/>
    <x v="122"/>
    <d v="2025-08-22T00:00:00"/>
    <n v="25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S-0010"/>
    <x v="122"/>
    <d v="2025-08-2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22"/>
    <d v="2025-08-22T00:00:00"/>
    <n v="0"/>
    <x v="7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23"/>
    <d v="2025-08-23T00:00:00"/>
    <n v="86"/>
    <x v="0"/>
    <n v="0"/>
    <n v="0"/>
    <n v="0"/>
    <n v="0"/>
    <n v="0"/>
    <n v="0"/>
    <n v="0"/>
    <n v="0"/>
    <n v="0"/>
    <n v="6"/>
    <n v="1"/>
    <n v="0"/>
    <s v="https://www.clickideacore.com/ClickHTML5/Visit.aspx?ID=//57DAEwASwAzADUANAAxADQAOQAyADEASQBEAEUAQQA2=&amp;Tipo=2&amp;ST=1&amp;nLang=0"/>
    <n v="23"/>
    <n v="0"/>
    <n v="0"/>
    <n v="0"/>
    <n v="0"/>
    <n v="0"/>
    <n v="1"/>
    <n v="0"/>
  </r>
  <r>
    <x v="17"/>
    <x v="6"/>
    <s v="OP-S-005"/>
    <x v="123"/>
    <d v="2025-08-23T00:00:00"/>
    <n v="86"/>
    <x v="0"/>
    <n v="0"/>
    <n v="0"/>
    <n v="0"/>
    <n v="0"/>
    <n v="0"/>
    <n v="0"/>
    <n v="0"/>
    <n v="0"/>
    <n v="0"/>
    <n v="6"/>
    <n v="1"/>
    <n v="0"/>
    <s v="https://www.clickideacore.com/ClickHTML5/Visit.aspx?ID=//57DAEwASwAzADUANAAxADQAOQAyADEASQBEAEUAQQA2=&amp;Tipo=2&amp;ST=1&amp;nLang=0"/>
    <n v="23"/>
    <n v="0"/>
    <n v="0"/>
    <n v="0"/>
    <n v="0"/>
    <n v="0"/>
    <n v="1"/>
    <n v="0"/>
  </r>
  <r>
    <x v="0"/>
    <x v="0"/>
    <s v="OP-S-100"/>
    <x v="123"/>
    <d v="2025-08-23T00:00:00"/>
    <n v="40"/>
    <x v="0"/>
    <n v="0"/>
    <n v="0"/>
    <n v="0"/>
    <n v="0"/>
    <n v="0"/>
    <n v="0"/>
    <n v="0"/>
    <n v="1"/>
    <n v="0"/>
    <n v="1"/>
    <n v="1"/>
    <n v="0"/>
    <s v="https://www.clickideacore.com/ClickHTML5/Visit.aspx?ID=//55DAEwASwAzADUANAAxADMAOAA1ADAASQBEAEUAQQAE=&amp;Tipo=2&amp;ST=1&amp;nLang=0"/>
    <n v="0"/>
    <n v="0"/>
    <n v="0"/>
    <n v="0"/>
    <n v="0"/>
    <n v="0"/>
    <n v="0"/>
    <n v="0"/>
  </r>
  <r>
    <x v="11"/>
    <x v="17"/>
    <s v="OP-SDYR-001"/>
    <x v="123"/>
    <d v="2025-08-23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1DAEwASwAzADUANAAxADMAOAA4ADUASQBEAEUAQQA0=&amp;Tipo=2&amp;ST=1&amp;nLang=0"/>
    <n v="0"/>
    <n v="0"/>
    <n v="0"/>
    <n v="0"/>
    <n v="0"/>
    <n v="0"/>
    <n v="0"/>
    <n v="0"/>
  </r>
  <r>
    <x v="2"/>
    <x v="2"/>
    <s v="OP-S-200"/>
    <x v="123"/>
    <d v="2025-08-23T00:00:00"/>
    <n v="17"/>
    <x v="0"/>
    <n v="0"/>
    <n v="0"/>
    <n v="0"/>
    <n v="0"/>
    <n v="0"/>
    <n v="0"/>
    <n v="0"/>
    <n v="1"/>
    <n v="0"/>
    <n v="1"/>
    <n v="1"/>
    <n v="0"/>
    <s v="https://www.clickideacore.com/ClickHTML5/Visit.aspx?ID=//5CDAEwASwAzADUANAAxADUANgA2ADMASQBEAEUAQQAF=&amp;Tipo=2&amp;ST=1&amp;nLang=0"/>
    <n v="0"/>
    <n v="0"/>
    <n v="0"/>
    <n v="0"/>
    <n v="0"/>
    <n v="0"/>
    <n v="0"/>
    <n v="0"/>
  </r>
  <r>
    <x v="3"/>
    <x v="8"/>
    <s v="OP-S-076"/>
    <x v="123"/>
    <d v="2025-08-23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wA5ADYANwAzADgASQBEAEUAQQA3=&amp;Tipo=2&amp;ST=1&amp;nLang=0"/>
    <n v="0"/>
    <n v="0"/>
    <n v="0"/>
    <n v="0"/>
    <n v="0"/>
    <n v="0"/>
    <n v="0"/>
    <n v="0"/>
  </r>
  <r>
    <x v="4"/>
    <x v="4"/>
    <s v="OP-DYR-005"/>
    <x v="123"/>
    <d v="2025-08-23T00:00:00"/>
    <n v="26"/>
    <x v="5"/>
    <n v="0"/>
    <n v="0"/>
    <n v="0"/>
    <n v="0"/>
    <n v="0"/>
    <n v="0"/>
    <n v="0"/>
    <n v="0"/>
    <n v="0"/>
    <n v="0"/>
    <n v="0"/>
    <n v="0"/>
    <s v="https://www.clickideacore.com/ClickHTML5/Visit.aspx?ID=//59DAEwASwAzADUAMwA5ADQAOQA3ADIASQBEAEUAQQA9=&amp;Tipo=2&amp;ST=1&amp;nLang=0"/>
    <n v="0"/>
    <n v="0"/>
    <n v="0"/>
    <n v="0"/>
    <n v="0"/>
    <n v="0"/>
    <n v="0"/>
    <n v="0"/>
  </r>
  <r>
    <x v="9"/>
    <x v="3"/>
    <s v="OP-DYR-011"/>
    <x v="123"/>
    <d v="2025-08-23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1"/>
    <s v="OP-DYR-011"/>
    <x v="123"/>
    <d v="2025-08-23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S-0010"/>
    <x v="123"/>
    <d v="2025-08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23"/>
    <d v="2025-08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24"/>
    <d v="2025-08-24T00:00:00"/>
    <n v="46"/>
    <x v="0"/>
    <n v="0"/>
    <n v="0"/>
    <n v="0"/>
    <n v="0"/>
    <n v="0"/>
    <n v="0"/>
    <n v="0"/>
    <n v="0"/>
    <n v="1"/>
    <n v="1"/>
    <n v="0"/>
    <n v="1"/>
    <s v="https://www.clickideacore.com/ClickHTML5/Visit.aspx?ID=//5FDAEwASwAzADUANAAyADMANAA1ADkASQBEAEUAQQA7=&amp;Tipo=2&amp;ST=1&amp;nLang=0"/>
    <n v="16"/>
    <n v="0"/>
    <n v="0"/>
    <n v="0"/>
    <n v="0"/>
    <n v="0"/>
    <n v="0"/>
    <n v="0"/>
  </r>
  <r>
    <x v="17"/>
    <x v="6"/>
    <s v="OP-S-005"/>
    <x v="124"/>
    <d v="2025-08-24T00:00:00"/>
    <n v="46"/>
    <x v="0"/>
    <n v="0"/>
    <n v="0"/>
    <n v="0"/>
    <n v="0"/>
    <n v="0"/>
    <n v="0"/>
    <n v="0"/>
    <n v="0"/>
    <n v="1"/>
    <n v="0"/>
    <n v="0"/>
    <n v="1"/>
    <s v="https://www.clickideacore.com/ClickHTML5/Visit.aspx?ID=//5FDAEwASwAzADUANAAyADMANAA1ADkASQBEAEUAQQA7=&amp;Tipo=2&amp;ST=1&amp;nLang=0"/>
    <n v="16"/>
    <n v="0"/>
    <n v="0"/>
    <n v="0"/>
    <n v="0"/>
    <n v="0"/>
    <n v="0"/>
    <n v="0"/>
  </r>
  <r>
    <x v="0"/>
    <x v="0"/>
    <s v="OP-S-100"/>
    <x v="124"/>
    <d v="2025-08-24T00:00:00"/>
    <n v="29"/>
    <x v="0"/>
    <n v="0"/>
    <n v="0"/>
    <n v="0"/>
    <n v="0"/>
    <n v="0"/>
    <n v="0"/>
    <n v="0"/>
    <n v="0"/>
    <n v="1"/>
    <n v="1"/>
    <n v="0"/>
    <n v="1"/>
    <s v="https://www.clickideacore.com/ClickHTML5/Visit.aspx?ID=//54DAEwASwAzADUANAAyADIAOAAwADQASQBEAEUAQQA9=&amp;Tipo=2&amp;ST=1&amp;nLang=0"/>
    <n v="0"/>
    <n v="0"/>
    <n v="0"/>
    <n v="0"/>
    <n v="0"/>
    <n v="0"/>
    <n v="0"/>
    <n v="0"/>
  </r>
  <r>
    <x v="11"/>
    <x v="17"/>
    <s v="OP-SDYR-001"/>
    <x v="124"/>
    <d v="2025-08-24T00:00:00"/>
    <n v="17"/>
    <x v="0"/>
    <n v="0"/>
    <n v="0"/>
    <n v="0"/>
    <n v="0"/>
    <n v="0"/>
    <n v="0"/>
    <n v="0"/>
    <n v="0"/>
    <n v="1"/>
    <n v="0"/>
    <n v="0"/>
    <n v="1"/>
    <s v="https://www.clickideacore.com/ClickHTML5/Visit.aspx?ID=//59DAEwASwAzADUANAAyADIAMgA1ADEASQBEAEUAQQAC=&amp;Tipo=2&amp;ST=1&amp;nLang=0"/>
    <n v="0"/>
    <n v="0"/>
    <n v="0"/>
    <n v="0"/>
    <n v="0"/>
    <n v="0"/>
    <n v="0"/>
    <n v="0"/>
  </r>
  <r>
    <x v="2"/>
    <x v="2"/>
    <s v="OP-S-200"/>
    <x v="124"/>
    <d v="2025-08-24T00:00:00"/>
    <n v="31"/>
    <x v="0"/>
    <n v="0"/>
    <n v="0"/>
    <n v="0"/>
    <n v="0"/>
    <n v="0"/>
    <n v="0"/>
    <n v="0"/>
    <n v="0"/>
    <n v="0"/>
    <n v="8"/>
    <n v="0"/>
    <n v="1"/>
    <s v="https://www.clickideacore.com/ClickHTML5/Visit.aspx?ID=//57DAEwASwAzADUANAAyADIAOQA2ADAASQBEAEUAQQA5=&amp;Tipo=2&amp;ST=1&amp;nLang=0"/>
    <n v="16"/>
    <n v="0"/>
    <n v="0"/>
    <n v="0"/>
    <n v="0"/>
    <n v="0"/>
    <n v="0"/>
    <n v="1"/>
  </r>
  <r>
    <x v="3"/>
    <x v="8"/>
    <s v="OP-S-076"/>
    <x v="124"/>
    <d v="2025-08-24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3DAEwASwAzADUAMwA5ADYANwAzADgASQBEAEUAQQA3=&amp;Tipo=2&amp;ST=1&amp;nLang=0"/>
    <n v="0"/>
    <n v="0"/>
    <n v="0"/>
    <n v="0"/>
    <n v="0"/>
    <n v="0"/>
    <n v="0"/>
    <n v="0"/>
  </r>
  <r>
    <x v="9"/>
    <x v="4"/>
    <s v="OP-DYR-005"/>
    <x v="124"/>
    <d v="2025-08-24T00:00:00"/>
    <n v="26"/>
    <x v="5"/>
    <n v="0"/>
    <n v="0"/>
    <n v="0"/>
    <n v="0"/>
    <n v="0"/>
    <n v="0"/>
    <n v="0"/>
    <n v="0"/>
    <n v="0"/>
    <n v="0"/>
    <n v="0"/>
    <n v="0"/>
    <s v="https://www.clickideacore.com/ClickHTML5/Visit.aspx?ID=//59DAEwASwAzADUAMwA5ADQAOQA3ADIASQBEAEUAQQA9=&amp;Tipo=2&amp;ST=1&amp;nLang=0"/>
    <n v="0"/>
    <n v="0"/>
    <n v="0"/>
    <n v="0"/>
    <n v="0"/>
    <n v="0"/>
    <n v="0"/>
    <n v="0"/>
  </r>
  <r>
    <x v="4"/>
    <x v="1"/>
    <s v="OP-DYR-005"/>
    <x v="124"/>
    <d v="2025-08-24T00:00:00"/>
    <n v="26"/>
    <x v="0"/>
    <n v="10"/>
    <n v="0"/>
    <n v="0"/>
    <n v="0"/>
    <n v="0"/>
    <n v="0"/>
    <n v="1"/>
    <n v="0"/>
    <n v="1"/>
    <n v="3"/>
    <n v="0"/>
    <n v="1"/>
    <s v="https://www.clickideacore.com/ClickHTML5/Visit.aspx?ID=//59DAEwASwAzADUAMwA5ADQAOQA3ADIASQBEAEUAQQA9=&amp;Tipo=2&amp;ST=1&amp;nLang=0"/>
    <n v="0"/>
    <n v="0"/>
    <n v="0"/>
    <n v="0"/>
    <n v="0"/>
    <n v="0"/>
    <n v="0"/>
    <n v="0"/>
  </r>
  <r>
    <x v="9"/>
    <x v="3"/>
    <s v="OP-DYR-011"/>
    <x v="124"/>
    <d v="2025-08-24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1"/>
    <x v="6"/>
    <s v="OP-DYR-011"/>
    <x v="124"/>
    <d v="2025-08-24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OAAwADIANgAxADQASQBEAEUAQQA8=&amp;Tipo=2&amp;ST=1&amp;nLang=0"/>
    <n v="0"/>
    <n v="0"/>
    <n v="0"/>
    <n v="0"/>
    <n v="0"/>
    <n v="0"/>
    <n v="0"/>
    <n v="0"/>
  </r>
  <r>
    <x v="9"/>
    <x v="7"/>
    <s v="OP-S-0010"/>
    <x v="124"/>
    <d v="2025-08-2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24"/>
    <d v="2025-08-2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25"/>
    <d v="2025-08-25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4DAEwASwAzADUANAAzADQANAA2ADIASQBEAEUAQQA3=&amp;Tipo=2&amp;ST=1&amp;nLang=0"/>
    <n v="0"/>
    <n v="66"/>
    <n v="0"/>
    <n v="0"/>
    <n v="0"/>
    <n v="0"/>
    <n v="0"/>
    <n v="0"/>
  </r>
  <r>
    <x v="17"/>
    <x v="6"/>
    <s v="OP-DYR-011"/>
    <x v="125"/>
    <d v="2025-08-25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4DAEwASwAzADUANAAzADQANAA2ADIASQBEAEUAQQA3=&amp;Tipo=2&amp;ST=1&amp;nLang=0"/>
    <n v="0"/>
    <n v="66"/>
    <n v="0"/>
    <n v="0"/>
    <n v="0"/>
    <n v="0"/>
    <n v="0"/>
    <n v="0"/>
  </r>
  <r>
    <x v="0"/>
    <x v="0"/>
    <s v="OP-S-100"/>
    <x v="125"/>
    <d v="2025-08-25T00:00:00"/>
    <n v="48"/>
    <x v="0"/>
    <n v="64"/>
    <n v="0"/>
    <n v="0"/>
    <n v="0"/>
    <n v="0"/>
    <n v="0"/>
    <n v="0"/>
    <n v="0"/>
    <n v="0"/>
    <n v="0"/>
    <n v="0"/>
    <n v="0"/>
    <s v="https://www.clickideacore.com/ClickHTML5/Visit.aspx?ID=//5BDAEwASwAzADUANAAzADgAMQA2ADgASQBEAEUAQQA5=&amp;Tipo=2&amp;ST=1&amp;nLang=0"/>
    <n v="0"/>
    <n v="22"/>
    <n v="10"/>
    <n v="0"/>
    <n v="0"/>
    <n v="0"/>
    <n v="0"/>
    <n v="0"/>
  </r>
  <r>
    <x v="1"/>
    <x v="1"/>
    <s v="OP-DYR-004"/>
    <x v="125"/>
    <d v="2025-08-25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4DAEwASwAzADUANAA0ADMAOAA1ADEASQBEAEUAQQA3=&amp;Tipo=2&amp;ST=1&amp;nLang=0"/>
    <n v="0"/>
    <n v="80"/>
    <n v="0"/>
    <n v="0"/>
    <n v="0"/>
    <n v="0"/>
    <n v="0"/>
    <n v="0"/>
  </r>
  <r>
    <x v="2"/>
    <x v="2"/>
    <s v="OP-S-200"/>
    <x v="125"/>
    <d v="2025-08-25T00:00:00"/>
    <n v="24"/>
    <x v="0"/>
    <n v="2"/>
    <n v="0"/>
    <n v="0"/>
    <n v="0"/>
    <n v="0"/>
    <n v="0"/>
    <n v="0"/>
    <n v="0"/>
    <n v="0"/>
    <n v="2"/>
    <n v="0"/>
    <n v="0"/>
    <s v="https://www.clickideacore.com/ClickHTML5/Visit.aspx?ID=//5CDAEwASwAzADUANAA0ADQAMAA3ADgASQBEAEUAQQA9=&amp;Tipo=2&amp;ST=1&amp;nLang=0"/>
    <n v="0"/>
    <n v="62"/>
    <n v="0"/>
    <n v="0"/>
    <n v="0"/>
    <n v="0"/>
    <n v="0"/>
    <n v="0"/>
  </r>
  <r>
    <x v="3"/>
    <x v="3"/>
    <s v="OP-S-076"/>
    <x v="125"/>
    <d v="2025-08-25T00:00:00"/>
    <n v="29"/>
    <x v="0"/>
    <n v="4"/>
    <n v="0"/>
    <n v="0"/>
    <n v="0"/>
    <n v="0"/>
    <n v="0"/>
    <n v="0"/>
    <n v="0"/>
    <n v="0"/>
    <n v="0"/>
    <n v="0"/>
    <n v="0"/>
    <s v="https://www.clickideacore.com/ClickHTML5/Visit.aspx?ID=//5BDAEwASwAzADUANAAzADgAMQA2ADAASQBEAEUAQQA3=&amp;Tipo=2&amp;ST=1&amp;nLang=0"/>
    <n v="0"/>
    <n v="43"/>
    <n v="0"/>
    <n v="0"/>
    <n v="0"/>
    <n v="0"/>
    <n v="0"/>
    <n v="0"/>
  </r>
  <r>
    <x v="4"/>
    <x v="8"/>
    <s v="OP-DYR-005"/>
    <x v="125"/>
    <d v="2025-08-25T00:00:00"/>
    <n v="25"/>
    <x v="0"/>
    <n v="2"/>
    <n v="0"/>
    <n v="0"/>
    <n v="0"/>
    <n v="0"/>
    <n v="1"/>
    <n v="0"/>
    <n v="0"/>
    <n v="0"/>
    <n v="0"/>
    <n v="0"/>
    <n v="0"/>
    <s v="https://www.clickideacore.com/ClickHTML5/Visit.aspx?ID=//55DAEwASwAzADUANAA0ADIANQAwADgASQBEAEUAQQAE=&amp;Tipo=2&amp;ST=1&amp;nLang=0"/>
    <n v="0"/>
    <n v="44"/>
    <n v="0"/>
    <n v="0"/>
    <n v="0"/>
    <n v="0"/>
    <n v="0"/>
    <n v="0"/>
  </r>
  <r>
    <x v="5"/>
    <x v="4"/>
    <s v="OP-DYR-005"/>
    <x v="125"/>
    <d v="2025-08-25T00:00:00"/>
    <n v="25"/>
    <x v="0"/>
    <n v="8"/>
    <n v="0"/>
    <n v="0"/>
    <n v="0"/>
    <n v="0"/>
    <n v="0"/>
    <n v="0"/>
    <n v="0"/>
    <n v="0"/>
    <n v="2"/>
    <n v="0"/>
    <n v="0"/>
    <s v="https://www.clickideacore.com/ClickHTML5/Visit.aspx?ID=//5CDAEwASwAzADUANAA0ADQAMAA3ADgASQBEAEUAQQA9=&amp;Tipo=2&amp;ST=1&amp;nLang=0"/>
    <n v="0"/>
    <n v="64"/>
    <n v="0"/>
    <n v="0"/>
    <n v="0"/>
    <n v="0"/>
    <n v="0"/>
    <n v="0"/>
  </r>
  <r>
    <x v="9"/>
    <x v="7"/>
    <s v="OP-S-0010"/>
    <x v="125"/>
    <d v="2025-08-2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4"/>
    <s v="OP-DYR-011"/>
    <x v="126"/>
    <d v="2025-08-26T00:00:00"/>
    <n v="46"/>
    <x v="0"/>
    <n v="22"/>
    <n v="0"/>
    <n v="0"/>
    <n v="0"/>
    <n v="1"/>
    <n v="0"/>
    <n v="0"/>
    <n v="0"/>
    <n v="0"/>
    <n v="2"/>
    <n v="0"/>
    <n v="0"/>
    <s v="https://www.clickideacore.com/ClickHTML5/Visit.aspx?ID=//56DAEwASwAzADUANAA2ADMAMQAzADIASQBEAEUAQQAC=&amp;Tipo=2&amp;ST=1&amp;nLang=0"/>
    <n v="0"/>
    <n v="0"/>
    <n v="0"/>
    <n v="0"/>
    <n v="0"/>
    <n v="0"/>
    <n v="0"/>
    <n v="0"/>
  </r>
  <r>
    <x v="0"/>
    <x v="0"/>
    <s v="OP-S-100"/>
    <x v="126"/>
    <d v="2025-08-26T00:00:00"/>
    <n v="52"/>
    <x v="0"/>
    <n v="16"/>
    <n v="0"/>
    <n v="0"/>
    <n v="1"/>
    <n v="0"/>
    <n v="0"/>
    <n v="0"/>
    <n v="0"/>
    <n v="0"/>
    <n v="0"/>
    <n v="0"/>
    <n v="0"/>
    <s v="https://www.clickideacore.com/ClickHTML5/Visit.aspx?ID=//5FDAEwASwAzADUANAA2ADMAMwA1ADQASQBEAEUAQQA7=&amp;Tipo=2&amp;ST=1&amp;nLang=0"/>
    <n v="0"/>
    <n v="8"/>
    <n v="4"/>
    <n v="0"/>
    <n v="0"/>
    <n v="0"/>
    <n v="0"/>
    <n v="0"/>
  </r>
  <r>
    <x v="1"/>
    <x v="1"/>
    <s v="OP-DYR-004"/>
    <x v="126"/>
    <d v="2025-08-26T00:00:00"/>
    <n v="38"/>
    <x v="0"/>
    <n v="33"/>
    <n v="0"/>
    <n v="0"/>
    <n v="1"/>
    <n v="0"/>
    <n v="1"/>
    <n v="0"/>
    <n v="0"/>
    <n v="0"/>
    <n v="0"/>
    <n v="0"/>
    <n v="0"/>
    <s v="https://www.clickideacore.com/ClickHTML5/Visit.aspx?ID=//58DAEwASwAzADUANAA2ADcAMQA4ADgASQBEAEUAQQA7=&amp;Tipo=2&amp;ST=1&amp;nLang=0"/>
    <n v="0"/>
    <n v="0"/>
    <n v="0"/>
    <n v="0"/>
    <n v="0"/>
    <n v="0"/>
    <n v="0"/>
    <n v="0"/>
  </r>
  <r>
    <x v="2"/>
    <x v="2"/>
    <s v="OP-S-200"/>
    <x v="126"/>
    <d v="2025-08-26T00:00:00"/>
    <n v="19"/>
    <x v="0"/>
    <n v="51"/>
    <n v="0"/>
    <n v="0"/>
    <n v="1"/>
    <n v="0"/>
    <n v="0"/>
    <n v="0"/>
    <n v="0"/>
    <n v="0"/>
    <n v="0"/>
    <n v="0"/>
    <n v="0"/>
    <s v="https://www.clickideacore.com/ClickHTML5/Visit.aspx?ID=//5FDAEwASwAzADUANAA2ADYANAA2ADIASQBEAEUAQQA2=&amp;Tipo=2&amp;ST=1&amp;nLang=0"/>
    <n v="0"/>
    <n v="0"/>
    <n v="0"/>
    <n v="0"/>
    <n v="0"/>
    <n v="0"/>
    <n v="0"/>
    <n v="0"/>
  </r>
  <r>
    <x v="5"/>
    <x v="6"/>
    <s v="OP-S-0010"/>
    <x v="126"/>
    <d v="2025-08-26T00:00:00"/>
    <n v="0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200"/>
    <x v="126"/>
    <d v="2025-08-26T00:00:00"/>
    <n v="19"/>
    <x v="1"/>
    <n v="0"/>
    <n v="0"/>
    <n v="0"/>
    <n v="0"/>
    <n v="0"/>
    <n v="0"/>
    <n v="0"/>
    <n v="0"/>
    <n v="0"/>
    <n v="0"/>
    <n v="0"/>
    <n v="0"/>
    <s v="https://www.clickideacore.com/ClickHTML5/Visit.aspx?ID=//5FDAEwASwAzADUANAA2ADYANAA2ADIASQBEAEUAQQA2=&amp;Tipo=2&amp;ST=1&amp;nLang=0"/>
    <n v="0"/>
    <n v="0"/>
    <n v="0"/>
    <n v="0"/>
    <n v="0"/>
    <n v="0"/>
    <n v="0"/>
    <n v="0"/>
  </r>
  <r>
    <x v="3"/>
    <x v="3"/>
    <s v="OP-S-200"/>
    <x v="126"/>
    <d v="2025-08-26T00:00:00"/>
    <n v="19"/>
    <x v="1"/>
    <n v="0"/>
    <n v="0"/>
    <n v="0"/>
    <n v="0"/>
    <n v="0"/>
    <n v="0"/>
    <n v="0"/>
    <n v="0"/>
    <n v="0"/>
    <n v="0"/>
    <n v="0"/>
    <n v="0"/>
    <s v="https://www.clickideacore.com/ClickHTML5/Visit.aspx?ID=//5FDAEwASwAzADUANAA2ADYANAA2ADIASQBEAEUAQQA2=&amp;Tipo=2&amp;ST=1&amp;nLang=0"/>
    <n v="0"/>
    <n v="0"/>
    <n v="0"/>
    <n v="0"/>
    <n v="0"/>
    <n v="0"/>
    <n v="0"/>
    <n v="0"/>
  </r>
  <r>
    <x v="17"/>
    <x v="6"/>
    <s v="OP-S-200"/>
    <x v="126"/>
    <d v="2025-08-26T00:00:00"/>
    <n v="19"/>
    <x v="1"/>
    <n v="0"/>
    <n v="0"/>
    <n v="0"/>
    <n v="0"/>
    <n v="0"/>
    <n v="0"/>
    <n v="0"/>
    <n v="0"/>
    <n v="0"/>
    <n v="0"/>
    <n v="0"/>
    <n v="0"/>
    <s v="https://www.clickideacore.com/ClickHTML5/Visit.aspx?ID=//5FDAEwASwAzADUANAA2ADYANAA2ADIASQBEAEUAQQA2=&amp;Tipo=2&amp;ST=1&amp;nLang=0"/>
    <n v="0"/>
    <n v="0"/>
    <n v="0"/>
    <n v="0"/>
    <n v="0"/>
    <n v="0"/>
    <n v="0"/>
    <n v="0"/>
  </r>
  <r>
    <x v="9"/>
    <x v="7"/>
    <s v="OP-S-0010"/>
    <x v="126"/>
    <d v="2025-08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27"/>
    <d v="2025-08-27T00:00:00"/>
    <n v="34"/>
    <x v="0"/>
    <n v="28"/>
    <n v="0"/>
    <n v="0"/>
    <n v="1"/>
    <n v="0"/>
    <n v="0"/>
    <n v="0"/>
    <n v="0"/>
    <n v="0"/>
    <n v="1"/>
    <n v="0"/>
    <n v="0"/>
    <s v="https://www.clickideacore.com/ClickHTML5/Visit.aspx?ID=//5CDAEwASwAzADUANAA4ADYAMQA1ADYASQBEAEUAQQAB=&amp;Tipo=2&amp;ST=1&amp;nLang=0"/>
    <n v="0"/>
    <n v="100"/>
    <n v="0"/>
    <n v="0"/>
    <n v="0"/>
    <n v="0"/>
    <n v="0"/>
    <n v="0"/>
  </r>
  <r>
    <x v="17"/>
    <x v="6"/>
    <s v="OP-DYR-011"/>
    <x v="127"/>
    <d v="2025-08-27T00:00:00"/>
    <n v="34"/>
    <x v="0"/>
    <n v="28"/>
    <n v="0"/>
    <n v="0"/>
    <n v="1"/>
    <n v="0"/>
    <n v="0"/>
    <n v="0"/>
    <n v="0"/>
    <n v="0"/>
    <n v="1"/>
    <n v="0"/>
    <n v="0"/>
    <s v="https://www.clickideacore.com/ClickHTML5/Visit.aspx?ID=//5CDAEwASwAzADUANAA4ADYAMQA1ADYASQBEAEUAQQAB=&amp;Tipo=2&amp;ST=1&amp;nLang=0"/>
    <n v="0"/>
    <n v="100"/>
    <n v="0"/>
    <n v="0"/>
    <n v="0"/>
    <n v="0"/>
    <n v="0"/>
    <n v="0"/>
  </r>
  <r>
    <x v="5"/>
    <x v="4"/>
    <s v="OP-S-005"/>
    <x v="127"/>
    <d v="2025-08-27T00:00:00"/>
    <n v="68"/>
    <x v="0"/>
    <n v="44"/>
    <n v="0"/>
    <n v="0"/>
    <n v="1"/>
    <n v="0"/>
    <n v="0"/>
    <n v="0"/>
    <n v="0"/>
    <n v="0"/>
    <n v="0"/>
    <n v="0"/>
    <n v="0"/>
    <s v="https://www.clickideacore.com/ClickHTML5/Visit.aspx?ID=//56DAEwASwAzADUANAA5ADAAMwA5ADYASQBEAEUAQQA6=&amp;Tipo=2&amp;ST=1&amp;nLang=0"/>
    <n v="0"/>
    <n v="6"/>
    <n v="0"/>
    <n v="0"/>
    <n v="0"/>
    <n v="0"/>
    <n v="0"/>
    <n v="0"/>
  </r>
  <r>
    <x v="2"/>
    <x v="2"/>
    <s v="OP-S-200"/>
    <x v="127"/>
    <d v="2025-08-27T00:00:00"/>
    <n v="158"/>
    <x v="0"/>
    <n v="0"/>
    <n v="0"/>
    <n v="0"/>
    <n v="0"/>
    <n v="0"/>
    <n v="0"/>
    <n v="0"/>
    <n v="0"/>
    <n v="0"/>
    <n v="1"/>
    <n v="0"/>
    <n v="0"/>
    <s v="https://www.clickideacore.com/ClickHTML5/Visit.aspx?ID=//59DAEwASwAzADUANAA4ADQANQAyADcASQBEAEUAQQA5=&amp;Tipo=2&amp;ST=1&amp;nLang=0"/>
    <n v="0"/>
    <n v="100"/>
    <n v="0"/>
    <n v="0"/>
    <n v="0"/>
    <n v="0"/>
    <n v="0"/>
    <n v="0"/>
  </r>
  <r>
    <x v="3"/>
    <x v="3"/>
    <s v="OP-S-076"/>
    <x v="127"/>
    <d v="2025-08-27T00:00:00"/>
    <n v="47"/>
    <x v="0"/>
    <n v="30"/>
    <n v="0"/>
    <n v="0"/>
    <n v="0"/>
    <n v="1"/>
    <n v="0"/>
    <n v="0"/>
    <n v="0"/>
    <n v="0"/>
    <n v="0"/>
    <n v="0"/>
    <n v="0"/>
    <s v="https://www.clickideacore.com/ClickHTML5/Visit.aspx?ID=//52DAEwASwAzADUANAA4ADcAOQA1ADIASQBEAEUAQQA7=&amp;Tipo=2&amp;ST=1&amp;nLang=0"/>
    <n v="0"/>
    <n v="0"/>
    <n v="0"/>
    <n v="0"/>
    <n v="0"/>
    <n v="0"/>
    <n v="0"/>
    <n v="0"/>
  </r>
  <r>
    <x v="4"/>
    <x v="8"/>
    <s v="OP-DYR-005"/>
    <x v="127"/>
    <d v="2025-08-27T00:00:00"/>
    <n v="19"/>
    <x v="0"/>
    <n v="42"/>
    <n v="0"/>
    <n v="0"/>
    <n v="1"/>
    <n v="0"/>
    <n v="0"/>
    <n v="0"/>
    <n v="0"/>
    <n v="0"/>
    <n v="1"/>
    <n v="0"/>
    <n v="0"/>
    <s v="https://www.clickideacore.com/ClickHTML5/Visit.aspx?ID=//51DAEwASwAzADUANAA5ADIANAA3ADUASQBEAEUAQQAE=&amp;Tipo=2&amp;ST=1&amp;nLang=0"/>
    <n v="0"/>
    <n v="0"/>
    <n v="0"/>
    <n v="0"/>
    <n v="0"/>
    <n v="0"/>
    <n v="0"/>
    <n v="0"/>
  </r>
  <r>
    <x v="0"/>
    <x v="0"/>
    <s v="OP-DYR-005"/>
    <x v="127"/>
    <d v="2025-08-27T00:00:00"/>
    <n v="19"/>
    <x v="0"/>
    <n v="22"/>
    <n v="0"/>
    <n v="0"/>
    <n v="0"/>
    <n v="0"/>
    <n v="0"/>
    <n v="1"/>
    <n v="0"/>
    <n v="0"/>
    <n v="0"/>
    <n v="0"/>
    <n v="0"/>
    <s v="https://www.clickideacore.com/ClickHTML5/Visit.aspx?ID=//51DAEwASwAzADUANAA5ADIANAA3ADUASQBEAEUAQQAE=&amp;Tipo=2&amp;ST=1&amp;nLang=0"/>
    <n v="0"/>
    <n v="0"/>
    <n v="0"/>
    <n v="0"/>
    <n v="0"/>
    <n v="0"/>
    <n v="0"/>
    <n v="0"/>
  </r>
  <r>
    <x v="1"/>
    <x v="1"/>
    <s v="OP-S-200"/>
    <x v="127"/>
    <d v="2025-08-27T00:00:00"/>
    <n v="19"/>
    <x v="1"/>
    <n v="0"/>
    <n v="0"/>
    <n v="0"/>
    <n v="0"/>
    <n v="0"/>
    <n v="0"/>
    <n v="0"/>
    <n v="0"/>
    <n v="0"/>
    <n v="0"/>
    <n v="0"/>
    <n v="0"/>
    <s v="https://www.clickideacore.com/ClickHTML5/Visit.aspx?ID=//5FDAEwASwAzADUANAA2ADYANAA2ADIASQBEAEUAQQA2=&amp;Tipo=2&amp;ST=1&amp;nLang=0"/>
    <n v="0"/>
    <n v="0"/>
    <n v="0"/>
    <n v="0"/>
    <n v="0"/>
    <n v="0"/>
    <n v="0"/>
    <n v="0"/>
  </r>
  <r>
    <x v="9"/>
    <x v="7"/>
    <s v="OP-S-0010"/>
    <x v="127"/>
    <d v="2025-08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28"/>
    <d v="2025-08-28T00:00:00"/>
    <n v="29"/>
    <x v="0"/>
    <n v="22"/>
    <n v="0"/>
    <n v="0"/>
    <n v="0"/>
    <n v="1"/>
    <n v="0"/>
    <n v="0"/>
    <n v="0"/>
    <n v="0"/>
    <n v="0"/>
    <n v="0"/>
    <n v="0"/>
    <s v="https://www.clickideacore.com/ClickHTML5/Visit.aspx?ID=//59DAEwASwAzADUANQAxADAANgAxADMASQBEAEUAQQA0=&amp;Tipo=2&amp;ST=1&amp;nLang=0"/>
    <n v="0"/>
    <n v="0"/>
    <n v="0"/>
    <n v="0"/>
    <n v="0"/>
    <n v="0"/>
    <n v="0"/>
    <n v="0"/>
  </r>
  <r>
    <x v="17"/>
    <x v="6"/>
    <s v="OP-DYR-011"/>
    <x v="128"/>
    <d v="2025-08-28T00:00:00"/>
    <n v="29"/>
    <x v="0"/>
    <n v="22"/>
    <n v="0"/>
    <n v="0"/>
    <n v="0"/>
    <n v="1"/>
    <n v="0"/>
    <n v="0"/>
    <n v="0"/>
    <n v="0"/>
    <n v="0"/>
    <n v="0"/>
    <n v="0"/>
    <s v="https://www.clickideacore.com/ClickHTML5/Visit.aspx?ID=//59DAEwASwAzADUANQAxADAANgAxADMASQBEAEUAQQA0=&amp;Tipo=2&amp;ST=1&amp;nLang=0"/>
    <n v="0"/>
    <n v="0"/>
    <n v="0"/>
    <n v="0"/>
    <n v="0"/>
    <n v="0"/>
    <n v="0"/>
    <n v="0"/>
  </r>
  <r>
    <x v="0"/>
    <x v="0"/>
    <s v="OP-S-100"/>
    <x v="128"/>
    <d v="2025-08-28T00:00:00"/>
    <n v="42"/>
    <x v="0"/>
    <n v="6"/>
    <n v="0"/>
    <n v="0"/>
    <n v="0"/>
    <n v="0"/>
    <n v="0"/>
    <n v="0"/>
    <n v="0"/>
    <n v="0"/>
    <n v="0"/>
    <n v="0"/>
    <n v="0"/>
    <s v="https://www.clickideacore.com/ClickHTML5/Visit.aspx?ID=//5ADAEwASwAzADUANQAwADEAMAA3ADQASQBEAEUAQQA4=&amp;Tipo=2&amp;ST=1&amp;nLang=0"/>
    <n v="0"/>
    <n v="10"/>
    <n v="0"/>
    <n v="0"/>
    <n v="0"/>
    <n v="0"/>
    <n v="0"/>
    <n v="0"/>
  </r>
  <r>
    <x v="1"/>
    <x v="1"/>
    <s v="OP-DYR-004"/>
    <x v="128"/>
    <d v="2025-08-28T00:00:00"/>
    <n v="21"/>
    <x v="0"/>
    <n v="40"/>
    <n v="0"/>
    <n v="0"/>
    <n v="1"/>
    <n v="0"/>
    <n v="0"/>
    <n v="0"/>
    <n v="0"/>
    <n v="0"/>
    <n v="0"/>
    <n v="0"/>
    <n v="0"/>
    <s v="https://www.clickideacore.com/ClickHTML5/Visit.aspx?ID=//5BDAEwASwAzADUANQAxADEAOAA4ADcASQBEAEUAQQA6=&amp;Tipo=2&amp;ST=1&amp;nLang=0"/>
    <n v="0"/>
    <n v="0"/>
    <n v="0"/>
    <n v="0"/>
    <n v="0"/>
    <n v="0"/>
    <n v="0"/>
    <n v="0"/>
  </r>
  <r>
    <x v="3"/>
    <x v="3"/>
    <s v="OP-S-076"/>
    <x v="128"/>
    <d v="2025-08-28T00:00:00"/>
    <n v="41"/>
    <x v="0"/>
    <n v="40"/>
    <n v="0"/>
    <n v="0"/>
    <n v="1"/>
    <n v="0"/>
    <n v="1"/>
    <n v="0"/>
    <n v="0"/>
    <n v="0"/>
    <n v="0"/>
    <n v="0"/>
    <n v="0"/>
    <s v="https://www.clickideacore.com/ClickHTML5/Visit.aspx?ID=//52DAEwASwAzADUANQAxADEAMQAwADkASQBEAEUAQQAD=&amp;Tipo=2&amp;ST=1&amp;nLang=0"/>
    <n v="0"/>
    <n v="0"/>
    <n v="0"/>
    <n v="0"/>
    <n v="0"/>
    <n v="0"/>
    <n v="0"/>
    <n v="0"/>
  </r>
  <r>
    <x v="4"/>
    <x v="8"/>
    <s v="OP-DYR-005"/>
    <x v="128"/>
    <d v="2025-08-28T00:00:00"/>
    <n v="24"/>
    <x v="0"/>
    <n v="44"/>
    <n v="0"/>
    <n v="0"/>
    <n v="1"/>
    <n v="0"/>
    <n v="0"/>
    <n v="0"/>
    <n v="0"/>
    <n v="0"/>
    <n v="0"/>
    <n v="0"/>
    <n v="0"/>
    <s v="https://www.clickideacore.com/ClickHTML5/Visit.aspx?ID=//54DAEwASwAzADUANQAxADAAOQA1ADQASQBEAEUAQQA1=&amp;Tipo=2&amp;ST=1&amp;nLang=0"/>
    <n v="0"/>
    <n v="8"/>
    <n v="4"/>
    <n v="0"/>
    <n v="0"/>
    <n v="0"/>
    <n v="0"/>
    <n v="0"/>
  </r>
  <r>
    <x v="2"/>
    <x v="2"/>
    <s v="OP-S-0010"/>
    <x v="128"/>
    <d v="2025-08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28"/>
    <d v="2025-08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28"/>
    <d v="2025-08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100"/>
    <x v="129"/>
    <d v="2025-08-29T00:00:00"/>
    <n v="80"/>
    <x v="0"/>
    <n v="28"/>
    <n v="0"/>
    <n v="0"/>
    <n v="0"/>
    <n v="1"/>
    <n v="1"/>
    <n v="0"/>
    <n v="0"/>
    <n v="0"/>
    <n v="0"/>
    <n v="0"/>
    <n v="0"/>
    <s v="https://www.clickideacore.com/ClickHTML5/Visit.aspx?ID=//53DAEwASwAzADUANQAzADEANgA4ADYASQBEAEUAQQAE=&amp;Tipo=2&amp;ST=1&amp;nLang=0"/>
    <n v="0"/>
    <n v="12"/>
    <n v="0"/>
    <n v="0"/>
    <n v="0"/>
    <n v="0"/>
    <n v="0"/>
    <n v="0"/>
  </r>
  <r>
    <x v="17"/>
    <x v="6"/>
    <s v="OP-S-100"/>
    <x v="129"/>
    <d v="2025-08-29T00:00:00"/>
    <n v="80"/>
    <x v="0"/>
    <n v="28"/>
    <n v="0"/>
    <n v="0"/>
    <n v="0"/>
    <n v="1"/>
    <n v="1"/>
    <n v="0"/>
    <n v="0"/>
    <n v="0"/>
    <n v="0"/>
    <n v="0"/>
    <n v="0"/>
    <s v="https://www.clickideacore.com/ClickHTML5/Visit.aspx?ID=//53DAEwASwAzADUANQAzADEANgA4ADYASQBEAEUAQQAE=&amp;Tipo=2&amp;ST=1&amp;nLang=0"/>
    <n v="0"/>
    <n v="12"/>
    <n v="0"/>
    <n v="0"/>
    <n v="0"/>
    <n v="0"/>
    <n v="0"/>
    <n v="0"/>
  </r>
  <r>
    <x v="1"/>
    <x v="1"/>
    <s v="OP-DYR-004"/>
    <x v="129"/>
    <d v="2025-08-29T00:00:00"/>
    <n v="34"/>
    <x v="0"/>
    <n v="50"/>
    <n v="0"/>
    <n v="0"/>
    <n v="1"/>
    <n v="0"/>
    <n v="0"/>
    <n v="0"/>
    <n v="0"/>
    <n v="0"/>
    <n v="0"/>
    <n v="0"/>
    <n v="0"/>
    <s v="https://www.clickideacore.com/ClickHTML5/Visit.aspx?ID=//52DAEwASwAzADUANQAzADMAOQA0ADAASQBEAEUAQQA7=&amp;Tipo=2&amp;ST=1&amp;nLang=0"/>
    <n v="0"/>
    <n v="0"/>
    <n v="0"/>
    <n v="0"/>
    <n v="0"/>
    <n v="0"/>
    <n v="0"/>
    <n v="0"/>
  </r>
  <r>
    <x v="3"/>
    <x v="3"/>
    <s v="OP-S-076"/>
    <x v="129"/>
    <d v="2025-08-29T00:00:00"/>
    <n v="63"/>
    <x v="0"/>
    <n v="37"/>
    <n v="0"/>
    <n v="1"/>
    <n v="1"/>
    <n v="0"/>
    <n v="0"/>
    <n v="0"/>
    <n v="0"/>
    <n v="0"/>
    <n v="0"/>
    <n v="0"/>
    <n v="0"/>
    <s v="https://www.clickideacore.com/ClickHTML5/Visit.aspx?ID=//50DAEwASwAzADUANQAzADMANwA3ADYASQBEAEUAQQA6=&amp;Tipo=2&amp;ST=1&amp;nLang=0"/>
    <n v="0"/>
    <n v="0"/>
    <n v="11"/>
    <n v="0"/>
    <n v="0"/>
    <n v="0"/>
    <n v="0"/>
    <n v="0"/>
  </r>
  <r>
    <x v="4"/>
    <x v="8"/>
    <s v="OP-DYR-005"/>
    <x v="129"/>
    <d v="2025-08-29T00:00:00"/>
    <n v="29"/>
    <x v="0"/>
    <n v="43"/>
    <n v="0"/>
    <n v="0"/>
    <n v="1"/>
    <n v="0"/>
    <n v="0"/>
    <n v="0"/>
    <n v="0"/>
    <n v="0"/>
    <n v="0"/>
    <n v="0"/>
    <n v="0"/>
    <s v="https://www.clickideacore.com/ClickHTML5/Visit.aspx?ID=//5CDAEwASwAzADUANQAzADMAOQA0ADgASQBEAEUAQQA5=&amp;Tipo=2&amp;ST=1&amp;nLang=0"/>
    <n v="0"/>
    <n v="5"/>
    <n v="0"/>
    <n v="0"/>
    <n v="0"/>
    <n v="0"/>
    <n v="0"/>
    <n v="0"/>
  </r>
  <r>
    <x v="5"/>
    <x v="4"/>
    <s v="OP-DYR-005"/>
    <x v="129"/>
    <d v="2025-08-29T00:00:00"/>
    <n v="29"/>
    <x v="0"/>
    <n v="2"/>
    <n v="0"/>
    <n v="0"/>
    <n v="0"/>
    <n v="0"/>
    <n v="0"/>
    <n v="0"/>
    <n v="0"/>
    <n v="0"/>
    <n v="0"/>
    <n v="0"/>
    <n v="0"/>
    <s v="https://www.clickideacore.com/ClickHTML5/Visit.aspx?ID=//5CDAEwASwAzADUANQAzADMAOQA0ADgASQBEAEUAQQA5=&amp;Tipo=2&amp;ST=1&amp;nLang=0"/>
    <n v="0"/>
    <n v="10"/>
    <n v="0"/>
    <n v="0"/>
    <n v="0"/>
    <n v="0"/>
    <n v="0"/>
    <n v="0"/>
  </r>
  <r>
    <x v="10"/>
    <x v="6"/>
    <s v="OP-S-0010"/>
    <x v="129"/>
    <d v="2025-08-2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129"/>
    <d v="2025-08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129"/>
    <d v="2025-08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29"/>
    <d v="2025-08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30"/>
    <d v="2025-08-30T00:00:00"/>
    <n v="168"/>
    <x v="0"/>
    <n v="0"/>
    <n v="0"/>
    <n v="0"/>
    <n v="0"/>
    <n v="0"/>
    <n v="0"/>
    <n v="0"/>
    <n v="1"/>
    <n v="0"/>
    <n v="4"/>
    <n v="1"/>
    <n v="0"/>
    <s v="https://www.clickideacore.com/ClickHTML5/Visit.aspx?ID=//59DAEwASwAzADUANQA0ADcAOAAxADkASQBEAEUAQQA8=&amp;Tipo=2&amp;ST=1&amp;nLang=0"/>
    <n v="0"/>
    <n v="0"/>
    <n v="0"/>
    <n v="0"/>
    <n v="0"/>
    <n v="0"/>
    <n v="0"/>
    <n v="0"/>
  </r>
  <r>
    <x v="17"/>
    <x v="6"/>
    <s v="OP-DYR-011"/>
    <x v="130"/>
    <d v="2025-08-30T00:00:00"/>
    <n v="168"/>
    <x v="0"/>
    <n v="0"/>
    <n v="0"/>
    <n v="0"/>
    <n v="0"/>
    <n v="0"/>
    <n v="0"/>
    <n v="0"/>
    <n v="1"/>
    <n v="0"/>
    <n v="4"/>
    <n v="1"/>
    <n v="0"/>
    <s v="https://www.clickideacore.com/ClickHTML5/Visit.aspx?ID=//59DAEwASwAzADUANQA0ADcAOAAxADkASQBEAEUAQQA8=&amp;Tipo=2&amp;ST=1&amp;nLang=0"/>
    <n v="0"/>
    <n v="0"/>
    <n v="0"/>
    <n v="0"/>
    <n v="0"/>
    <n v="0"/>
    <n v="0"/>
    <n v="0"/>
  </r>
  <r>
    <x v="1"/>
    <x v="1"/>
    <s v="OP-DYR-004"/>
    <x v="130"/>
    <d v="2025-08-30T00:00:00"/>
    <n v="32"/>
    <x v="0"/>
    <n v="0"/>
    <n v="0"/>
    <n v="0"/>
    <n v="0"/>
    <n v="0"/>
    <n v="0"/>
    <n v="0"/>
    <n v="1"/>
    <n v="0"/>
    <n v="1"/>
    <n v="1"/>
    <n v="0"/>
    <s v="https://www.clickideacore.com/ClickHTML5/Visit.aspx?ID=//50DAEwASwAzADUANQA0ADgAMwAzADIASQBEAEUAQQA7=&amp;Tipo=2&amp;ST=1&amp;nLang=0"/>
    <n v="0"/>
    <n v="0"/>
    <n v="0"/>
    <n v="0"/>
    <n v="0"/>
    <n v="0"/>
    <n v="0"/>
    <n v="0"/>
  </r>
  <r>
    <x v="3"/>
    <x v="3"/>
    <s v="OP-S-076"/>
    <x v="130"/>
    <d v="2025-08-30T00:00:00"/>
    <n v="50"/>
    <x v="0"/>
    <n v="0"/>
    <n v="0"/>
    <n v="0"/>
    <n v="0"/>
    <n v="0"/>
    <n v="0"/>
    <n v="0"/>
    <n v="0"/>
    <n v="0"/>
    <n v="7"/>
    <n v="1"/>
    <n v="0"/>
    <s v="https://www.clickideacore.com/ClickHTML5/Visit.aspx?ID=//5BDAEwASwAzADUANQA0ADkAMQAxADEASQBEAEUAQQA2=&amp;Tipo=2&amp;ST=1&amp;nLang=0"/>
    <n v="17"/>
    <n v="0"/>
    <n v="0"/>
    <n v="0"/>
    <n v="0"/>
    <n v="0"/>
    <n v="1"/>
    <n v="0"/>
  </r>
  <r>
    <x v="4"/>
    <x v="8"/>
    <s v="OP-DYR-005"/>
    <x v="130"/>
    <d v="2025-08-30T00:00:00"/>
    <n v="30"/>
    <x v="0"/>
    <n v="0"/>
    <n v="0"/>
    <n v="0"/>
    <n v="0"/>
    <n v="0"/>
    <n v="1"/>
    <n v="0"/>
    <n v="1"/>
    <n v="0"/>
    <n v="3"/>
    <n v="1"/>
    <n v="0"/>
    <s v="https://www.clickideacore.com/ClickHTML5/Visit.aspx?ID=//5BDAEwASwAzADUANQA0ADgAMwAyADkASQBEAEUAQQA6=&amp;Tipo=2&amp;ST=1&amp;nLang=0"/>
    <n v="0"/>
    <n v="0"/>
    <n v="0"/>
    <n v="0"/>
    <n v="0"/>
    <n v="0"/>
    <n v="0"/>
    <n v="0"/>
  </r>
  <r>
    <x v="5"/>
    <x v="4"/>
    <s v="OP-S-005"/>
    <x v="130"/>
    <d v="2025-08-30T00:00:00"/>
    <n v="86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30"/>
    <d v="2025-08-30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200"/>
    <x v="130"/>
    <d v="2025-08-30T00:00:00"/>
    <n v="17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0"/>
    <d v="2025-08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31"/>
    <d v="2025-08-31T00:00:00"/>
    <n v="19"/>
    <x v="0"/>
    <n v="0"/>
    <n v="0"/>
    <n v="0"/>
    <n v="0"/>
    <n v="0"/>
    <n v="0"/>
    <n v="0"/>
    <n v="0"/>
    <n v="0"/>
    <n v="8"/>
    <n v="0"/>
    <n v="1"/>
    <s v="https://www.clickideacore.com/ClickHTML5/Visit.aspx?ID=//5CDAEwASwAzADUANQA1ADcAOAA4ADkASQBEAEUAQQA2=&amp;Tipo=2&amp;ST=1&amp;nLang=0"/>
    <n v="6"/>
    <n v="0"/>
    <n v="0"/>
    <n v="0"/>
    <n v="0"/>
    <n v="0"/>
    <n v="0"/>
    <n v="1"/>
  </r>
  <r>
    <x v="17"/>
    <x v="6"/>
    <s v="OP-DYR-011"/>
    <x v="131"/>
    <d v="2025-08-31T00:00:00"/>
    <n v="19"/>
    <x v="0"/>
    <n v="0"/>
    <n v="0"/>
    <n v="0"/>
    <n v="0"/>
    <n v="0"/>
    <n v="0"/>
    <n v="0"/>
    <n v="0"/>
    <n v="0"/>
    <n v="8"/>
    <n v="0"/>
    <n v="1"/>
    <s v="https://www.clickideacore.com/ClickHTML5/Visit.aspx?ID=//5CDAEwASwAzADUANQA1ADcAOAA4ADkASQBEAEUAQQA2=&amp;Tipo=2&amp;ST=1&amp;nLang=0"/>
    <n v="6"/>
    <n v="0"/>
    <n v="0"/>
    <n v="0"/>
    <n v="0"/>
    <n v="0"/>
    <n v="0"/>
    <n v="1"/>
  </r>
  <r>
    <x v="1"/>
    <x v="1"/>
    <s v="OP-DYR-004"/>
    <x v="131"/>
    <d v="2025-08-31T00:00:00"/>
    <n v="30"/>
    <x v="0"/>
    <n v="0"/>
    <n v="0"/>
    <n v="0"/>
    <n v="0"/>
    <n v="0"/>
    <n v="0"/>
    <n v="0"/>
    <n v="0"/>
    <n v="1"/>
    <n v="3"/>
    <n v="0"/>
    <n v="1"/>
    <s v="https://www.clickideacore.com/ClickHTML5/Visit.aspx?ID=//56DAEwASwAzADUANQA1ADcANgA1ADYASQBEAEUAQQA3=&amp;Tipo=2&amp;ST=1&amp;nLang=0"/>
    <n v="20"/>
    <n v="0"/>
    <n v="0"/>
    <n v="0"/>
    <n v="0"/>
    <n v="0"/>
    <n v="0"/>
    <n v="0"/>
  </r>
  <r>
    <x v="3"/>
    <x v="3"/>
    <s v="OP-S-076"/>
    <x v="131"/>
    <d v="2025-08-31T00:00:00"/>
    <n v="42"/>
    <x v="0"/>
    <n v="0"/>
    <n v="0"/>
    <n v="0"/>
    <n v="0"/>
    <n v="0"/>
    <n v="0"/>
    <n v="0"/>
    <n v="0"/>
    <n v="1"/>
    <n v="6"/>
    <n v="0"/>
    <n v="1"/>
    <s v="https://www.clickideacore.com/ClickHTML5/Visit.aspx?ID=//54DAEwASwAzADUANQA1ADcAOAA5ADkASQBEAEUAQQAF=&amp;Tipo=2&amp;ST=1&amp;nLang=0"/>
    <n v="16"/>
    <n v="0"/>
    <n v="0"/>
    <n v="0"/>
    <n v="0"/>
    <n v="0"/>
    <n v="0"/>
    <n v="0"/>
  </r>
  <r>
    <x v="4"/>
    <x v="8"/>
    <s v="OP-DYR-005"/>
    <x v="131"/>
    <d v="2025-08-31T00:00:00"/>
    <n v="18"/>
    <x v="0"/>
    <n v="0"/>
    <n v="0"/>
    <n v="0"/>
    <n v="0"/>
    <n v="0"/>
    <n v="0"/>
    <n v="0"/>
    <n v="0"/>
    <n v="1"/>
    <n v="4"/>
    <n v="0"/>
    <n v="1"/>
    <s v="https://www.clickideacore.com/ClickHTML5/Visit.aspx?ID=//54DAEwASwAzADUANQA1ADcAOAAxADAASQBEAEUAQQAA=&amp;Tipo=2&amp;ST=1&amp;nLang=0"/>
    <n v="20"/>
    <n v="0"/>
    <n v="0"/>
    <n v="0"/>
    <n v="0"/>
    <n v="0"/>
    <n v="0"/>
    <n v="0"/>
  </r>
  <r>
    <x v="5"/>
    <x v="4"/>
    <s v="OP-S-005"/>
    <x v="131"/>
    <d v="2025-08-31T00:00:00"/>
    <n v="86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31"/>
    <d v="2025-08-31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200"/>
    <x v="131"/>
    <d v="2025-08-31T00:00:00"/>
    <n v="17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1"/>
    <d v="2025-08-3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32"/>
    <d v="2025-09-01T00:00:00"/>
    <n v="34"/>
    <x v="0"/>
    <n v="0"/>
    <n v="0"/>
    <n v="0"/>
    <n v="0"/>
    <n v="0"/>
    <n v="0"/>
    <n v="0"/>
    <n v="0"/>
    <n v="0"/>
    <n v="0"/>
    <n v="0"/>
    <n v="0"/>
    <s v="https://www.clickideacore.com/ClickHTML5/Visit.aspx?ID=//5EDAEwASwAzADUANQA2ADgAOAA0ADQASQBEAEUAQQA0=&amp;Tipo=2&amp;ST=1&amp;nLang=0"/>
    <n v="0"/>
    <n v="42"/>
    <n v="0"/>
    <n v="0"/>
    <n v="0"/>
    <n v="0"/>
    <n v="0"/>
    <n v="0"/>
  </r>
  <r>
    <x v="17"/>
    <x v="6"/>
    <s v="OP-DYR-011"/>
    <x v="132"/>
    <d v="2025-09-01T00:00:00"/>
    <n v="34"/>
    <x v="0"/>
    <n v="0"/>
    <n v="0"/>
    <n v="0"/>
    <n v="0"/>
    <n v="0"/>
    <n v="0"/>
    <n v="0"/>
    <n v="0"/>
    <n v="0"/>
    <n v="0"/>
    <n v="0"/>
    <n v="0"/>
    <s v="https://www.clickideacore.com/ClickHTML5/Visit.aspx?ID=//5EDAEwASwAzADUANQA2ADgAOAA0ADQASQBEAEUAQQA0=&amp;Tipo=2&amp;ST=1&amp;nLang=0"/>
    <n v="0"/>
    <n v="42"/>
    <n v="0"/>
    <n v="0"/>
    <n v="0"/>
    <n v="0"/>
    <n v="0"/>
    <n v="0"/>
  </r>
  <r>
    <x v="5"/>
    <x v="4"/>
    <s v="OP-S-005"/>
    <x v="132"/>
    <d v="2025-09-01T00:00:00"/>
    <n v="40"/>
    <x v="0"/>
    <n v="0"/>
    <n v="0"/>
    <n v="0"/>
    <n v="0"/>
    <n v="0"/>
    <n v="0"/>
    <n v="0"/>
    <n v="0"/>
    <n v="0"/>
    <n v="0"/>
    <n v="0"/>
    <n v="0"/>
    <s v="https://www.clickideacore.com/ClickHTML5/Visit.aspx?ID=//53DAEwASwAzADUANQA3ADgAOAA1ADQASQBEAEUAQQA9=&amp;Tipo=2&amp;ST=1&amp;nLang=0"/>
    <n v="0"/>
    <n v="49"/>
    <n v="10"/>
    <n v="0"/>
    <n v="0"/>
    <n v="0"/>
    <n v="0"/>
    <n v="0"/>
  </r>
  <r>
    <x v="0"/>
    <x v="0"/>
    <s v="OP-S-100"/>
    <x v="132"/>
    <d v="2025-09-01T00:00:00"/>
    <n v="20"/>
    <x v="0"/>
    <n v="1"/>
    <n v="0"/>
    <n v="0"/>
    <n v="0"/>
    <n v="0"/>
    <n v="0"/>
    <n v="0"/>
    <n v="0"/>
    <n v="0"/>
    <n v="0"/>
    <n v="0"/>
    <n v="0"/>
    <s v="https://www.clickideacore.com/ClickHTML5/Visit.aspx?ID=//57DAEwASwAzADUANQA3ADYAMgA0ADQASQBEAEUAQQA7=&amp;Tipo=2&amp;ST=1&amp;nLang=0"/>
    <n v="0"/>
    <n v="42"/>
    <n v="10"/>
    <n v="0"/>
    <n v="0"/>
    <n v="0"/>
    <n v="0"/>
    <n v="0"/>
  </r>
  <r>
    <x v="1"/>
    <x v="1"/>
    <s v="OP-DYR-004"/>
    <x v="132"/>
    <d v="2025-09-01T00:00:00"/>
    <n v="30"/>
    <x v="0"/>
    <n v="0"/>
    <n v="0"/>
    <n v="0"/>
    <n v="0"/>
    <n v="0"/>
    <n v="0"/>
    <n v="0"/>
    <n v="0"/>
    <n v="0"/>
    <n v="0"/>
    <n v="0"/>
    <n v="0"/>
    <s v="https://www.clickideacore.com/ClickHTML5/Visit.aspx?ID=//55DAEwASwAzADUANQA3ADgAMgA5ADIASQBEAEUAQQA6=&amp;Tipo=2&amp;ST=1&amp;nLang=0"/>
    <n v="0"/>
    <n v="60"/>
    <n v="0"/>
    <n v="0"/>
    <n v="0"/>
    <n v="0"/>
    <n v="0"/>
    <n v="0"/>
  </r>
  <r>
    <x v="3"/>
    <x v="3"/>
    <s v="OP-S-076"/>
    <x v="132"/>
    <d v="2025-09-01T00:00:00"/>
    <n v="21"/>
    <x v="0"/>
    <n v="0"/>
    <n v="0"/>
    <n v="0"/>
    <n v="0"/>
    <n v="0"/>
    <n v="0"/>
    <n v="0"/>
    <n v="0"/>
    <n v="0"/>
    <n v="0"/>
    <n v="0"/>
    <n v="0"/>
    <s v="https://www.clickideacore.com/ClickHTML5/Visit.aspx?ID=//53DAEwASwAzADUANQA3ADAAMAA0ADkASQBEAEUAQQA2=&amp;Tipo=2&amp;ST=1&amp;nLang=0"/>
    <n v="0"/>
    <n v="40"/>
    <n v="0"/>
    <n v="0"/>
    <n v="0"/>
    <n v="0"/>
    <n v="0"/>
    <n v="0"/>
  </r>
  <r>
    <x v="4"/>
    <x v="8"/>
    <s v="OP-DYR-005"/>
    <x v="132"/>
    <d v="2025-09-01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FDAEwASwAzADUANQA3ADAAOAA2ADcASQBEAEUAQQAB=&amp;Tipo=2&amp;ST=1&amp;nLang=0"/>
    <n v="0"/>
    <n v="42"/>
    <n v="0"/>
    <n v="0"/>
    <n v="0"/>
    <n v="0"/>
    <n v="0"/>
    <n v="0"/>
  </r>
  <r>
    <x v="2"/>
    <x v="2"/>
    <s v="OP-DYR-005"/>
    <x v="132"/>
    <d v="2025-09-01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FDAEwASwAzADUANQA3ADAAOAA2ADcASQBEAEUAQQAB=&amp;Tipo=2&amp;ST=1&amp;nLang=0"/>
    <n v="0"/>
    <n v="14"/>
    <n v="10"/>
    <n v="0"/>
    <n v="0"/>
    <n v="0"/>
    <n v="0"/>
    <n v="0"/>
  </r>
  <r>
    <x v="9"/>
    <x v="7"/>
    <s v="OP-S-0010"/>
    <x v="132"/>
    <d v="2025-09-0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3"/>
    <s v="OP-DYR-011"/>
    <x v="133"/>
    <d v="2025-09-02T00:00:00"/>
    <n v="29"/>
    <x v="0"/>
    <n v="40"/>
    <n v="0"/>
    <n v="0"/>
    <n v="1"/>
    <n v="0"/>
    <n v="0"/>
    <n v="0"/>
    <n v="0"/>
    <n v="0"/>
    <n v="0"/>
    <n v="0"/>
    <n v="0"/>
    <s v="https://www.clickideacore.com/ClickHTML5/Visit.aspx?ID=//5BDAEwASwAzADUANgAwADEANgA3ADcASQBEAEUAQQAF=&amp;Tipo=2&amp;ST=1&amp;nLang=0"/>
    <n v="0"/>
    <n v="0"/>
    <n v="0"/>
    <n v="0"/>
    <n v="0"/>
    <n v="0"/>
    <n v="0"/>
    <n v="0"/>
  </r>
  <r>
    <x v="1"/>
    <x v="1"/>
    <s v="OP-DYR-004"/>
    <x v="133"/>
    <d v="2025-09-02T00:00:00"/>
    <n v="25"/>
    <x v="0"/>
    <n v="38"/>
    <n v="0"/>
    <n v="0"/>
    <n v="1"/>
    <n v="0"/>
    <n v="0"/>
    <n v="0"/>
    <n v="0"/>
    <n v="0"/>
    <n v="0"/>
    <n v="0"/>
    <n v="0"/>
    <s v="https://www.clickideacore.com/ClickHTML5/Visit.aspx?ID=//55DAEwASwAzADUANgAwADEAOAAxADMASQBEAEUAQQA1=&amp;Tipo=2&amp;ST=1&amp;nLang=0"/>
    <n v="0"/>
    <n v="0"/>
    <n v="0"/>
    <n v="0"/>
    <n v="0"/>
    <n v="0"/>
    <n v="0"/>
    <n v="0"/>
  </r>
  <r>
    <x v="5"/>
    <x v="4"/>
    <s v="OP-SDYR-001"/>
    <x v="133"/>
    <d v="2025-09-02T00:00:00"/>
    <n v="23"/>
    <x v="0"/>
    <n v="22"/>
    <n v="0"/>
    <n v="0"/>
    <n v="0"/>
    <n v="1"/>
    <n v="0"/>
    <n v="0"/>
    <n v="0"/>
    <n v="0"/>
    <n v="2"/>
    <n v="0"/>
    <n v="0"/>
    <s v="https://www.clickideacore.com/ClickHTML5/Visit.aspx?ID=//5FDAEwASwAzADUANQA5ADgAMwA5ADQASQBEAEUAQQAA=&amp;Tipo=2&amp;ST=1&amp;nLang=0"/>
    <n v="0"/>
    <n v="15"/>
    <n v="0"/>
    <n v="0"/>
    <n v="0"/>
    <n v="0"/>
    <n v="0"/>
    <n v="0"/>
  </r>
  <r>
    <x v="11"/>
    <x v="6"/>
    <s v="OP-SDYR-001"/>
    <x v="133"/>
    <d v="2025-09-02T00:00:00"/>
    <n v="23"/>
    <x v="0"/>
    <n v="36"/>
    <n v="0"/>
    <n v="0"/>
    <n v="1"/>
    <n v="0"/>
    <n v="0"/>
    <n v="0"/>
    <n v="0"/>
    <n v="0"/>
    <n v="0"/>
    <n v="0"/>
    <n v="0"/>
    <s v="https://www.clickideacore.com/ClickHTML5/Visit.aspx?ID=//5FDAEwASwAzADUANQA5ADgAMwA5ADQASQBEAEUAQQAA=&amp;Tipo=2&amp;ST=1&amp;nLang=0"/>
    <n v="0"/>
    <n v="0"/>
    <n v="0"/>
    <n v="0"/>
    <n v="0"/>
    <n v="0"/>
    <n v="0"/>
    <n v="0"/>
  </r>
  <r>
    <x v="10"/>
    <x v="6"/>
    <s v="OP-SDYR-001"/>
    <x v="133"/>
    <d v="2025-09-02T00:00:00"/>
    <n v="23"/>
    <x v="0"/>
    <n v="26"/>
    <n v="0"/>
    <n v="0"/>
    <n v="1"/>
    <n v="0"/>
    <n v="0"/>
    <n v="0"/>
    <n v="0"/>
    <n v="0"/>
    <n v="2"/>
    <n v="0"/>
    <n v="0"/>
    <s v="https://www.clickideacore.com/ClickHTML5/Visit.aspx?ID=//5FDAEwASwAzADUANQA5ADgAMwA5ADQASQBEAEUAQQAA=&amp;Tipo=2&amp;ST=1&amp;nLang=0"/>
    <n v="0"/>
    <n v="0"/>
    <n v="0"/>
    <n v="0"/>
    <n v="0"/>
    <n v="0"/>
    <n v="0"/>
    <n v="0"/>
  </r>
  <r>
    <x v="3"/>
    <x v="6"/>
    <s v="OP-S-076"/>
    <x v="133"/>
    <d v="2025-09-02T00:00:00"/>
    <n v="65"/>
    <x v="0"/>
    <n v="21"/>
    <n v="0"/>
    <n v="1"/>
    <n v="1"/>
    <n v="0"/>
    <n v="0"/>
    <n v="1"/>
    <n v="0"/>
    <n v="0"/>
    <n v="0"/>
    <n v="0"/>
    <n v="0"/>
    <s v="https://www.clickideacore.com/ClickHTML5/Visit.aspx?ID=//51DAEwASwAzADUANgAwADMAMAAwADQASQBEAEUAQQAF=&amp;Tipo=2&amp;ST=1&amp;nLang=0"/>
    <n v="0"/>
    <n v="0"/>
    <n v="0"/>
    <n v="0"/>
    <n v="0"/>
    <n v="0"/>
    <n v="0"/>
    <n v="0"/>
  </r>
  <r>
    <x v="9"/>
    <x v="8"/>
    <s v="OP-S-076"/>
    <x v="133"/>
    <d v="2025-09-02T00:00:00"/>
    <n v="65"/>
    <x v="0"/>
    <n v="31"/>
    <n v="0"/>
    <n v="1"/>
    <n v="1"/>
    <n v="0"/>
    <n v="0"/>
    <n v="1"/>
    <n v="0"/>
    <n v="0"/>
    <n v="0"/>
    <n v="0"/>
    <n v="0"/>
    <s v="https://www.clickideacore.com/ClickHTML5/Visit.aspx?ID=//51DAEwASwAzADUANgAwADMAMAAwADQASQBEAEUAQQAF=&amp;Tipo=2&amp;ST=1&amp;nLang=0"/>
    <n v="0"/>
    <n v="0"/>
    <n v="0"/>
    <n v="0"/>
    <n v="0"/>
    <n v="0"/>
    <n v="0"/>
    <n v="0"/>
  </r>
  <r>
    <x v="0"/>
    <x v="0"/>
    <s v="OP-S-0010"/>
    <x v="133"/>
    <d v="2025-09-0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133"/>
    <d v="2025-09-0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6"/>
    <s v="OP-S-0010"/>
    <x v="133"/>
    <d v="2025-09-02T00:00:00"/>
    <n v="0"/>
    <x v="8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3"/>
    <d v="2025-09-0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34"/>
    <d v="2025-09-03T00:00:00"/>
    <n v="48"/>
    <x v="0"/>
    <n v="32"/>
    <n v="0"/>
    <n v="0"/>
    <n v="1"/>
    <n v="0"/>
    <n v="0"/>
    <n v="0"/>
    <n v="0"/>
    <n v="0"/>
    <n v="0"/>
    <n v="0"/>
    <n v="0"/>
    <s v="https://www.clickideacore.com/ClickHTML5/Visit.aspx?ID=//5ADAEwASwAzADUANgAyADQAMgAwADUASQBEAEUAQQA8=&amp;Tipo=2&amp;ST=1&amp;nLang=0"/>
    <n v="0"/>
    <n v="1"/>
    <n v="0"/>
    <n v="0"/>
    <n v="0"/>
    <n v="0"/>
    <n v="0"/>
    <n v="0"/>
  </r>
  <r>
    <x v="1"/>
    <x v="1"/>
    <s v="OP-DYR-004"/>
    <x v="134"/>
    <d v="2025-09-03T00:00:00"/>
    <n v="26"/>
    <x v="0"/>
    <n v="10"/>
    <n v="0"/>
    <n v="0"/>
    <n v="0"/>
    <n v="1"/>
    <n v="0"/>
    <n v="0"/>
    <n v="0"/>
    <n v="0"/>
    <n v="0"/>
    <n v="0"/>
    <n v="0"/>
    <s v="https://www.clickideacore.com/ClickHTML5/Visit.aspx?ID=//5EDAEwASwAzADUANgAyADcAMwA5ADYASQBEAEUAQQAB=&amp;Tipo=2&amp;ST=1&amp;nLang=0"/>
    <n v="0"/>
    <n v="0"/>
    <n v="0"/>
    <n v="0"/>
    <n v="0"/>
    <n v="0"/>
    <n v="0"/>
    <n v="0"/>
  </r>
  <r>
    <x v="2"/>
    <x v="2"/>
    <s v="OP-S-200"/>
    <x v="134"/>
    <d v="2025-09-03T00:00:00"/>
    <n v="17"/>
    <x v="0"/>
    <n v="42"/>
    <n v="0"/>
    <n v="0"/>
    <n v="1"/>
    <n v="0"/>
    <n v="0"/>
    <n v="0"/>
    <n v="0"/>
    <n v="0"/>
    <n v="0"/>
    <n v="0"/>
    <n v="0"/>
    <s v="https://www.clickideacore.com/ClickHTML5/Visit.aspx?ID=//52DAEwASwAzADUANgAyADEAOAA5ADEASQBEAEUAQQAB=&amp;Tipo=2&amp;ST=1&amp;nLang=0"/>
    <n v="0"/>
    <n v="4"/>
    <n v="6"/>
    <n v="1"/>
    <n v="0"/>
    <n v="0"/>
    <n v="0"/>
    <n v="0"/>
  </r>
  <r>
    <x v="17"/>
    <x v="6"/>
    <s v="OP-DYR-00001"/>
    <x v="134"/>
    <d v="2025-09-03T00:00:00"/>
    <n v="48"/>
    <x v="0"/>
    <n v="28"/>
    <n v="0"/>
    <n v="1"/>
    <n v="1"/>
    <n v="0"/>
    <n v="1"/>
    <n v="0"/>
    <n v="0"/>
    <n v="0"/>
    <n v="0"/>
    <n v="0"/>
    <n v="0"/>
    <s v="https://www.clickideacore.com/ClickHTML5/Visit.aspx?ID=//59DAEwASwAzADUANgAyADUAOQA2ADMASQBEAEUAQQA9=&amp;Tipo=2&amp;ST=1&amp;nLang=0"/>
    <n v="0"/>
    <n v="2"/>
    <n v="0"/>
    <n v="0"/>
    <n v="0"/>
    <n v="0"/>
    <n v="0"/>
    <n v="0"/>
  </r>
  <r>
    <x v="10"/>
    <x v="6"/>
    <s v="OP-DYR-00001"/>
    <x v="134"/>
    <d v="2025-09-03T00:00:00"/>
    <n v="48"/>
    <x v="0"/>
    <n v="28"/>
    <n v="0"/>
    <n v="1"/>
    <n v="1"/>
    <n v="0"/>
    <n v="1"/>
    <n v="0"/>
    <n v="0"/>
    <n v="0"/>
    <n v="0"/>
    <n v="0"/>
    <n v="0"/>
    <s v="https://www.clickideacore.com/ClickHTML5/Visit.aspx?ID=//59DAEwASwAzADUANgAyADUAOQA2ADMASQBEAEUAQQA9=&amp;Tipo=2&amp;ST=1&amp;nLang=0"/>
    <n v="0"/>
    <n v="2"/>
    <n v="0"/>
    <n v="0"/>
    <n v="0"/>
    <n v="0"/>
    <n v="0"/>
    <n v="0"/>
  </r>
  <r>
    <x v="4"/>
    <x v="8"/>
    <s v="OP-DYR-005"/>
    <x v="134"/>
    <d v="2025-09-03T00:00:00"/>
    <n v="17"/>
    <x v="0"/>
    <n v="40"/>
    <n v="0"/>
    <n v="0"/>
    <n v="1"/>
    <n v="0"/>
    <n v="0"/>
    <n v="0"/>
    <n v="0"/>
    <n v="0"/>
    <n v="0"/>
    <n v="0"/>
    <n v="0"/>
    <s v="https://www.clickideacore.com/ClickHTML5/Visit.aspx?ID=//53DAEwASwAzADUANgAyADcANwA5ADMASQBEAEUAQQA8=&amp;Tipo=2&amp;ST=1&amp;nLang=0"/>
    <n v="0"/>
    <n v="0"/>
    <n v="0"/>
    <n v="0"/>
    <n v="0"/>
    <n v="0"/>
    <n v="0"/>
    <n v="0"/>
  </r>
  <r>
    <x v="5"/>
    <x v="4"/>
    <s v="OP-S-0010"/>
    <x v="134"/>
    <d v="2025-09-0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3"/>
    <s v="OP-S-0010"/>
    <x v="134"/>
    <d v="2025-09-0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134"/>
    <d v="2025-09-0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4"/>
    <d v="2025-09-0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35"/>
    <d v="2025-09-04T00:00:00"/>
    <n v="30"/>
    <x v="0"/>
    <n v="38"/>
    <n v="0"/>
    <n v="1"/>
    <n v="1"/>
    <n v="0"/>
    <n v="1"/>
    <n v="0"/>
    <n v="0"/>
    <n v="0"/>
    <n v="0"/>
    <n v="0"/>
    <n v="0"/>
    <s v="https://www.clickideacore.com/ClickHTML5/Visit.aspx?ID=//58DAEwASwAzADUANgA1ADAAOQAyADUASQBEAEUAQQA9=&amp;Tipo=2&amp;ST=1&amp;nLang=0"/>
    <n v="0"/>
    <n v="20"/>
    <n v="6"/>
    <n v="0"/>
    <n v="0"/>
    <n v="0"/>
    <n v="0"/>
    <n v="0"/>
  </r>
  <r>
    <x v="1"/>
    <x v="1"/>
    <s v="OP-DYR-004"/>
    <x v="135"/>
    <d v="2025-09-04T00:00:00"/>
    <n v="47"/>
    <x v="0"/>
    <n v="4"/>
    <n v="0"/>
    <n v="0"/>
    <n v="0"/>
    <n v="0"/>
    <n v="1"/>
    <n v="0"/>
    <n v="0"/>
    <n v="0"/>
    <n v="0"/>
    <n v="0"/>
    <n v="0"/>
    <s v="https://www.clickideacore.com/ClickHTML5/Visit.aspx?ID=//59DAEwASwAzADUANgA0ADUAMgA3ADMASQBEAEUAQQA5=&amp;Tipo=2&amp;ST=1&amp;nLang=0"/>
    <n v="0"/>
    <n v="37"/>
    <n v="0"/>
    <n v="0"/>
    <n v="0"/>
    <n v="0"/>
    <n v="0"/>
    <n v="0"/>
  </r>
  <r>
    <x v="2"/>
    <x v="2"/>
    <s v="OP-S-200"/>
    <x v="135"/>
    <d v="2025-09-04T00:00:00"/>
    <n v="17"/>
    <x v="0"/>
    <n v="40"/>
    <n v="0"/>
    <n v="1"/>
    <n v="1"/>
    <n v="0"/>
    <n v="1"/>
    <n v="0"/>
    <n v="0"/>
    <n v="0"/>
    <n v="0"/>
    <n v="0"/>
    <n v="0"/>
    <s v="https://www.clickideacore.com/ClickHTML5/Visit.aspx?ID=//50DAEwASwAzADUANgA1ADAAMwAzADYASQBEAEUAQQAD=&amp;Tipo=2&amp;ST=1&amp;nLang=0"/>
    <n v="0"/>
    <n v="16"/>
    <n v="4"/>
    <n v="0"/>
    <n v="0"/>
    <n v="0"/>
    <n v="0"/>
    <n v="0"/>
  </r>
  <r>
    <x v="3"/>
    <x v="3"/>
    <s v="OP-S-076"/>
    <x v="135"/>
    <d v="2025-09-04T00:00:00"/>
    <n v="69"/>
    <x v="0"/>
    <n v="29"/>
    <n v="0"/>
    <n v="0"/>
    <n v="1"/>
    <n v="0"/>
    <n v="0"/>
    <n v="0"/>
    <n v="0"/>
    <n v="0"/>
    <n v="0"/>
    <n v="0"/>
    <n v="0"/>
    <s v="https://www.clickideacore.com/ClickHTML5/Visit.aspx?ID=//5BDAEwASwAzADUANgA0ADcAOAA2ADUASQBEAEUAQQA9=&amp;Tipo=2&amp;ST=1&amp;nLang=0"/>
    <n v="0"/>
    <n v="22"/>
    <n v="0"/>
    <n v="0"/>
    <n v="0"/>
    <n v="0"/>
    <n v="0"/>
    <n v="0"/>
  </r>
  <r>
    <x v="4"/>
    <x v="8"/>
    <s v="OP-DYR-005"/>
    <x v="135"/>
    <d v="2025-09-04T00:00:00"/>
    <n v="23"/>
    <x v="0"/>
    <n v="40"/>
    <n v="0"/>
    <n v="1"/>
    <n v="1"/>
    <n v="0"/>
    <n v="0"/>
    <n v="0"/>
    <n v="0"/>
    <n v="0"/>
    <n v="0"/>
    <n v="0"/>
    <n v="0"/>
    <s v="https://www.clickideacore.com/ClickHTML5/Visit.aspx?ID=//56DAEwASwAzADUANgA1ADAANwAxADYASQBEAEUAQQAA=&amp;Tipo=2&amp;ST=1&amp;nLang=0"/>
    <n v="0"/>
    <n v="66"/>
    <n v="0"/>
    <n v="0"/>
    <n v="0"/>
    <n v="0"/>
    <n v="0"/>
    <n v="0"/>
  </r>
  <r>
    <x v="5"/>
    <x v="4"/>
    <s v="OP-DYR-005"/>
    <x v="135"/>
    <d v="2025-09-04T00:00:00"/>
    <n v="23"/>
    <x v="0"/>
    <n v="23"/>
    <n v="0"/>
    <n v="0"/>
    <n v="0"/>
    <n v="1"/>
    <n v="1"/>
    <n v="0"/>
    <n v="0"/>
    <n v="0"/>
    <n v="0"/>
    <n v="0"/>
    <n v="0"/>
    <s v="https://www.clickideacore.com/ClickHTML5/Visit.aspx?ID=//56DAEwASwAzADUANgA1ADAANwAxADYASQBEAEUAQQAA=&amp;Tipo=2&amp;ST=1&amp;nLang=0"/>
    <n v="0"/>
    <n v="30"/>
    <n v="0"/>
    <n v="0"/>
    <n v="0"/>
    <n v="0"/>
    <n v="0"/>
    <n v="0"/>
  </r>
  <r>
    <x v="10"/>
    <x v="6"/>
    <s v="OP-DYR-005"/>
    <x v="135"/>
    <d v="2025-09-04T00:00:00"/>
    <n v="23"/>
    <x v="0"/>
    <n v="0"/>
    <n v="0"/>
    <n v="0"/>
    <n v="0"/>
    <n v="0"/>
    <n v="0"/>
    <n v="0"/>
    <n v="0"/>
    <n v="0"/>
    <n v="0"/>
    <n v="0"/>
    <n v="0"/>
    <s v="https://www.clickideacore.com/ClickHTML5/Visit.aspx?ID=//56DAEwASwAzADUANgA1ADAANwAxADYASQBEAEUAQQAA=&amp;Tipo=2&amp;ST=1&amp;nLang=0"/>
    <n v="0"/>
    <n v="14"/>
    <n v="0"/>
    <n v="0"/>
    <n v="0"/>
    <n v="0"/>
    <n v="0"/>
    <n v="0"/>
  </r>
  <r>
    <x v="18"/>
    <x v="6"/>
    <s v="OP-DYR-005"/>
    <x v="135"/>
    <d v="2025-09-04T00:00:00"/>
    <n v="23"/>
    <x v="0"/>
    <n v="0"/>
    <n v="0"/>
    <n v="0"/>
    <n v="0"/>
    <n v="0"/>
    <n v="0"/>
    <n v="0"/>
    <n v="0"/>
    <n v="0"/>
    <n v="0"/>
    <n v="0"/>
    <n v="0"/>
    <s v="https://www.clickideacore.com/ClickHTML5/Visit.aspx?ID=//56DAEwASwAzADUANgA1ADAANwAxADYASQBEAEUAQQAA=&amp;Tipo=2&amp;ST=1&amp;nLang=0"/>
    <n v="0"/>
    <n v="14"/>
    <n v="0"/>
    <n v="0"/>
    <n v="0"/>
    <n v="0"/>
    <n v="0"/>
    <n v="0"/>
  </r>
  <r>
    <x v="17"/>
    <x v="6"/>
    <s v="OP-S-0010"/>
    <x v="135"/>
    <d v="2025-09-0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5"/>
    <d v="2025-09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36"/>
    <d v="2025-09-05T00:00:00"/>
    <n v="25"/>
    <x v="0"/>
    <n v="16"/>
    <n v="0"/>
    <n v="0"/>
    <n v="1"/>
    <n v="0"/>
    <n v="1"/>
    <n v="0"/>
    <n v="0"/>
    <n v="0"/>
    <n v="0"/>
    <n v="0"/>
    <n v="0"/>
    <s v="https://www.clickideacore.com/ClickHTML5/Visit.aspx?ID=//53DAEwASwAzADUANgA2ADcAOAA0ADkASQBEAEUAQQAA=&amp;Tipo=2&amp;ST=1&amp;nLang=0"/>
    <n v="0"/>
    <n v="20"/>
    <n v="0"/>
    <n v="0"/>
    <n v="0"/>
    <n v="0"/>
    <n v="0"/>
    <n v="0"/>
  </r>
  <r>
    <x v="1"/>
    <x v="1"/>
    <s v="OP-DYR-004"/>
    <x v="136"/>
    <d v="2025-09-05T00:00:00"/>
    <n v="40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UANgA2ADUAMgAzADgASQBEAEUAQQA0=&amp;Tipo=2&amp;ST=1&amp;nLang=0"/>
    <n v="0"/>
    <n v="0"/>
    <n v="0"/>
    <n v="0"/>
    <n v="0"/>
    <n v="0"/>
    <n v="0"/>
    <n v="0"/>
  </r>
  <r>
    <x v="17"/>
    <x v="3"/>
    <s v="OP-DYR-00001"/>
    <x v="136"/>
    <d v="2025-09-05T00:00:00"/>
    <n v="26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UANgA2ADgAOQA5ADAASQBEAEUAQQA3=&amp;Tipo=2&amp;ST=1&amp;nLang=0"/>
    <n v="0"/>
    <n v="5"/>
    <n v="0"/>
    <n v="0"/>
    <n v="0"/>
    <n v="0"/>
    <n v="0"/>
    <n v="0"/>
  </r>
  <r>
    <x v="2"/>
    <x v="2"/>
    <s v="OP-DYR-00001"/>
    <x v="136"/>
    <d v="2025-09-05T00:00:00"/>
    <n v="26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UANgA2ADgAOQA5ADAASQBEAEUAQQA3=&amp;Tipo=2&amp;ST=1&amp;nLang=0"/>
    <n v="0"/>
    <n v="5"/>
    <n v="0"/>
    <n v="0"/>
    <n v="0"/>
    <n v="0"/>
    <n v="0"/>
    <n v="0"/>
  </r>
  <r>
    <x v="5"/>
    <x v="4"/>
    <s v="OP-DYR-00001"/>
    <x v="136"/>
    <d v="2025-09-05T00:00:00"/>
    <n v="26"/>
    <x v="0"/>
    <n v="18"/>
    <n v="0"/>
    <n v="0"/>
    <n v="0"/>
    <n v="1"/>
    <n v="1"/>
    <n v="0"/>
    <n v="0"/>
    <n v="0"/>
    <n v="0"/>
    <n v="0"/>
    <n v="0"/>
    <s v="https://www.clickideacore.com/ClickHTML5/Visit.aspx?ID=//52DAEwASwAzADUANgA2ADgAOQA5ADAASQBEAEUAQQA3=&amp;Tipo=2&amp;ST=1&amp;nLang=0"/>
    <n v="0"/>
    <n v="16"/>
    <n v="0"/>
    <n v="0"/>
    <n v="0"/>
    <n v="0"/>
    <n v="0"/>
    <n v="0"/>
  </r>
  <r>
    <x v="10"/>
    <x v="6"/>
    <s v="OP-S-076"/>
    <x v="136"/>
    <d v="2025-09-05T00:00:00"/>
    <n v="27"/>
    <x v="0"/>
    <n v="5"/>
    <n v="0"/>
    <n v="0"/>
    <n v="0"/>
    <n v="0"/>
    <n v="0"/>
    <n v="1"/>
    <n v="0"/>
    <n v="0"/>
    <n v="0"/>
    <n v="0"/>
    <n v="0"/>
    <s v="https://www.clickideacore.com/ClickHTML5/Visit.aspx?ID=//5BDAEwASwAzADUANgA2ADUANQAxADAASQBEAEUAQQAE=&amp;Tipo=2&amp;ST=1&amp;nLang=0"/>
    <n v="0"/>
    <n v="6"/>
    <n v="0"/>
    <n v="0"/>
    <n v="0"/>
    <n v="0"/>
    <n v="0"/>
    <n v="0"/>
  </r>
  <r>
    <x v="3"/>
    <x v="6"/>
    <s v="OP-S-076"/>
    <x v="136"/>
    <d v="2025-09-05T00:00:00"/>
    <n v="27"/>
    <x v="0"/>
    <n v="5"/>
    <n v="0"/>
    <n v="0"/>
    <n v="0"/>
    <n v="0"/>
    <n v="0"/>
    <n v="1"/>
    <n v="0"/>
    <n v="0"/>
    <n v="0"/>
    <n v="0"/>
    <n v="0"/>
    <s v="https://www.clickideacore.com/ClickHTML5/Visit.aspx?ID=//5BDAEwASwAzADUANgA2ADUANQAxADAASQBEAEUAQQAE=&amp;Tipo=2&amp;ST=1&amp;nLang=0"/>
    <n v="0"/>
    <n v="6"/>
    <n v="0"/>
    <n v="0"/>
    <n v="0"/>
    <n v="0"/>
    <n v="0"/>
    <n v="0"/>
  </r>
  <r>
    <x v="4"/>
    <x v="8"/>
    <s v="OP-S-0010"/>
    <x v="136"/>
    <d v="2025-09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36"/>
    <d v="2025-09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37"/>
    <d v="2025-09-06T00:00:00"/>
    <n v="125"/>
    <x v="0"/>
    <n v="0"/>
    <n v="0"/>
    <n v="0"/>
    <n v="0"/>
    <n v="0"/>
    <n v="0"/>
    <n v="0"/>
    <n v="0"/>
    <n v="0"/>
    <n v="10"/>
    <n v="1"/>
    <n v="0"/>
    <s v="https://www.clickideacore.com/ClickHTML5/Visit.aspx?ID=//57DAEwASwAzADUANgA4ADYANwA5ADUASQBEAEUAQQA0=&amp;Tipo=2&amp;ST=1&amp;nLang=0"/>
    <n v="16"/>
    <n v="0"/>
    <n v="0"/>
    <n v="0"/>
    <n v="0"/>
    <n v="0"/>
    <n v="1"/>
    <n v="0"/>
  </r>
  <r>
    <x v="0"/>
    <x v="0"/>
    <s v="OP-S-100"/>
    <x v="137"/>
    <d v="2025-09-06T00:00:00"/>
    <n v="69"/>
    <x v="0"/>
    <n v="0"/>
    <n v="0"/>
    <n v="0"/>
    <n v="0"/>
    <n v="0"/>
    <n v="0"/>
    <n v="0"/>
    <n v="1"/>
    <n v="0"/>
    <n v="4"/>
    <n v="1"/>
    <n v="0"/>
    <s v="https://www.clickideacore.com/ClickHTML5/Visit.aspx?ID=//51DAEwASwAzADUANgA4ADcANwAwADMASQBEAEUAQQA8=&amp;Tipo=2&amp;ST=1&amp;nLang=0"/>
    <n v="12"/>
    <n v="0"/>
    <n v="0"/>
    <n v="0"/>
    <n v="0"/>
    <n v="0"/>
    <n v="0"/>
    <n v="0"/>
  </r>
  <r>
    <x v="11"/>
    <x v="17"/>
    <s v="OP-SDYR-001"/>
    <x v="137"/>
    <d v="2025-09-06T00:00:00"/>
    <n v="15"/>
    <x v="0"/>
    <n v="0"/>
    <n v="0"/>
    <n v="0"/>
    <n v="0"/>
    <n v="0"/>
    <n v="0"/>
    <n v="0"/>
    <n v="1"/>
    <n v="0"/>
    <n v="0"/>
    <n v="1"/>
    <n v="0"/>
    <s v="https://www.clickideacore.com/ClickHTML5/Visit.aspx?ID=//56DAEwASwAzADUANgA4ADYAMgAwADQASQBEAEUAQQA8=&amp;Tipo=2&amp;ST=1&amp;nLang=0"/>
    <n v="0"/>
    <n v="0"/>
    <n v="0"/>
    <n v="0"/>
    <n v="0"/>
    <n v="0"/>
    <n v="0"/>
    <n v="0"/>
  </r>
  <r>
    <x v="2"/>
    <x v="2"/>
    <s v="OP-S-200"/>
    <x v="137"/>
    <d v="2025-09-06T00:00:00"/>
    <n v="14"/>
    <x v="0"/>
    <n v="0"/>
    <n v="0"/>
    <n v="0"/>
    <n v="0"/>
    <n v="0"/>
    <n v="0"/>
    <n v="0"/>
    <n v="1"/>
    <n v="0"/>
    <n v="1"/>
    <n v="1"/>
    <n v="0"/>
    <s v="https://www.clickideacore.com/ClickHTML5/Visit.aspx?ID=//5ADAEwASwAzADUANgA4ADUAOAA3ADcASQBEAEUAQQAF=&amp;Tipo=2&amp;ST=1&amp;nLang=0"/>
    <n v="0"/>
    <n v="0"/>
    <n v="0"/>
    <n v="0"/>
    <n v="0"/>
    <n v="0"/>
    <n v="0"/>
    <n v="0"/>
  </r>
  <r>
    <x v="17"/>
    <x v="3"/>
    <s v="OP-DYR-00001"/>
    <x v="137"/>
    <d v="2025-09-06T00:00:00"/>
    <n v="51"/>
    <x v="0"/>
    <n v="0"/>
    <n v="0"/>
    <n v="0"/>
    <n v="0"/>
    <n v="0"/>
    <n v="0"/>
    <n v="0"/>
    <n v="1"/>
    <n v="0"/>
    <n v="4"/>
    <n v="1"/>
    <n v="0"/>
    <s v="https://www.clickideacore.com/ClickHTML5/Visit.aspx?ID=//57DAEwASwAzADUANgA4ADYAMgAwADAASQBEAEUAQQAA=&amp;Tipo=2&amp;ST=1&amp;nLang=0"/>
    <n v="0"/>
    <n v="0"/>
    <n v="0"/>
    <n v="0"/>
    <n v="0"/>
    <n v="0"/>
    <n v="0"/>
    <n v="0"/>
  </r>
  <r>
    <x v="10"/>
    <x v="6"/>
    <s v="OP-DYR-011"/>
    <x v="137"/>
    <d v="2025-09-06T00:00:00"/>
    <n v="1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1"/>
    <x v="1"/>
    <s v="OP-DYR-004"/>
    <x v="137"/>
    <d v="2025-09-06T00:00:00"/>
    <n v="30"/>
    <x v="5"/>
    <n v="0"/>
    <n v="0"/>
    <n v="0"/>
    <n v="0"/>
    <n v="0"/>
    <n v="0"/>
    <n v="0"/>
    <n v="0"/>
    <n v="0"/>
    <n v="0"/>
    <n v="0"/>
    <n v="0"/>
    <s v="https://www.clickideacore.com/ClickHTML5/Visit.aspx?ID=//56DAEwASwAzADUANQA1ADcANgA1ADYASQBEAEUAQQA3=&amp;Tipo=2&amp;ST=1&amp;nLang=0"/>
    <n v="0"/>
    <n v="0"/>
    <n v="0"/>
    <n v="0"/>
    <n v="0"/>
    <n v="0"/>
    <n v="0"/>
    <n v="0"/>
  </r>
  <r>
    <x v="3"/>
    <x v="6"/>
    <s v="OP-S-076"/>
    <x v="137"/>
    <d v="2025-09-06T00:00:00"/>
    <n v="42"/>
    <x v="5"/>
    <n v="0"/>
    <n v="0"/>
    <n v="0"/>
    <n v="0"/>
    <n v="0"/>
    <n v="0"/>
    <n v="0"/>
    <n v="0"/>
    <n v="0"/>
    <n v="0"/>
    <n v="0"/>
    <n v="0"/>
    <s v="https://www.clickideacore.com/ClickHTML5/Visit.aspx?ID=//54DAEwASwAzADUANQA1ADcAOAA5ADkASQBEAEUAQQAF=&amp;Tipo=2&amp;ST=1&amp;nLang=0"/>
    <n v="0"/>
    <n v="0"/>
    <n v="0"/>
    <n v="0"/>
    <n v="0"/>
    <n v="0"/>
    <n v="0"/>
    <n v="0"/>
  </r>
  <r>
    <x v="4"/>
    <x v="8"/>
    <s v="OP-DYR-005"/>
    <x v="137"/>
    <d v="2025-09-06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4DAEwASwAzADUANQA1ADcAOAAxADAASQBEAEUAQQAA=&amp;Tipo=2&amp;ST=1&amp;nLang=0"/>
    <n v="0"/>
    <n v="0"/>
    <n v="0"/>
    <n v="0"/>
    <n v="0"/>
    <n v="0"/>
    <n v="0"/>
    <n v="0"/>
  </r>
  <r>
    <x v="9"/>
    <x v="7"/>
    <s v="OP-S-0010"/>
    <x v="137"/>
    <d v="2025-09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38"/>
    <d v="2025-09-07T00:00:00"/>
    <n v="47"/>
    <x v="0"/>
    <n v="0"/>
    <n v="0"/>
    <n v="0"/>
    <n v="0"/>
    <n v="0"/>
    <n v="0"/>
    <n v="0"/>
    <n v="0"/>
    <n v="0"/>
    <n v="8"/>
    <n v="0"/>
    <n v="1"/>
    <s v="https://www.clickideacore.com/ClickHTML5/Visit.aspx?ID=//5FDAEwASwAzADUANgA5ADMANgAxADkASQBEAEUAQQAB=&amp;Tipo=2&amp;ST=1&amp;nLang=0"/>
    <n v="15"/>
    <n v="0"/>
    <n v="0"/>
    <n v="0"/>
    <n v="0"/>
    <n v="0"/>
    <n v="0"/>
    <n v="1"/>
  </r>
  <r>
    <x v="0"/>
    <x v="0"/>
    <s v="OP-S-100"/>
    <x v="138"/>
    <d v="2025-09-07T00:00:00"/>
    <n v="42"/>
    <x v="0"/>
    <n v="0"/>
    <n v="0"/>
    <n v="0"/>
    <n v="0"/>
    <n v="0"/>
    <n v="1"/>
    <n v="0"/>
    <n v="0"/>
    <n v="1"/>
    <n v="5"/>
    <n v="0"/>
    <n v="1"/>
    <s v="https://www.clickideacore.com/ClickHTML5/Visit.aspx?ID=//52DAEwASwAzADUANgA5ADMAOQA1ADgASQBEAEUAQQAE=&amp;Tipo=2&amp;ST=1&amp;nLang=0"/>
    <n v="16"/>
    <n v="0"/>
    <n v="0"/>
    <n v="0"/>
    <n v="0"/>
    <n v="0"/>
    <n v="0"/>
    <n v="0"/>
  </r>
  <r>
    <x v="11"/>
    <x v="17"/>
    <s v="OP-SDYR-001"/>
    <x v="138"/>
    <d v="2025-09-07T00:00:00"/>
    <n v="58"/>
    <x v="0"/>
    <n v="0"/>
    <n v="0"/>
    <n v="0"/>
    <n v="0"/>
    <n v="0"/>
    <n v="0"/>
    <n v="0"/>
    <n v="0"/>
    <n v="1"/>
    <n v="4"/>
    <n v="0"/>
    <n v="1"/>
    <s v="https://www.clickideacore.com/ClickHTML5/Visit.aspx?ID=//5DDAEwASwAzADUANgA5ADQAMAAzADgASQBEAEUAQQA7=&amp;Tipo=2&amp;ST=1&amp;nLang=0"/>
    <n v="0"/>
    <n v="0"/>
    <n v="0"/>
    <n v="0"/>
    <n v="0"/>
    <n v="0"/>
    <n v="0"/>
    <n v="0"/>
  </r>
  <r>
    <x v="2"/>
    <x v="2"/>
    <s v="OP-S-200"/>
    <x v="138"/>
    <d v="2025-09-07T00:00:00"/>
    <n v="31"/>
    <x v="0"/>
    <n v="0"/>
    <n v="0"/>
    <n v="0"/>
    <n v="0"/>
    <n v="0"/>
    <n v="0"/>
    <n v="0"/>
    <n v="0"/>
    <n v="1"/>
    <n v="7"/>
    <n v="0"/>
    <n v="1"/>
    <s v="https://www.clickideacore.com/ClickHTML5/Visit.aspx?ID=//54DAEwASwAzADUANgA5ADMANwAxADcASQBEAEUAQQAA=&amp;Tipo=2&amp;ST=1&amp;nLang=0"/>
    <n v="0"/>
    <n v="0"/>
    <n v="0"/>
    <n v="0"/>
    <n v="0"/>
    <n v="0"/>
    <n v="0"/>
    <n v="0"/>
  </r>
  <r>
    <x v="17"/>
    <x v="3"/>
    <s v="OP-DYR-00001"/>
    <x v="138"/>
    <d v="2025-09-07T00:00:00"/>
    <n v="53"/>
    <x v="0"/>
    <n v="0"/>
    <n v="0"/>
    <n v="1"/>
    <n v="0"/>
    <n v="0"/>
    <n v="0"/>
    <n v="0"/>
    <n v="0"/>
    <n v="1"/>
    <n v="8"/>
    <n v="0"/>
    <n v="1"/>
    <s v="https://www.clickideacore.com/ClickHTML5/Visit.aspx?ID=//58DAEwASwAzADUANgA5ADQANQA3ADkASQBEAEUAQQAB=&amp;Tipo=2&amp;ST=1&amp;nLang=0"/>
    <n v="0"/>
    <n v="0"/>
    <n v="0"/>
    <n v="0"/>
    <n v="0"/>
    <n v="0"/>
    <n v="0"/>
    <n v="0"/>
  </r>
  <r>
    <x v="10"/>
    <x v="6"/>
    <s v="OP-DYR-011"/>
    <x v="138"/>
    <d v="2025-09-07T00:00:00"/>
    <n v="1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1"/>
    <x v="1"/>
    <s v="OP-DYR-004"/>
    <x v="138"/>
    <d v="2025-09-07T00:00:00"/>
    <n v="30"/>
    <x v="5"/>
    <n v="0"/>
    <n v="0"/>
    <n v="0"/>
    <n v="0"/>
    <n v="0"/>
    <n v="0"/>
    <n v="0"/>
    <n v="0"/>
    <n v="0"/>
    <n v="0"/>
    <n v="0"/>
    <n v="0"/>
    <s v="https://www.clickideacore.com/ClickHTML5/Visit.aspx?ID=//56DAEwASwAzADUANQA1ADcANgA1ADYASQBEAEUAQQA3=&amp;Tipo=2&amp;ST=1&amp;nLang=0"/>
    <n v="0"/>
    <n v="0"/>
    <n v="0"/>
    <n v="0"/>
    <n v="0"/>
    <n v="0"/>
    <n v="0"/>
    <n v="0"/>
  </r>
  <r>
    <x v="3"/>
    <x v="6"/>
    <s v="OP-S-076"/>
    <x v="138"/>
    <d v="2025-09-07T00:00:00"/>
    <n v="42"/>
    <x v="5"/>
    <n v="0"/>
    <n v="0"/>
    <n v="0"/>
    <n v="0"/>
    <n v="0"/>
    <n v="0"/>
    <n v="0"/>
    <n v="0"/>
    <n v="0"/>
    <n v="0"/>
    <n v="0"/>
    <n v="0"/>
    <s v="https://www.clickideacore.com/ClickHTML5/Visit.aspx?ID=//54DAEwASwAzADUANQA1ADcAOAA5ADkASQBEAEUAQQAF=&amp;Tipo=2&amp;ST=1&amp;nLang=0"/>
    <n v="0"/>
    <n v="0"/>
    <n v="0"/>
    <n v="0"/>
    <n v="0"/>
    <n v="0"/>
    <n v="0"/>
    <n v="0"/>
  </r>
  <r>
    <x v="4"/>
    <x v="8"/>
    <s v="OP-DYR-005"/>
    <x v="138"/>
    <d v="2025-09-07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4DAEwASwAzADUANQA1ADcAOAAxADAASQBEAEUAQQAA=&amp;Tipo=2&amp;ST=1&amp;nLang=0"/>
    <n v="0"/>
    <n v="0"/>
    <n v="0"/>
    <n v="0"/>
    <n v="0"/>
    <n v="0"/>
    <n v="0"/>
    <n v="0"/>
  </r>
  <r>
    <x v="9"/>
    <x v="7"/>
    <s v="OP-S-0010"/>
    <x v="138"/>
    <d v="2025-09-0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39"/>
    <d v="2025-09-08T00:00:00"/>
    <n v="25"/>
    <x v="0"/>
    <n v="9"/>
    <n v="0"/>
    <n v="0"/>
    <n v="0"/>
    <n v="0"/>
    <n v="0"/>
    <n v="0"/>
    <n v="0"/>
    <n v="0"/>
    <n v="0"/>
    <n v="0"/>
    <n v="0"/>
    <s v="https://www.clickideacore.com/ClickHTML5/Visit.aspx?ID=//51DAEwASwAzADUANwAwADQAMAA5ADEASQBEAEUAQQAA=&amp;Tipo=2&amp;ST=1&amp;nLang=0"/>
    <n v="0"/>
    <n v="0"/>
    <n v="0"/>
    <n v="0"/>
    <n v="0"/>
    <n v="0"/>
    <n v="0"/>
    <n v="0"/>
  </r>
  <r>
    <x v="17"/>
    <x v="6"/>
    <s v="OP-DYR-011"/>
    <x v="139"/>
    <d v="2025-09-08T00:00:00"/>
    <n v="25"/>
    <x v="0"/>
    <n v="9"/>
    <n v="0"/>
    <n v="0"/>
    <n v="0"/>
    <n v="0"/>
    <n v="0"/>
    <n v="0"/>
    <n v="0"/>
    <n v="0"/>
    <n v="0"/>
    <n v="0"/>
    <n v="0"/>
    <s v="https://www.clickideacore.com/ClickHTML5/Visit.aspx?ID=//51DAEwASwAzADUANwAwADQAMAA5ADEASQBEAEUAQQAA=&amp;Tipo=2&amp;ST=1&amp;nLang=0"/>
    <n v="0"/>
    <n v="0"/>
    <n v="0"/>
    <n v="0"/>
    <n v="0"/>
    <n v="0"/>
    <n v="0"/>
    <n v="0"/>
  </r>
  <r>
    <x v="0"/>
    <x v="0"/>
    <s v="OP-S-100"/>
    <x v="139"/>
    <d v="2025-09-08T00:00:00"/>
    <n v="30"/>
    <x v="0"/>
    <n v="0"/>
    <n v="0"/>
    <n v="0"/>
    <n v="0"/>
    <n v="0"/>
    <n v="1"/>
    <n v="0"/>
    <n v="0"/>
    <n v="0"/>
    <n v="0"/>
    <n v="0"/>
    <n v="0"/>
    <s v="https://www.clickideacore.com/ClickHTML5/Visit.aspx?ID=//5EDAEwASwAzADUANwAxADcAOQA0ADIASQBEAEUAQQA1=&amp;Tipo=2&amp;ST=1&amp;nLang=0"/>
    <n v="0"/>
    <n v="6"/>
    <n v="0"/>
    <n v="0"/>
    <n v="0"/>
    <n v="0"/>
    <n v="0"/>
    <n v="0"/>
  </r>
  <r>
    <x v="1"/>
    <x v="1"/>
    <s v="OP-DYR-004"/>
    <x v="139"/>
    <d v="2025-09-08T00:00:00"/>
    <n v="22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NwAxADMAMAA2ADgASQBEAEUAQQAB=&amp;Tipo=2&amp;ST=1&amp;nLang=0"/>
    <n v="0"/>
    <n v="20"/>
    <n v="0"/>
    <n v="0"/>
    <n v="0"/>
    <n v="0"/>
    <n v="0"/>
    <n v="0"/>
  </r>
  <r>
    <x v="2"/>
    <x v="2"/>
    <s v="OP-S-200"/>
    <x v="139"/>
    <d v="2025-09-08T00:00:00"/>
    <n v="30"/>
    <x v="0"/>
    <n v="12"/>
    <n v="0"/>
    <n v="0"/>
    <n v="0"/>
    <n v="0"/>
    <n v="1"/>
    <n v="0"/>
    <n v="0"/>
    <n v="0"/>
    <n v="0"/>
    <n v="0"/>
    <n v="0"/>
    <s v="https://www.clickideacore.com/ClickHTML5/Visit.aspx?ID=//54DAEwASwAzADUANwAxADYAMAA1ADUASQBEAEUAQQA3=&amp;Tipo=2&amp;ST=1&amp;nLang=0"/>
    <n v="0"/>
    <n v="0"/>
    <n v="0"/>
    <n v="0"/>
    <n v="0"/>
    <n v="0"/>
    <n v="0"/>
    <n v="0"/>
  </r>
  <r>
    <x v="3"/>
    <x v="3"/>
    <s v="OP-S-076"/>
    <x v="139"/>
    <d v="2025-09-08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NwAwADEAMgAwADAASQBEAEUAQQA4=&amp;Tipo=2&amp;ST=1&amp;nLang=0"/>
    <n v="0"/>
    <n v="8"/>
    <n v="0"/>
    <n v="0"/>
    <n v="0"/>
    <n v="0"/>
    <n v="0"/>
    <n v="0"/>
  </r>
  <r>
    <x v="4"/>
    <x v="8"/>
    <s v="OP-S-076"/>
    <x v="139"/>
    <d v="2025-09-08T00:00:00"/>
    <n v="19"/>
    <x v="0"/>
    <n v="2"/>
    <n v="0"/>
    <n v="0"/>
    <n v="0"/>
    <n v="0"/>
    <n v="0"/>
    <n v="0"/>
    <n v="0"/>
    <n v="0"/>
    <n v="0"/>
    <n v="0"/>
    <n v="0"/>
    <s v="https://www.clickideacore.com/ClickHTML5/Visit.aspx?ID=//58DAEwASwAzADUANwAwADEAMgAwADAASQBEAEUAQQA4=&amp;Tipo=2&amp;ST=1&amp;nLang=0"/>
    <n v="0"/>
    <n v="1"/>
    <n v="0"/>
    <n v="0"/>
    <n v="0"/>
    <n v="0"/>
    <n v="0"/>
    <n v="0"/>
  </r>
  <r>
    <x v="5"/>
    <x v="4"/>
    <s v="OP-S-076"/>
    <x v="139"/>
    <d v="2025-09-08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NwAwADEAMgAwADAASQBEAEUAQQA4=&amp;Tipo=2&amp;ST=1&amp;nLang=0"/>
    <n v="0"/>
    <n v="20"/>
    <n v="0"/>
    <n v="0"/>
    <n v="0"/>
    <n v="0"/>
    <n v="0"/>
    <n v="0"/>
  </r>
  <r>
    <x v="9"/>
    <x v="7"/>
    <s v="OP-S-0010"/>
    <x v="139"/>
    <d v="2025-09-0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0"/>
    <d v="2025-09-09T00:00:00"/>
    <n v="62"/>
    <x v="0"/>
    <n v="36"/>
    <n v="0"/>
    <n v="0"/>
    <n v="1"/>
    <n v="0"/>
    <n v="0"/>
    <n v="0"/>
    <n v="0"/>
    <n v="0"/>
    <n v="2"/>
    <n v="0"/>
    <n v="0"/>
    <s v="https://www.clickideacore.com/ClickHTML5/Visit.aspx?ID=//51DAEwASwAzADUANwAzADUAMQA3ADkASQBEAEUAQQAD=&amp;Tipo=2&amp;ST=1&amp;nLang=0"/>
    <n v="0"/>
    <n v="20"/>
    <n v="0"/>
    <n v="0"/>
    <n v="0"/>
    <n v="0"/>
    <n v="0"/>
    <n v="0"/>
  </r>
  <r>
    <x v="17"/>
    <x v="6"/>
    <s v="OP-DYR-011"/>
    <x v="140"/>
    <d v="2025-09-09T00:00:00"/>
    <n v="62"/>
    <x v="0"/>
    <n v="36"/>
    <n v="0"/>
    <n v="0"/>
    <n v="1"/>
    <n v="0"/>
    <n v="0"/>
    <n v="0"/>
    <n v="0"/>
    <n v="0"/>
    <n v="2"/>
    <n v="0"/>
    <n v="0"/>
    <s v="https://www.clickideacore.com/ClickHTML5/Visit.aspx?ID=//51DAEwASwAzADUANwAzADUAMQA3ADkASQBEAEUAQQAD=&amp;Tipo=2&amp;ST=1&amp;nLang=0"/>
    <n v="0"/>
    <n v="20"/>
    <n v="0"/>
    <n v="0"/>
    <n v="0"/>
    <n v="0"/>
    <n v="0"/>
    <n v="0"/>
  </r>
  <r>
    <x v="5"/>
    <x v="4"/>
    <s v="OP-S-005"/>
    <x v="140"/>
    <d v="2025-09-09T00:00:00"/>
    <n v="39"/>
    <x v="0"/>
    <n v="23"/>
    <n v="0"/>
    <n v="0"/>
    <n v="1"/>
    <n v="0"/>
    <n v="0"/>
    <n v="0"/>
    <n v="0"/>
    <n v="0"/>
    <n v="0"/>
    <n v="0"/>
    <n v="0"/>
    <s v="https://www.clickideacore.com/ClickHTML5/Visit.aspx?ID=//50DAEwASwAzADUANwAzADkAOQA2ADkASQBEAEUAQQA3=&amp;Tipo=2&amp;ST=1&amp;nLang=0"/>
    <n v="0"/>
    <n v="19"/>
    <n v="0"/>
    <n v="0"/>
    <n v="0"/>
    <n v="0"/>
    <n v="0"/>
    <n v="0"/>
  </r>
  <r>
    <x v="0"/>
    <x v="0"/>
    <s v="OP-S-100"/>
    <x v="140"/>
    <d v="2025-09-09T00:00:00"/>
    <n v="154"/>
    <x v="0"/>
    <n v="38"/>
    <n v="0"/>
    <n v="0"/>
    <n v="1"/>
    <n v="0"/>
    <n v="0"/>
    <n v="0"/>
    <n v="0"/>
    <n v="0"/>
    <n v="0"/>
    <n v="0"/>
    <n v="0"/>
    <s v="https://www.clickideacore.com/ClickHTML5/Visit.aspx?ID=//54DAEwASwAzADUANwAzADQAMwAxADkASQBEAEUAQQA1=&amp;Tipo=2&amp;ST=1&amp;nLang=0"/>
    <n v="0"/>
    <n v="0"/>
    <n v="0"/>
    <n v="0"/>
    <n v="0"/>
    <n v="0"/>
    <n v="0"/>
    <n v="0"/>
  </r>
  <r>
    <x v="1"/>
    <x v="1"/>
    <s v="OP-DYR-004"/>
    <x v="140"/>
    <d v="2025-09-09T00:00:00"/>
    <n v="24"/>
    <x v="0"/>
    <n v="17"/>
    <n v="0"/>
    <n v="0"/>
    <n v="0"/>
    <n v="1"/>
    <n v="0"/>
    <n v="0"/>
    <n v="0"/>
    <n v="0"/>
    <n v="0"/>
    <n v="0"/>
    <n v="0"/>
    <s v="https://www.clickideacore.com/ClickHTML5/Visit.aspx?ID=//5DDAEwASwAzADUANwA0ADAANQA4ADIASQBEAEUAQQA0=&amp;Tipo=2&amp;ST=1&amp;nLang=0"/>
    <n v="0"/>
    <n v="20"/>
    <n v="0"/>
    <n v="0"/>
    <n v="0"/>
    <n v="0"/>
    <n v="0"/>
    <n v="0"/>
  </r>
  <r>
    <x v="2"/>
    <x v="2"/>
    <s v="OP-S-200"/>
    <x v="140"/>
    <d v="2025-09-09T00:00:00"/>
    <n v="17"/>
    <x v="0"/>
    <n v="1"/>
    <n v="0"/>
    <n v="0"/>
    <n v="0"/>
    <n v="0"/>
    <n v="0"/>
    <n v="0"/>
    <n v="0"/>
    <n v="0"/>
    <n v="0"/>
    <n v="0"/>
    <n v="0"/>
    <s v="https://www.clickideacore.com/ClickHTML5/Visit.aspx?ID=//55DAEwASwAzADUANwAzADUANwA1ADQASQBEAEUAQQAE=&amp;Tipo=2&amp;ST=1&amp;nLang=0"/>
    <n v="0"/>
    <n v="20"/>
    <n v="0"/>
    <n v="0"/>
    <n v="0"/>
    <n v="0"/>
    <n v="0"/>
    <n v="0"/>
  </r>
  <r>
    <x v="3"/>
    <x v="3"/>
    <s v="OP-S-076"/>
    <x v="140"/>
    <d v="2025-09-09T00:00:00"/>
    <n v="56"/>
    <x v="0"/>
    <n v="28"/>
    <n v="0"/>
    <n v="0"/>
    <n v="1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20"/>
    <n v="0"/>
    <n v="0"/>
    <n v="0"/>
    <n v="0"/>
    <n v="0"/>
    <n v="0"/>
  </r>
  <r>
    <x v="4"/>
    <x v="8"/>
    <s v="OP-S-076"/>
    <x v="140"/>
    <d v="2025-09-09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9"/>
    <x v="7"/>
    <s v="OP-S-0010"/>
    <x v="140"/>
    <d v="2025-09-0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141"/>
    <d v="2025-09-10T00:00:00"/>
    <n v="26"/>
    <x v="0"/>
    <n v="12"/>
    <n v="0"/>
    <n v="0"/>
    <n v="0"/>
    <n v="1"/>
    <n v="0"/>
    <n v="0"/>
    <n v="0"/>
    <n v="0"/>
    <n v="0"/>
    <n v="0"/>
    <n v="0"/>
    <s v="https://www.clickideacore.com/ClickHTML5/Visit.aspx?ID=//54DAEwASwAzADUANwA2ADIANwAzADcASQBEAEUAQQA7=&amp;Tipo=2&amp;ST=1&amp;nLang=0"/>
    <n v="0"/>
    <n v="20"/>
    <n v="0"/>
    <n v="0"/>
    <n v="0"/>
    <n v="0"/>
    <n v="0"/>
    <n v="0"/>
  </r>
  <r>
    <x v="2"/>
    <x v="2"/>
    <s v="OP-S-200"/>
    <x v="141"/>
    <d v="2025-09-10T00:00:00"/>
    <n v="75"/>
    <x v="0"/>
    <n v="57"/>
    <n v="0"/>
    <n v="0"/>
    <n v="1"/>
    <n v="0"/>
    <n v="0"/>
    <n v="0"/>
    <n v="0"/>
    <n v="0"/>
    <n v="0"/>
    <n v="0"/>
    <n v="0"/>
    <s v="https://www.clickideacore.com/ClickHTML5/Visit.aspx?ID=//55DAEwASwAzADUANwA1ADUAMAA1ADQASQBEAEUAQQA4=&amp;Tipo=2&amp;ST=1&amp;nLang=0"/>
    <n v="0"/>
    <n v="22"/>
    <n v="0"/>
    <n v="0"/>
    <n v="0"/>
    <n v="0"/>
    <n v="0"/>
    <n v="0"/>
  </r>
  <r>
    <x v="3"/>
    <x v="3"/>
    <s v="OP-S-076"/>
    <x v="141"/>
    <d v="2025-09-10T00:00:00"/>
    <n v="31"/>
    <x v="0"/>
    <n v="52"/>
    <n v="0"/>
    <n v="1"/>
    <n v="1"/>
    <n v="0"/>
    <n v="0"/>
    <n v="0"/>
    <n v="0"/>
    <n v="0"/>
    <n v="0"/>
    <n v="0"/>
    <n v="0"/>
    <s v="https://www.clickideacore.com/ClickHTML5/Visit.aspx?ID=//56DAEwASwAzADUANwA2ADEAMwA3ADcASQBEAEUAQQA7=&amp;Tipo=2&amp;ST=1&amp;nLang=0"/>
    <n v="0"/>
    <n v="22"/>
    <n v="1"/>
    <n v="0"/>
    <n v="0"/>
    <n v="0"/>
    <n v="0"/>
    <n v="0"/>
  </r>
  <r>
    <x v="4"/>
    <x v="8"/>
    <s v="OP-DYR-005"/>
    <x v="141"/>
    <d v="2025-09-10T00:00:00"/>
    <n v="87"/>
    <x v="0"/>
    <n v="33"/>
    <n v="0"/>
    <n v="0"/>
    <n v="1"/>
    <n v="0"/>
    <n v="1"/>
    <n v="0"/>
    <n v="0"/>
    <n v="0"/>
    <n v="0"/>
    <n v="0"/>
    <n v="0"/>
    <s v="https://www.clickideacore.com/ClickHTML5/Visit.aspx?ID=//5BDAEwASwAzADUANwA2ADIANAA3ADMASQBEAEUAQQA2=&amp;Tipo=2&amp;ST=1&amp;nLang=0"/>
    <n v="0"/>
    <n v="6"/>
    <n v="0"/>
    <n v="0"/>
    <n v="0"/>
    <n v="0"/>
    <n v="0"/>
    <n v="0"/>
  </r>
  <r>
    <x v="5"/>
    <x v="4"/>
    <s v="OP-DYR-005"/>
    <x v="141"/>
    <d v="2025-09-10T00:00:00"/>
    <n v="87"/>
    <x v="0"/>
    <n v="31"/>
    <n v="0"/>
    <n v="0"/>
    <n v="1"/>
    <n v="0"/>
    <n v="1"/>
    <n v="0"/>
    <n v="0"/>
    <n v="0"/>
    <n v="0"/>
    <n v="0"/>
    <n v="0"/>
    <s v="https://www.clickideacore.com/ClickHTML5/Visit.aspx?ID=//5BDAEwASwAzADUANwA2ADIANAA3ADMASQBEAEUAQQA2=&amp;Tipo=2&amp;ST=1&amp;nLang=0"/>
    <n v="0"/>
    <n v="13"/>
    <n v="0"/>
    <n v="0"/>
    <n v="0"/>
    <n v="0"/>
    <n v="0"/>
    <n v="0"/>
  </r>
  <r>
    <x v="0"/>
    <x v="0"/>
    <s v="OP-S-076"/>
    <x v="141"/>
    <d v="2025-09-10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10"/>
    <x v="6"/>
    <s v="OP-S-076"/>
    <x v="141"/>
    <d v="2025-09-10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17"/>
    <x v="6"/>
    <s v="OP-S-076"/>
    <x v="141"/>
    <d v="2025-09-10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9"/>
    <x v="7"/>
    <s v="OP-S-0010"/>
    <x v="141"/>
    <d v="2025-09-1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2"/>
    <d v="2025-09-11T00:00:00"/>
    <n v="18"/>
    <x v="0"/>
    <n v="43"/>
    <n v="0"/>
    <n v="0"/>
    <n v="1"/>
    <n v="0"/>
    <n v="1"/>
    <n v="0"/>
    <n v="0"/>
    <n v="0"/>
    <n v="0"/>
    <n v="0"/>
    <n v="0"/>
    <s v="https://www.clickideacore.com/ClickHTML5/Visit.aspx?ID=//5DDAEwASwAzADUANwA3ADcAMgA1ADAASQBEAEUAQQA8=&amp;Tipo=2&amp;ST=1&amp;nLang=0"/>
    <n v="0"/>
    <n v="0"/>
    <n v="0"/>
    <n v="0"/>
    <n v="0"/>
    <n v="0"/>
    <n v="0"/>
    <n v="0"/>
  </r>
  <r>
    <x v="17"/>
    <x v="6"/>
    <s v="OP-DYR-011"/>
    <x v="142"/>
    <d v="2025-09-11T00:00:00"/>
    <n v="18"/>
    <x v="0"/>
    <n v="43"/>
    <n v="0"/>
    <n v="0"/>
    <n v="1"/>
    <n v="0"/>
    <n v="1"/>
    <n v="0"/>
    <n v="0"/>
    <n v="0"/>
    <n v="0"/>
    <n v="0"/>
    <n v="0"/>
    <s v="https://www.clickideacore.com/ClickHTML5/Visit.aspx?ID=//5DDAEwASwAzADUANwA3ADcAMgA1ADAASQBEAEUAQQA8=&amp;Tipo=2&amp;ST=1&amp;nLang=0"/>
    <n v="0"/>
    <n v="0"/>
    <n v="0"/>
    <n v="0"/>
    <n v="0"/>
    <n v="0"/>
    <n v="0"/>
    <n v="0"/>
  </r>
  <r>
    <x v="19"/>
    <x v="6"/>
    <s v="OP-DYR-011"/>
    <x v="142"/>
    <d v="2025-09-11T00:00:00"/>
    <n v="18"/>
    <x v="0"/>
    <n v="18"/>
    <n v="0"/>
    <n v="0"/>
    <n v="1"/>
    <n v="0"/>
    <n v="0"/>
    <n v="0"/>
    <n v="0"/>
    <n v="0"/>
    <n v="0"/>
    <n v="0"/>
    <n v="0"/>
    <s v="https://www.clickideacore.com/ClickHTML5/Visit.aspx?ID=//5DDAEwASwAzADUANwA3ADcAMgA1ADAASQBEAEUAQQA8=&amp;Tipo=2&amp;ST=1&amp;nLang=0"/>
    <n v="0"/>
    <n v="0"/>
    <n v="0"/>
    <n v="0"/>
    <n v="0"/>
    <n v="0"/>
    <n v="0"/>
    <n v="0"/>
  </r>
  <r>
    <x v="5"/>
    <x v="4"/>
    <s v="OP-S-005"/>
    <x v="142"/>
    <d v="2025-09-11T00:00:00"/>
    <n v="37"/>
    <x v="0"/>
    <n v="40"/>
    <n v="0"/>
    <n v="0"/>
    <n v="1"/>
    <n v="0"/>
    <n v="0"/>
    <n v="0"/>
    <n v="0"/>
    <n v="0"/>
    <n v="0"/>
    <n v="0"/>
    <n v="0"/>
    <s v="https://www.clickideacore.com/ClickHTML5/Visit.aspx?ID=//57DAEwASwAzADUANwA4ADIANQA3ADIASQBEAEUAQQA2=&amp;Tipo=2&amp;ST=1&amp;nLang=0"/>
    <n v="0"/>
    <n v="0"/>
    <n v="0"/>
    <n v="0"/>
    <n v="0"/>
    <n v="0"/>
    <n v="0"/>
    <n v="0"/>
  </r>
  <r>
    <x v="0"/>
    <x v="0"/>
    <s v="OP-S-100"/>
    <x v="142"/>
    <d v="2025-09-11T00:00:00"/>
    <n v="33"/>
    <x v="0"/>
    <n v="29"/>
    <n v="0"/>
    <n v="0"/>
    <n v="1"/>
    <n v="0"/>
    <n v="0"/>
    <n v="0"/>
    <n v="0"/>
    <n v="0"/>
    <n v="0"/>
    <n v="0"/>
    <n v="0"/>
    <s v="https://www.clickideacore.com/ClickHTML5/Visit.aspx?ID=//52DAEwASwAzADUANwA3ADcANgA4ADQASQBEAEUAQQA6=&amp;Tipo=2&amp;ST=1&amp;nLang=0"/>
    <n v="0"/>
    <n v="0"/>
    <n v="0"/>
    <n v="0"/>
    <n v="0"/>
    <n v="0"/>
    <n v="0"/>
    <n v="0"/>
  </r>
  <r>
    <x v="2"/>
    <x v="2"/>
    <s v="OP-S-200"/>
    <x v="142"/>
    <d v="2025-09-11T00:00:00"/>
    <n v="50"/>
    <x v="0"/>
    <n v="21"/>
    <n v="0"/>
    <n v="0"/>
    <n v="0"/>
    <n v="1"/>
    <n v="1"/>
    <n v="0"/>
    <n v="0"/>
    <n v="0"/>
    <n v="0"/>
    <n v="0"/>
    <n v="0"/>
    <s v="https://www.clickideacore.com/ClickHTML5/Visit.aspx?ID=//55DAEwASwAzADUANwA3ADgAMAA2ADUASQBEAEUAQQA3=&amp;Tipo=2&amp;ST=1&amp;nLang=0"/>
    <n v="0"/>
    <n v="0"/>
    <n v="0"/>
    <n v="0"/>
    <n v="0"/>
    <n v="0"/>
    <n v="0"/>
    <n v="0"/>
  </r>
  <r>
    <x v="4"/>
    <x v="8"/>
    <s v="OP-DYR-005"/>
    <x v="142"/>
    <d v="2025-09-11T00:00:00"/>
    <n v="16"/>
    <x v="0"/>
    <n v="47"/>
    <n v="0"/>
    <n v="0"/>
    <n v="1"/>
    <n v="0"/>
    <n v="0"/>
    <n v="0"/>
    <n v="0"/>
    <n v="0"/>
    <n v="0"/>
    <n v="0"/>
    <n v="0"/>
    <s v="https://www.clickideacore.com/ClickHTML5/Visit.aspx?ID=//51DAEwASwAzADUANwA4ADIAOQA0ADgASQBEAEUAQQAE=&amp;Tipo=2&amp;ST=1&amp;nLang=0"/>
    <n v="0"/>
    <n v="0"/>
    <n v="0"/>
    <n v="0"/>
    <n v="0"/>
    <n v="0"/>
    <n v="0"/>
    <n v="0"/>
  </r>
  <r>
    <x v="1"/>
    <x v="1"/>
    <s v="OP-S-076"/>
    <x v="142"/>
    <d v="2025-09-11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3"/>
    <x v="3"/>
    <s v="OP-S-076"/>
    <x v="142"/>
    <d v="2025-09-11T00:00:00"/>
    <n v="56"/>
    <x v="1"/>
    <n v="0"/>
    <n v="0"/>
    <n v="0"/>
    <n v="0"/>
    <n v="0"/>
    <n v="0"/>
    <n v="0"/>
    <n v="0"/>
    <n v="0"/>
    <n v="0"/>
    <n v="0"/>
    <n v="0"/>
    <s v="https://www.clickideacore.com/ClickHTML5/Visit.aspx?ID=//50DAEwASwAzADUANwAzADQANAAxADkASQBEAEUAQQA3=&amp;Tipo=2&amp;ST=1&amp;nLang=0"/>
    <n v="0"/>
    <n v="0"/>
    <n v="0"/>
    <n v="0"/>
    <n v="0"/>
    <n v="0"/>
    <n v="0"/>
    <n v="0"/>
  </r>
  <r>
    <x v="9"/>
    <x v="7"/>
    <s v="OP-S-0010"/>
    <x v="142"/>
    <d v="2025-09-1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3"/>
    <d v="2025-09-12T00:00:00"/>
    <n v="129"/>
    <x v="0"/>
    <n v="46"/>
    <n v="0"/>
    <n v="0"/>
    <n v="1"/>
    <n v="0"/>
    <n v="2"/>
    <n v="0"/>
    <n v="0"/>
    <n v="0"/>
    <n v="0"/>
    <n v="0"/>
    <n v="0"/>
    <s v="https://www.clickideacore.com/ClickHTML5/Visit.aspx?ID=//59DAEwASwAzADUAOAAwADIAMgAxADMASQBEAEUAQQA7=&amp;Tipo=2&amp;ST=1&amp;nLang=0"/>
    <n v="0"/>
    <n v="22"/>
    <n v="0"/>
    <n v="0"/>
    <n v="0"/>
    <n v="0"/>
    <n v="0"/>
    <n v="0"/>
  </r>
  <r>
    <x v="17"/>
    <x v="6"/>
    <s v="OP-DYR-011"/>
    <x v="143"/>
    <d v="2025-09-12T00:00:00"/>
    <n v="129"/>
    <x v="0"/>
    <n v="46"/>
    <n v="0"/>
    <n v="0"/>
    <n v="1"/>
    <n v="0"/>
    <n v="2"/>
    <n v="0"/>
    <n v="0"/>
    <n v="0"/>
    <n v="0"/>
    <n v="0"/>
    <n v="0"/>
    <s v="https://www.clickideacore.com/ClickHTML5/Visit.aspx?ID=//59DAEwASwAzADUAOAAwADIAMgAxADMASQBEAEUAQQA7=&amp;Tipo=2&amp;ST=1&amp;nLang=0"/>
    <n v="0"/>
    <n v="22"/>
    <n v="0"/>
    <n v="0"/>
    <n v="0"/>
    <n v="0"/>
    <n v="0"/>
    <n v="0"/>
  </r>
  <r>
    <x v="19"/>
    <x v="6"/>
    <s v="OP-DYR-011"/>
    <x v="143"/>
    <d v="2025-09-12T00:00:00"/>
    <n v="129"/>
    <x v="0"/>
    <n v="46"/>
    <n v="0"/>
    <n v="0"/>
    <n v="1"/>
    <n v="0"/>
    <n v="2"/>
    <n v="0"/>
    <n v="0"/>
    <n v="0"/>
    <n v="0"/>
    <n v="0"/>
    <n v="0"/>
    <s v="https://www.clickideacore.com/ClickHTML5/Visit.aspx?ID=//59DAEwASwAzADUAOAAwADIAMgAxADMASQBEAEUAQQA7=&amp;Tipo=2&amp;ST=1&amp;nLang=0"/>
    <n v="0"/>
    <n v="22"/>
    <n v="0"/>
    <n v="0"/>
    <n v="0"/>
    <n v="0"/>
    <n v="0"/>
    <n v="0"/>
  </r>
  <r>
    <x v="0"/>
    <x v="0"/>
    <s v="OP-S-100"/>
    <x v="143"/>
    <d v="2025-09-12T00:00:00"/>
    <n v="39"/>
    <x v="0"/>
    <n v="20"/>
    <n v="0"/>
    <n v="0"/>
    <n v="1"/>
    <n v="0"/>
    <n v="0"/>
    <n v="0"/>
    <n v="0"/>
    <n v="0"/>
    <n v="0"/>
    <n v="0"/>
    <n v="0"/>
    <s v="https://www.clickideacore.com/ClickHTML5/Visit.aspx?ID=//5EDAEwASwAzADUAOAAwADQAMgA2ADQASQBEAEUAQQA9=&amp;Tipo=2&amp;ST=1&amp;nLang=0"/>
    <n v="0"/>
    <n v="22"/>
    <n v="0"/>
    <n v="0"/>
    <n v="0"/>
    <n v="0"/>
    <n v="0"/>
    <n v="0"/>
  </r>
  <r>
    <x v="1"/>
    <x v="1"/>
    <s v="OP-DYR-004"/>
    <x v="143"/>
    <d v="2025-09-12T00:00:00"/>
    <n v="23"/>
    <x v="0"/>
    <n v="18"/>
    <n v="0"/>
    <n v="0"/>
    <n v="0"/>
    <n v="1"/>
    <n v="1"/>
    <n v="0"/>
    <n v="0"/>
    <n v="0"/>
    <n v="0"/>
    <n v="0"/>
    <n v="0"/>
    <s v="https://www.clickideacore.com/ClickHTML5/Visit.aspx?ID=//5DDAEwASwAzADUAOAAwADUANAA1ADIASQBEAEUAQQAA=&amp;Tipo=2&amp;ST=1&amp;nLang=0"/>
    <n v="0"/>
    <n v="31"/>
    <n v="0"/>
    <n v="0"/>
    <n v="0"/>
    <n v="0"/>
    <n v="0"/>
    <n v="0"/>
  </r>
  <r>
    <x v="3"/>
    <x v="3"/>
    <s v="OP-S-076"/>
    <x v="143"/>
    <d v="2025-09-12T00:00:00"/>
    <n v="49"/>
    <x v="0"/>
    <n v="36"/>
    <n v="0"/>
    <n v="0"/>
    <n v="1"/>
    <n v="0"/>
    <n v="0"/>
    <n v="0"/>
    <n v="0"/>
    <n v="0"/>
    <n v="0"/>
    <n v="0"/>
    <n v="0"/>
    <s v="https://www.clickideacore.com/ClickHTML5/Visit.aspx?ID=//51DAEwASwAzADUAOAAwADMANQA0ADYASQBEAEUAQQAF=&amp;Tipo=2&amp;ST=1&amp;nLang=0"/>
    <n v="0"/>
    <n v="14"/>
    <n v="0"/>
    <n v="0"/>
    <n v="0"/>
    <n v="0"/>
    <n v="0"/>
    <n v="0"/>
  </r>
  <r>
    <x v="4"/>
    <x v="8"/>
    <s v="OP-DYR-005"/>
    <x v="143"/>
    <d v="2025-09-12T00:00:00"/>
    <n v="32"/>
    <x v="0"/>
    <n v="16"/>
    <n v="0"/>
    <n v="0"/>
    <n v="1"/>
    <n v="0"/>
    <n v="1"/>
    <n v="0"/>
    <n v="0"/>
    <n v="0"/>
    <n v="0"/>
    <n v="0"/>
    <n v="0"/>
    <s v="https://www.clickideacore.com/ClickHTML5/Visit.aspx?ID=//5EDAEwASwAzADUAOAAwADIAMQA5ADYASQBEAEUAQQA9=&amp;Tipo=2&amp;ST=1&amp;nLang=0"/>
    <n v="0"/>
    <n v="22"/>
    <n v="0"/>
    <n v="0"/>
    <n v="0"/>
    <n v="0"/>
    <n v="0"/>
    <n v="0"/>
  </r>
  <r>
    <x v="2"/>
    <x v="2"/>
    <s v="OP-DYR-005"/>
    <x v="143"/>
    <d v="2025-09-12T00:00:00"/>
    <n v="32"/>
    <x v="0"/>
    <n v="13"/>
    <n v="0"/>
    <n v="0"/>
    <n v="0"/>
    <n v="0"/>
    <n v="0"/>
    <n v="0"/>
    <n v="0"/>
    <n v="0"/>
    <n v="1"/>
    <n v="0"/>
    <n v="0"/>
    <s v="https://www.clickideacore.com/ClickHTML5/Visit.aspx?ID=//5EDAEwASwAzADUAOAAwADIAMQA5ADYASQBEAEUAQQA9=&amp;Tipo=2&amp;ST=1&amp;nLang=0"/>
    <n v="0"/>
    <n v="10"/>
    <n v="3"/>
    <n v="0"/>
    <n v="0"/>
    <n v="0"/>
    <n v="0"/>
    <n v="0"/>
  </r>
  <r>
    <x v="5"/>
    <x v="4"/>
    <s v="OP-DYR-005"/>
    <x v="143"/>
    <d v="2025-09-12T00:00:00"/>
    <n v="32"/>
    <x v="0"/>
    <n v="2"/>
    <n v="0"/>
    <n v="0"/>
    <n v="0"/>
    <n v="0"/>
    <n v="0"/>
    <n v="0"/>
    <n v="0"/>
    <n v="0"/>
    <n v="1"/>
    <n v="0"/>
    <n v="0"/>
    <s v="https://www.clickideacore.com/ClickHTML5/Visit.aspx?ID=//5EDAEwASwAzADUAOAAwADIAMQA5ADYASQBEAEUAQQA9=&amp;Tipo=2&amp;ST=1&amp;nLang=0"/>
    <n v="0"/>
    <n v="20"/>
    <n v="0"/>
    <n v="0"/>
    <n v="0"/>
    <n v="0"/>
    <n v="0"/>
    <n v="0"/>
  </r>
  <r>
    <x v="9"/>
    <x v="7"/>
    <s v="OP-S-0010"/>
    <x v="143"/>
    <d v="2025-09-1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4"/>
    <d v="2025-09-13T00:00:00"/>
    <n v="81"/>
    <x v="0"/>
    <n v="0"/>
    <n v="0"/>
    <n v="0"/>
    <n v="0"/>
    <n v="0"/>
    <n v="0"/>
    <n v="0"/>
    <n v="1"/>
    <n v="0"/>
    <n v="0"/>
    <n v="1"/>
    <n v="0"/>
    <s v="https://www.clickideacore.com/ClickHTML5/Visit.aspx?ID=//59DAEwASwAzADUAOAAxADgANAA1ADYASQBEAEUAQQA1=&amp;Tipo=2&amp;ST=1&amp;nLang=0"/>
    <n v="0"/>
    <n v="0"/>
    <n v="0"/>
    <n v="0"/>
    <n v="0"/>
    <n v="0"/>
    <n v="0"/>
    <n v="0"/>
  </r>
  <r>
    <x v="19"/>
    <x v="6"/>
    <s v="OP-DYR-011"/>
    <x v="144"/>
    <d v="2025-09-13T00:00:00"/>
    <n v="81"/>
    <x v="0"/>
    <n v="0"/>
    <n v="0"/>
    <n v="0"/>
    <n v="0"/>
    <n v="0"/>
    <n v="0"/>
    <n v="0"/>
    <n v="1"/>
    <n v="0"/>
    <n v="0"/>
    <n v="1"/>
    <n v="0"/>
    <s v="https://www.clickideacore.com/ClickHTML5/Visit.aspx?ID=//59DAEwASwAzADUAOAAxADgANAA1ADYASQBEAEUAQQA1=&amp;Tipo=2&amp;ST=1&amp;nLang=0"/>
    <n v="0"/>
    <n v="0"/>
    <n v="0"/>
    <n v="0"/>
    <n v="0"/>
    <n v="0"/>
    <n v="0"/>
    <n v="0"/>
  </r>
  <r>
    <x v="0"/>
    <x v="0"/>
    <s v="OP-S-100"/>
    <x v="144"/>
    <d v="2025-09-13T00:00:00"/>
    <n v="36"/>
    <x v="0"/>
    <n v="0"/>
    <n v="0"/>
    <n v="0"/>
    <n v="0"/>
    <n v="0"/>
    <n v="0"/>
    <n v="0"/>
    <n v="1"/>
    <n v="0"/>
    <n v="2"/>
    <n v="1"/>
    <n v="0"/>
    <s v="https://www.clickideacore.com/ClickHTML5/Visit.aspx?ID=//5FDAEwASwAzADUAOAAxADkAOQA0ADUASQBEAEUAQQAC=&amp;Tipo=2&amp;ST=1&amp;nLang=0"/>
    <n v="0"/>
    <n v="0"/>
    <n v="0"/>
    <n v="0"/>
    <n v="0"/>
    <n v="0"/>
    <n v="0"/>
    <n v="0"/>
  </r>
  <r>
    <x v="1"/>
    <x v="1"/>
    <s v="OP-DYR-004"/>
    <x v="144"/>
    <d v="2025-09-13T00:00:00"/>
    <n v="42"/>
    <x v="0"/>
    <n v="0"/>
    <n v="0"/>
    <n v="0"/>
    <n v="0"/>
    <n v="0"/>
    <n v="0"/>
    <n v="0"/>
    <n v="0"/>
    <n v="0"/>
    <n v="8"/>
    <n v="1"/>
    <n v="0"/>
    <s v="https://www.clickideacore.com/ClickHTML5/Visit.aspx?ID=//5DDAEwASwAzADUAOAAyADAAMQA0ADEASQBEAEUAQQA1=&amp;Tipo=2&amp;ST=1&amp;nLang=0"/>
    <n v="16"/>
    <n v="0"/>
    <n v="0"/>
    <n v="0"/>
    <n v="0"/>
    <n v="0"/>
    <n v="1"/>
    <n v="0"/>
  </r>
  <r>
    <x v="3"/>
    <x v="3"/>
    <s v="OP-S-076"/>
    <x v="144"/>
    <d v="2025-09-13T00:00:00"/>
    <n v="40"/>
    <x v="0"/>
    <n v="0"/>
    <n v="0"/>
    <n v="0"/>
    <n v="0"/>
    <n v="0"/>
    <n v="1"/>
    <n v="0"/>
    <n v="1"/>
    <n v="0"/>
    <n v="1"/>
    <n v="1"/>
    <n v="0"/>
    <s v="https://www.clickideacore.com/ClickHTML5/Visit.aspx?ID=//5EDAEwASwAzADUAOAAxADkANgAwADQASQBEAEUAQQA2=&amp;Tipo=2&amp;ST=1&amp;nLang=0"/>
    <n v="0"/>
    <n v="0"/>
    <n v="0"/>
    <n v="0"/>
    <n v="0"/>
    <n v="0"/>
    <n v="0"/>
    <n v="0"/>
  </r>
  <r>
    <x v="4"/>
    <x v="8"/>
    <s v="OP-DYR-005"/>
    <x v="144"/>
    <d v="2025-09-13T00:00:00"/>
    <n v="26"/>
    <x v="0"/>
    <n v="0"/>
    <n v="0"/>
    <n v="0"/>
    <n v="0"/>
    <n v="0"/>
    <n v="0"/>
    <n v="0"/>
    <n v="1"/>
    <n v="0"/>
    <n v="0"/>
    <n v="1"/>
    <n v="0"/>
    <s v="https://www.clickideacore.com/ClickHTML5/Visit.aspx?ID=//58DAEwASwAzADUAOAAxADkANAA5ADYASQBEAEUAQQA0=&amp;Tipo=2&amp;ST=1&amp;nLang=0"/>
    <n v="12"/>
    <n v="0"/>
    <n v="0"/>
    <n v="0"/>
    <n v="0"/>
    <n v="0"/>
    <n v="0"/>
    <n v="0"/>
  </r>
  <r>
    <x v="17"/>
    <x v="6"/>
    <s v="OP-S-005"/>
    <x v="144"/>
    <d v="2025-09-13T00:00:00"/>
    <n v="4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5"/>
    <x v="4"/>
    <s v="OP-S-005"/>
    <x v="144"/>
    <d v="2025-09-13T00:00:00"/>
    <n v="4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2"/>
    <x v="2"/>
    <s v="OP-S-200"/>
    <x v="144"/>
    <d v="2025-09-13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44"/>
    <d v="2025-09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5"/>
    <d v="2025-09-14T00:00:00"/>
    <n v="47"/>
    <x v="0"/>
    <n v="0"/>
    <n v="0"/>
    <n v="0"/>
    <n v="0"/>
    <n v="0"/>
    <n v="0"/>
    <n v="0"/>
    <n v="0"/>
    <n v="1"/>
    <n v="1"/>
    <n v="0"/>
    <n v="1"/>
    <s v="https://www.clickideacore.com/ClickHTML5/Visit.aspx?ID=//5EDAEwASwAzADUAOAAyADcAMgA5ADYASQBEAEUAQQA2=&amp;Tipo=2&amp;ST=1&amp;nLang=0"/>
    <n v="0"/>
    <n v="0"/>
    <n v="0"/>
    <n v="0"/>
    <n v="0"/>
    <n v="0"/>
    <n v="0"/>
    <n v="0"/>
  </r>
  <r>
    <x v="19"/>
    <x v="6"/>
    <s v="OP-DYR-011"/>
    <x v="145"/>
    <d v="2025-09-14T00:00:00"/>
    <n v="47"/>
    <x v="0"/>
    <n v="0"/>
    <n v="0"/>
    <n v="0"/>
    <n v="0"/>
    <n v="0"/>
    <n v="0"/>
    <n v="0"/>
    <n v="0"/>
    <n v="1"/>
    <n v="1"/>
    <n v="0"/>
    <n v="1"/>
    <s v="https://www.clickideacore.com/ClickHTML5/Visit.aspx?ID=//5EDAEwASwAzADUAOAAyADcAMgA5ADYASQBEAEUAQQA2=&amp;Tipo=2&amp;ST=1&amp;nLang=0"/>
    <n v="0"/>
    <n v="0"/>
    <n v="0"/>
    <n v="0"/>
    <n v="0"/>
    <n v="0"/>
    <n v="0"/>
    <n v="0"/>
  </r>
  <r>
    <x v="17"/>
    <x v="6"/>
    <s v="OP-DYR-011"/>
    <x v="145"/>
    <d v="2025-09-14T00:00:00"/>
    <n v="47"/>
    <x v="5"/>
    <n v="0"/>
    <n v="0"/>
    <n v="0"/>
    <n v="0"/>
    <n v="0"/>
    <n v="0"/>
    <n v="0"/>
    <n v="0"/>
    <n v="0"/>
    <n v="0"/>
    <n v="0"/>
    <n v="0"/>
    <s v="https://www.clickideacore.com/ClickHTML5/Visit.aspx?ID=//5EDAEwASwAzADUAOAAyADcAMgA5ADYASQBEAEUAQQA2=&amp;Tipo=2&amp;ST=1&amp;nLang=0"/>
    <n v="0"/>
    <n v="0"/>
    <n v="0"/>
    <n v="0"/>
    <n v="0"/>
    <n v="0"/>
    <n v="0"/>
    <n v="0"/>
  </r>
  <r>
    <x v="0"/>
    <x v="0"/>
    <s v="OP-S-100"/>
    <x v="145"/>
    <d v="2025-09-14T00:00:00"/>
    <n v="45"/>
    <x v="0"/>
    <n v="0"/>
    <n v="0"/>
    <n v="0"/>
    <n v="0"/>
    <n v="0"/>
    <n v="1"/>
    <n v="0"/>
    <n v="0"/>
    <n v="1"/>
    <n v="5"/>
    <n v="0"/>
    <n v="1"/>
    <s v="https://www.clickideacore.com/ClickHTML5/Visit.aspx?ID=//50DAEwASwAzADUAOAAyADcAOAA1ADAASQBEAEUAQQA6=&amp;Tipo=2&amp;ST=1&amp;nLang=0"/>
    <n v="0"/>
    <n v="0"/>
    <n v="0"/>
    <n v="0"/>
    <n v="0"/>
    <n v="0"/>
    <n v="0"/>
    <n v="0"/>
  </r>
  <r>
    <x v="1"/>
    <x v="1"/>
    <s v="OP-DYR-004"/>
    <x v="145"/>
    <d v="2025-09-14T00:00:00"/>
    <n v="27"/>
    <x v="0"/>
    <n v="0"/>
    <n v="0"/>
    <n v="0"/>
    <n v="0"/>
    <n v="0"/>
    <n v="0"/>
    <n v="0"/>
    <n v="0"/>
    <n v="0"/>
    <n v="6"/>
    <n v="0"/>
    <n v="1"/>
    <s v="https://www.clickideacore.com/ClickHTML5/Visit.aspx?ID=//53DAEwASwAzADUAOAAyADcAOAAzADkASQBEAEUAQQA4=&amp;Tipo=2&amp;ST=1&amp;nLang=0"/>
    <n v="15"/>
    <n v="0"/>
    <n v="0"/>
    <n v="0"/>
    <n v="0"/>
    <n v="0"/>
    <n v="0"/>
    <n v="1"/>
  </r>
  <r>
    <x v="3"/>
    <x v="3"/>
    <s v="OP-S-076"/>
    <x v="145"/>
    <d v="2025-09-14T00:00:00"/>
    <n v="36"/>
    <x v="0"/>
    <n v="0"/>
    <n v="0"/>
    <n v="0"/>
    <n v="0"/>
    <n v="0"/>
    <n v="1"/>
    <n v="0"/>
    <n v="0"/>
    <n v="1"/>
    <n v="1"/>
    <n v="0"/>
    <n v="1"/>
    <s v="https://www.clickideacore.com/ClickHTML5/Visit.aspx?ID=//51DAEwASwAzADUAOAAyADcANgAzADIASQBEAEUAQQAF=&amp;Tipo=2&amp;ST=1&amp;nLang=0"/>
    <n v="0"/>
    <n v="0"/>
    <n v="0"/>
    <n v="0"/>
    <n v="0"/>
    <n v="0"/>
    <n v="0"/>
    <n v="0"/>
  </r>
  <r>
    <x v="4"/>
    <x v="8"/>
    <s v="OP-DYR-005"/>
    <x v="145"/>
    <d v="2025-09-14T00:00:00"/>
    <n v="69"/>
    <x v="0"/>
    <n v="0"/>
    <n v="0"/>
    <n v="0"/>
    <n v="0"/>
    <n v="0"/>
    <n v="1"/>
    <n v="0"/>
    <n v="0"/>
    <n v="1"/>
    <n v="3"/>
    <n v="0"/>
    <n v="1"/>
    <s v="https://www.clickideacore.com/ClickHTML5/Visit.aspx?ID=//51DAEwASwAzADUAOAAyADcAMwAxADUASQBEAEUAQQA0=&amp;Tipo=2&amp;ST=1&amp;nLang=0"/>
    <n v="16"/>
    <n v="0"/>
    <n v="0"/>
    <n v="0"/>
    <n v="0"/>
    <n v="0"/>
    <n v="0"/>
    <n v="0"/>
  </r>
  <r>
    <x v="5"/>
    <x v="4"/>
    <s v="OP-S-005"/>
    <x v="145"/>
    <d v="2025-09-14T00:00:00"/>
    <n v="4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2"/>
    <x v="2"/>
    <s v="OP-S-200"/>
    <x v="145"/>
    <d v="2025-09-14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45"/>
    <d v="2025-09-1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6"/>
    <d v="2025-09-15T00:00:00"/>
    <n v="34"/>
    <x v="0"/>
    <n v="0"/>
    <n v="0"/>
    <n v="0"/>
    <n v="0"/>
    <n v="0"/>
    <n v="0"/>
    <n v="0"/>
    <n v="0"/>
    <n v="0"/>
    <n v="0"/>
    <n v="0"/>
    <n v="0"/>
    <s v="https://www.clickideacore.com/ClickHTML5/Visit.aspx?ID=//5BDAEwASwAzADUAOAA0ADIANAA0ADAASQBEAEUAQQAD=&amp;Tipo=2&amp;ST=1&amp;nLang=0"/>
    <n v="0"/>
    <n v="66"/>
    <n v="0"/>
    <n v="0"/>
    <n v="0"/>
    <n v="0"/>
    <n v="0"/>
    <n v="0"/>
  </r>
  <r>
    <x v="17"/>
    <x v="6"/>
    <s v="OP-DYR-011"/>
    <x v="146"/>
    <d v="2025-09-15T00:00:00"/>
    <n v="34"/>
    <x v="0"/>
    <n v="0"/>
    <n v="0"/>
    <n v="0"/>
    <n v="0"/>
    <n v="0"/>
    <n v="0"/>
    <n v="0"/>
    <n v="0"/>
    <n v="0"/>
    <n v="0"/>
    <n v="0"/>
    <n v="0"/>
    <s v="https://www.clickideacore.com/ClickHTML5/Visit.aspx?ID=//5BDAEwASwAzADUAOAA0ADIANAA0ADAASQBEAEUAQQAD=&amp;Tipo=2&amp;ST=1&amp;nLang=0"/>
    <n v="0"/>
    <n v="66"/>
    <n v="0"/>
    <n v="0"/>
    <n v="0"/>
    <n v="0"/>
    <n v="0"/>
    <n v="0"/>
  </r>
  <r>
    <x v="5"/>
    <x v="4"/>
    <s v="OP-S-005"/>
    <x v="146"/>
    <d v="2025-09-15T00:00:00"/>
    <n v="60"/>
    <x v="0"/>
    <n v="5"/>
    <n v="0"/>
    <n v="0"/>
    <n v="0"/>
    <n v="0"/>
    <n v="0"/>
    <n v="0"/>
    <n v="0"/>
    <n v="0"/>
    <n v="0"/>
    <n v="0"/>
    <n v="0"/>
    <s v="https://www.clickideacore.com/ClickHTML5/Visit.aspx?ID=//59DAEwASwAzADUAOAA0ADYANAAyADUASQBEAEUAQQAC=&amp;Tipo=2&amp;ST=1&amp;nLang=0"/>
    <n v="0"/>
    <n v="55"/>
    <n v="0"/>
    <n v="0"/>
    <n v="0"/>
    <n v="0"/>
    <n v="0"/>
    <n v="0"/>
  </r>
  <r>
    <x v="0"/>
    <x v="0"/>
    <s v="OP-S-100"/>
    <x v="146"/>
    <d v="2025-09-15T00:00:00"/>
    <n v="25"/>
    <x v="0"/>
    <n v="1"/>
    <n v="0"/>
    <n v="0"/>
    <n v="0"/>
    <n v="0"/>
    <n v="0"/>
    <n v="0"/>
    <n v="0"/>
    <n v="0"/>
    <n v="0"/>
    <n v="0"/>
    <n v="0"/>
    <s v="https://www.clickideacore.com/ClickHTML5/Visit.aspx?ID=//59DAEwASwAzADUAOAA0ADYANAAyADUASQBEAEUAQQAC=&amp;Tipo=2&amp;ST=1&amp;nLang=0"/>
    <n v="0"/>
    <n v="31"/>
    <n v="13"/>
    <n v="0"/>
    <n v="0"/>
    <n v="0"/>
    <n v="0"/>
    <n v="0"/>
  </r>
  <r>
    <x v="19"/>
    <x v="6"/>
    <s v="OP-S-100"/>
    <x v="146"/>
    <d v="2025-09-15T00:00:00"/>
    <n v="25"/>
    <x v="0"/>
    <n v="1"/>
    <n v="0"/>
    <n v="0"/>
    <n v="0"/>
    <n v="0"/>
    <n v="0"/>
    <n v="0"/>
    <n v="0"/>
    <n v="0"/>
    <n v="0"/>
    <n v="0"/>
    <n v="0"/>
    <s v="https://www.clickideacore.com/ClickHTML5/Visit.aspx?ID=//59DAEwASwAzADUAOAA0ADYANAAyADUASQBEAEUAQQAC=&amp;Tipo=2&amp;ST=1&amp;nLang=0"/>
    <n v="0"/>
    <n v="31"/>
    <n v="13"/>
    <n v="0"/>
    <n v="0"/>
    <n v="0"/>
    <n v="0"/>
    <n v="0"/>
  </r>
  <r>
    <x v="1"/>
    <x v="1"/>
    <s v="OP-DYR-004"/>
    <x v="146"/>
    <d v="2025-09-15T00:00:00"/>
    <n v="22"/>
    <x v="0"/>
    <n v="8"/>
    <n v="0"/>
    <n v="0"/>
    <n v="0"/>
    <n v="0"/>
    <n v="0"/>
    <n v="0"/>
    <n v="0"/>
    <n v="0"/>
    <n v="0"/>
    <n v="0"/>
    <n v="0"/>
    <s v="https://www.clickideacore.com/ClickHTML5/Visit.aspx?ID=//54DAEwASwAzADUAOAA0ADkANAAyADIASQBEAEUAQQA1=&amp;Tipo=2&amp;ST=1&amp;nLang=0"/>
    <n v="0"/>
    <n v="40"/>
    <n v="0"/>
    <n v="0"/>
    <n v="0"/>
    <n v="0"/>
    <n v="0"/>
    <n v="0"/>
  </r>
  <r>
    <x v="2"/>
    <x v="2"/>
    <s v="OP-S-200"/>
    <x v="146"/>
    <d v="2025-09-15T00:00:00"/>
    <n v="16"/>
    <x v="0"/>
    <n v="0"/>
    <n v="0"/>
    <n v="0"/>
    <n v="0"/>
    <n v="0"/>
    <n v="0"/>
    <n v="0"/>
    <n v="0"/>
    <n v="0"/>
    <n v="0"/>
    <n v="0"/>
    <n v="0"/>
    <s v="https://www.clickideacore.com/ClickHTML5/Visit.aspx?ID=//53DAEwASwAzADUAOAA0ADQAMAA5ADkASQBEAEUAQQA1=&amp;Tipo=2&amp;ST=1&amp;nLang=0"/>
    <n v="0"/>
    <n v="57"/>
    <n v="0"/>
    <n v="0"/>
    <n v="0"/>
    <n v="0"/>
    <n v="0"/>
    <n v="0"/>
  </r>
  <r>
    <x v="3"/>
    <x v="3"/>
    <s v="OP-S-076"/>
    <x v="146"/>
    <d v="2025-09-15T00:00:00"/>
    <n v="33"/>
    <x v="0"/>
    <n v="5"/>
    <n v="0"/>
    <n v="0"/>
    <n v="0"/>
    <n v="0"/>
    <n v="0"/>
    <n v="0"/>
    <n v="0"/>
    <n v="0"/>
    <n v="0"/>
    <n v="0"/>
    <n v="0"/>
    <s v="https://www.clickideacore.com/ClickHTML5/Visit.aspx?ID=//53DAEwASwAzADUAOAA0ADEAOAA1ADQASQBEAEUAQQAD=&amp;Tipo=2&amp;ST=1&amp;nLang=0"/>
    <n v="0"/>
    <n v="42"/>
    <n v="2"/>
    <n v="0"/>
    <n v="0"/>
    <n v="0"/>
    <n v="0"/>
    <n v="0"/>
  </r>
  <r>
    <x v="4"/>
    <x v="8"/>
    <s v="OP-DYR-005"/>
    <x v="146"/>
    <d v="2025-09-15T00:00:00"/>
    <n v="13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OAA0ADgANQA0ADgASQBEAEUAQQA2=&amp;Tipo=2&amp;ST=1&amp;nLang=0"/>
    <n v="0"/>
    <n v="61"/>
    <n v="6"/>
    <n v="0"/>
    <n v="0"/>
    <n v="0"/>
    <n v="0"/>
    <n v="0"/>
  </r>
  <r>
    <x v="9"/>
    <x v="7"/>
    <s v="OP-S-0010"/>
    <x v="146"/>
    <d v="2025-09-1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3"/>
    <s v="OP-DYR-011"/>
    <x v="147"/>
    <d v="2025-09-16T00:00:00"/>
    <n v="18"/>
    <x v="0"/>
    <n v="14"/>
    <n v="0"/>
    <n v="0"/>
    <n v="0"/>
    <n v="1"/>
    <n v="0"/>
    <n v="0"/>
    <n v="0"/>
    <n v="0"/>
    <n v="0"/>
    <n v="0"/>
    <n v="0"/>
    <s v="https://www.clickideacore.com/ClickHTML5/Visit.aspx?ID=//51DAEwASwAzADUAOAA3ADAAOAA0ADcASQBEAEUAQQA4=&amp;Tipo=2&amp;ST=1&amp;nLang=0"/>
    <n v="0"/>
    <n v="39"/>
    <n v="0"/>
    <n v="0"/>
    <n v="0"/>
    <n v="0"/>
    <n v="0"/>
    <n v="0"/>
  </r>
  <r>
    <x v="5"/>
    <x v="4"/>
    <s v="OP-S-005"/>
    <x v="147"/>
    <d v="2025-09-16T00:00:00"/>
    <n v="55"/>
    <x v="0"/>
    <n v="36"/>
    <n v="0"/>
    <n v="0"/>
    <n v="1"/>
    <n v="0"/>
    <n v="0"/>
    <n v="0"/>
    <n v="0"/>
    <n v="0"/>
    <n v="0"/>
    <n v="0"/>
    <n v="0"/>
    <s v="https://www.clickideacore.com/ClickHTML5/Visit.aspx?ID=//5BDAEwASwAzADUAOAA3ADUAMgA2ADEASQBEAEUAQQAD=&amp;Tipo=2&amp;ST=1&amp;nLang=0"/>
    <n v="0"/>
    <n v="39"/>
    <n v="1"/>
    <n v="0"/>
    <n v="0"/>
    <n v="0"/>
    <n v="0"/>
    <n v="0"/>
  </r>
  <r>
    <x v="1"/>
    <x v="3"/>
    <s v="OP-DYR-004"/>
    <x v="147"/>
    <d v="2025-09-16T00:00:00"/>
    <n v="22"/>
    <x v="0"/>
    <n v="24"/>
    <n v="0"/>
    <n v="0"/>
    <n v="1"/>
    <n v="0"/>
    <n v="0"/>
    <n v="0"/>
    <n v="0"/>
    <n v="0"/>
    <n v="0"/>
    <n v="0"/>
    <n v="0"/>
    <s v="https://www.clickideacore.com/ClickHTML5/Visit.aspx?ID=//56DAEwASwAzADUAOAA3ADIAMgA0ADMASQBEAEUAQQAC=&amp;Tipo=2&amp;ST=1&amp;nLang=0"/>
    <n v="0"/>
    <n v="80"/>
    <n v="0"/>
    <n v="0"/>
    <n v="0"/>
    <n v="0"/>
    <n v="0"/>
    <n v="0"/>
  </r>
  <r>
    <x v="2"/>
    <x v="2"/>
    <s v="OP-S-200"/>
    <x v="147"/>
    <d v="2025-09-16T00:00:00"/>
    <n v="14"/>
    <x v="0"/>
    <n v="16"/>
    <n v="0"/>
    <n v="0"/>
    <n v="1"/>
    <n v="0"/>
    <n v="0"/>
    <n v="0"/>
    <n v="0"/>
    <n v="0"/>
    <n v="0"/>
    <n v="0"/>
    <n v="0"/>
    <s v="https://www.clickideacore.com/ClickHTML5/Visit.aspx?ID=//5EDAEwASwAzADUAOAA2ADcAMQAyADYASQBEAEUAQQAC=&amp;Tipo=2&amp;ST=1&amp;nLang=0"/>
    <n v="0"/>
    <n v="16"/>
    <n v="0"/>
    <n v="0"/>
    <n v="0"/>
    <n v="0"/>
    <n v="0"/>
    <n v="0"/>
  </r>
  <r>
    <x v="17"/>
    <x v="0"/>
    <s v="OP-DYR-00001"/>
    <x v="147"/>
    <d v="2025-09-16T00:00:00"/>
    <n v="80"/>
    <x v="0"/>
    <n v="21"/>
    <n v="0"/>
    <n v="0"/>
    <n v="1"/>
    <n v="0"/>
    <n v="1"/>
    <n v="0"/>
    <n v="0"/>
    <n v="0"/>
    <n v="0"/>
    <n v="0"/>
    <n v="0"/>
    <s v="https://www.clickideacore.com/ClickHTML5/Visit.aspx?ID=//5FDAEwASwAzADUAOAA2ADgANQA5ADcASQBEAEUAQQAF=&amp;Tipo=2&amp;ST=1&amp;nLang=0"/>
    <n v="0"/>
    <n v="28"/>
    <n v="0"/>
    <n v="0"/>
    <n v="0"/>
    <n v="0"/>
    <n v="0"/>
    <n v="0"/>
  </r>
  <r>
    <x v="3"/>
    <x v="17"/>
    <s v="OP-S-076"/>
    <x v="147"/>
    <d v="2025-09-16T00:00:00"/>
    <n v="27"/>
    <x v="0"/>
    <n v="0"/>
    <n v="0"/>
    <n v="0"/>
    <n v="0"/>
    <n v="0"/>
    <n v="0"/>
    <n v="0"/>
    <n v="0"/>
    <n v="0"/>
    <n v="0"/>
    <n v="0"/>
    <n v="0"/>
    <s v="https://www.clickideacore.com/ClickHTML5/Visit.aspx?ID=//50DAEwASwAzADUAOAA2ADcANgA4ADUASQBEAEUAQQA0=&amp;Tipo=2&amp;ST=1&amp;nLang=0"/>
    <n v="0"/>
    <n v="52"/>
    <n v="1"/>
    <n v="0"/>
    <n v="0"/>
    <n v="0"/>
    <n v="0"/>
    <n v="0"/>
  </r>
  <r>
    <x v="4"/>
    <x v="8"/>
    <s v="OP-DYR-005"/>
    <x v="147"/>
    <d v="2025-09-16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OAA3ADAAOAAxADMASQBEAEUAQQA9=&amp;Tipo=2&amp;ST=1&amp;nLang=0"/>
    <n v="0"/>
    <n v="31"/>
    <n v="8"/>
    <n v="0"/>
    <n v="0"/>
    <n v="0"/>
    <n v="0"/>
    <n v="0"/>
  </r>
  <r>
    <x v="0"/>
    <x v="6"/>
    <s v="OP-S-0010"/>
    <x v="147"/>
    <d v="2025-09-16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47"/>
    <d v="2025-09-16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1"/>
    <s v="OP-S-0010"/>
    <x v="147"/>
    <d v="2025-09-1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47"/>
    <d v="2025-09-1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48"/>
    <d v="2025-09-17T00:00:00"/>
    <n v="160"/>
    <x v="0"/>
    <n v="42"/>
    <n v="0"/>
    <n v="0"/>
    <n v="1"/>
    <n v="0"/>
    <n v="0"/>
    <n v="0"/>
    <n v="0"/>
    <n v="0"/>
    <n v="0"/>
    <n v="0"/>
    <n v="0"/>
    <s v="https://www.clickideacore.com/ClickHTML5/Visit.aspx?ID=//5DDAEwASwAzADUAOAA5ADgAOAA2ADMASQBEAEUAQQAA=&amp;Tipo=2&amp;ST=1&amp;nLang=0"/>
    <n v="0"/>
    <n v="22"/>
    <n v="0"/>
    <n v="0"/>
    <n v="0"/>
    <n v="0"/>
    <n v="0"/>
    <n v="0"/>
  </r>
  <r>
    <x v="0"/>
    <x v="6"/>
    <s v="OP-S-100"/>
    <x v="148"/>
    <d v="2025-09-17T00:00:00"/>
    <n v="27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UAOAA5ADcAMAA1ADgASQBEAEUAQQA6=&amp;Tipo=2&amp;ST=1&amp;nLang=0"/>
    <n v="0"/>
    <n v="22"/>
    <n v="0"/>
    <n v="0"/>
    <n v="0"/>
    <n v="0"/>
    <n v="0"/>
    <n v="0"/>
  </r>
  <r>
    <x v="19"/>
    <x v="6"/>
    <s v="OP-S-100"/>
    <x v="148"/>
    <d v="2025-09-17T00:00:00"/>
    <n v="27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UAOAA5ADcAMAA1ADgASQBEAEUAQQA6=&amp;Tipo=2&amp;ST=1&amp;nLang=0"/>
    <n v="0"/>
    <n v="22"/>
    <n v="0"/>
    <n v="0"/>
    <n v="0"/>
    <n v="0"/>
    <n v="0"/>
    <n v="0"/>
  </r>
  <r>
    <x v="1"/>
    <x v="1"/>
    <s v="OP-DYR-004"/>
    <x v="148"/>
    <d v="2025-09-17T00:00:00"/>
    <n v="30"/>
    <x v="0"/>
    <n v="14"/>
    <n v="0"/>
    <n v="0"/>
    <n v="0"/>
    <n v="1"/>
    <n v="0"/>
    <n v="0"/>
    <n v="0"/>
    <n v="0"/>
    <n v="0"/>
    <n v="0"/>
    <n v="0"/>
    <s v="https://www.clickideacore.com/ClickHTML5/Visit.aspx?ID=//58DAEwASwAzADUAOAA5ADgANAA0ADYASQBEAEUAQQA4=&amp;Tipo=2&amp;ST=1&amp;nLang=0"/>
    <n v="0"/>
    <n v="23"/>
    <n v="0"/>
    <n v="0"/>
    <n v="0"/>
    <n v="0"/>
    <n v="0"/>
    <n v="0"/>
  </r>
  <r>
    <x v="3"/>
    <x v="3"/>
    <s v="OP-S-076"/>
    <x v="148"/>
    <d v="2025-09-17T00:00:00"/>
    <n v="33"/>
    <x v="0"/>
    <n v="35"/>
    <n v="0"/>
    <n v="0"/>
    <n v="1"/>
    <n v="0"/>
    <n v="0"/>
    <n v="0"/>
    <n v="0"/>
    <n v="0"/>
    <n v="0"/>
    <n v="0"/>
    <n v="0"/>
    <s v="https://www.clickideacore.com/ClickHTML5/Visit.aspx?ID=//56DAEwASwAzADUAOAA5ADkAMwAwADIASQBEAEUAQQAB=&amp;Tipo=2&amp;ST=1&amp;nLang=0"/>
    <n v="0"/>
    <n v="0"/>
    <n v="0"/>
    <n v="0"/>
    <n v="0"/>
    <n v="0"/>
    <n v="0"/>
    <n v="0"/>
  </r>
  <r>
    <x v="4"/>
    <x v="8"/>
    <s v="OP-DYR-005"/>
    <x v="148"/>
    <d v="2025-09-17T00:00:00"/>
    <n v="16"/>
    <x v="0"/>
    <n v="24"/>
    <n v="0"/>
    <n v="0"/>
    <n v="1"/>
    <n v="0"/>
    <n v="0"/>
    <n v="0"/>
    <n v="0"/>
    <n v="0"/>
    <n v="0"/>
    <n v="0"/>
    <n v="0"/>
    <s v="https://www.clickideacore.com/ClickHTML5/Visit.aspx?ID=//5FDAEwASwAzADUAOAA5ADMANwA1ADEASQBEAEUAQQA7=&amp;Tipo=2&amp;ST=1&amp;nLang=0"/>
    <n v="0"/>
    <n v="44"/>
    <n v="0"/>
    <n v="0"/>
    <n v="0"/>
    <n v="0"/>
    <n v="0"/>
    <n v="0"/>
  </r>
  <r>
    <x v="2"/>
    <x v="2"/>
    <s v="OP-S-0010"/>
    <x v="148"/>
    <d v="2025-09-1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48"/>
    <d v="2025-09-1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48"/>
    <d v="2025-09-1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148"/>
    <d v="2025-09-1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48"/>
    <d v="2025-09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49"/>
    <d v="2025-09-18T00:00:00"/>
    <n v="22"/>
    <x v="0"/>
    <n v="0"/>
    <n v="0"/>
    <n v="0"/>
    <n v="0"/>
    <n v="0"/>
    <n v="0"/>
    <n v="0"/>
    <n v="0"/>
    <n v="0"/>
    <n v="0"/>
    <n v="0"/>
    <n v="1"/>
    <s v="https://www.clickideacore.com/ClickHTML5/Visit.aspx?ID=//50DAEwASwAzADUAOQAyADAANwA3ADgASQBEAEUAQQA2=&amp;Tipo=2&amp;ST=1&amp;nLang=0"/>
    <n v="8"/>
    <n v="0"/>
    <n v="0"/>
    <n v="0"/>
    <n v="0"/>
    <n v="0"/>
    <n v="0"/>
    <n v="1"/>
  </r>
  <r>
    <x v="19"/>
    <x v="6"/>
    <s v="OP-DYR-011"/>
    <x v="149"/>
    <d v="2025-09-18T00:00:00"/>
    <n v="22"/>
    <x v="0"/>
    <n v="0"/>
    <n v="0"/>
    <n v="0"/>
    <n v="0"/>
    <n v="0"/>
    <n v="0"/>
    <n v="0"/>
    <n v="0"/>
    <n v="0"/>
    <n v="0"/>
    <n v="0"/>
    <n v="1"/>
    <s v="https://www.clickideacore.com/ClickHTML5/Visit.aspx?ID=//50DAEwASwAzADUAOQAyADAANwA3ADgASQBEAEUAQQA2=&amp;Tipo=2&amp;ST=1&amp;nLang=0"/>
    <n v="8"/>
    <n v="0"/>
    <n v="0"/>
    <n v="0"/>
    <n v="0"/>
    <n v="0"/>
    <n v="0"/>
    <n v="1"/>
  </r>
  <r>
    <x v="5"/>
    <x v="4"/>
    <s v="OP-S-005"/>
    <x v="149"/>
    <d v="2025-09-18T00:00:00"/>
    <n v="47"/>
    <x v="0"/>
    <n v="0"/>
    <n v="0"/>
    <n v="0"/>
    <n v="0"/>
    <n v="0"/>
    <n v="0"/>
    <n v="0"/>
    <n v="0"/>
    <n v="1"/>
    <n v="2"/>
    <n v="0"/>
    <n v="1"/>
    <s v="https://www.clickideacore.com/ClickHTML5/Visit.aspx?ID=//58DAEwASwAzADUAOQAyADIAMAAxADMASQBEAEUAQQAB=&amp;Tipo=2&amp;ST=1&amp;nLang=0"/>
    <n v="18"/>
    <n v="0"/>
    <n v="0"/>
    <n v="0"/>
    <n v="0"/>
    <n v="0"/>
    <n v="0"/>
    <n v="0"/>
  </r>
  <r>
    <x v="2"/>
    <x v="2"/>
    <s v="OP-S-200"/>
    <x v="149"/>
    <d v="2025-09-18T00:00:00"/>
    <n v="37"/>
    <x v="0"/>
    <n v="0"/>
    <n v="0"/>
    <n v="0"/>
    <n v="0"/>
    <n v="0"/>
    <n v="0"/>
    <n v="0"/>
    <n v="0"/>
    <n v="1"/>
    <n v="1"/>
    <n v="0"/>
    <n v="1"/>
    <s v="https://www.clickideacore.com/ClickHTML5/Visit.aspx?ID=//50DAEwASwAzADUAOQAyADUAMgA3ADAASQBEAEUAQQA0=&amp;Tipo=2&amp;ST=1&amp;nLang=0"/>
    <n v="16"/>
    <n v="0"/>
    <n v="0"/>
    <n v="0"/>
    <n v="0"/>
    <n v="0"/>
    <n v="0"/>
    <n v="0"/>
  </r>
  <r>
    <x v="0"/>
    <x v="0"/>
    <s v="OP-S-200"/>
    <x v="149"/>
    <d v="2025-09-18T00:00:00"/>
    <n v="28"/>
    <x v="0"/>
    <n v="0"/>
    <n v="0"/>
    <n v="0"/>
    <n v="0"/>
    <n v="0"/>
    <n v="0"/>
    <n v="0"/>
    <n v="0"/>
    <n v="1"/>
    <n v="1"/>
    <n v="0"/>
    <n v="1"/>
    <s v="https://www.clickideacore.com/ClickHTML5/Visit.aspx?ID=//58DAEwASwAzADUAOQAyADIAMAA3ADcASQBEAEUAQQA8=&amp;Tipo=2&amp;ST=1&amp;nLang=0"/>
    <n v="20"/>
    <n v="0"/>
    <n v="0"/>
    <n v="0"/>
    <n v="0"/>
    <n v="0"/>
    <n v="0"/>
    <n v="0"/>
  </r>
  <r>
    <x v="17"/>
    <x v="17"/>
    <s v="OP-DYR-00001"/>
    <x v="149"/>
    <d v="2025-09-18T00:00:00"/>
    <n v="33"/>
    <x v="0"/>
    <n v="0"/>
    <n v="0"/>
    <n v="0"/>
    <n v="0"/>
    <n v="0"/>
    <n v="0"/>
    <n v="0"/>
    <n v="0"/>
    <n v="1"/>
    <n v="0"/>
    <n v="0"/>
    <n v="1"/>
    <s v="https://www.clickideacore.com/ClickHTML5/Visit.aspx?ID=//5DDAEwASwAzADUAOQAxADcAMgAwADUASQBEAEUAQQAC=&amp;Tipo=2&amp;ST=1&amp;nLang=0"/>
    <n v="7"/>
    <n v="0"/>
    <n v="0"/>
    <n v="0"/>
    <n v="0"/>
    <n v="0"/>
    <n v="0"/>
    <n v="0"/>
  </r>
  <r>
    <x v="1"/>
    <x v="1"/>
    <s v="OP-DYR-004"/>
    <x v="149"/>
    <d v="2025-09-18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3"/>
    <x v="3"/>
    <s v="OP-S-076"/>
    <x v="149"/>
    <d v="2025-09-18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4"/>
    <x v="8"/>
    <s v="OP-DYR-005"/>
    <x v="149"/>
    <d v="2025-09-18T00:00:00"/>
    <n v="6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49"/>
    <d v="2025-09-1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0"/>
    <d v="2025-09-19T00:00:00"/>
    <n v="21"/>
    <x v="0"/>
    <n v="0"/>
    <n v="0"/>
    <n v="0"/>
    <n v="0"/>
    <n v="0"/>
    <n v="0"/>
    <n v="0"/>
    <n v="0"/>
    <n v="0"/>
    <n v="0"/>
    <n v="0"/>
    <n v="1"/>
    <s v="https://www.clickideacore.com/ClickHTML5/Visit.aspx?ID=//50DAEwASwAzADUAOQA0ADEAMgAwADIASQBEAEUAQQAD=&amp;Tipo=2&amp;ST=1&amp;nLang=0"/>
    <n v="0"/>
    <n v="0"/>
    <n v="0"/>
    <n v="0"/>
    <n v="0"/>
    <n v="0"/>
    <n v="0"/>
    <n v="1"/>
  </r>
  <r>
    <x v="19"/>
    <x v="6"/>
    <s v="OP-DYR-011"/>
    <x v="150"/>
    <d v="2025-09-19T00:00:00"/>
    <n v="21"/>
    <x v="0"/>
    <n v="0"/>
    <n v="0"/>
    <n v="0"/>
    <n v="0"/>
    <n v="0"/>
    <n v="0"/>
    <n v="0"/>
    <n v="0"/>
    <n v="0"/>
    <n v="0"/>
    <n v="0"/>
    <n v="1"/>
    <s v="https://www.clickideacore.com/ClickHTML5/Visit.aspx?ID=//50DAEwASwAzADUAOQA0ADEAMgAwADIASQBEAEUAQQAD=&amp;Tipo=2&amp;ST=1&amp;nLang=0"/>
    <n v="0"/>
    <n v="0"/>
    <n v="0"/>
    <n v="0"/>
    <n v="0"/>
    <n v="0"/>
    <n v="0"/>
    <n v="1"/>
  </r>
  <r>
    <x v="5"/>
    <x v="4"/>
    <s v="OP-S-005"/>
    <x v="150"/>
    <d v="2025-09-19T00:00:00"/>
    <n v="41"/>
    <x v="0"/>
    <n v="0"/>
    <n v="0"/>
    <n v="0"/>
    <n v="0"/>
    <n v="0"/>
    <n v="0"/>
    <n v="0"/>
    <n v="0"/>
    <n v="1"/>
    <n v="0"/>
    <n v="0"/>
    <n v="1"/>
    <s v="https://www.clickideacore.com/ClickHTML5/Visit.aspx?ID=//5CDAEwASwAzADUAOQA0ADMAMwA0ADEASQBEAEUAQQA6=&amp;Tipo=2&amp;ST=1&amp;nLang=0"/>
    <n v="0"/>
    <n v="0"/>
    <n v="0"/>
    <n v="0"/>
    <n v="0"/>
    <n v="0"/>
    <n v="0"/>
    <n v="0"/>
  </r>
  <r>
    <x v="0"/>
    <x v="0"/>
    <s v="OP-S-100"/>
    <x v="150"/>
    <d v="2025-09-19T00:00:00"/>
    <n v="44"/>
    <x v="0"/>
    <n v="0"/>
    <n v="0"/>
    <n v="0"/>
    <n v="0"/>
    <n v="0"/>
    <n v="0"/>
    <n v="0"/>
    <n v="0"/>
    <n v="1"/>
    <n v="0"/>
    <n v="0"/>
    <n v="1"/>
    <s v="https://www.clickideacore.com/ClickHTML5/Visit.aspx?ID=//5BDAEwASwAzADUAOQA0ADAAMQAyADYASQBEAEUAQQAA=&amp;Tipo=2&amp;ST=1&amp;nLang=0"/>
    <n v="0"/>
    <n v="0"/>
    <n v="0"/>
    <n v="0"/>
    <n v="0"/>
    <n v="0"/>
    <n v="0"/>
    <n v="0"/>
  </r>
  <r>
    <x v="2"/>
    <x v="2"/>
    <s v="OP-S-200"/>
    <x v="150"/>
    <d v="2025-09-19T00:00:00"/>
    <n v="37"/>
    <x v="0"/>
    <n v="0"/>
    <n v="0"/>
    <n v="0"/>
    <n v="0"/>
    <n v="0"/>
    <n v="0"/>
    <n v="0"/>
    <n v="0"/>
    <n v="1"/>
    <n v="0"/>
    <n v="0"/>
    <n v="1"/>
    <s v="https://www.clickideacore.com/ClickHTML5/Visit.aspx?ID=//54DAEwASwAzADUAOQAzADgAMgA1ADYASQBEAEUAQQA2=&amp;Tipo=2&amp;ST=1&amp;nLang=0"/>
    <n v="0"/>
    <n v="0"/>
    <n v="0"/>
    <n v="0"/>
    <n v="0"/>
    <n v="0"/>
    <n v="0"/>
    <n v="0"/>
  </r>
  <r>
    <x v="17"/>
    <x v="17"/>
    <s v="OP-DYR-00001"/>
    <x v="150"/>
    <d v="2025-09-19T00:00:00"/>
    <n v="18"/>
    <x v="0"/>
    <n v="0"/>
    <n v="0"/>
    <n v="0"/>
    <n v="0"/>
    <n v="0"/>
    <n v="0"/>
    <n v="0"/>
    <n v="0"/>
    <n v="1"/>
    <n v="0"/>
    <n v="0"/>
    <n v="1"/>
    <s v="https://www.clickideacore.com/ClickHTML5/Visit.aspx?ID=//55DAEwASwAzADUAOQAzADgANAA0ADUASQBEAEUAQQA1=&amp;Tipo=2&amp;ST=1&amp;nLang=0"/>
    <n v="0"/>
    <n v="0"/>
    <n v="0"/>
    <n v="0"/>
    <n v="0"/>
    <n v="0"/>
    <n v="0"/>
    <n v="0"/>
  </r>
  <r>
    <x v="1"/>
    <x v="1"/>
    <s v="OP-DYR-004"/>
    <x v="150"/>
    <d v="2025-09-19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3"/>
    <x v="3"/>
    <s v="OP-S-076"/>
    <x v="150"/>
    <d v="2025-09-19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4"/>
    <x v="8"/>
    <s v="OP-DYR-005"/>
    <x v="150"/>
    <d v="2025-09-19T00:00:00"/>
    <n v="6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50"/>
    <d v="2025-09-1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1"/>
    <d v="2025-09-20T00:00:00"/>
    <n v="22"/>
    <x v="0"/>
    <n v="0"/>
    <n v="0"/>
    <n v="0"/>
    <n v="0"/>
    <n v="0"/>
    <n v="0"/>
    <n v="0"/>
    <n v="0"/>
    <n v="0"/>
    <n v="7"/>
    <n v="1"/>
    <n v="0"/>
    <s v="https://www.clickideacore.com/ClickHTML5/Visit.aspx?ID=//5FDAEwASwAzADUAOQA1ADYAMAA4ADMASQBEAEUAQQA6=&amp;Tipo=2&amp;ST=1&amp;nLang=0"/>
    <n v="0"/>
    <n v="0"/>
    <n v="0"/>
    <n v="0"/>
    <n v="0"/>
    <n v="0"/>
    <n v="1"/>
    <n v="0"/>
  </r>
  <r>
    <x v="19"/>
    <x v="6"/>
    <s v="OP-DYR-011"/>
    <x v="151"/>
    <d v="2025-09-20T00:00:00"/>
    <n v="22"/>
    <x v="0"/>
    <n v="0"/>
    <n v="0"/>
    <n v="0"/>
    <n v="0"/>
    <n v="0"/>
    <n v="0"/>
    <n v="0"/>
    <n v="0"/>
    <n v="0"/>
    <n v="7"/>
    <n v="1"/>
    <n v="0"/>
    <s v="https://www.clickideacore.com/ClickHTML5/Visit.aspx?ID=//5FDAEwASwAzADUAOQA1ADYAMAA4ADMASQBEAEUAQQA6=&amp;Tipo=2&amp;ST=1&amp;nLang=0"/>
    <n v="0"/>
    <n v="0"/>
    <n v="0"/>
    <n v="0"/>
    <n v="0"/>
    <n v="0"/>
    <n v="1"/>
    <n v="0"/>
  </r>
  <r>
    <x v="5"/>
    <x v="4"/>
    <s v="OP-S-005"/>
    <x v="151"/>
    <d v="2025-09-20T00:00:00"/>
    <n v="42"/>
    <x v="0"/>
    <n v="0"/>
    <n v="0"/>
    <n v="0"/>
    <n v="0"/>
    <n v="0"/>
    <n v="0"/>
    <n v="0"/>
    <n v="1"/>
    <n v="0"/>
    <n v="1"/>
    <n v="1"/>
    <n v="0"/>
    <s v="https://www.clickideacore.com/ClickHTML5/Visit.aspx?ID=//54DAEwASwAzADUAOQA1ADcAMgAwADgASQBEAEUAQQA9=&amp;Tipo=2&amp;ST=1&amp;nLang=0"/>
    <n v="0"/>
    <n v="0"/>
    <n v="0"/>
    <n v="0"/>
    <n v="0"/>
    <n v="0"/>
    <n v="0"/>
    <n v="0"/>
  </r>
  <r>
    <x v="0"/>
    <x v="0"/>
    <s v="OP-S-100"/>
    <x v="151"/>
    <d v="2025-09-20T00:00:00"/>
    <n v="42"/>
    <x v="0"/>
    <n v="0"/>
    <n v="0"/>
    <n v="0"/>
    <n v="0"/>
    <n v="0"/>
    <n v="0"/>
    <n v="0"/>
    <n v="1"/>
    <n v="0"/>
    <n v="0"/>
    <n v="1"/>
    <n v="0"/>
    <s v="https://www.clickideacore.com/ClickHTML5/Visit.aspx?ID=//5EDAEwASwAzADUAOQA1ADYANgA5ADQASQBEAEUAQQA3=&amp;Tipo=2&amp;ST=1&amp;nLang=0"/>
    <n v="0"/>
    <n v="0"/>
    <n v="0"/>
    <n v="0"/>
    <n v="0"/>
    <n v="0"/>
    <n v="0"/>
    <n v="0"/>
  </r>
  <r>
    <x v="2"/>
    <x v="2"/>
    <s v="OP-S-200"/>
    <x v="151"/>
    <d v="2025-09-20T00:00:00"/>
    <n v="25"/>
    <x v="0"/>
    <n v="0"/>
    <n v="0"/>
    <n v="0"/>
    <n v="0"/>
    <n v="0"/>
    <n v="0"/>
    <n v="0"/>
    <n v="1"/>
    <n v="0"/>
    <n v="1"/>
    <n v="1"/>
    <n v="0"/>
    <s v="https://www.clickideacore.com/ClickHTML5/Visit.aspx?ID=//51DAEwASwAzADUAOQA1ADYAMgA0ADgASQBEAEUAQQA9=&amp;Tipo=2&amp;ST=1&amp;nLang=0"/>
    <n v="0"/>
    <n v="0"/>
    <n v="0"/>
    <n v="0"/>
    <n v="0"/>
    <n v="0"/>
    <n v="0"/>
    <n v="0"/>
  </r>
  <r>
    <x v="17"/>
    <x v="17"/>
    <s v="OP-DYR-00001"/>
    <x v="151"/>
    <d v="2025-09-20T00:00:00"/>
    <n v="31"/>
    <x v="0"/>
    <n v="0"/>
    <n v="0"/>
    <n v="0"/>
    <n v="0"/>
    <n v="0"/>
    <n v="0"/>
    <n v="0"/>
    <n v="1"/>
    <n v="0"/>
    <n v="1"/>
    <n v="1"/>
    <n v="0"/>
    <s v="https://www.clickideacore.com/ClickHTML5/Visit.aspx?ID=//57DAEwASwAzADUAOQA1ADUAMQAwADIASQBEAEUAQQA6=&amp;Tipo=2&amp;ST=1&amp;nLang=0"/>
    <n v="0"/>
    <n v="0"/>
    <n v="0"/>
    <n v="0"/>
    <n v="0"/>
    <n v="0"/>
    <n v="0"/>
    <n v="0"/>
  </r>
  <r>
    <x v="1"/>
    <x v="1"/>
    <s v="OP-DYR-004"/>
    <x v="151"/>
    <d v="2025-09-20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3"/>
    <x v="3"/>
    <s v="OP-S-076"/>
    <x v="151"/>
    <d v="2025-09-20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4"/>
    <x v="8"/>
    <s v="OP-DYR-005"/>
    <x v="151"/>
    <d v="2025-09-20T00:00:00"/>
    <n v="6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51"/>
    <d v="2025-09-2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2"/>
    <d v="2025-09-21T00:00:00"/>
    <n v="71"/>
    <x v="0"/>
    <n v="0"/>
    <n v="0"/>
    <n v="0"/>
    <n v="0"/>
    <n v="0"/>
    <n v="0"/>
    <n v="0"/>
    <n v="0"/>
    <n v="0"/>
    <n v="4"/>
    <n v="0"/>
    <n v="1"/>
    <s v="https://www.clickideacore.com/ClickHTML5/Visit.aspx?ID=//56DAEwASwAzADUAOQA2ADQAMAAxADgASQBEAEUAQQAC=&amp;Tipo=2&amp;ST=1&amp;nLang=0"/>
    <n v="15"/>
    <n v="0"/>
    <n v="0"/>
    <n v="0"/>
    <n v="0"/>
    <n v="0"/>
    <n v="0"/>
    <n v="1"/>
  </r>
  <r>
    <x v="19"/>
    <x v="6"/>
    <s v="OP-DYR-011"/>
    <x v="152"/>
    <d v="2025-09-21T00:00:00"/>
    <n v="71"/>
    <x v="0"/>
    <n v="0"/>
    <n v="0"/>
    <n v="0"/>
    <n v="0"/>
    <n v="0"/>
    <n v="0"/>
    <n v="0"/>
    <n v="0"/>
    <n v="0"/>
    <n v="4"/>
    <n v="0"/>
    <n v="1"/>
    <s v="https://www.clickideacore.com/ClickHTML5/Visit.aspx?ID=//56DAEwASwAzADUAOQA2ADQAMAAxADgASQBEAEUAQQAC=&amp;Tipo=2&amp;ST=1&amp;nLang=0"/>
    <n v="15"/>
    <n v="0"/>
    <n v="0"/>
    <n v="0"/>
    <n v="0"/>
    <n v="0"/>
    <n v="0"/>
    <n v="1"/>
  </r>
  <r>
    <x v="5"/>
    <x v="4"/>
    <s v="OP-S-005"/>
    <x v="152"/>
    <d v="2025-09-21T00:00:00"/>
    <n v="61"/>
    <x v="0"/>
    <n v="0"/>
    <n v="0"/>
    <n v="0"/>
    <n v="0"/>
    <n v="0"/>
    <n v="0"/>
    <n v="0"/>
    <n v="0"/>
    <n v="1"/>
    <n v="1"/>
    <n v="0"/>
    <n v="1"/>
    <s v="https://www.clickideacore.com/ClickHTML5/Visit.aspx?ID=//55DAEwASwAzADUAOQA2ADUAMwAyADAASQBEAEUAQQAC=&amp;Tipo=2&amp;ST=1&amp;nLang=0"/>
    <n v="20"/>
    <n v="0"/>
    <n v="0"/>
    <n v="0"/>
    <n v="0"/>
    <n v="0"/>
    <n v="0"/>
    <n v="0"/>
  </r>
  <r>
    <x v="0"/>
    <x v="0"/>
    <s v="OP-S-100"/>
    <x v="152"/>
    <d v="2025-09-21T00:00:00"/>
    <n v="22"/>
    <x v="0"/>
    <n v="0"/>
    <n v="0"/>
    <n v="0"/>
    <n v="0"/>
    <n v="0"/>
    <n v="0"/>
    <n v="0"/>
    <n v="0"/>
    <n v="1"/>
    <n v="0"/>
    <n v="0"/>
    <n v="1"/>
    <s v="https://www.clickideacore.com/ClickHTML5/Visit.aspx?ID=//59DAEwASwAzADUAOQA2ADQAMQA1ADcASQBEAEUAQQAC=&amp;Tipo=2&amp;ST=1&amp;nLang=0"/>
    <n v="20"/>
    <n v="0"/>
    <n v="0"/>
    <n v="0"/>
    <n v="0"/>
    <n v="0"/>
    <n v="0"/>
    <n v="0"/>
  </r>
  <r>
    <x v="2"/>
    <x v="2"/>
    <s v="OP-S-200"/>
    <x v="152"/>
    <d v="2025-09-21T00:00:00"/>
    <n v="36"/>
    <x v="0"/>
    <n v="0"/>
    <n v="0"/>
    <n v="0"/>
    <n v="0"/>
    <n v="0"/>
    <n v="0"/>
    <n v="0"/>
    <n v="0"/>
    <n v="1"/>
    <n v="3"/>
    <n v="0"/>
    <n v="1"/>
    <s v="https://www.clickideacore.com/ClickHTML5/Visit.aspx?ID=//55DAEwASwAzADUAOQA2ADMANgAzADQASQBEAEUAQQAE=&amp;Tipo=2&amp;ST=1&amp;nLang=0"/>
    <n v="16"/>
    <n v="0"/>
    <n v="0"/>
    <n v="0"/>
    <n v="0"/>
    <n v="0"/>
    <n v="0"/>
    <n v="0"/>
  </r>
  <r>
    <x v="17"/>
    <x v="17"/>
    <s v="OP-DYR-00001"/>
    <x v="152"/>
    <d v="2025-09-21T00:00:00"/>
    <n v="20"/>
    <x v="0"/>
    <n v="0"/>
    <n v="0"/>
    <n v="0"/>
    <n v="0"/>
    <n v="0"/>
    <n v="0"/>
    <n v="0"/>
    <n v="0"/>
    <n v="1"/>
    <n v="0"/>
    <n v="0"/>
    <n v="1"/>
    <s v="https://www.clickideacore.com/ClickHTML5/Visit.aspx?ID=//5EDAEwASwAzADUAOQA2ADMANAA2ADMASQBEAEUAQQAF=&amp;Tipo=2&amp;ST=1&amp;nLang=0"/>
    <n v="11"/>
    <n v="0"/>
    <n v="0"/>
    <n v="0"/>
    <n v="0"/>
    <n v="0"/>
    <n v="0"/>
    <n v="0"/>
  </r>
  <r>
    <x v="1"/>
    <x v="1"/>
    <s v="OP-DYR-004"/>
    <x v="152"/>
    <d v="2025-09-21T00:00:00"/>
    <n v="27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3"/>
    <x v="3"/>
    <s v="OP-S-076"/>
    <x v="152"/>
    <d v="2025-09-21T00:00:00"/>
    <n v="36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4"/>
    <x v="8"/>
    <s v="OP-DYR-005"/>
    <x v="152"/>
    <d v="2025-09-21T00:00:00"/>
    <n v="69"/>
    <x v="5"/>
    <n v="0"/>
    <n v="0"/>
    <n v="0"/>
    <n v="0"/>
    <n v="0"/>
    <n v="0"/>
    <n v="0"/>
    <n v="0"/>
    <n v="0"/>
    <n v="0"/>
    <n v="0"/>
    <n v="0"/>
    <s v="https://www.clickideacore.com/ClickHTML5/Visit.aspx?ID=//5CDAEwASwAzADUANQA1ADcAOAA4ADkASQBEAEUAQQA2=&amp;Tipo=2&amp;ST=1&amp;nLang=0"/>
    <n v="0"/>
    <n v="0"/>
    <n v="0"/>
    <n v="0"/>
    <n v="0"/>
    <n v="0"/>
    <n v="0"/>
    <n v="0"/>
  </r>
  <r>
    <x v="9"/>
    <x v="7"/>
    <s v="OP-S-0010"/>
    <x v="152"/>
    <d v="2025-09-2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3"/>
    <d v="2025-09-22T00:00:00"/>
    <n v="44"/>
    <x v="0"/>
    <n v="0"/>
    <n v="0"/>
    <n v="0"/>
    <n v="0"/>
    <n v="0"/>
    <n v="0"/>
    <n v="0"/>
    <n v="0"/>
    <n v="0"/>
    <n v="0"/>
    <n v="0"/>
    <n v="0"/>
    <s v="https://www.clickideacore.com/ClickHTML5/Visit.aspx?ID=//5CDAEwASwAzADUAOQA4ADIANwAyADIASQBEAEUAQQA9=&amp;Tipo=2&amp;ST=1&amp;nLang=0"/>
    <n v="0"/>
    <n v="84"/>
    <n v="0"/>
    <n v="0"/>
    <n v="0"/>
    <n v="0"/>
    <n v="0"/>
    <n v="0"/>
  </r>
  <r>
    <x v="5"/>
    <x v="6"/>
    <s v="OP-S-005"/>
    <x v="153"/>
    <d v="2025-09-22T00:00:00"/>
    <n v="51"/>
    <x v="0"/>
    <n v="0"/>
    <n v="0"/>
    <n v="0"/>
    <n v="0"/>
    <n v="0"/>
    <n v="1"/>
    <n v="0"/>
    <n v="0"/>
    <n v="0"/>
    <n v="0"/>
    <n v="0"/>
    <n v="0"/>
    <s v="https://www.clickideacore.com/ClickHTML5/Visit.aspx?ID=//5CDAEwASwAzADUAOQA4ADMANQAxADgASQBEAEUAQQA7=&amp;Tipo=2&amp;ST=1&amp;nLang=0"/>
    <n v="0"/>
    <n v="61"/>
    <n v="0"/>
    <n v="0"/>
    <n v="0"/>
    <n v="0"/>
    <n v="0"/>
    <n v="0"/>
  </r>
  <r>
    <x v="19"/>
    <x v="6"/>
    <s v="OP-S-005"/>
    <x v="153"/>
    <d v="2025-09-22T00:00:00"/>
    <n v="51"/>
    <x v="0"/>
    <n v="0"/>
    <n v="0"/>
    <n v="0"/>
    <n v="0"/>
    <n v="0"/>
    <n v="0"/>
    <n v="0"/>
    <n v="0"/>
    <n v="0"/>
    <n v="0"/>
    <n v="0"/>
    <n v="0"/>
    <s v="https://www.clickideacore.com/ClickHTML5/Visit.aspx?ID=//5CDAEwASwAzADUAOQA4ADMANQAxADgASQBEAEUAQQA7=&amp;Tipo=2&amp;ST=1&amp;nLang=0"/>
    <n v="0"/>
    <n v="61"/>
    <n v="0"/>
    <n v="0"/>
    <n v="0"/>
    <n v="0"/>
    <n v="0"/>
    <n v="0"/>
  </r>
  <r>
    <x v="0"/>
    <x v="0"/>
    <s v="OP-S-100"/>
    <x v="153"/>
    <d v="2025-09-22T00:00:00"/>
    <n v="80"/>
    <x v="0"/>
    <n v="0"/>
    <n v="0"/>
    <n v="1"/>
    <n v="0"/>
    <n v="0"/>
    <n v="0"/>
    <n v="0"/>
    <n v="0"/>
    <n v="0"/>
    <n v="0"/>
    <n v="0"/>
    <n v="0"/>
    <s v="https://www.clickideacore.com/ClickHTML5/Visit.aspx?ID=//5BDAEwASwAzADUAOQA4ADYAMQAyADkASQBEAEUAQQA2=&amp;Tipo=2&amp;ST=1&amp;nLang=0"/>
    <n v="0"/>
    <n v="74"/>
    <n v="19"/>
    <n v="0"/>
    <n v="0"/>
    <n v="0"/>
    <n v="0"/>
    <n v="0"/>
  </r>
  <r>
    <x v="1"/>
    <x v="1"/>
    <s v="OP-DYR-004"/>
    <x v="153"/>
    <d v="2025-09-22T00:00:00"/>
    <n v="16"/>
    <x v="0"/>
    <n v="0"/>
    <n v="0"/>
    <n v="0"/>
    <n v="0"/>
    <n v="0"/>
    <n v="0"/>
    <n v="0"/>
    <n v="0"/>
    <n v="0"/>
    <n v="0"/>
    <n v="0"/>
    <n v="0"/>
    <s v="https://www.clickideacore.com/ClickHTML5/Visit.aspx?ID=//59DAEwASwAzADUAOQA4ADYAMwA3ADYASQBEAEUAQQA7=&amp;Tipo=2&amp;ST=1&amp;nLang=0"/>
    <n v="0"/>
    <n v="58"/>
    <n v="0"/>
    <n v="0"/>
    <n v="0"/>
    <n v="0"/>
    <n v="0"/>
    <n v="0"/>
  </r>
  <r>
    <x v="2"/>
    <x v="2"/>
    <s v="OP-S-200"/>
    <x v="153"/>
    <d v="2025-09-22T00:00:00"/>
    <n v="18"/>
    <x v="0"/>
    <n v="0"/>
    <n v="0"/>
    <n v="1"/>
    <n v="0"/>
    <n v="0"/>
    <n v="1"/>
    <n v="0"/>
    <n v="0"/>
    <n v="0"/>
    <n v="0"/>
    <n v="0"/>
    <n v="0"/>
    <s v="https://www.clickideacore.com/ClickHTML5/Visit.aspx?ID=//5EDAEwASwAzADUAOQA4ADUAOAA2ADIASQBEAEUAQQAE=&amp;Tipo=2&amp;ST=1&amp;nLang=0"/>
    <n v="0"/>
    <n v="86"/>
    <n v="8"/>
    <n v="0"/>
    <n v="0"/>
    <n v="0"/>
    <n v="0"/>
    <n v="0"/>
  </r>
  <r>
    <x v="17"/>
    <x v="24"/>
    <s v="OP-DYR-00001"/>
    <x v="153"/>
    <d v="2025-09-22T00:00:00"/>
    <n v="1268"/>
    <x v="0"/>
    <n v="0"/>
    <n v="0"/>
    <n v="0"/>
    <n v="0"/>
    <n v="0"/>
    <n v="0"/>
    <n v="0"/>
    <n v="0"/>
    <n v="0"/>
    <n v="0"/>
    <n v="0"/>
    <n v="0"/>
    <s v="https://www.clickideacore.com/ClickHTML5/Visit.aspx?ID=//59DAEwASwAzADUAOQA4ADIAMgA1ADYASQBEAEUAQQA8=&amp;Tipo=2&amp;ST=1&amp;nLang=0"/>
    <n v="0"/>
    <n v="20"/>
    <n v="13"/>
    <n v="0"/>
    <n v="0"/>
    <n v="0"/>
    <n v="0"/>
    <n v="0"/>
  </r>
  <r>
    <x v="3"/>
    <x v="3"/>
    <s v="OP-S-076"/>
    <x v="153"/>
    <d v="2025-09-22T00:00:00"/>
    <n v="29"/>
    <x v="0"/>
    <n v="0"/>
    <n v="0"/>
    <n v="0"/>
    <n v="0"/>
    <n v="0"/>
    <n v="0"/>
    <n v="0"/>
    <n v="0"/>
    <n v="0"/>
    <n v="0"/>
    <n v="0"/>
    <n v="0"/>
    <s v="https://www.clickideacore.com/ClickHTML5/Visit.aspx?ID=//51DAEwASwAzADUAOQA4ADAAOQA2ADYASQBEAEUAQQA4=&amp;Tipo=2&amp;ST=1&amp;nLang=0"/>
    <n v="0"/>
    <n v="60"/>
    <n v="0"/>
    <n v="0"/>
    <n v="0"/>
    <n v="0"/>
    <n v="0"/>
    <n v="0"/>
  </r>
  <r>
    <x v="4"/>
    <x v="8"/>
    <s v="OP-DYR-005"/>
    <x v="153"/>
    <d v="2025-09-22T00:00:00"/>
    <n v="20"/>
    <x v="0"/>
    <n v="0"/>
    <n v="0"/>
    <n v="0"/>
    <n v="0"/>
    <n v="0"/>
    <n v="0"/>
    <n v="0"/>
    <n v="0"/>
    <n v="0"/>
    <n v="0"/>
    <n v="0"/>
    <n v="0"/>
    <s v="https://www.clickideacore.com/ClickHTML5/Visit.aspx?ID=//50DAEwASwAzADUAOQA4ADUAMQA1ADEASQBEAEUAQQAD=&amp;Tipo=2&amp;ST=1&amp;nLang=0"/>
    <n v="0"/>
    <n v="76"/>
    <n v="0"/>
    <n v="0"/>
    <n v="0"/>
    <n v="0"/>
    <n v="0"/>
    <n v="0"/>
  </r>
  <r>
    <x v="9"/>
    <x v="4"/>
    <s v="OP-S-0010"/>
    <x v="153"/>
    <d v="2025-09-2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3"/>
    <d v="2025-09-2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4"/>
    <d v="2025-09-23T00:00:00"/>
    <n v="15"/>
    <x v="0"/>
    <n v="39"/>
    <n v="0"/>
    <n v="0"/>
    <n v="1"/>
    <n v="0"/>
    <n v="1"/>
    <n v="0"/>
    <n v="0"/>
    <n v="0"/>
    <n v="0"/>
    <n v="0"/>
    <n v="0"/>
    <s v="https://www.clickideacore.com/ClickHTML5/Visit.aspx?ID=//5DDAEwASwAzADYAMAAwADUAMQA4ADQASQBEAEUAQQA1=&amp;Tipo=2&amp;ST=1&amp;nLang=0"/>
    <n v="0"/>
    <n v="36"/>
    <n v="0"/>
    <n v="0"/>
    <n v="0"/>
    <n v="0"/>
    <n v="0"/>
    <n v="0"/>
  </r>
  <r>
    <x v="19"/>
    <x v="6"/>
    <s v="OP-DYR-011"/>
    <x v="154"/>
    <d v="2025-09-23T00:00:00"/>
    <n v="15"/>
    <x v="0"/>
    <n v="39"/>
    <n v="0"/>
    <n v="0"/>
    <n v="1"/>
    <n v="0"/>
    <n v="1"/>
    <n v="0"/>
    <n v="0"/>
    <n v="0"/>
    <n v="0"/>
    <n v="0"/>
    <n v="0"/>
    <s v="https://www.clickideacore.com/ClickHTML5/Visit.aspx?ID=//5DDAEwASwAzADYAMAAwADUAMQA4ADQASQBEAEUAQQA1=&amp;Tipo=2&amp;ST=1&amp;nLang=0"/>
    <n v="0"/>
    <n v="36"/>
    <n v="0"/>
    <n v="0"/>
    <n v="0"/>
    <n v="0"/>
    <n v="0"/>
    <n v="0"/>
  </r>
  <r>
    <x v="0"/>
    <x v="0"/>
    <s v="OP-S-100"/>
    <x v="154"/>
    <d v="2025-09-23T00:00:00"/>
    <n v="44"/>
    <x v="0"/>
    <n v="0"/>
    <n v="0"/>
    <n v="0"/>
    <n v="0"/>
    <n v="0"/>
    <n v="0"/>
    <n v="0"/>
    <n v="0"/>
    <n v="0"/>
    <n v="0"/>
    <n v="0"/>
    <n v="0"/>
    <s v="https://www.clickideacore.com/ClickHTML5/Visit.aspx?ID=//58DAEwASwAzADUAOQA5ADgAOAA1ADAASQBEAEUAQQA6=&amp;Tipo=2&amp;ST=1&amp;nLang=0"/>
    <n v="0"/>
    <n v="54"/>
    <n v="0"/>
    <n v="0"/>
    <n v="0"/>
    <n v="0"/>
    <n v="0"/>
    <n v="0"/>
  </r>
  <r>
    <x v="1"/>
    <x v="1"/>
    <s v="OP-DYR-004"/>
    <x v="154"/>
    <d v="2025-09-23T00:00:00"/>
    <n v="24"/>
    <x v="0"/>
    <n v="20"/>
    <n v="0"/>
    <n v="0"/>
    <n v="1"/>
    <n v="0"/>
    <n v="0"/>
    <n v="0"/>
    <n v="0"/>
    <n v="0"/>
    <n v="0"/>
    <n v="0"/>
    <n v="0"/>
    <s v="https://www.clickideacore.com/ClickHTML5/Visit.aspx?ID=//50DAEwASwAzADYAMAAwADcAOAA3ADUASQBEAEUAQQA3=&amp;Tipo=2&amp;ST=1&amp;nLang=0"/>
    <n v="0"/>
    <n v="14"/>
    <n v="6"/>
    <n v="0"/>
    <n v="0"/>
    <n v="0"/>
    <n v="0"/>
    <n v="0"/>
  </r>
  <r>
    <x v="2"/>
    <x v="2"/>
    <s v="OP-S-200"/>
    <x v="154"/>
    <d v="2025-09-23T00:00:00"/>
    <n v="12686"/>
    <x v="0"/>
    <n v="32"/>
    <n v="0"/>
    <n v="0"/>
    <n v="1"/>
    <n v="0"/>
    <n v="0"/>
    <n v="0"/>
    <n v="0"/>
    <n v="0"/>
    <n v="0"/>
    <n v="0"/>
    <n v="0"/>
    <s v="https://www.clickideacore.com/ClickHTML5/Visit.aspx?ID=//5DDAEwASwAzADYAMAAwADkAMQA2ADkASQBEAEUAQQAB=&amp;Tipo=2&amp;ST=1&amp;nLang=0"/>
    <n v="0"/>
    <n v="30"/>
    <n v="0"/>
    <n v="0"/>
    <n v="0"/>
    <n v="0"/>
    <n v="0"/>
    <n v="0"/>
  </r>
  <r>
    <x v="17"/>
    <x v="19"/>
    <s v="OP-DYR-00001"/>
    <x v="154"/>
    <d v="2025-09-23T00:00:00"/>
    <n v="296"/>
    <x v="0"/>
    <n v="0"/>
    <n v="0"/>
    <n v="0"/>
    <n v="0"/>
    <n v="0"/>
    <n v="0"/>
    <n v="0"/>
    <n v="0"/>
    <n v="0"/>
    <n v="1"/>
    <n v="0"/>
    <n v="0"/>
    <s v="https://www.clickideacore.com/ClickHTML5/Visit.aspx?ID=//56DAEwASwAzADUAOQA5ADgAOAAzADgASQBEAEUAQQA9=&amp;Tipo=2&amp;ST=1&amp;nLang=0"/>
    <n v="0"/>
    <n v="14"/>
    <n v="0"/>
    <n v="0"/>
    <n v="0"/>
    <n v="0"/>
    <n v="0"/>
    <n v="0"/>
  </r>
  <r>
    <x v="3"/>
    <x v="3"/>
    <s v="OP-S-076"/>
    <x v="154"/>
    <d v="2025-09-23T00:00:00"/>
    <n v="27"/>
    <x v="0"/>
    <n v="21"/>
    <n v="0"/>
    <n v="0"/>
    <n v="1"/>
    <n v="0"/>
    <n v="1"/>
    <n v="0"/>
    <n v="0"/>
    <n v="0"/>
    <n v="0"/>
    <n v="0"/>
    <n v="0"/>
    <s v="https://www.clickideacore.com/ClickHTML5/Visit.aspx?ID=//55DAEwASwAzADYAMAAwADMAMgAwADcASQBEAEUAQQA9=&amp;Tipo=2&amp;ST=1&amp;nLang=0"/>
    <n v="0"/>
    <n v="20"/>
    <n v="0"/>
    <n v="0"/>
    <n v="0"/>
    <n v="0"/>
    <n v="0"/>
    <n v="0"/>
  </r>
  <r>
    <x v="4"/>
    <x v="8"/>
    <s v="OP-DYR-005"/>
    <x v="154"/>
    <d v="2025-09-23T00:00:00"/>
    <n v="127"/>
    <x v="0"/>
    <n v="14"/>
    <n v="0"/>
    <n v="0"/>
    <n v="0"/>
    <n v="1"/>
    <n v="0"/>
    <n v="0"/>
    <n v="0"/>
    <n v="0"/>
    <n v="0"/>
    <n v="0"/>
    <n v="0"/>
    <s v="https://www.clickideacore.com/ClickHTML5/Visit.aspx?ID=//59DAEwASwAzADYAMAAxADEAMgA5ADEASQBEAEUAQQA0=&amp;Tipo=2&amp;ST=1&amp;nLang=0"/>
    <n v="0"/>
    <n v="38"/>
    <n v="0"/>
    <n v="0"/>
    <n v="0"/>
    <n v="0"/>
    <n v="0"/>
    <n v="0"/>
  </r>
  <r>
    <x v="5"/>
    <x v="4"/>
    <s v="OP-DYR-005"/>
    <x v="154"/>
    <d v="2025-09-23T00:00:00"/>
    <n v="127"/>
    <x v="0"/>
    <n v="7"/>
    <n v="0"/>
    <n v="0"/>
    <n v="0"/>
    <n v="0"/>
    <n v="0"/>
    <n v="0"/>
    <n v="0"/>
    <n v="0"/>
    <n v="1"/>
    <n v="0"/>
    <n v="0"/>
    <s v="https://www.clickideacore.com/ClickHTML5/Visit.aspx?ID=//59DAEwASwAzADYAMAAxADEAMgA5ADEASQBEAEUAQQA0=&amp;Tipo=2&amp;ST=1&amp;nLang=0"/>
    <n v="0"/>
    <n v="21"/>
    <n v="0"/>
    <n v="0"/>
    <n v="0"/>
    <n v="0"/>
    <n v="0"/>
    <n v="0"/>
  </r>
  <r>
    <x v="9"/>
    <x v="7"/>
    <s v="OP-S-0010"/>
    <x v="154"/>
    <d v="2025-09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55"/>
    <d v="2025-09-24T00:00:00"/>
    <n v="22"/>
    <x v="0"/>
    <n v="42"/>
    <n v="0"/>
    <n v="0"/>
    <n v="1"/>
    <n v="0"/>
    <n v="0"/>
    <n v="0"/>
    <n v="0"/>
    <n v="0"/>
    <n v="1"/>
    <n v="0"/>
    <n v="0"/>
    <s v="https://www.clickideacore.com/ClickHTML5/Visit.aspx?ID=//55DAEwASwAzADYAMAAyADcANgA4ADgASQBEAEUAQQAB=&amp;Tipo=2&amp;ST=1&amp;nLang=0"/>
    <n v="0"/>
    <n v="0"/>
    <n v="0"/>
    <n v="0"/>
    <n v="0"/>
    <n v="0"/>
    <n v="0"/>
    <n v="0"/>
  </r>
  <r>
    <x v="1"/>
    <x v="1"/>
    <s v="OP-DYR-004"/>
    <x v="155"/>
    <d v="2025-09-24T00:00:00"/>
    <n v="19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YAMAAzADIAOAA4ADAASQBEAEUAQQA9=&amp;Tipo=2&amp;ST=1&amp;nLang=0"/>
    <n v="0"/>
    <n v="0"/>
    <n v="0"/>
    <n v="0"/>
    <n v="0"/>
    <n v="0"/>
    <n v="0"/>
    <n v="0"/>
  </r>
  <r>
    <x v="4"/>
    <x v="8"/>
    <s v="OP-DYR-005"/>
    <x v="155"/>
    <d v="2025-09-24T00:00:00"/>
    <n v="17"/>
    <x v="0"/>
    <n v="12"/>
    <n v="0"/>
    <n v="0"/>
    <n v="0"/>
    <n v="1"/>
    <n v="0"/>
    <n v="0"/>
    <n v="0"/>
    <n v="0"/>
    <n v="0"/>
    <n v="0"/>
    <n v="0"/>
    <s v="https://www.clickideacore.com/ClickHTML5/Visit.aspx?ID=//52DAEwASwAzADYAMAA1ADUAMwA3ADkASQBEAEUAQQA0=&amp;Tipo=2&amp;ST=1&amp;nLang=0"/>
    <n v="0"/>
    <n v="0"/>
    <n v="0"/>
    <n v="0"/>
    <n v="0"/>
    <n v="0"/>
    <n v="0"/>
    <n v="0"/>
  </r>
  <r>
    <x v="5"/>
    <x v="4"/>
    <s v="OP-DYR-005"/>
    <x v="155"/>
    <d v="2025-09-24T00:00:00"/>
    <n v="17"/>
    <x v="0"/>
    <n v="32"/>
    <n v="0"/>
    <n v="0"/>
    <n v="1"/>
    <n v="0"/>
    <n v="0"/>
    <n v="0"/>
    <n v="0"/>
    <n v="0"/>
    <n v="0"/>
    <n v="0"/>
    <n v="0"/>
    <s v="https://www.clickideacore.com/ClickHTML5/Visit.aspx?ID=//52DAEwASwAzADYAMAA1ADUAMwA3ADkASQBEAEUAQQA0=&amp;Tipo=2&amp;ST=1&amp;nLang=0"/>
    <n v="0"/>
    <n v="0"/>
    <n v="0"/>
    <n v="0"/>
    <n v="0"/>
    <n v="0"/>
    <n v="0"/>
    <n v="0"/>
  </r>
  <r>
    <x v="2"/>
    <x v="2"/>
    <s v="OP-DYR-005"/>
    <x v="155"/>
    <d v="2025-09-24T00:00:00"/>
    <n v="17"/>
    <x v="0"/>
    <n v="46"/>
    <n v="0"/>
    <n v="0"/>
    <n v="1"/>
    <n v="0"/>
    <n v="0"/>
    <n v="0"/>
    <n v="0"/>
    <n v="0"/>
    <n v="0"/>
    <n v="0"/>
    <n v="0"/>
    <s v="https://www.clickideacore.com/ClickHTML5/Visit.aspx?ID=//52DAEwASwAzADYAMAA1ADUAMwA3ADkASQBEAEUAQQA0=&amp;Tipo=2&amp;ST=1&amp;nLang=0"/>
    <n v="0"/>
    <n v="0"/>
    <n v="0"/>
    <n v="0"/>
    <n v="0"/>
    <n v="0"/>
    <n v="0"/>
    <n v="0"/>
  </r>
  <r>
    <x v="18"/>
    <x v="6"/>
    <s v="OP-DYR-005"/>
    <x v="155"/>
    <d v="2025-09-24T00:00:00"/>
    <n v="17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DYR-005"/>
    <x v="155"/>
    <d v="2025-09-24T00:00:00"/>
    <n v="17"/>
    <x v="9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55"/>
    <d v="2025-09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55"/>
    <d v="2025-09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55"/>
    <d v="2025-09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5"/>
    <d v="2025-09-2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6"/>
    <d v="2025-09-25T00:00:00"/>
    <n v="42"/>
    <x v="0"/>
    <n v="43"/>
    <n v="0"/>
    <n v="0"/>
    <n v="1"/>
    <n v="0"/>
    <n v="0"/>
    <n v="0"/>
    <n v="0"/>
    <n v="0"/>
    <n v="0"/>
    <n v="0"/>
    <n v="0"/>
    <s v="https://www.clickideacore.com/ClickHTML5/Visit.aspx?ID=//5ADAEwASwAzADYAMAA0ADYANgA4ADkASQBEAEUAQQAA=&amp;Tipo=2&amp;ST=1&amp;nLang=0"/>
    <n v="0"/>
    <n v="0"/>
    <n v="0"/>
    <n v="0"/>
    <n v="0"/>
    <n v="0"/>
    <n v="0"/>
    <n v="0"/>
  </r>
  <r>
    <x v="19"/>
    <x v="6"/>
    <s v="OP-DYR-011"/>
    <x v="156"/>
    <d v="2025-09-25T00:00:00"/>
    <n v="42"/>
    <x v="0"/>
    <n v="43"/>
    <n v="0"/>
    <n v="0"/>
    <n v="1"/>
    <n v="0"/>
    <n v="0"/>
    <n v="0"/>
    <n v="0"/>
    <n v="0"/>
    <n v="0"/>
    <n v="0"/>
    <n v="0"/>
    <s v="https://www.clickideacore.com/ClickHTML5/Visit.aspx?ID=//5ADAEwASwAzADYAMAA0ADYANgA4ADkASQBEAEUAQQAA=&amp;Tipo=2&amp;ST=1&amp;nLang=0"/>
    <n v="0"/>
    <n v="0"/>
    <n v="0"/>
    <n v="0"/>
    <n v="0"/>
    <n v="0"/>
    <n v="0"/>
    <n v="0"/>
  </r>
  <r>
    <x v="0"/>
    <x v="0"/>
    <s v="OP-S-100"/>
    <x v="156"/>
    <d v="2025-09-25T00:00:00"/>
    <n v="25"/>
    <x v="0"/>
    <n v="16"/>
    <n v="0"/>
    <n v="0"/>
    <n v="0"/>
    <n v="1"/>
    <n v="0"/>
    <n v="0"/>
    <n v="0"/>
    <n v="0"/>
    <n v="0"/>
    <n v="0"/>
    <n v="0"/>
    <s v="https://www.clickideacore.com/ClickHTML5/Visit.aspx?ID=//5FDAEwASwAzADYAMAA0ADgAMgA0ADkASQBEAEUAQQA7=&amp;Tipo=2&amp;ST=1&amp;nLang=0"/>
    <n v="0"/>
    <n v="27"/>
    <n v="0"/>
    <n v="0"/>
    <n v="0"/>
    <n v="0"/>
    <n v="0"/>
    <n v="0"/>
  </r>
  <r>
    <x v="9"/>
    <x v="1"/>
    <s v="OP-DYR-004"/>
    <x v="156"/>
    <d v="2025-09-25T00:00:00"/>
    <n v="22"/>
    <x v="0"/>
    <n v="14"/>
    <n v="0"/>
    <n v="0"/>
    <n v="1"/>
    <n v="0"/>
    <n v="0"/>
    <n v="0"/>
    <n v="0"/>
    <n v="0"/>
    <n v="0"/>
    <n v="0"/>
    <n v="0"/>
    <s v="https://www.clickideacore.com/ClickHTML5/Visit.aspx?ID=//52DAEwASwAzADYAMAA1ADMAOAA5ADcASQBEAEUAQQAE=&amp;Tipo=2&amp;ST=1&amp;nLang=0"/>
    <n v="0"/>
    <n v="30"/>
    <n v="0"/>
    <n v="0"/>
    <n v="0"/>
    <n v="0"/>
    <n v="0"/>
    <n v="0"/>
  </r>
  <r>
    <x v="1"/>
    <x v="6"/>
    <s v="OP-DYR-004"/>
    <x v="156"/>
    <d v="2025-09-25T00:00:00"/>
    <n v="22"/>
    <x v="0"/>
    <n v="14"/>
    <n v="0"/>
    <n v="0"/>
    <n v="1"/>
    <n v="0"/>
    <n v="0"/>
    <n v="0"/>
    <n v="0"/>
    <n v="0"/>
    <n v="0"/>
    <n v="0"/>
    <n v="0"/>
    <s v="https://www.clickideacore.com/ClickHTML5/Visit.aspx?ID=//52DAEwASwAzADYAMAA1ADMAOAA5ADcASQBEAEUAQQAE=&amp;Tipo=2&amp;ST=1&amp;nLang=0"/>
    <n v="0"/>
    <n v="3"/>
    <n v="0"/>
    <n v="0"/>
    <n v="0"/>
    <n v="0"/>
    <n v="0"/>
    <n v="0"/>
  </r>
  <r>
    <x v="3"/>
    <x v="3"/>
    <s v="OP-S-076"/>
    <x v="156"/>
    <d v="2025-09-25T00:00:00"/>
    <n v="29"/>
    <x v="0"/>
    <n v="32"/>
    <n v="0"/>
    <n v="0"/>
    <n v="1"/>
    <n v="0"/>
    <n v="0"/>
    <n v="0"/>
    <n v="0"/>
    <n v="0"/>
    <n v="0"/>
    <n v="0"/>
    <n v="0"/>
    <s v="https://www.clickideacore.com/ClickHTML5/Visit.aspx?ID=//5DDAEwASwAzADYAMAA0ADgANgA0ADMASQBEAEUAQQA3=&amp;Tipo=2&amp;ST=1&amp;nLang=0"/>
    <n v="0"/>
    <n v="0"/>
    <n v="0"/>
    <n v="0"/>
    <n v="0"/>
    <n v="0"/>
    <n v="0"/>
    <n v="0"/>
  </r>
  <r>
    <x v="5"/>
    <x v="4"/>
    <s v="OP-S-076"/>
    <x v="156"/>
    <d v="2025-09-25T00:00:00"/>
    <n v="29"/>
    <x v="0"/>
    <n v="46"/>
    <n v="0"/>
    <n v="0"/>
    <n v="1"/>
    <n v="0"/>
    <n v="1"/>
    <n v="0"/>
    <n v="0"/>
    <n v="0"/>
    <n v="0"/>
    <n v="0"/>
    <n v="0"/>
    <s v="https://www.clickideacore.com/ClickHTML5/Visit.aspx?ID=//5DDAEwASwAzADYAMAA0ADgANgA0ADMASQBEAEUAQQA3=&amp;Tipo=2&amp;ST=1&amp;nLang=0"/>
    <n v="0"/>
    <n v="0"/>
    <n v="0"/>
    <n v="0"/>
    <n v="0"/>
    <n v="0"/>
    <n v="0"/>
    <n v="0"/>
  </r>
  <r>
    <x v="18"/>
    <x v="6"/>
    <s v="OP-DYR-005"/>
    <x v="156"/>
    <d v="2025-09-25T00:00:00"/>
    <n v="17"/>
    <x v="0"/>
    <n v="0"/>
    <n v="0"/>
    <n v="0"/>
    <n v="0"/>
    <n v="0"/>
    <n v="0"/>
    <n v="0"/>
    <n v="0"/>
    <n v="0"/>
    <n v="1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DYR-005"/>
    <x v="156"/>
    <d v="2025-09-25T00:00:00"/>
    <n v="17"/>
    <x v="9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156"/>
    <d v="2025-09-2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156"/>
    <d v="2025-09-2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6"/>
    <d v="2025-09-2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7"/>
    <d v="2025-09-26T00:00:00"/>
    <n v="40"/>
    <x v="0"/>
    <n v="36"/>
    <n v="0"/>
    <n v="0"/>
    <n v="1"/>
    <n v="0"/>
    <n v="0"/>
    <n v="0"/>
    <n v="0"/>
    <n v="0"/>
    <n v="2"/>
    <n v="0"/>
    <n v="0"/>
    <s v="https://www.clickideacore.com/ClickHTML5/Visit.aspx?ID=//5FDAEwASwAzADYAMAA3ADIANQA2ADQASQBEAEUAQQA2=&amp;Tipo=2&amp;ST=1&amp;nLang=0"/>
    <n v="0"/>
    <n v="0"/>
    <n v="0"/>
    <n v="0"/>
    <n v="0"/>
    <n v="0"/>
    <n v="0"/>
    <n v="0"/>
  </r>
  <r>
    <x v="19"/>
    <x v="6"/>
    <s v="OP-DYR-011"/>
    <x v="157"/>
    <d v="2025-09-26T00:00:00"/>
    <n v="40"/>
    <x v="0"/>
    <n v="36"/>
    <n v="0"/>
    <n v="0"/>
    <n v="1"/>
    <n v="0"/>
    <n v="0"/>
    <n v="0"/>
    <n v="0"/>
    <n v="0"/>
    <n v="2"/>
    <n v="0"/>
    <n v="0"/>
    <s v="https://www.clickideacore.com/ClickHTML5/Visit.aspx?ID=//5FDAEwASwAzADYAMAA3ADIANQA2ADQASQBEAEUAQQA2=&amp;Tipo=2&amp;ST=1&amp;nLang=0"/>
    <n v="0"/>
    <n v="0"/>
    <n v="0"/>
    <n v="0"/>
    <n v="0"/>
    <n v="0"/>
    <n v="0"/>
    <n v="0"/>
  </r>
  <r>
    <x v="2"/>
    <x v="2"/>
    <s v="OP-S-200"/>
    <x v="157"/>
    <d v="2025-09-26T00:00:00"/>
    <n v="19"/>
    <x v="0"/>
    <n v="28"/>
    <n v="0"/>
    <n v="1"/>
    <n v="1"/>
    <n v="0"/>
    <n v="0"/>
    <n v="0"/>
    <n v="0"/>
    <n v="0"/>
    <n v="3"/>
    <n v="0"/>
    <n v="0"/>
    <s v="https://www.clickideacore.com/ClickHTML5/Visit.aspx?ID=//56DAEwASwAzADYAMAA3ADQANgA1ADcASQBEAEUAQQA8=&amp;Tipo=2&amp;ST=1&amp;nLang=0"/>
    <n v="0"/>
    <n v="2"/>
    <n v="0"/>
    <n v="0"/>
    <n v="0"/>
    <n v="0"/>
    <n v="0"/>
    <n v="0"/>
  </r>
  <r>
    <x v="17"/>
    <x v="1"/>
    <s v="OP-DYR-00001"/>
    <x v="157"/>
    <d v="2025-09-26T00:00:00"/>
    <n v="85"/>
    <x v="0"/>
    <n v="31"/>
    <n v="0"/>
    <n v="0"/>
    <n v="1"/>
    <n v="0"/>
    <n v="0"/>
    <n v="0"/>
    <n v="0"/>
    <n v="0"/>
    <n v="2"/>
    <n v="0"/>
    <n v="0"/>
    <s v="https://www.clickideacore.com/ClickHTML5/Visit.aspx?ID=//52DAEwASwAzADYAMAA3ADMAMAAyADYASQBEAEUAQQA0=&amp;Tipo=2&amp;ST=1&amp;nLang=0"/>
    <n v="0"/>
    <n v="0"/>
    <n v="0"/>
    <n v="0"/>
    <n v="0"/>
    <n v="0"/>
    <n v="0"/>
    <n v="0"/>
  </r>
  <r>
    <x v="3"/>
    <x v="3"/>
    <s v="OP-S-076"/>
    <x v="157"/>
    <d v="2025-09-26T00:00:00"/>
    <n v="29"/>
    <x v="0"/>
    <n v="24"/>
    <n v="0"/>
    <n v="0"/>
    <n v="1"/>
    <n v="0"/>
    <n v="1"/>
    <n v="0"/>
    <n v="0"/>
    <n v="0"/>
    <n v="0"/>
    <n v="0"/>
    <n v="0"/>
    <s v="https://www.clickideacore.com/ClickHTML5/Visit.aspx?ID=//54DAEwASwAzADYAMAA3ADIAMwA5ADEASQBEAEUAQQA8=&amp;Tipo=2&amp;ST=1&amp;nLang=0"/>
    <n v="0"/>
    <n v="2"/>
    <n v="0"/>
    <n v="0"/>
    <n v="0"/>
    <n v="0"/>
    <n v="0"/>
    <n v="0"/>
  </r>
  <r>
    <x v="4"/>
    <x v="8"/>
    <s v="OP-DYR-005"/>
    <x v="157"/>
    <d v="2025-09-26T00:00:00"/>
    <n v="16"/>
    <x v="0"/>
    <n v="28"/>
    <n v="0"/>
    <n v="0"/>
    <n v="0"/>
    <n v="1"/>
    <n v="0"/>
    <n v="0"/>
    <n v="0"/>
    <n v="0"/>
    <n v="0"/>
    <n v="0"/>
    <n v="0"/>
    <s v="https://www.clickideacore.com/ClickHTML5/Visit.aspx?ID=//53DAEwASwAzADYAMAA3ADQAMwA5ADUASQBEAEUAQQAE=&amp;Tipo=2&amp;ST=1&amp;nLang=0"/>
    <n v="0"/>
    <n v="1"/>
    <n v="0"/>
    <n v="0"/>
    <n v="0"/>
    <n v="0"/>
    <n v="0"/>
    <n v="0"/>
  </r>
  <r>
    <x v="0"/>
    <x v="0"/>
    <s v="OP-DYR-005"/>
    <x v="157"/>
    <d v="2025-09-26T00:00:00"/>
    <n v="16"/>
    <x v="0"/>
    <n v="0"/>
    <n v="0"/>
    <n v="0"/>
    <n v="0"/>
    <n v="0"/>
    <n v="0"/>
    <n v="0"/>
    <n v="0"/>
    <n v="0"/>
    <n v="2"/>
    <n v="0"/>
    <n v="0"/>
    <s v="https://www.clickideacore.com/ClickHTML5/Visit.aspx?ID=//53DAEwASwAzADYAMAA3ADQAMwA5ADUASQBEAEUAQQAE=&amp;Tipo=2&amp;ST=1&amp;nLang=0"/>
    <n v="0"/>
    <n v="0"/>
    <n v="0"/>
    <n v="0"/>
    <n v="0"/>
    <n v="0"/>
    <n v="0"/>
    <n v="0"/>
  </r>
  <r>
    <x v="1"/>
    <x v="6"/>
    <s v="OP-S-0010"/>
    <x v="157"/>
    <d v="2025-09-26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57"/>
    <d v="2025-09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7"/>
    <d v="2025-09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8"/>
    <d v="2025-09-27T00:00:00"/>
    <n v="23"/>
    <x v="0"/>
    <n v="36"/>
    <n v="0"/>
    <n v="0"/>
    <n v="0"/>
    <n v="0"/>
    <n v="0"/>
    <n v="0"/>
    <n v="1"/>
    <n v="0"/>
    <n v="2"/>
    <n v="1"/>
    <n v="0"/>
    <s v="https://www.clickideacore.com/ClickHTML5/Visit.aspx?ID=//54DAEwASwAzADYAMAA4ADcANgA5ADQASQBEAEUAQQA7=&amp;Tipo=2&amp;ST=1&amp;nLang=0"/>
    <n v="0"/>
    <n v="0"/>
    <n v="0"/>
    <n v="0"/>
    <n v="0"/>
    <n v="0"/>
    <n v="0"/>
    <n v="0"/>
  </r>
  <r>
    <x v="19"/>
    <x v="6"/>
    <s v="OP-DYR-011"/>
    <x v="158"/>
    <d v="2025-09-27T00:00:00"/>
    <n v="23"/>
    <x v="0"/>
    <n v="36"/>
    <n v="0"/>
    <n v="0"/>
    <n v="0"/>
    <n v="0"/>
    <n v="0"/>
    <n v="0"/>
    <n v="1"/>
    <n v="0"/>
    <n v="2"/>
    <n v="1"/>
    <n v="0"/>
    <s v="https://www.clickideacore.com/ClickHTML5/Visit.aspx?ID=//54DAEwASwAzADYAMAA4ADcANgA5ADQASQBEAEUAQQA7=&amp;Tipo=2&amp;ST=1&amp;nLang=0"/>
    <n v="0"/>
    <n v="0"/>
    <n v="0"/>
    <n v="0"/>
    <n v="0"/>
    <n v="0"/>
    <n v="0"/>
    <n v="0"/>
  </r>
  <r>
    <x v="1"/>
    <x v="1"/>
    <s v="OP-DYR-004"/>
    <x v="158"/>
    <d v="2025-09-27T00:00:00"/>
    <n v="22"/>
    <x v="0"/>
    <n v="0"/>
    <n v="0"/>
    <n v="0"/>
    <n v="0"/>
    <n v="0"/>
    <n v="0"/>
    <n v="0"/>
    <n v="1"/>
    <n v="0"/>
    <n v="1"/>
    <n v="1"/>
    <n v="0"/>
    <s v="https://www.clickideacore.com/ClickHTML5/Visit.aspx?ID=//54DAEwASwAzADYAMAA4ADkAOQA0ADUASQBEAEUAQQAE=&amp;Tipo=2&amp;ST=1&amp;nLang=0"/>
    <n v="0"/>
    <n v="0"/>
    <n v="0"/>
    <n v="0"/>
    <n v="0"/>
    <n v="0"/>
    <n v="0"/>
    <n v="0"/>
  </r>
  <r>
    <x v="3"/>
    <x v="3"/>
    <s v="OP-S-076"/>
    <x v="158"/>
    <d v="2025-09-27T00:00:00"/>
    <n v="38"/>
    <x v="0"/>
    <n v="0"/>
    <n v="0"/>
    <n v="0"/>
    <n v="0"/>
    <n v="0"/>
    <n v="0"/>
    <n v="1"/>
    <n v="1"/>
    <n v="0"/>
    <n v="1"/>
    <n v="1"/>
    <n v="0"/>
    <s v="https://www.clickideacore.com/ClickHTML5/Visit.aspx?ID=//5CDAEwASwAzADYAMAA4ADgANgA5ADkASQBEAEUAQQA5=&amp;Tipo=2&amp;ST=1&amp;nLang=0"/>
    <n v="0"/>
    <n v="0"/>
    <n v="0"/>
    <n v="0"/>
    <n v="0"/>
    <n v="0"/>
    <n v="0"/>
    <n v="0"/>
  </r>
  <r>
    <x v="4"/>
    <x v="8"/>
    <s v="OP-DYR-005"/>
    <x v="158"/>
    <d v="2025-09-27T00:00:00"/>
    <n v="73"/>
    <x v="0"/>
    <n v="0"/>
    <n v="0"/>
    <n v="0"/>
    <n v="0"/>
    <n v="0"/>
    <n v="0"/>
    <n v="0"/>
    <n v="0"/>
    <n v="0"/>
    <n v="9"/>
    <n v="1"/>
    <n v="0"/>
    <s v="https://www.clickideacore.com/ClickHTML5/Visit.aspx?ID=//5FDAEwASwAzADYAMAA4ADgAOAAzADEASQBEAEUAQQA9=&amp;Tipo=2&amp;ST=1&amp;nLang=0"/>
    <n v="0"/>
    <n v="0"/>
    <n v="0"/>
    <n v="0"/>
    <n v="0"/>
    <n v="0"/>
    <n v="1"/>
    <n v="0"/>
  </r>
  <r>
    <x v="2"/>
    <x v="2"/>
    <s v="OP-DYR-005"/>
    <x v="158"/>
    <d v="2025-09-27T00:00:00"/>
    <n v="73"/>
    <x v="0"/>
    <n v="0"/>
    <n v="0"/>
    <n v="0"/>
    <n v="0"/>
    <n v="0"/>
    <n v="0"/>
    <n v="0"/>
    <n v="1"/>
    <n v="0"/>
    <n v="2"/>
    <n v="1"/>
    <n v="0"/>
    <s v="https://www.clickideacore.com/ClickHTML5/Visit.aspx?ID=//5FDAEwASwAzADYAMAA4ADgAOAAzADEASQBEAEUAQQA9=&amp;Tipo=2&amp;ST=1&amp;nLang=0"/>
    <n v="0"/>
    <n v="0"/>
    <n v="0"/>
    <n v="0"/>
    <n v="0"/>
    <n v="0"/>
    <n v="0"/>
    <n v="0"/>
  </r>
  <r>
    <x v="17"/>
    <x v="6"/>
    <s v="OP-S-0010"/>
    <x v="158"/>
    <d v="2025-09-2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58"/>
    <d v="2025-09-2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58"/>
    <d v="2025-09-2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8"/>
    <d v="2025-09-2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59"/>
    <d v="2025-09-28T00:00:00"/>
    <n v="17"/>
    <x v="0"/>
    <n v="0"/>
    <n v="0"/>
    <n v="0"/>
    <n v="0"/>
    <n v="0"/>
    <n v="0"/>
    <n v="0"/>
    <n v="0"/>
    <n v="1"/>
    <n v="2"/>
    <n v="0"/>
    <n v="1"/>
    <s v="https://www.clickideacore.com/ClickHTML5/Visit.aspx?ID=//59DAEwASwAzADYAMAA5ADYANAAxADcASQBEAEUAQQAD=&amp;Tipo=2&amp;ST=1&amp;nLang=0"/>
    <n v="0"/>
    <n v="0"/>
    <n v="0"/>
    <n v="0"/>
    <n v="0"/>
    <n v="0"/>
    <n v="0"/>
    <n v="0"/>
  </r>
  <r>
    <x v="19"/>
    <x v="6"/>
    <s v="OP-DYR-011"/>
    <x v="159"/>
    <d v="2025-09-28T00:00:00"/>
    <n v="17"/>
    <x v="0"/>
    <n v="0"/>
    <n v="0"/>
    <n v="0"/>
    <n v="0"/>
    <n v="0"/>
    <n v="0"/>
    <n v="0"/>
    <n v="0"/>
    <n v="1"/>
    <n v="2"/>
    <n v="0"/>
    <n v="1"/>
    <s v="https://www.clickideacore.com/ClickHTML5/Visit.aspx?ID=//59DAEwASwAzADYAMAA5ADYANAAxADcASQBEAEUAQQAD=&amp;Tipo=2&amp;ST=1&amp;nLang=0"/>
    <n v="0"/>
    <n v="0"/>
    <n v="0"/>
    <n v="0"/>
    <n v="0"/>
    <n v="0"/>
    <n v="0"/>
    <n v="0"/>
  </r>
  <r>
    <x v="1"/>
    <x v="1"/>
    <s v="OP-DYR-004"/>
    <x v="159"/>
    <d v="2025-09-28T00:00:00"/>
    <n v="29"/>
    <x v="0"/>
    <n v="0"/>
    <n v="0"/>
    <n v="0"/>
    <n v="0"/>
    <n v="0"/>
    <n v="0"/>
    <n v="0"/>
    <n v="0"/>
    <n v="1"/>
    <n v="3"/>
    <n v="0"/>
    <n v="1"/>
    <s v="https://www.clickideacore.com/ClickHTML5/Visit.aspx?ID=//50DAEwASwAzADYAMAA5ADYAMgA1ADkASQBEAEUAQQAE=&amp;Tipo=2&amp;ST=1&amp;nLang=0"/>
    <n v="0"/>
    <n v="0"/>
    <n v="0"/>
    <n v="0"/>
    <n v="0"/>
    <n v="0"/>
    <n v="0"/>
    <n v="0"/>
  </r>
  <r>
    <x v="2"/>
    <x v="2"/>
    <s v="OP-S-200"/>
    <x v="159"/>
    <d v="2025-09-28T00:00:00"/>
    <n v="24"/>
    <x v="0"/>
    <n v="0"/>
    <n v="0"/>
    <n v="0"/>
    <n v="0"/>
    <n v="0"/>
    <n v="0"/>
    <n v="0"/>
    <n v="0"/>
    <n v="1"/>
    <n v="1"/>
    <n v="0"/>
    <n v="1"/>
    <s v="https://www.clickideacore.com/ClickHTML5/Visit.aspx?ID=//56DAEwASwAzADYAMAA5ADUAOAA5ADYASQBEAEUAQQA0=&amp;Tipo=2&amp;ST=1&amp;nLang=0"/>
    <n v="0"/>
    <n v="0"/>
    <n v="0"/>
    <n v="0"/>
    <n v="0"/>
    <n v="0"/>
    <n v="0"/>
    <n v="0"/>
  </r>
  <r>
    <x v="3"/>
    <x v="3"/>
    <s v="OP-S-076"/>
    <x v="159"/>
    <d v="2025-09-28T00:00:00"/>
    <n v="35"/>
    <x v="0"/>
    <n v="0"/>
    <n v="0"/>
    <n v="0"/>
    <n v="0"/>
    <n v="0"/>
    <n v="0"/>
    <n v="0"/>
    <n v="0"/>
    <n v="1"/>
    <n v="0"/>
    <n v="0"/>
    <n v="1"/>
    <s v="https://www.clickideacore.com/ClickHTML5/Visit.aspx?ID=//59DAEwASwAzADYAMAA5ADYAMgAxADYASQBEAEUAQQAD=&amp;Tipo=2&amp;ST=1&amp;nLang=0"/>
    <n v="0"/>
    <n v="0"/>
    <n v="0"/>
    <n v="0"/>
    <n v="0"/>
    <n v="0"/>
    <n v="0"/>
    <n v="0"/>
  </r>
  <r>
    <x v="4"/>
    <x v="8"/>
    <s v="OP-DYR-005"/>
    <x v="159"/>
    <d v="2025-09-28T00:00:00"/>
    <n v="22"/>
    <x v="0"/>
    <n v="0"/>
    <n v="0"/>
    <n v="0"/>
    <n v="0"/>
    <n v="0"/>
    <n v="0"/>
    <n v="0"/>
    <n v="0"/>
    <n v="0"/>
    <n v="5"/>
    <n v="0"/>
    <n v="1"/>
    <s v="https://www.clickideacore.com/ClickHTML5/Visit.aspx?ID=//58DAEwASwAzADYAMAA5ADYAMQAyADEASQBEAEUAQQA8=&amp;Tipo=2&amp;ST=1&amp;nLang=0"/>
    <n v="0"/>
    <n v="0"/>
    <n v="0"/>
    <n v="0"/>
    <n v="0"/>
    <n v="0"/>
    <n v="0"/>
    <n v="1"/>
  </r>
  <r>
    <x v="17"/>
    <x v="6"/>
    <s v="OP-S-0010"/>
    <x v="159"/>
    <d v="2025-09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59"/>
    <d v="2025-09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59"/>
    <d v="2025-09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59"/>
    <d v="2025-09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60"/>
    <d v="2025-09-29T00:00:00"/>
    <n v="27"/>
    <x v="0"/>
    <n v="8"/>
    <n v="0"/>
    <n v="0"/>
    <n v="0"/>
    <n v="0"/>
    <n v="0"/>
    <n v="0"/>
    <n v="0"/>
    <n v="0"/>
    <n v="0"/>
    <n v="0"/>
    <n v="0"/>
    <s v="https://www.clickideacore.com/ClickHTML5/Visit.aspx?ID=//57DAEwASwAzADYAMQAwADQAOQA0ADYASQBEAEUAQQA6=&amp;Tipo=2&amp;ST=1&amp;nLang=0"/>
    <n v="0"/>
    <n v="0"/>
    <n v="0"/>
    <n v="0"/>
    <n v="0"/>
    <n v="0"/>
    <n v="0"/>
    <n v="0"/>
  </r>
  <r>
    <x v="3"/>
    <x v="3"/>
    <s v="OP-S-076"/>
    <x v="160"/>
    <d v="2025-09-29T00:00:00"/>
    <n v="27"/>
    <x v="0"/>
    <n v="2"/>
    <n v="0"/>
    <n v="0"/>
    <n v="0"/>
    <n v="0"/>
    <n v="1"/>
    <n v="1"/>
    <n v="0"/>
    <n v="0"/>
    <n v="0"/>
    <n v="0"/>
    <n v="0"/>
    <s v="https://www.clickideacore.com/ClickHTML5/Visit.aspx?ID=//5DDAEwASwAzADYAMQAwADYAMgAzADUASQBEAEUAQQAF=&amp;Tipo=2&amp;ST=1&amp;nLang=0"/>
    <n v="0"/>
    <n v="10"/>
    <n v="0"/>
    <n v="0"/>
    <n v="0"/>
    <n v="0"/>
    <n v="0"/>
    <n v="0"/>
  </r>
  <r>
    <x v="1"/>
    <x v="1"/>
    <s v="OP-S-076"/>
    <x v="160"/>
    <d v="2025-09-29T00:00:00"/>
    <n v="27"/>
    <x v="0"/>
    <n v="13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4"/>
    <n v="1"/>
    <n v="0"/>
    <n v="0"/>
    <n v="0"/>
    <n v="0"/>
    <n v="0"/>
  </r>
  <r>
    <x v="5"/>
    <x v="6"/>
    <s v="OP-S-076"/>
    <x v="160"/>
    <d v="2025-09-29T00:00:00"/>
    <n v="27"/>
    <x v="0"/>
    <n v="7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6"/>
    <n v="0"/>
    <n v="0"/>
    <n v="0"/>
    <n v="0"/>
    <n v="0"/>
    <n v="0"/>
  </r>
  <r>
    <x v="17"/>
    <x v="6"/>
    <s v="OP-S-076"/>
    <x v="160"/>
    <d v="2025-09-29T00:00:00"/>
    <n v="27"/>
    <x v="0"/>
    <n v="7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6"/>
    <n v="0"/>
    <n v="0"/>
    <n v="0"/>
    <n v="0"/>
    <n v="0"/>
    <n v="0"/>
  </r>
  <r>
    <x v="10"/>
    <x v="6"/>
    <s v="OP-S-076"/>
    <x v="160"/>
    <d v="2025-09-29T00:00:00"/>
    <n v="27"/>
    <x v="4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19"/>
    <x v="6"/>
    <s v="OP-S-076"/>
    <x v="160"/>
    <d v="2025-09-29T00:00:00"/>
    <n v="27"/>
    <x v="4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4"/>
    <x v="8"/>
    <s v="OP-S-076"/>
    <x v="160"/>
    <d v="2025-09-29T00:00:00"/>
    <n v="27"/>
    <x v="4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2"/>
    <x v="2"/>
    <s v="OP-S-076"/>
    <x v="160"/>
    <d v="2025-09-29T00:00:00"/>
    <n v="27"/>
    <x v="4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9"/>
    <x v="4"/>
    <s v="OP-S-0010"/>
    <x v="160"/>
    <d v="2025-09-29T00:00:00"/>
    <n v="0"/>
    <x v="10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0"/>
    <d v="2025-09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61"/>
    <d v="2025-09-30T00:00:00"/>
    <n v="27"/>
    <x v="0"/>
    <n v="18"/>
    <n v="0"/>
    <n v="0"/>
    <n v="1"/>
    <n v="0"/>
    <n v="1"/>
    <n v="0"/>
    <n v="0"/>
    <n v="0"/>
    <n v="0"/>
    <n v="0"/>
    <n v="0"/>
    <s v="https://www.clickideacore.com/ClickHTML5/Visit.aspx?ID=//5ADAEwASwAzADYAMQAzADIANwA5ADAASQBEAEUAQQAD=&amp;Tipo=2&amp;ST=1&amp;nLang=0"/>
    <n v="0"/>
    <n v="0"/>
    <n v="0"/>
    <n v="0"/>
    <n v="0"/>
    <n v="0"/>
    <n v="0"/>
    <n v="0"/>
  </r>
  <r>
    <x v="19"/>
    <x v="6"/>
    <s v="OP-DYR-011"/>
    <x v="161"/>
    <d v="2025-09-30T00:00:00"/>
    <n v="27"/>
    <x v="0"/>
    <n v="18"/>
    <n v="0"/>
    <n v="0"/>
    <n v="1"/>
    <n v="0"/>
    <n v="1"/>
    <n v="0"/>
    <n v="0"/>
    <n v="0"/>
    <n v="0"/>
    <n v="0"/>
    <n v="0"/>
    <s v="https://www.clickideacore.com/ClickHTML5/Visit.aspx?ID=//5ADAEwASwAzADYAMQAzADIANwA5ADAASQBEAEUAQQAD=&amp;Tipo=2&amp;ST=1&amp;nLang=0"/>
    <n v="0"/>
    <n v="0"/>
    <n v="0"/>
    <n v="0"/>
    <n v="0"/>
    <n v="0"/>
    <n v="0"/>
    <n v="0"/>
  </r>
  <r>
    <x v="1"/>
    <x v="1"/>
    <s v="OP-DYR-004"/>
    <x v="161"/>
    <d v="2025-09-30T00:00:00"/>
    <n v="22"/>
    <x v="0"/>
    <n v="16"/>
    <n v="0"/>
    <n v="0"/>
    <n v="1"/>
    <n v="0"/>
    <n v="0"/>
    <n v="0"/>
    <n v="0"/>
    <n v="0"/>
    <n v="0"/>
    <n v="0"/>
    <n v="0"/>
    <s v="https://www.clickideacore.com/ClickHTML5/Visit.aspx?ID=//55DAEwASwAzADYAMQAzADMAOAA5ADIASQBEAEUAQQA2=&amp;Tipo=2&amp;ST=1&amp;nLang=0"/>
    <n v="0"/>
    <n v="22"/>
    <n v="0"/>
    <n v="0"/>
    <n v="0"/>
    <n v="0"/>
    <n v="0"/>
    <n v="0"/>
  </r>
  <r>
    <x v="3"/>
    <x v="3"/>
    <s v="OP-S-076"/>
    <x v="161"/>
    <d v="2025-09-30T00:00:00"/>
    <n v="29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YAMQAzADQANQAzADUASQBEAEUAQQAA=&amp;Tipo=2&amp;ST=1&amp;nLang=0"/>
    <n v="0"/>
    <n v="0"/>
    <n v="0"/>
    <n v="0"/>
    <n v="0"/>
    <n v="0"/>
    <n v="0"/>
    <n v="0"/>
  </r>
  <r>
    <x v="4"/>
    <x v="8"/>
    <s v="OP-DYR-005"/>
    <x v="161"/>
    <d v="2025-09-30T00:00:00"/>
    <n v="30"/>
    <x v="0"/>
    <n v="47"/>
    <n v="0"/>
    <n v="0"/>
    <n v="1"/>
    <n v="0"/>
    <n v="0"/>
    <n v="1"/>
    <n v="0"/>
    <n v="0"/>
    <n v="0"/>
    <n v="0"/>
    <n v="0"/>
    <s v="https://www.clickideacore.com/ClickHTML5/Visit.aspx?ID=//5BDAEwASwAzADYAMQAzADgANAAwADYASQBEAEUAQQA3=&amp;Tipo=2&amp;ST=1&amp;nLang=0"/>
    <n v="0"/>
    <n v="2"/>
    <n v="0"/>
    <n v="0"/>
    <n v="0"/>
    <n v="0"/>
    <n v="0"/>
    <n v="0"/>
  </r>
  <r>
    <x v="2"/>
    <x v="2"/>
    <s v="OP-DYR-005"/>
    <x v="161"/>
    <d v="2025-09-30T00:00:00"/>
    <n v="30"/>
    <x v="0"/>
    <n v="22"/>
    <n v="0"/>
    <n v="0"/>
    <n v="0"/>
    <n v="1"/>
    <n v="0"/>
    <n v="0"/>
    <n v="0"/>
    <n v="0"/>
    <n v="0"/>
    <n v="0"/>
    <n v="0"/>
    <s v="https://www.clickideacore.com/ClickHTML5/Visit.aspx?ID=//5BDAEwASwAzADYAMQAzADgANAAwADYASQBEAEUAQQA3=&amp;Tipo=2&amp;ST=1&amp;nLang=0"/>
    <n v="0"/>
    <n v="0"/>
    <n v="0"/>
    <n v="0"/>
    <n v="0"/>
    <n v="0"/>
    <n v="0"/>
    <n v="0"/>
  </r>
  <r>
    <x v="5"/>
    <x v="25"/>
    <s v="OP-S-076"/>
    <x v="161"/>
    <d v="2025-09-30T00:00:00"/>
    <n v="27"/>
    <x v="1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17"/>
    <x v="6"/>
    <s v="OP-S-076"/>
    <x v="161"/>
    <d v="2025-09-30T00:00:00"/>
    <n v="27"/>
    <x v="1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0"/>
    <x v="0"/>
    <s v="OP-S-076"/>
    <x v="161"/>
    <d v="2025-09-30T00:00:00"/>
    <n v="27"/>
    <x v="1"/>
    <n v="0"/>
    <n v="0"/>
    <n v="0"/>
    <n v="0"/>
    <n v="0"/>
    <n v="0"/>
    <n v="0"/>
    <n v="0"/>
    <n v="0"/>
    <n v="0"/>
    <n v="0"/>
    <n v="0"/>
    <s v="https://www.clickideacore.com/ClickHTML5/Visit.aspx?ID=//5DDAEwASwAzADYAMQAwADYAMgAzADUASQBEAEUAQQAF=&amp;Tipo=2&amp;ST=1&amp;nLang=0"/>
    <n v="0"/>
    <n v="0"/>
    <n v="0"/>
    <n v="0"/>
    <n v="0"/>
    <n v="0"/>
    <n v="0"/>
    <n v="0"/>
  </r>
  <r>
    <x v="9"/>
    <x v="4"/>
    <s v="OP-S-0010"/>
    <x v="161"/>
    <d v="2025-09-30T00:00:00"/>
    <n v="0"/>
    <x v="10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1"/>
    <d v="2025-09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62"/>
    <d v="2025-10-01T00:00:00"/>
    <n v="53"/>
    <x v="0"/>
    <n v="60"/>
    <n v="0"/>
    <n v="0"/>
    <n v="1"/>
    <n v="0"/>
    <n v="0"/>
    <n v="0"/>
    <n v="0"/>
    <n v="0"/>
    <n v="0"/>
    <n v="0"/>
    <n v="0"/>
    <s v="https://www.clickideacore.com/ClickHTML5/Visit.aspx?ID=//53DAEwASwAzADYAMQA2ADAAMgAwADEASQBEAEUAQQA4=&amp;Tipo=2&amp;ST=1&amp;nLang=0"/>
    <n v="0"/>
    <n v="0"/>
    <n v="0"/>
    <n v="0"/>
    <n v="0"/>
    <n v="0"/>
    <n v="0"/>
    <n v="0"/>
  </r>
  <r>
    <x v="19"/>
    <x v="6"/>
    <s v="OP-S-005"/>
    <x v="162"/>
    <d v="2025-10-01T00:00:00"/>
    <n v="53"/>
    <x v="0"/>
    <n v="60"/>
    <n v="0"/>
    <n v="0"/>
    <n v="1"/>
    <n v="0"/>
    <n v="0"/>
    <n v="0"/>
    <n v="0"/>
    <n v="0"/>
    <n v="0"/>
    <n v="0"/>
    <n v="0"/>
    <s v="https://www.clickideacore.com/ClickHTML5/Visit.aspx?ID=//53DAEwASwAzADYAMQA2ADAAMgAwADEASQBEAEUAQQA4=&amp;Tipo=2&amp;ST=1&amp;nLang=0"/>
    <n v="0"/>
    <n v="0"/>
    <n v="0"/>
    <n v="0"/>
    <n v="0"/>
    <n v="0"/>
    <n v="0"/>
    <n v="0"/>
  </r>
  <r>
    <x v="0"/>
    <x v="0"/>
    <s v="OP-S-100"/>
    <x v="162"/>
    <d v="2025-10-01T00:00:00"/>
    <n v="28"/>
    <x v="0"/>
    <n v="56"/>
    <n v="0"/>
    <n v="0"/>
    <n v="1"/>
    <n v="0"/>
    <n v="0"/>
    <n v="0"/>
    <n v="0"/>
    <n v="0"/>
    <n v="0"/>
    <n v="0"/>
    <n v="0"/>
    <s v="https://www.clickideacore.com/ClickHTML5/Visit.aspx?ID=//55DAEwASwAzADYAMQA1ADkAOAAxADUASQBEAEUAQQA1=&amp;Tipo=2&amp;ST=1&amp;nLang=0"/>
    <n v="0"/>
    <n v="0"/>
    <n v="0"/>
    <n v="0"/>
    <n v="0"/>
    <n v="0"/>
    <n v="0"/>
    <n v="0"/>
  </r>
  <r>
    <x v="1"/>
    <x v="1"/>
    <s v="OP-DYR-004"/>
    <x v="162"/>
    <d v="2025-10-01T00:00:00"/>
    <n v="111"/>
    <x v="0"/>
    <n v="3"/>
    <n v="0"/>
    <n v="0"/>
    <n v="0"/>
    <n v="0"/>
    <n v="1"/>
    <n v="0"/>
    <n v="0"/>
    <n v="0"/>
    <n v="1"/>
    <n v="0"/>
    <n v="0"/>
    <s v="https://www.clickideacore.com/ClickHTML5/Visit.aspx?ID=//55DAEwASwAzADYAMQA2ADMANQAyADcASQBEAEUAQQA5=&amp;Tipo=2&amp;ST=1&amp;nLang=0"/>
    <n v="0"/>
    <n v="0"/>
    <n v="0"/>
    <n v="0"/>
    <n v="0"/>
    <n v="0"/>
    <n v="0"/>
    <n v="0"/>
  </r>
  <r>
    <x v="2"/>
    <x v="2"/>
    <s v="OP-S-200"/>
    <x v="162"/>
    <d v="2025-10-01T00:00:00"/>
    <n v="21"/>
    <x v="0"/>
    <n v="12"/>
    <n v="0"/>
    <n v="0"/>
    <n v="0"/>
    <n v="1"/>
    <n v="0"/>
    <n v="0"/>
    <n v="0"/>
    <n v="0"/>
    <n v="0"/>
    <n v="0"/>
    <n v="0"/>
    <s v="https://www.clickideacore.com/ClickHTML5/Visit.aspx?ID=//54DAEwASwAzADYAMQA1ADgANgA4ADEASQBEAEUAQQAC=&amp;Tipo=2&amp;ST=1&amp;nLang=0"/>
    <n v="0"/>
    <n v="13"/>
    <n v="0"/>
    <n v="0"/>
    <n v="0"/>
    <n v="0"/>
    <n v="0"/>
    <n v="0"/>
  </r>
  <r>
    <x v="17"/>
    <x v="6"/>
    <s v="OP-DYR-00001"/>
    <x v="162"/>
    <d v="2025-10-01T00:00:00"/>
    <n v="20"/>
    <x v="0"/>
    <n v="32"/>
    <n v="0"/>
    <n v="0"/>
    <n v="1"/>
    <n v="0"/>
    <n v="0"/>
    <n v="0"/>
    <n v="0"/>
    <n v="0"/>
    <n v="0"/>
    <n v="0"/>
    <n v="0"/>
    <s v="https://www.clickideacore.com/ClickHTML5/Visit.aspx?ID=//54DAEwASwAzADYAMQA1ADYAOQAxADgASQBEAEUAQQAD=&amp;Tipo=2&amp;ST=1&amp;nLang=0"/>
    <n v="0"/>
    <n v="0"/>
    <n v="0"/>
    <n v="0"/>
    <n v="0"/>
    <n v="0"/>
    <n v="0"/>
    <n v="0"/>
  </r>
  <r>
    <x v="10"/>
    <x v="6"/>
    <s v="OP-DYR-00001"/>
    <x v="162"/>
    <d v="2025-10-01T00:00:00"/>
    <n v="20"/>
    <x v="0"/>
    <n v="32"/>
    <n v="0"/>
    <n v="0"/>
    <n v="1"/>
    <n v="0"/>
    <n v="0"/>
    <n v="0"/>
    <n v="0"/>
    <n v="0"/>
    <n v="0"/>
    <n v="0"/>
    <n v="0"/>
    <s v="https://www.clickideacore.com/ClickHTML5/Visit.aspx?ID=//54DAEwASwAzADYAMQA1ADYAOQAxADgASQBEAEUAQQAD=&amp;Tipo=2&amp;ST=1&amp;nLang=0"/>
    <n v="0"/>
    <n v="0"/>
    <n v="0"/>
    <n v="0"/>
    <n v="0"/>
    <n v="0"/>
    <n v="0"/>
    <n v="0"/>
  </r>
  <r>
    <x v="3"/>
    <x v="3"/>
    <s v="OP-S-076"/>
    <x v="162"/>
    <d v="2025-10-01T00:00:00"/>
    <n v="27"/>
    <x v="0"/>
    <n v="25"/>
    <n v="0"/>
    <n v="0"/>
    <n v="1"/>
    <n v="0"/>
    <n v="0"/>
    <n v="0"/>
    <n v="0"/>
    <n v="0"/>
    <n v="0"/>
    <n v="0"/>
    <n v="0"/>
    <s v="https://www.clickideacore.com/ClickHTML5/Visit.aspx?ID=//5CDAEwASwAzADYAMQA1ADkAOAA2ADkASQBEAEUAQQA4=&amp;Tipo=2&amp;ST=1&amp;nLang=0"/>
    <n v="0"/>
    <n v="0"/>
    <n v="0"/>
    <n v="0"/>
    <n v="0"/>
    <n v="0"/>
    <n v="0"/>
    <n v="0"/>
  </r>
  <r>
    <x v="4"/>
    <x v="8"/>
    <s v="OP-S-076"/>
    <x v="162"/>
    <d v="2025-10-01T00:00:00"/>
    <n v="27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4"/>
    <s v="OP-S-0010"/>
    <x v="162"/>
    <d v="2025-10-01T00:00:00"/>
    <n v="0"/>
    <x v="10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2"/>
    <d v="2025-10-0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5"/>
    <x v="163"/>
    <d v="2025-10-02T00:00:00"/>
    <n v="55"/>
    <x v="0"/>
    <n v="48"/>
    <n v="0"/>
    <n v="0"/>
    <n v="1"/>
    <n v="0"/>
    <n v="0"/>
    <n v="0"/>
    <n v="0"/>
    <n v="0"/>
    <n v="0"/>
    <n v="0"/>
    <n v="0"/>
    <s v="https://www.clickideacore.com/ClickHTML5/Visit.aspx?ID=//53DAEwASwAzADYAMQA4ADIANwA5ADgASQBEAEUAQQAD=&amp;Tipo=2&amp;ST=1&amp;nLang=0"/>
    <n v="0"/>
    <n v="0"/>
    <n v="0"/>
    <n v="0"/>
    <n v="0"/>
    <n v="0"/>
    <n v="0"/>
    <n v="0"/>
  </r>
  <r>
    <x v="19"/>
    <x v="6"/>
    <s v="OP-S-005"/>
    <x v="163"/>
    <d v="2025-10-02T00:00:00"/>
    <n v="55"/>
    <x v="0"/>
    <n v="48"/>
    <n v="0"/>
    <n v="0"/>
    <n v="1"/>
    <n v="0"/>
    <n v="0"/>
    <n v="0"/>
    <n v="0"/>
    <n v="0"/>
    <n v="0"/>
    <n v="0"/>
    <n v="0"/>
    <s v="https://www.clickideacore.com/ClickHTML5/Visit.aspx?ID=//53DAEwASwAzADYAMQA4ADIANwA5ADgASQBEAEUAQQAD=&amp;Tipo=2&amp;ST=1&amp;nLang=0"/>
    <n v="0"/>
    <n v="0"/>
    <n v="0"/>
    <n v="0"/>
    <n v="0"/>
    <n v="0"/>
    <n v="0"/>
    <n v="0"/>
  </r>
  <r>
    <x v="0"/>
    <x v="0"/>
    <s v="OP-S-100"/>
    <x v="163"/>
    <d v="2025-10-02T00:00:00"/>
    <n v="40"/>
    <x v="0"/>
    <n v="54"/>
    <n v="0"/>
    <n v="1"/>
    <n v="1"/>
    <n v="0"/>
    <n v="1"/>
    <n v="0"/>
    <n v="0"/>
    <n v="0"/>
    <n v="0"/>
    <n v="0"/>
    <n v="0"/>
    <s v="https://www.clickideacore.com/ClickHTML5/Visit.aspx?ID=//53DAEwASwAzADYAMQA4ADcAMgAyADIASQBEAEUAQQA4=&amp;Tipo=2&amp;ST=1&amp;nLang=0"/>
    <n v="0"/>
    <n v="4"/>
    <n v="5"/>
    <n v="0"/>
    <n v="0"/>
    <n v="0"/>
    <n v="0"/>
    <n v="0"/>
  </r>
  <r>
    <x v="17"/>
    <x v="6"/>
    <s v="OP-DYR-00001"/>
    <x v="163"/>
    <d v="2025-10-02T00:00:00"/>
    <n v="22"/>
    <x v="0"/>
    <n v="19"/>
    <n v="0"/>
    <n v="0"/>
    <n v="1"/>
    <n v="0"/>
    <n v="0"/>
    <n v="0"/>
    <n v="0"/>
    <n v="0"/>
    <n v="0"/>
    <n v="0"/>
    <n v="0"/>
    <s v="https://www.clickideacore.com/ClickHTML5/Visit.aspx?ID=//5FDAEwASwAzADYAMQA4ADAANAAxADYASQBEAEUAQQAC=&amp;Tipo=2&amp;ST=1&amp;nLang=0"/>
    <n v="0"/>
    <n v="15"/>
    <n v="0"/>
    <n v="0"/>
    <n v="0"/>
    <n v="0"/>
    <n v="0"/>
    <n v="0"/>
  </r>
  <r>
    <x v="10"/>
    <x v="6"/>
    <s v="OP-DYR-00001"/>
    <x v="163"/>
    <d v="2025-10-02T00:00:00"/>
    <n v="22"/>
    <x v="0"/>
    <n v="19"/>
    <n v="0"/>
    <n v="0"/>
    <n v="1"/>
    <n v="0"/>
    <n v="0"/>
    <n v="0"/>
    <n v="0"/>
    <n v="0"/>
    <n v="0"/>
    <n v="0"/>
    <n v="0"/>
    <s v="https://www.clickideacore.com/ClickHTML5/Visit.aspx?ID=//5FDAEwASwAzADYAMQA4ADAANAAxADYASQBEAEUAQQAC=&amp;Tipo=2&amp;ST=1&amp;nLang=0"/>
    <n v="0"/>
    <n v="15"/>
    <n v="0"/>
    <n v="0"/>
    <n v="0"/>
    <n v="0"/>
    <n v="0"/>
    <n v="0"/>
  </r>
  <r>
    <x v="3"/>
    <x v="3"/>
    <s v="OP-S-076"/>
    <x v="163"/>
    <d v="2025-10-02T00:00:00"/>
    <n v="44"/>
    <x v="0"/>
    <n v="16"/>
    <n v="1"/>
    <n v="0"/>
    <n v="0"/>
    <n v="0"/>
    <n v="0"/>
    <n v="1"/>
    <n v="0"/>
    <n v="0"/>
    <n v="0"/>
    <n v="0"/>
    <n v="0"/>
    <s v="https://www.clickideacore.com/ClickHTML5/Visit.aspx?ID=//57DAEwASwAzADYAMQA3ADYANwA4ADQASQBEAEUAQQA7=&amp;Tipo=2&amp;ST=1&amp;nLang=0"/>
    <n v="0"/>
    <n v="0"/>
    <n v="0"/>
    <n v="0"/>
    <n v="0"/>
    <n v="0"/>
    <n v="0"/>
    <n v="0"/>
  </r>
  <r>
    <x v="2"/>
    <x v="2"/>
    <s v="OP-S-076"/>
    <x v="163"/>
    <d v="2025-10-02T00:00:00"/>
    <n v="44"/>
    <x v="0"/>
    <n v="18"/>
    <n v="0"/>
    <n v="0"/>
    <n v="0"/>
    <n v="1"/>
    <n v="0"/>
    <n v="0"/>
    <n v="0"/>
    <n v="0"/>
    <n v="0"/>
    <n v="0"/>
    <n v="0"/>
    <s v="https://www.clickideacore.com/ClickHTML5/Visit.aspx?ID=//57DAEwASwAzADYAMQA3ADYANwA4ADQASQBEAEUAQQA7=&amp;Tipo=2&amp;ST=1&amp;nLang=0"/>
    <n v="0"/>
    <n v="0"/>
    <n v="0"/>
    <n v="0"/>
    <n v="0"/>
    <n v="0"/>
    <n v="0"/>
    <n v="0"/>
  </r>
  <r>
    <x v="1"/>
    <x v="1"/>
    <s v="OP-S-076"/>
    <x v="163"/>
    <d v="2025-10-02T00:00:00"/>
    <n v="44"/>
    <x v="0"/>
    <n v="38"/>
    <n v="0"/>
    <n v="0"/>
    <n v="1"/>
    <n v="0"/>
    <n v="0"/>
    <n v="0"/>
    <n v="0"/>
    <n v="0"/>
    <n v="0"/>
    <n v="0"/>
    <n v="0"/>
    <s v="https://www.clickideacore.com/ClickHTML5/Visit.aspx?ID=//57DAEwASwAzADYAMQA3ADYANwA4ADQASQBEAEUAQQA7=&amp;Tipo=2&amp;ST=1&amp;nLang=0"/>
    <n v="0"/>
    <n v="0"/>
    <n v="0"/>
    <n v="0"/>
    <n v="0"/>
    <n v="0"/>
    <n v="0"/>
    <n v="0"/>
  </r>
  <r>
    <x v="4"/>
    <x v="8"/>
    <s v="OP-S-076"/>
    <x v="163"/>
    <d v="2025-10-02T00:00:00"/>
    <n v="44"/>
    <x v="0"/>
    <n v="0"/>
    <n v="0"/>
    <n v="0"/>
    <n v="0"/>
    <n v="0"/>
    <n v="0"/>
    <n v="0"/>
    <n v="0"/>
    <n v="0"/>
    <n v="2"/>
    <n v="0"/>
    <n v="0"/>
    <s v="https://www.clickideacore.com/ClickHTML5/Visit.aspx?ID=//57DAEwASwAzADYAMQA3ADYANwA4ADQASQBEAEUAQQA7=&amp;Tipo=2&amp;ST=1&amp;nLang=0"/>
    <n v="0"/>
    <n v="0"/>
    <n v="0"/>
    <n v="0"/>
    <n v="0"/>
    <n v="0"/>
    <n v="0"/>
    <n v="0"/>
  </r>
  <r>
    <x v="9"/>
    <x v="4"/>
    <s v="OP-S-0010"/>
    <x v="163"/>
    <d v="2025-10-02T00:00:00"/>
    <n v="0"/>
    <x v="10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3"/>
    <d v="2025-10-0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64"/>
    <d v="2025-10-03T00:00:00"/>
    <n v="70"/>
    <x v="0"/>
    <n v="29"/>
    <n v="0"/>
    <n v="1"/>
    <n v="1"/>
    <n v="0"/>
    <n v="1"/>
    <n v="0"/>
    <n v="0"/>
    <n v="0"/>
    <n v="0"/>
    <n v="0"/>
    <n v="0"/>
    <s v="https://www.clickideacore.com/ClickHTML5/Visit.aspx?ID=//5DDAEwASwAzADYAMgAxADAAMwA4ADAASQBEAEUAQQA5=&amp;Tipo=2&amp;ST=1&amp;nLang=0"/>
    <n v="0"/>
    <n v="40"/>
    <n v="10"/>
    <n v="0"/>
    <n v="0"/>
    <n v="0"/>
    <n v="0"/>
    <n v="0"/>
  </r>
  <r>
    <x v="0"/>
    <x v="0"/>
    <s v="OP-S-100"/>
    <x v="164"/>
    <d v="2025-10-03T00:00:00"/>
    <n v="38"/>
    <x v="0"/>
    <n v="39"/>
    <n v="0"/>
    <n v="1"/>
    <n v="1"/>
    <n v="0"/>
    <n v="0"/>
    <n v="0"/>
    <n v="0"/>
    <n v="0"/>
    <n v="0"/>
    <n v="0"/>
    <n v="0"/>
    <s v="https://www.clickideacore.com/ClickHTML5/Visit.aspx?ID=//52DAEwASwAzADYAMgAxADAAMwA2ADUASQBEAEUAQQA3=&amp;Tipo=2&amp;ST=1&amp;nLang=0"/>
    <n v="0"/>
    <n v="8"/>
    <n v="1"/>
    <n v="0"/>
    <n v="0"/>
    <n v="0"/>
    <n v="0"/>
    <n v="0"/>
  </r>
  <r>
    <x v="1"/>
    <x v="1"/>
    <s v="OP-DYR-004"/>
    <x v="164"/>
    <d v="2025-10-03T00:00:00"/>
    <n v="41"/>
    <x v="0"/>
    <n v="6"/>
    <n v="0"/>
    <n v="0"/>
    <n v="0"/>
    <n v="0"/>
    <n v="0"/>
    <n v="0"/>
    <n v="0"/>
    <n v="0"/>
    <n v="0"/>
    <n v="0"/>
    <n v="0"/>
    <s v="https://www.clickideacore.com/ClickHTML5/Visit.aspx?ID=//5ADAEwASwAzADYAMgAwADcANgA0ADcASQBEAEUAQQA4=&amp;Tipo=2&amp;ST=1&amp;nLang=0"/>
    <n v="0"/>
    <n v="61"/>
    <n v="0"/>
    <n v="0"/>
    <n v="0"/>
    <n v="0"/>
    <n v="0"/>
    <n v="0"/>
  </r>
  <r>
    <x v="17"/>
    <x v="6"/>
    <s v="OP-DYR-00001"/>
    <x v="164"/>
    <d v="2025-10-03T00:00:00"/>
    <n v="48"/>
    <x v="0"/>
    <n v="22"/>
    <n v="0"/>
    <n v="1"/>
    <n v="1"/>
    <n v="0"/>
    <n v="0"/>
    <n v="0"/>
    <n v="0"/>
    <n v="0"/>
    <n v="0"/>
    <n v="0"/>
    <n v="0"/>
    <s v="https://www.clickideacore.com/ClickHTML5/Visit.aspx?ID=//5DDAEwASwAzADYAMgAwADgAMwA2ADUASQBEAEUAQQA6=&amp;Tipo=2&amp;ST=1&amp;nLang=0"/>
    <n v="0"/>
    <n v="38"/>
    <n v="0"/>
    <n v="0"/>
    <n v="0"/>
    <n v="0"/>
    <n v="0"/>
    <n v="0"/>
  </r>
  <r>
    <x v="10"/>
    <x v="6"/>
    <s v="OP-DYR-00001"/>
    <x v="164"/>
    <d v="2025-10-03T00:00:00"/>
    <n v="48"/>
    <x v="0"/>
    <n v="22"/>
    <n v="0"/>
    <n v="1"/>
    <n v="1"/>
    <n v="0"/>
    <n v="0"/>
    <n v="0"/>
    <n v="0"/>
    <n v="0"/>
    <n v="0"/>
    <n v="0"/>
    <n v="0"/>
    <s v="https://www.clickideacore.com/ClickHTML5/Visit.aspx?ID=//5DDAEwASwAzADYAMgAwADgAMwA2ADUASQBEAEUAQQA6=&amp;Tipo=2&amp;ST=1&amp;nLang=0"/>
    <n v="0"/>
    <n v="38"/>
    <n v="0"/>
    <n v="0"/>
    <n v="0"/>
    <n v="0"/>
    <n v="0"/>
    <n v="0"/>
  </r>
  <r>
    <x v="3"/>
    <x v="3"/>
    <s v="OP-S-076"/>
    <x v="164"/>
    <d v="2025-10-03T00:00:00"/>
    <n v="60"/>
    <x v="0"/>
    <n v="25"/>
    <n v="0"/>
    <n v="0"/>
    <n v="1"/>
    <n v="1"/>
    <n v="0"/>
    <n v="0"/>
    <n v="0"/>
    <n v="0"/>
    <n v="0"/>
    <n v="0"/>
    <n v="0"/>
    <s v="https://www.clickideacore.com/ClickHTML5/Visit.aspx?ID=//5ADAEwASwAzADYAMgAwADUANwAxADAASQBEAEUAQQA8=&amp;Tipo=2&amp;ST=1&amp;nLang=0"/>
    <n v="0"/>
    <n v="29"/>
    <n v="0"/>
    <n v="0"/>
    <n v="0"/>
    <n v="0"/>
    <n v="0"/>
    <n v="0"/>
  </r>
  <r>
    <x v="4"/>
    <x v="8"/>
    <s v="OP-DYR-005"/>
    <x v="164"/>
    <d v="2025-10-03T00:00:00"/>
    <n v="32"/>
    <x v="0"/>
    <n v="16"/>
    <n v="0"/>
    <n v="0"/>
    <n v="1"/>
    <n v="0"/>
    <n v="1"/>
    <n v="0"/>
    <n v="0"/>
    <n v="0"/>
    <n v="0"/>
    <n v="0"/>
    <n v="0"/>
    <s v="https://www.clickideacore.com/ClickHTML5/Visit.aspx?ID=//5BDAEwASwAzADYAMgAxADEAMwA1ADAASQBEAEUAQQAF=&amp;Tipo=2&amp;ST=1&amp;nLang=0"/>
    <n v="0"/>
    <n v="46"/>
    <n v="0"/>
    <n v="0"/>
    <n v="0"/>
    <n v="0"/>
    <n v="0"/>
    <n v="0"/>
  </r>
  <r>
    <x v="19"/>
    <x v="6"/>
    <s v="OP-DYR-005"/>
    <x v="164"/>
    <d v="2025-10-03T00:00:00"/>
    <n v="32"/>
    <x v="4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2"/>
    <x v="2"/>
    <s v="OP-S-0010"/>
    <x v="164"/>
    <d v="2025-10-0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4"/>
    <d v="2025-10-0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1"/>
    <x v="4"/>
    <s v="OP-SDYR-001"/>
    <x v="165"/>
    <d v="2025-10-04T00:00:00"/>
    <n v="27"/>
    <x v="0"/>
    <n v="0"/>
    <n v="0"/>
    <n v="1"/>
    <n v="0"/>
    <n v="0"/>
    <n v="0"/>
    <n v="0"/>
    <n v="1"/>
    <n v="0"/>
    <n v="2"/>
    <n v="1"/>
    <n v="0"/>
    <s v="https://www.clickideacore.com/ClickHTML5/Visit.aspx?ID=//53DAEwASwAzADYAMgAyADMANAA0ADkASQBEAEUAQQA1=&amp;Tipo=2&amp;ST=1&amp;nLang=0"/>
    <n v="0"/>
    <n v="0"/>
    <n v="0"/>
    <n v="0"/>
    <n v="0"/>
    <n v="0"/>
    <n v="0"/>
    <n v="0"/>
  </r>
  <r>
    <x v="0"/>
    <x v="6"/>
    <s v="OP-S-200"/>
    <x v="165"/>
    <d v="2025-10-04T00:00:00"/>
    <n v="22"/>
    <x v="0"/>
    <n v="0"/>
    <n v="0"/>
    <n v="1"/>
    <n v="0"/>
    <n v="0"/>
    <n v="0"/>
    <n v="0"/>
    <n v="0"/>
    <n v="0"/>
    <n v="5"/>
    <n v="1"/>
    <n v="0"/>
    <s v="https://www.clickideacore.com/ClickHTML5/Visit.aspx?ID=//50DAEwASwAzADYAMgAyADMAMAAxADgASQBEAEUAQQA1=&amp;Tipo=2&amp;ST=1&amp;nLang=0"/>
    <n v="0"/>
    <n v="0"/>
    <n v="0"/>
    <n v="0"/>
    <n v="0"/>
    <n v="0"/>
    <n v="1"/>
    <n v="0"/>
  </r>
  <r>
    <x v="5"/>
    <x v="6"/>
    <s v="OP-DYR-00001"/>
    <x v="165"/>
    <d v="2025-10-04T00:00:00"/>
    <n v="154"/>
    <x v="0"/>
    <n v="0"/>
    <n v="0"/>
    <n v="1"/>
    <n v="0"/>
    <n v="0"/>
    <n v="0"/>
    <n v="0"/>
    <n v="0"/>
    <n v="0"/>
    <n v="5"/>
    <n v="1"/>
    <n v="0"/>
    <s v="https://www.clickideacore.com/ClickHTML5/Visit.aspx?ID=//5DDAEwASwAzADYAMgAyADMANQA3ADkASQBEAEUAQQA6=&amp;Tipo=2&amp;ST=1&amp;nLang=0"/>
    <n v="0"/>
    <n v="0"/>
    <n v="0"/>
    <n v="0"/>
    <n v="0"/>
    <n v="0"/>
    <n v="1"/>
    <n v="0"/>
  </r>
  <r>
    <x v="2"/>
    <x v="2"/>
    <s v="OP-S-200"/>
    <x v="165"/>
    <d v="2025-10-04T00:00:00"/>
    <n v="26"/>
    <x v="0"/>
    <n v="0"/>
    <n v="0"/>
    <n v="0"/>
    <n v="0"/>
    <n v="0"/>
    <n v="0"/>
    <n v="0"/>
    <n v="0"/>
    <n v="0"/>
    <n v="7"/>
    <n v="1"/>
    <n v="0"/>
    <s v="https://www.clickideacore.com/ClickHTML5/Visit.aspx?ID=//5FDAEwASwAzADYAMgAyADMAMAA1ADUASQBEAEUAQQA6=&amp;Tipo=2&amp;ST=1&amp;nLang=0"/>
    <n v="0"/>
    <n v="0"/>
    <n v="0"/>
    <n v="0"/>
    <n v="0"/>
    <n v="0"/>
    <n v="0"/>
    <n v="1"/>
  </r>
  <r>
    <x v="17"/>
    <x v="0"/>
    <s v="OP-DYR-00001"/>
    <x v="165"/>
    <d v="2025-10-04T00:00:00"/>
    <n v="154"/>
    <x v="0"/>
    <n v="0"/>
    <n v="0"/>
    <n v="0"/>
    <n v="0"/>
    <n v="0"/>
    <n v="0"/>
    <n v="0"/>
    <n v="1"/>
    <n v="0"/>
    <n v="2"/>
    <n v="1"/>
    <n v="0"/>
    <s v="https://www.clickideacore.com/ClickHTML5/Visit.aspx?ID=//5DDAEwASwAzADYAMgAyADMANQA3ADkASQBEAEUAQQA6=&amp;Tipo=2&amp;ST=1&amp;nLang=0"/>
    <n v="0"/>
    <n v="0"/>
    <n v="0"/>
    <n v="0"/>
    <n v="0"/>
    <n v="0"/>
    <n v="0"/>
    <n v="0"/>
  </r>
  <r>
    <x v="10"/>
    <x v="6"/>
    <s v="OP-DYR-005"/>
    <x v="165"/>
    <d v="2025-10-04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19"/>
    <x v="6"/>
    <s v="OP-DYR-005"/>
    <x v="165"/>
    <d v="2025-10-04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4"/>
    <x v="8"/>
    <s v="OP-S-0010"/>
    <x v="165"/>
    <d v="2025-10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165"/>
    <d v="2025-10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65"/>
    <d v="2025-10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5"/>
    <d v="2025-10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18"/>
    <s v="OP-S-005"/>
    <x v="166"/>
    <d v="2025-10-05T00:00:00"/>
    <n v="70"/>
    <x v="0"/>
    <n v="0"/>
    <n v="0"/>
    <n v="1"/>
    <n v="0"/>
    <n v="0"/>
    <n v="0"/>
    <n v="0"/>
    <n v="0"/>
    <n v="0"/>
    <n v="6"/>
    <n v="0"/>
    <n v="1"/>
    <s v="https://www.clickideacore.com/ClickHTML5/Visit.aspx?ID=//5CDAEwASwAzADYAMgAyADQAOQA4ADMASQBEAEUAQQAA=&amp;Tipo=2&amp;ST=1&amp;nLang=0"/>
    <n v="0"/>
    <n v="0"/>
    <n v="0"/>
    <n v="0"/>
    <n v="0"/>
    <n v="0"/>
    <n v="0"/>
    <n v="1"/>
  </r>
  <r>
    <x v="0"/>
    <x v="12"/>
    <s v="OP-S-100"/>
    <x v="166"/>
    <d v="2025-10-05T00:00:00"/>
    <n v="117"/>
    <x v="0"/>
    <n v="0"/>
    <n v="0"/>
    <n v="1"/>
    <n v="0"/>
    <n v="0"/>
    <n v="0"/>
    <n v="0"/>
    <n v="0"/>
    <n v="0"/>
    <n v="6"/>
    <n v="0"/>
    <n v="1"/>
    <s v="https://www.clickideacore.com/ClickHTML5/Visit.aspx?ID=//57DAEwASwAzADYAMgAyADQAOQA4ADAASQBEAEUAQQAC=&amp;Tipo=2&amp;ST=1&amp;nLang=0"/>
    <n v="0"/>
    <n v="0"/>
    <n v="0"/>
    <n v="0"/>
    <n v="0"/>
    <n v="0"/>
    <n v="0"/>
    <n v="1"/>
  </r>
  <r>
    <x v="11"/>
    <x v="4"/>
    <s v="OP-SDYR-001"/>
    <x v="166"/>
    <d v="2025-10-05T00:00:00"/>
    <n v="25"/>
    <x v="0"/>
    <n v="0"/>
    <n v="0"/>
    <n v="0"/>
    <n v="0"/>
    <n v="0"/>
    <n v="0"/>
    <n v="0"/>
    <n v="0"/>
    <n v="1"/>
    <n v="4"/>
    <n v="0"/>
    <n v="1"/>
    <s v="https://www.clickideacore.com/ClickHTML5/Visit.aspx?ID=//59DAEwASwAzADYAMgAzADEAMgA5ADEASQBEAEUAQQAF=&amp;Tipo=2&amp;ST=1&amp;nLang=0"/>
    <n v="0"/>
    <n v="0"/>
    <n v="0"/>
    <n v="0"/>
    <n v="0"/>
    <n v="0"/>
    <n v="0"/>
    <n v="0"/>
  </r>
  <r>
    <x v="2"/>
    <x v="2"/>
    <s v="OP-S-200"/>
    <x v="166"/>
    <d v="2025-10-05T00:00:00"/>
    <n v="21"/>
    <x v="0"/>
    <n v="0"/>
    <n v="0"/>
    <n v="0"/>
    <n v="0"/>
    <n v="0"/>
    <n v="0"/>
    <n v="0"/>
    <n v="0"/>
    <n v="0"/>
    <n v="8"/>
    <n v="0"/>
    <n v="1"/>
    <s v="https://www.clickideacore.com/ClickHTML5/Visit.aspx?ID=//5BDAEwASwAzADYAMgAzADAAOQAyADMASQBEAEUAQQAF=&amp;Tipo=2&amp;ST=1&amp;nLang=0"/>
    <n v="0"/>
    <n v="0"/>
    <n v="0"/>
    <n v="0"/>
    <n v="0"/>
    <n v="0"/>
    <n v="0"/>
    <n v="1"/>
  </r>
  <r>
    <x v="17"/>
    <x v="0"/>
    <s v="OP-DYR-00001"/>
    <x v="166"/>
    <d v="2025-10-05T00:00:00"/>
    <n v="43"/>
    <x v="0"/>
    <n v="0"/>
    <n v="0"/>
    <n v="0"/>
    <n v="0"/>
    <n v="0"/>
    <n v="0"/>
    <n v="0"/>
    <n v="0"/>
    <n v="1"/>
    <n v="3"/>
    <n v="0"/>
    <n v="1"/>
    <s v="https://www.clickideacore.com/ClickHTML5/Visit.aspx?ID=//55DAEwASwAzADYAMgAzADEAMgA0ADkASQBEAEUAQQA2=&amp;Tipo=2&amp;ST=1&amp;nLang=0"/>
    <n v="0"/>
    <n v="0"/>
    <n v="0"/>
    <n v="0"/>
    <n v="0"/>
    <n v="0"/>
    <n v="0"/>
    <n v="0"/>
  </r>
  <r>
    <x v="10"/>
    <x v="6"/>
    <s v="OP-DYR-005"/>
    <x v="166"/>
    <d v="2025-10-05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19"/>
    <x v="6"/>
    <s v="OP-DYR-005"/>
    <x v="166"/>
    <d v="2025-10-05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4"/>
    <x v="8"/>
    <s v="OP-S-0010"/>
    <x v="166"/>
    <d v="2025-10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166"/>
    <d v="2025-10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66"/>
    <d v="2025-10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66"/>
    <d v="2025-10-0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5"/>
    <s v="OP-DYR-011"/>
    <x v="167"/>
    <d v="2025-10-06T00:00:00"/>
    <n v="30"/>
    <x v="0"/>
    <n v="0"/>
    <n v="0"/>
    <n v="0"/>
    <n v="0"/>
    <n v="0"/>
    <n v="0"/>
    <n v="0"/>
    <n v="0"/>
    <n v="0"/>
    <n v="0"/>
    <n v="0"/>
    <n v="0"/>
    <s v="https://www.clickideacore.com/ClickHTML5/Visit.aspx?ID=//55DAEwASwAzADYAMgA0ADUANgAyADAASQBEAEUAQQA8=&amp;Tipo=2&amp;ST=1&amp;nLang=0"/>
    <n v="0"/>
    <n v="42"/>
    <n v="0"/>
    <n v="0"/>
    <n v="0"/>
    <n v="0"/>
    <n v="0"/>
    <n v="0"/>
  </r>
  <r>
    <x v="17"/>
    <x v="6"/>
    <s v="OP-DYR-011"/>
    <x v="167"/>
    <d v="2025-10-06T00:00:00"/>
    <n v="30"/>
    <x v="0"/>
    <n v="0"/>
    <n v="0"/>
    <n v="0"/>
    <n v="0"/>
    <n v="0"/>
    <n v="0"/>
    <n v="0"/>
    <n v="0"/>
    <n v="0"/>
    <n v="0"/>
    <n v="0"/>
    <n v="0"/>
    <s v="https://www.clickideacore.com/ClickHTML5/Visit.aspx?ID=//55DAEwASwAzADYAMgA0ADUANgAyADAASQBEAEUAQQA8=&amp;Tipo=2&amp;ST=1&amp;nLang=0"/>
    <n v="0"/>
    <n v="42"/>
    <n v="0"/>
    <n v="0"/>
    <n v="0"/>
    <n v="0"/>
    <n v="0"/>
    <n v="0"/>
  </r>
  <r>
    <x v="0"/>
    <x v="0"/>
    <s v="OP-S-100"/>
    <x v="167"/>
    <d v="2025-10-06T00:00:00"/>
    <n v="40"/>
    <x v="0"/>
    <n v="0"/>
    <n v="0"/>
    <n v="1"/>
    <n v="0"/>
    <n v="0"/>
    <n v="0"/>
    <n v="0"/>
    <n v="0"/>
    <n v="0"/>
    <n v="0"/>
    <n v="0"/>
    <n v="0"/>
    <s v="https://www.clickideacore.com/ClickHTML5/Visit.aspx?ID=//5FDAEwASwAzADYAMgA1ADIAOQA4ADkASQBEAEUAQQAB=&amp;Tipo=2&amp;ST=1&amp;nLang=0"/>
    <n v="0"/>
    <n v="0"/>
    <n v="16"/>
    <n v="0"/>
    <n v="0"/>
    <n v="0"/>
    <n v="0"/>
    <n v="0"/>
  </r>
  <r>
    <x v="1"/>
    <x v="1"/>
    <s v="OP-DYR-004"/>
    <x v="167"/>
    <d v="2025-10-06T00:00:00"/>
    <n v="27"/>
    <x v="0"/>
    <n v="0"/>
    <n v="0"/>
    <n v="0"/>
    <n v="0"/>
    <n v="0"/>
    <n v="0"/>
    <n v="0"/>
    <n v="0"/>
    <n v="0"/>
    <n v="0"/>
    <n v="0"/>
    <n v="0"/>
    <s v="https://www.clickideacore.com/ClickHTML5/Visit.aspx?ID=//56DAEwASwAzADYAMgA1ADQAMAA0ADMASQBEAEUAQQAA=&amp;Tipo=2&amp;ST=1&amp;nLang=0"/>
    <n v="0"/>
    <n v="24"/>
    <n v="0"/>
    <n v="0"/>
    <n v="0"/>
    <n v="0"/>
    <n v="0"/>
    <n v="0"/>
  </r>
  <r>
    <x v="2"/>
    <x v="2"/>
    <s v="OP-S-200"/>
    <x v="167"/>
    <d v="2025-10-06T00:00:00"/>
    <n v="15"/>
    <x v="0"/>
    <n v="16"/>
    <n v="0"/>
    <n v="0"/>
    <n v="0"/>
    <n v="0"/>
    <n v="0"/>
    <n v="0"/>
    <n v="0"/>
    <n v="0"/>
    <n v="0"/>
    <n v="0"/>
    <n v="0"/>
    <s v="https://www.clickideacore.com/ClickHTML5/Visit.aspx?ID=//57DAEwASwAzADYAMgA0ADcANAA1ADgASQBEAEUAQQAA=&amp;Tipo=2&amp;ST=1&amp;nLang=0"/>
    <n v="0"/>
    <n v="22"/>
    <n v="0"/>
    <n v="0"/>
    <n v="0"/>
    <n v="0"/>
    <n v="0"/>
    <n v="0"/>
  </r>
  <r>
    <x v="3"/>
    <x v="3"/>
    <s v="OP-S-076"/>
    <x v="167"/>
    <d v="2025-10-06T00:00:00"/>
    <n v="38"/>
    <x v="0"/>
    <n v="0"/>
    <n v="0"/>
    <n v="0"/>
    <n v="0"/>
    <n v="0"/>
    <n v="0"/>
    <n v="0"/>
    <n v="0"/>
    <n v="0"/>
    <n v="0"/>
    <n v="0"/>
    <n v="0"/>
    <s v="https://www.clickideacore.com/ClickHTML5/Visit.aspx?ID=//51DAEwASwAzADYAMgA0ADcAMwAzADEASQBEAEUAQQA8=&amp;Tipo=2&amp;ST=1&amp;nLang=0"/>
    <n v="0"/>
    <n v="40"/>
    <n v="0"/>
    <n v="0"/>
    <n v="0"/>
    <n v="0"/>
    <n v="0"/>
    <n v="0"/>
  </r>
  <r>
    <x v="5"/>
    <x v="4"/>
    <s v="OP-DYR-005"/>
    <x v="167"/>
    <d v="2025-10-06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6DAEwASwAzADYAMgA1ADQAOAA2ADYASQBEAEUAQQA8=&amp;Tipo=2&amp;ST=1&amp;nLang=0"/>
    <n v="0"/>
    <n v="53"/>
    <n v="1"/>
    <n v="0"/>
    <n v="0"/>
    <n v="0"/>
    <n v="0"/>
    <n v="0"/>
  </r>
  <r>
    <x v="4"/>
    <x v="8"/>
    <s v="OP-DYR-005"/>
    <x v="167"/>
    <d v="2025-10-06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6DAEwASwAzADYAMgA1ADQAOAA2ADYASQBEAEUAQQA8=&amp;Tipo=2&amp;ST=1&amp;nLang=0"/>
    <n v="0"/>
    <n v="42"/>
    <n v="0"/>
    <n v="0"/>
    <n v="0"/>
    <n v="0"/>
    <n v="0"/>
    <n v="0"/>
  </r>
  <r>
    <x v="19"/>
    <x v="6"/>
    <s v="OP-DYR-005"/>
    <x v="167"/>
    <d v="2025-10-06T00:00:00"/>
    <n v="32"/>
    <x v="4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67"/>
    <d v="2025-10-0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68"/>
    <d v="2025-10-07T00:00:00"/>
    <n v="20"/>
    <x v="0"/>
    <n v="17"/>
    <n v="0"/>
    <n v="0"/>
    <n v="1"/>
    <n v="0"/>
    <n v="0"/>
    <n v="0"/>
    <n v="0"/>
    <n v="0"/>
    <n v="2"/>
    <n v="0"/>
    <n v="0"/>
    <s v="https://www.clickideacore.com/ClickHTML5/Visit.aspx?ID=//59DAEwASwAzADYAMgA3ADAANQAwADgASQBEAEUAQQA0=&amp;Tipo=2&amp;ST=1&amp;nLang=0"/>
    <n v="0"/>
    <n v="7"/>
    <n v="0"/>
    <n v="0"/>
    <n v="0"/>
    <n v="0"/>
    <n v="0"/>
    <n v="0"/>
  </r>
  <r>
    <x v="19"/>
    <x v="6"/>
    <s v="OP-DYR-011"/>
    <x v="168"/>
    <d v="2025-10-07T00:00:00"/>
    <n v="20"/>
    <x v="0"/>
    <n v="17"/>
    <n v="0"/>
    <n v="0"/>
    <n v="1"/>
    <n v="0"/>
    <n v="0"/>
    <n v="0"/>
    <n v="0"/>
    <n v="0"/>
    <n v="2"/>
    <n v="0"/>
    <n v="0"/>
    <s v="https://www.clickideacore.com/ClickHTML5/Visit.aspx?ID=//59DAEwASwAzADYAMgA3ADAANQAwADgASQBEAEUAQQA0=&amp;Tipo=2&amp;ST=1&amp;nLang=0"/>
    <n v="0"/>
    <n v="7"/>
    <n v="0"/>
    <n v="0"/>
    <n v="0"/>
    <n v="0"/>
    <n v="0"/>
    <n v="0"/>
  </r>
  <r>
    <x v="17"/>
    <x v="6"/>
    <s v="OP-DYR-011"/>
    <x v="168"/>
    <d v="2025-10-07T00:00:00"/>
    <n v="20"/>
    <x v="0"/>
    <n v="21"/>
    <n v="0"/>
    <n v="0"/>
    <n v="1"/>
    <n v="0"/>
    <n v="0"/>
    <n v="0"/>
    <n v="0"/>
    <n v="0"/>
    <n v="2"/>
    <n v="0"/>
    <n v="0"/>
    <s v="https://www.clickideacore.com/ClickHTML5/Visit.aspx?ID=//59DAEwASwAzADYAMgA3ADAANQAwADgASQBEAEUAQQA0=&amp;Tipo=2&amp;ST=1&amp;nLang=0"/>
    <n v="0"/>
    <n v="0"/>
    <n v="0"/>
    <n v="0"/>
    <n v="0"/>
    <n v="0"/>
    <n v="0"/>
    <n v="0"/>
  </r>
  <r>
    <x v="9"/>
    <x v="19"/>
    <s v="OP-DYR-011"/>
    <x v="168"/>
    <d v="2025-10-07T00:00:00"/>
    <n v="20"/>
    <x v="0"/>
    <n v="5"/>
    <n v="0"/>
    <n v="0"/>
    <n v="1"/>
    <n v="0"/>
    <n v="0"/>
    <n v="0"/>
    <n v="0"/>
    <n v="0"/>
    <n v="1"/>
    <n v="0"/>
    <n v="0"/>
    <s v="https://www.clickideacore.com/ClickHTML5/Visit.aspx?ID=//59DAEwASwAzADYAMgA3ADAANQAwADgASQBEAEUAQQA0=&amp;Tipo=2&amp;ST=1&amp;nLang=0"/>
    <n v="0"/>
    <n v="0"/>
    <n v="0"/>
    <n v="0"/>
    <n v="0"/>
    <n v="0"/>
    <n v="0"/>
    <n v="0"/>
  </r>
  <r>
    <x v="0"/>
    <x v="0"/>
    <s v="OP-S-100"/>
    <x v="168"/>
    <d v="2025-10-07T00:00:00"/>
    <n v="50"/>
    <x v="0"/>
    <n v="14"/>
    <n v="0"/>
    <n v="0"/>
    <n v="0"/>
    <n v="1"/>
    <n v="0"/>
    <n v="0"/>
    <n v="0"/>
    <n v="0"/>
    <n v="0"/>
    <n v="0"/>
    <n v="0"/>
    <s v="https://www.clickideacore.com/ClickHTML5/Visit.aspx?ID=//53DAEwASwAzADYAMgA3ADAAOAA0ADAASQBEAEUAQQAC=&amp;Tipo=2&amp;ST=1&amp;nLang=0"/>
    <n v="0"/>
    <n v="6"/>
    <n v="2"/>
    <n v="0"/>
    <n v="0"/>
    <n v="0"/>
    <n v="0"/>
    <n v="0"/>
  </r>
  <r>
    <x v="2"/>
    <x v="2"/>
    <s v="OP-S-200"/>
    <x v="168"/>
    <d v="2025-10-07T00:00:00"/>
    <n v="16"/>
    <x v="0"/>
    <n v="46"/>
    <n v="0"/>
    <n v="0"/>
    <n v="1"/>
    <n v="0"/>
    <n v="0"/>
    <n v="0"/>
    <n v="0"/>
    <n v="0"/>
    <n v="0"/>
    <n v="0"/>
    <n v="0"/>
    <s v="https://www.clickideacore.com/ClickHTML5/Visit.aspx?ID=//59DAEwASwAzADYAMgA3ADMAOQA0ADkASQBEAEUAQQAA=&amp;Tipo=2&amp;ST=1&amp;nLang=0"/>
    <n v="0"/>
    <n v="0"/>
    <n v="0"/>
    <n v="0"/>
    <n v="0"/>
    <n v="0"/>
    <n v="0"/>
    <n v="0"/>
  </r>
  <r>
    <x v="3"/>
    <x v="3"/>
    <s v="OP-S-076"/>
    <x v="168"/>
    <d v="2025-10-07T00:00:00"/>
    <n v="25"/>
    <x v="0"/>
    <n v="27"/>
    <n v="0"/>
    <n v="0"/>
    <n v="1"/>
    <n v="0"/>
    <n v="1"/>
    <n v="0"/>
    <n v="0"/>
    <n v="0"/>
    <n v="0"/>
    <n v="0"/>
    <n v="0"/>
    <s v="https://www.clickideacore.com/ClickHTML5/Visit.aspx?ID=//59DAEwASwAzADYAMgA3ADEANAA4ADIASQBEAEUAQQAC=&amp;Tipo=2&amp;ST=1&amp;nLang=0"/>
    <n v="0"/>
    <n v="0"/>
    <n v="0"/>
    <n v="0"/>
    <n v="0"/>
    <n v="0"/>
    <n v="0"/>
    <n v="0"/>
  </r>
  <r>
    <x v="4"/>
    <x v="8"/>
    <s v="OP-DYR-005"/>
    <x v="168"/>
    <d v="2025-10-07T00:00:00"/>
    <n v="19"/>
    <x v="0"/>
    <n v="40"/>
    <n v="0"/>
    <n v="0"/>
    <n v="1"/>
    <n v="0"/>
    <n v="0"/>
    <n v="0"/>
    <n v="0"/>
    <n v="0"/>
    <n v="0"/>
    <n v="0"/>
    <n v="0"/>
    <s v="https://www.clickideacore.com/ClickHTML5/Visit.aspx?ID=//5BDAEwASwAzADYAMgA3ADIAMgAxADEASQBEAEUAQQAF=&amp;Tipo=2&amp;ST=1&amp;nLang=0"/>
    <n v="0"/>
    <n v="0"/>
    <n v="0"/>
    <n v="0"/>
    <n v="0"/>
    <n v="0"/>
    <n v="0"/>
    <n v="0"/>
  </r>
  <r>
    <x v="5"/>
    <x v="4"/>
    <s v="OP-DYR-005"/>
    <x v="168"/>
    <d v="2025-10-07T00:00:00"/>
    <n v="19"/>
    <x v="0"/>
    <n v="14"/>
    <n v="0"/>
    <n v="0"/>
    <n v="0"/>
    <n v="0"/>
    <n v="0"/>
    <n v="0"/>
    <n v="0"/>
    <n v="0"/>
    <n v="0"/>
    <n v="0"/>
    <n v="0"/>
    <s v="https://www.clickideacore.com/ClickHTML5/Visit.aspx?ID=//5BDAEwASwAzADYAMgA3ADIAMgAxADEASQBEAEUAQQAF=&amp;Tipo=2&amp;ST=1&amp;nLang=0"/>
    <n v="0"/>
    <n v="0"/>
    <n v="0"/>
    <n v="0"/>
    <n v="0"/>
    <n v="0"/>
    <n v="0"/>
    <n v="0"/>
  </r>
  <r>
    <x v="1"/>
    <x v="1"/>
    <s v="OP-DYR-005"/>
    <x v="168"/>
    <d v="2025-10-07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68"/>
    <d v="2025-10-0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69"/>
    <d v="2025-10-08T00:00:00"/>
    <n v="27"/>
    <x v="0"/>
    <n v="12"/>
    <n v="0"/>
    <n v="0"/>
    <n v="0"/>
    <n v="1"/>
    <n v="0"/>
    <n v="0"/>
    <n v="0"/>
    <n v="0"/>
    <n v="0"/>
    <n v="0"/>
    <n v="0"/>
    <s v="https://www.clickideacore.com/ClickHTML5/Visit.aspx?ID=//5ADAEwASwAzADYAMgA5ADUAMAA3ADQASQBEAEUAQQA2=&amp;Tipo=2&amp;ST=1&amp;nLang=0"/>
    <n v="0"/>
    <n v="48"/>
    <n v="9"/>
    <n v="0"/>
    <n v="0"/>
    <n v="0"/>
    <n v="0"/>
    <n v="0"/>
  </r>
  <r>
    <x v="1"/>
    <x v="1"/>
    <s v="OP-DYR-004"/>
    <x v="169"/>
    <d v="2025-10-08T00:00:00"/>
    <n v="23"/>
    <x v="0"/>
    <n v="50"/>
    <n v="0"/>
    <n v="0"/>
    <n v="1"/>
    <n v="0"/>
    <n v="1"/>
    <n v="0"/>
    <n v="0"/>
    <n v="0"/>
    <n v="0"/>
    <n v="0"/>
    <n v="0"/>
    <s v="https://www.clickideacore.com/ClickHTML5/Visit.aspx?ID=//58DAEwASwAzADYAMwAwADEANAAxADkASQBEAEUAQQA8=&amp;Tipo=2&amp;ST=1&amp;nLang=0"/>
    <n v="0"/>
    <n v="0"/>
    <n v="0"/>
    <n v="0"/>
    <n v="0"/>
    <n v="0"/>
    <n v="0"/>
    <n v="0"/>
  </r>
  <r>
    <x v="17"/>
    <x v="6"/>
    <s v="OP-DYR-00001"/>
    <x v="169"/>
    <d v="2025-10-08T00:00:00"/>
    <n v="95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YAMwAwADAAMwA1ADcASQBEAEUAQQAB=&amp;Tipo=2&amp;ST=1&amp;nLang=0"/>
    <n v="0"/>
    <n v="52"/>
    <n v="0"/>
    <n v="0"/>
    <n v="0"/>
    <n v="0"/>
    <n v="0"/>
    <n v="0"/>
  </r>
  <r>
    <x v="19"/>
    <x v="6"/>
    <s v="OP-DYR-00001"/>
    <x v="169"/>
    <d v="2025-10-08T00:00:00"/>
    <n v="95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YAMwAwADAAMwA1ADcASQBEAEUAQQAB=&amp;Tipo=2&amp;ST=1&amp;nLang=0"/>
    <n v="0"/>
    <n v="0"/>
    <n v="0"/>
    <n v="0"/>
    <n v="0"/>
    <n v="0"/>
    <n v="0"/>
    <n v="0"/>
  </r>
  <r>
    <x v="2"/>
    <x v="2"/>
    <s v="OP-DYR-00001"/>
    <x v="169"/>
    <d v="2025-10-08T00:00:00"/>
    <n v="95"/>
    <x v="0"/>
    <n v="55"/>
    <n v="0"/>
    <n v="0"/>
    <n v="1"/>
    <n v="0"/>
    <n v="0"/>
    <n v="0"/>
    <n v="0"/>
    <n v="0"/>
    <n v="0"/>
    <n v="0"/>
    <n v="0"/>
    <s v="https://www.clickideacore.com/ClickHTML5/Visit.aspx?ID=//53DAEwASwAzADYAMwAwADAAMwA1ADcASQBEAEUAQQAB=&amp;Tipo=2&amp;ST=1&amp;nLang=0"/>
    <n v="0"/>
    <n v="0"/>
    <n v="0"/>
    <n v="0"/>
    <n v="0"/>
    <n v="0"/>
    <n v="0"/>
    <n v="0"/>
  </r>
  <r>
    <x v="5"/>
    <x v="4"/>
    <s v="OP-DYR-00001"/>
    <x v="169"/>
    <d v="2025-10-08T00:00:00"/>
    <n v="95"/>
    <x v="0"/>
    <n v="32"/>
    <n v="0"/>
    <n v="0"/>
    <n v="1"/>
    <n v="0"/>
    <n v="0"/>
    <n v="0"/>
    <n v="0"/>
    <n v="0"/>
    <n v="0"/>
    <n v="0"/>
    <n v="0"/>
    <s v="https://www.clickideacore.com/ClickHTML5/Visit.aspx?ID=//53DAEwASwAzADYAMwAwADAAMwA1ADcASQBEAEUAQQAB=&amp;Tipo=2&amp;ST=1&amp;nLang=0"/>
    <n v="0"/>
    <n v="0"/>
    <n v="0"/>
    <n v="0"/>
    <n v="0"/>
    <n v="0"/>
    <n v="0"/>
    <n v="0"/>
  </r>
  <r>
    <x v="10"/>
    <x v="6"/>
    <s v="OP-DYR-005"/>
    <x v="169"/>
    <d v="2025-10-08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4"/>
    <x v="8"/>
    <s v="OP-DYR-005"/>
    <x v="169"/>
    <d v="2025-10-08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3"/>
    <x v="3"/>
    <s v="OP-DYR-005"/>
    <x v="169"/>
    <d v="2025-10-08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69"/>
    <d v="2025-10-0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0"/>
    <d v="2025-10-09T00:00:00"/>
    <n v="16"/>
    <x v="0"/>
    <n v="32"/>
    <n v="0"/>
    <n v="0"/>
    <n v="1"/>
    <n v="0"/>
    <n v="0"/>
    <n v="0"/>
    <n v="0"/>
    <n v="0"/>
    <n v="0"/>
    <n v="0"/>
    <n v="0"/>
    <s v="https://www.clickideacore.com/ClickHTML5/Visit.aspx?ID=//55DAEwASwAzADYAMwAyADEAMgA2ADcASQBEAEUAQQA6=&amp;Tipo=2&amp;ST=1&amp;nLang=0"/>
    <n v="0"/>
    <n v="22"/>
    <n v="0"/>
    <n v="0"/>
    <n v="0"/>
    <n v="0"/>
    <n v="0"/>
    <n v="0"/>
  </r>
  <r>
    <x v="19"/>
    <x v="6"/>
    <s v="OP-DYR-011"/>
    <x v="170"/>
    <d v="2025-10-09T00:00:00"/>
    <n v="16"/>
    <x v="0"/>
    <n v="32"/>
    <n v="0"/>
    <n v="0"/>
    <n v="1"/>
    <n v="0"/>
    <n v="0"/>
    <n v="0"/>
    <n v="0"/>
    <n v="0"/>
    <n v="0"/>
    <n v="0"/>
    <n v="0"/>
    <s v="https://www.clickideacore.com/ClickHTML5/Visit.aspx?ID=//55DAEwASwAzADYAMwAyADEAMgA2ADcASQBEAEUAQQA6=&amp;Tipo=2&amp;ST=1&amp;nLang=0"/>
    <n v="0"/>
    <n v="22"/>
    <n v="0"/>
    <n v="0"/>
    <n v="0"/>
    <n v="0"/>
    <n v="0"/>
    <n v="0"/>
  </r>
  <r>
    <x v="5"/>
    <x v="4"/>
    <s v="OP-S-005"/>
    <x v="170"/>
    <d v="2025-10-09T00:00:00"/>
    <n v="331"/>
    <x v="0"/>
    <n v="17"/>
    <n v="0"/>
    <n v="0"/>
    <n v="0"/>
    <n v="1"/>
    <n v="0"/>
    <n v="0"/>
    <n v="0"/>
    <n v="0"/>
    <n v="0"/>
    <n v="0"/>
    <n v="0"/>
    <s v="https://www.clickideacore.com/ClickHTML5/Visit.aspx?ID=//59DAEwASwAzADYAMwAyADUANwAwADQASQBEAEUAQQA8=&amp;Tipo=2&amp;ST=1&amp;nLang=0"/>
    <n v="0"/>
    <n v="20"/>
    <n v="0"/>
    <n v="0"/>
    <n v="0"/>
    <n v="0"/>
    <n v="0"/>
    <n v="0"/>
  </r>
  <r>
    <x v="1"/>
    <x v="1"/>
    <s v="OP-DYR-004"/>
    <x v="170"/>
    <d v="2025-10-09T00:00:00"/>
    <n v="36"/>
    <x v="0"/>
    <n v="42"/>
    <n v="0"/>
    <n v="0"/>
    <n v="1"/>
    <n v="0"/>
    <n v="0"/>
    <n v="0"/>
    <n v="0"/>
    <n v="0"/>
    <n v="0"/>
    <n v="0"/>
    <n v="0"/>
    <s v="https://www.clickideacore.com/ClickHTML5/Visit.aspx?ID=//50DAEwASwAzADYAMwAxADYAOQA3ADUASQBEAEUAQQAD=&amp;Tipo=2&amp;ST=1&amp;nLang=0"/>
    <n v="0"/>
    <n v="20"/>
    <n v="0"/>
    <n v="0"/>
    <n v="0"/>
    <n v="0"/>
    <n v="0"/>
    <n v="0"/>
  </r>
  <r>
    <x v="2"/>
    <x v="2"/>
    <s v="OP-S-200"/>
    <x v="170"/>
    <d v="2025-10-09T00:00:00"/>
    <n v="18"/>
    <x v="0"/>
    <n v="0"/>
    <n v="0"/>
    <n v="0"/>
    <n v="0"/>
    <n v="0"/>
    <n v="0"/>
    <n v="0"/>
    <n v="0"/>
    <n v="0"/>
    <n v="2"/>
    <n v="0"/>
    <n v="0"/>
    <s v="https://www.clickideacore.com/ClickHTML5/Visit.aspx?ID=//5BDAEwASwAzADYAMwAxADgAMwA0ADMASQBEAEUAQQAE=&amp;Tipo=2&amp;ST=1&amp;nLang=0"/>
    <n v="0"/>
    <n v="22"/>
    <n v="0"/>
    <n v="0"/>
    <n v="0"/>
    <n v="0"/>
    <n v="0"/>
    <n v="0"/>
  </r>
  <r>
    <x v="3"/>
    <x v="3"/>
    <s v="OP-S-076"/>
    <x v="170"/>
    <d v="2025-10-09T00:00:00"/>
    <n v="37"/>
    <x v="0"/>
    <n v="21"/>
    <n v="0"/>
    <n v="0"/>
    <n v="1"/>
    <n v="0"/>
    <n v="2"/>
    <n v="0"/>
    <n v="0"/>
    <n v="0"/>
    <n v="0"/>
    <n v="0"/>
    <n v="0"/>
    <s v="https://www.clickideacore.com/ClickHTML5/Visit.aspx?ID=//54DAEwASwAzADYAMwAyADAANgA0ADcASQBEAEUAQQA6=&amp;Tipo=2&amp;ST=1&amp;nLang=0"/>
    <n v="0"/>
    <n v="8"/>
    <n v="0"/>
    <n v="0"/>
    <n v="0"/>
    <n v="0"/>
    <n v="0"/>
    <n v="0"/>
  </r>
  <r>
    <x v="4"/>
    <x v="8"/>
    <s v="OP-DYR-005"/>
    <x v="170"/>
    <d v="2025-10-09T00:00:00"/>
    <n v="25"/>
    <x v="0"/>
    <n v="40"/>
    <n v="0"/>
    <n v="0"/>
    <n v="1"/>
    <n v="0"/>
    <n v="0"/>
    <n v="0"/>
    <n v="0"/>
    <n v="0"/>
    <n v="0"/>
    <n v="0"/>
    <n v="0"/>
    <s v="https://www.clickideacore.com/ClickHTML5/Visit.aspx?ID=//5CDAEwASwAzADYAMwAyADQANAAzADMASQBEAEUAQQAE=&amp;Tipo=2&amp;ST=1&amp;nLang=0"/>
    <n v="0"/>
    <n v="22"/>
    <n v="0"/>
    <n v="0"/>
    <n v="0"/>
    <n v="0"/>
    <n v="0"/>
    <n v="0"/>
  </r>
  <r>
    <x v="17"/>
    <x v="6"/>
    <s v="OP-DYR-005"/>
    <x v="170"/>
    <d v="2025-10-09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CDAEwASwAzADYAMwAyADQANAAzADMASQBEAEUAQQAE=&amp;Tipo=2&amp;ST=1&amp;nLang=0"/>
    <n v="0"/>
    <n v="20"/>
    <n v="0"/>
    <n v="0"/>
    <n v="0"/>
    <n v="0"/>
    <n v="0"/>
    <n v="0"/>
  </r>
  <r>
    <x v="0"/>
    <x v="0"/>
    <s v="OP-DYR-005"/>
    <x v="170"/>
    <d v="2025-10-09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70"/>
    <d v="2025-10-0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1"/>
    <d v="2025-10-10T00:00:00"/>
    <n v="87"/>
    <x v="0"/>
    <n v="24"/>
    <n v="0"/>
    <n v="0"/>
    <n v="1"/>
    <n v="0"/>
    <n v="1"/>
    <n v="0"/>
    <n v="0"/>
    <n v="0"/>
    <n v="0"/>
    <n v="0"/>
    <n v="0"/>
    <s v="https://www.clickideacore.com/ClickHTML5/Visit.aspx?ID=//58DAEwASwAzADYAMwAzADkANgA1ADkASQBEAEUAQQAA=&amp;Tipo=2&amp;ST=1&amp;nLang=0"/>
    <n v="0"/>
    <n v="8"/>
    <n v="0"/>
    <n v="0"/>
    <n v="0"/>
    <n v="0"/>
    <n v="0"/>
    <n v="0"/>
  </r>
  <r>
    <x v="17"/>
    <x v="6"/>
    <s v="OP-DYR-011"/>
    <x v="171"/>
    <d v="2025-10-10T00:00:00"/>
    <n v="87"/>
    <x v="0"/>
    <n v="24"/>
    <n v="0"/>
    <n v="0"/>
    <n v="1"/>
    <n v="0"/>
    <n v="1"/>
    <n v="0"/>
    <n v="0"/>
    <n v="0"/>
    <n v="0"/>
    <n v="0"/>
    <n v="0"/>
    <s v="https://www.clickideacore.com/ClickHTML5/Visit.aspx?ID=//58DAEwASwAzADYAMwAzADkANgA1ADkASQBEAEUAQQAA=&amp;Tipo=2&amp;ST=1&amp;nLang=0"/>
    <n v="0"/>
    <n v="8"/>
    <n v="0"/>
    <n v="0"/>
    <n v="0"/>
    <n v="0"/>
    <n v="0"/>
    <n v="0"/>
  </r>
  <r>
    <x v="0"/>
    <x v="0"/>
    <s v="OP-S-100"/>
    <x v="171"/>
    <d v="2025-10-10T00:00:00"/>
    <n v="32"/>
    <x v="0"/>
    <n v="25"/>
    <n v="0"/>
    <n v="0"/>
    <n v="0"/>
    <n v="1"/>
    <n v="0"/>
    <n v="0"/>
    <n v="0"/>
    <n v="0"/>
    <n v="0"/>
    <n v="0"/>
    <n v="0"/>
    <s v="https://www.clickideacore.com/ClickHTML5/Visit.aspx?ID=//5EDAEwASwAzADYAMwA0ADMAOAA1ADMASQBEAEUAQQA4=&amp;Tipo=2&amp;ST=1&amp;nLang=0"/>
    <n v="0"/>
    <n v="24"/>
    <n v="0"/>
    <n v="0"/>
    <n v="0"/>
    <n v="0"/>
    <n v="0"/>
    <n v="0"/>
  </r>
  <r>
    <x v="1"/>
    <x v="1"/>
    <s v="OP-DYR-004"/>
    <x v="171"/>
    <d v="2025-10-10T00:00:00"/>
    <n v="24"/>
    <x v="0"/>
    <n v="46"/>
    <n v="0"/>
    <n v="0"/>
    <n v="1"/>
    <n v="0"/>
    <n v="0"/>
    <n v="0"/>
    <n v="0"/>
    <n v="0"/>
    <n v="0"/>
    <n v="0"/>
    <n v="0"/>
    <s v="https://www.clickideacore.com/ClickHTML5/Visit.aspx?ID=//5DDAEwASwAzADYAMwA0ADcANgA2ADEASQBEAEUAQQAB=&amp;Tipo=2&amp;ST=1&amp;nLang=0"/>
    <n v="0"/>
    <n v="0"/>
    <n v="0"/>
    <n v="0"/>
    <n v="0"/>
    <n v="0"/>
    <n v="0"/>
    <n v="0"/>
  </r>
  <r>
    <x v="2"/>
    <x v="2"/>
    <s v="OP-S-200"/>
    <x v="171"/>
    <d v="2025-10-10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2DAEwASwAzADYAMwA0ADMANwA2ADYASQBEAEUAQQA7=&amp;Tipo=2&amp;ST=1&amp;nLang=0"/>
    <n v="0"/>
    <n v="22"/>
    <n v="8"/>
    <n v="0"/>
    <n v="0"/>
    <n v="0"/>
    <n v="0"/>
    <n v="0"/>
  </r>
  <r>
    <x v="3"/>
    <x v="3"/>
    <s v="OP-S-076"/>
    <x v="171"/>
    <d v="2025-10-10T00:00:00"/>
    <n v="34"/>
    <x v="0"/>
    <n v="21"/>
    <n v="0"/>
    <n v="1"/>
    <n v="1"/>
    <n v="0"/>
    <n v="1"/>
    <n v="1"/>
    <n v="0"/>
    <n v="0"/>
    <n v="0"/>
    <n v="0"/>
    <n v="0"/>
    <s v="https://www.clickideacore.com/ClickHTML5/Visit.aspx?ID=//55DAEwASwAzADYAMwA0ADMAOQA3ADcASQBEAEUAQQA9=&amp;Tipo=2&amp;ST=1&amp;nLang=0"/>
    <n v="0"/>
    <n v="10"/>
    <n v="0"/>
    <n v="0"/>
    <n v="0"/>
    <n v="0"/>
    <n v="0"/>
    <n v="0"/>
  </r>
  <r>
    <x v="4"/>
    <x v="8"/>
    <s v="OP-DYR-005"/>
    <x v="171"/>
    <d v="2025-10-10T00:00:00"/>
    <n v="77"/>
    <x v="0"/>
    <n v="65"/>
    <n v="0"/>
    <n v="0"/>
    <n v="1"/>
    <n v="0"/>
    <n v="0"/>
    <n v="0"/>
    <n v="0"/>
    <n v="0"/>
    <n v="0"/>
    <n v="0"/>
    <n v="0"/>
    <s v="https://www.clickideacore.com/ClickHTML5/Visit.aspx?ID=//54DAEwASwAzADYAMwA0ADgANQA0ADcASQBEAEUAQQA7=&amp;Tipo=2&amp;ST=1&amp;nLang=0"/>
    <n v="0"/>
    <n v="0"/>
    <n v="0"/>
    <n v="0"/>
    <n v="0"/>
    <n v="0"/>
    <n v="0"/>
    <n v="0"/>
  </r>
  <r>
    <x v="5"/>
    <x v="4"/>
    <s v="OP-DYR-005"/>
    <x v="171"/>
    <d v="2025-10-10T00:00:00"/>
    <n v="77"/>
    <x v="0"/>
    <n v="6"/>
    <n v="0"/>
    <n v="0"/>
    <n v="0"/>
    <n v="0"/>
    <n v="0"/>
    <n v="0"/>
    <n v="0"/>
    <n v="0"/>
    <n v="0"/>
    <n v="0"/>
    <n v="0"/>
    <s v="https://www.clickideacore.com/ClickHTML5/Visit.aspx?ID=//54DAEwASwAzADYAMwA0ADgANQA0ADcASQBEAEUAQQA7=&amp;Tipo=2&amp;ST=1&amp;nLang=0"/>
    <n v="0"/>
    <n v="20"/>
    <n v="0"/>
    <n v="0"/>
    <n v="0"/>
    <n v="0"/>
    <n v="0"/>
    <n v="0"/>
  </r>
  <r>
    <x v="19"/>
    <x v="6"/>
    <s v="OP-DYR-005"/>
    <x v="171"/>
    <d v="2025-10-10T00:00:00"/>
    <n v="3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71"/>
    <d v="2025-10-1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2"/>
    <d v="2025-10-11T00:00:00"/>
    <n v="58"/>
    <x v="0"/>
    <n v="26"/>
    <n v="0"/>
    <n v="1"/>
    <n v="0"/>
    <n v="0"/>
    <n v="0"/>
    <n v="0"/>
    <n v="1"/>
    <n v="0"/>
    <n v="3"/>
    <n v="1"/>
    <n v="0"/>
    <s v="https://www.clickideacore.com/ClickHTML5/Visit.aspx?ID=//50DAEwASwAzADYAMwA1ADkAMAA4ADkASQBEAEUAQQA3=&amp;Tipo=2&amp;ST=1&amp;nLang=0"/>
    <n v="12"/>
    <n v="0"/>
    <n v="0"/>
    <n v="0"/>
    <n v="0"/>
    <n v="0"/>
    <n v="0"/>
    <n v="0"/>
  </r>
  <r>
    <x v="19"/>
    <x v="6"/>
    <s v="OP-DYR-011"/>
    <x v="172"/>
    <d v="2025-10-11T00:00:00"/>
    <n v="58"/>
    <x v="0"/>
    <n v="26"/>
    <n v="0"/>
    <n v="1"/>
    <n v="0"/>
    <n v="0"/>
    <n v="0"/>
    <n v="0"/>
    <n v="1"/>
    <n v="0"/>
    <n v="3"/>
    <n v="1"/>
    <n v="0"/>
    <s v="https://www.clickideacore.com/ClickHTML5/Visit.aspx?ID=//50DAEwASwAzADYAMwA1ADkAMAA4ADkASQBEAEUAQQA3=&amp;Tipo=2&amp;ST=1&amp;nLang=0"/>
    <n v="12"/>
    <n v="0"/>
    <n v="0"/>
    <n v="0"/>
    <n v="0"/>
    <n v="0"/>
    <n v="0"/>
    <n v="0"/>
  </r>
  <r>
    <x v="0"/>
    <x v="0"/>
    <s v="OP-S-100"/>
    <x v="172"/>
    <d v="2025-10-11T00:00:00"/>
    <n v="50"/>
    <x v="0"/>
    <n v="22"/>
    <n v="0"/>
    <n v="1"/>
    <n v="0"/>
    <n v="0"/>
    <n v="0"/>
    <n v="0"/>
    <n v="0"/>
    <n v="0"/>
    <n v="8"/>
    <n v="1"/>
    <n v="0"/>
    <s v="https://www.clickideacore.com/ClickHTML5/Visit.aspx?ID=//5DDAEwASwAzADYAMwA1ADkANAA3ADAASQBEAEUAQQA2=&amp;Tipo=2&amp;ST=1&amp;nLang=0"/>
    <n v="16"/>
    <n v="0"/>
    <n v="0"/>
    <n v="0"/>
    <n v="0"/>
    <n v="0"/>
    <n v="1"/>
    <n v="0"/>
  </r>
  <r>
    <x v="1"/>
    <x v="1"/>
    <s v="OP-DYR-004"/>
    <x v="172"/>
    <d v="2025-10-11T00:00:00"/>
    <n v="33"/>
    <x v="0"/>
    <n v="0"/>
    <n v="0"/>
    <n v="0"/>
    <n v="0"/>
    <n v="0"/>
    <n v="0"/>
    <n v="0"/>
    <n v="1"/>
    <n v="0"/>
    <n v="3"/>
    <n v="1"/>
    <n v="0"/>
    <s v="https://www.clickideacore.com/ClickHTML5/Visit.aspx?ID=//52DAEwASwAzADYAMwA1ADkAOAA3ADIASQBEAEUAQQA9=&amp;Tipo=2&amp;ST=1&amp;nLang=0"/>
    <n v="0"/>
    <n v="0"/>
    <n v="0"/>
    <n v="0"/>
    <n v="0"/>
    <n v="0"/>
    <n v="0"/>
    <n v="0"/>
  </r>
  <r>
    <x v="17"/>
    <x v="2"/>
    <s v="OP-DYR-00001"/>
    <x v="172"/>
    <d v="2025-10-11T00:00:00"/>
    <n v="39"/>
    <x v="0"/>
    <n v="22"/>
    <n v="0"/>
    <n v="1"/>
    <n v="0"/>
    <n v="0"/>
    <n v="0"/>
    <n v="0"/>
    <n v="1"/>
    <n v="0"/>
    <n v="7"/>
    <n v="1"/>
    <n v="0"/>
    <s v="https://www.clickideacore.com/ClickHTML5/Visit.aspx?ID=//5CDAEwASwAzADYAMwA1ADgANgA4ADAASQBEAEUAQQA9=&amp;Tipo=2&amp;ST=1&amp;nLang=0"/>
    <n v="0"/>
    <n v="0"/>
    <n v="0"/>
    <n v="0"/>
    <n v="0"/>
    <n v="0"/>
    <n v="0"/>
    <n v="0"/>
  </r>
  <r>
    <x v="3"/>
    <x v="3"/>
    <s v="OP-S-076"/>
    <x v="172"/>
    <d v="2025-10-11T00:00:00"/>
    <n v="68"/>
    <x v="0"/>
    <n v="14"/>
    <n v="0"/>
    <n v="0"/>
    <n v="0"/>
    <n v="0"/>
    <n v="0"/>
    <n v="0"/>
    <n v="1"/>
    <n v="0"/>
    <n v="6"/>
    <n v="1"/>
    <n v="0"/>
    <s v="https://www.clickideacore.com/ClickHTML5/Visit.aspx?ID=//52DAEwASwAzADYAMwA1ADgANwAxADQASQBEAEUAQQAE=&amp;Tipo=2&amp;ST=1&amp;nLang=0"/>
    <n v="14"/>
    <n v="0"/>
    <n v="0"/>
    <n v="0"/>
    <n v="0"/>
    <n v="0"/>
    <n v="0"/>
    <n v="0"/>
  </r>
  <r>
    <x v="4"/>
    <x v="8"/>
    <s v="OP-DYR-005"/>
    <x v="172"/>
    <d v="2025-10-11T00:00:00"/>
    <n v="30"/>
    <x v="0"/>
    <n v="0"/>
    <n v="0"/>
    <n v="0"/>
    <n v="0"/>
    <n v="0"/>
    <n v="0"/>
    <n v="0"/>
    <n v="1"/>
    <n v="0"/>
    <n v="4"/>
    <n v="1"/>
    <n v="0"/>
    <s v="https://www.clickideacore.com/ClickHTML5/Visit.aspx?ID=//52DAEwASwAzADYAMwA1ADkAMwAzADMASQBEAEUAQQA5=&amp;Tipo=2&amp;ST=1&amp;nLang=0"/>
    <n v="0"/>
    <n v="0"/>
    <n v="0"/>
    <n v="0"/>
    <n v="0"/>
    <n v="0"/>
    <n v="0"/>
    <n v="0"/>
  </r>
  <r>
    <x v="2"/>
    <x v="6"/>
    <s v="OP-DYR-005"/>
    <x v="172"/>
    <d v="2025-10-11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5"/>
    <x v="4"/>
    <s v="OP-DYR-005"/>
    <x v="172"/>
    <d v="2025-10-11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72"/>
    <d v="2025-10-1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3"/>
    <d v="2025-10-12T00:00:00"/>
    <n v="58"/>
    <x v="0"/>
    <n v="0"/>
    <n v="0"/>
    <n v="0"/>
    <n v="0"/>
    <n v="0"/>
    <n v="0"/>
    <n v="0"/>
    <n v="0"/>
    <n v="1"/>
    <n v="2"/>
    <n v="0"/>
    <n v="1"/>
    <s v="https://www.clickideacore.com/ClickHTML5/Visit.aspx?ID=//57DAEwASwAzADYAMwA2ADYANQAzADgASQBEAEUAQQA5=&amp;Tipo=2&amp;ST=1&amp;nLang=0"/>
    <n v="16"/>
    <n v="0"/>
    <n v="0"/>
    <n v="0"/>
    <n v="0"/>
    <n v="0"/>
    <n v="0"/>
    <n v="0"/>
  </r>
  <r>
    <x v="19"/>
    <x v="6"/>
    <s v="OP-DYR-011"/>
    <x v="173"/>
    <d v="2025-10-12T00:00:00"/>
    <n v="58"/>
    <x v="0"/>
    <n v="0"/>
    <n v="0"/>
    <n v="0"/>
    <n v="0"/>
    <n v="0"/>
    <n v="0"/>
    <n v="0"/>
    <n v="0"/>
    <n v="1"/>
    <n v="2"/>
    <n v="0"/>
    <n v="1"/>
    <s v="https://www.clickideacore.com/ClickHTML5/Visit.aspx?ID=//57DAEwASwAzADYAMwA2ADYANQAzADgASQBEAEUAQQA5=&amp;Tipo=2&amp;ST=1&amp;nLang=0"/>
    <n v="0"/>
    <n v="0"/>
    <n v="0"/>
    <n v="0"/>
    <n v="0"/>
    <n v="0"/>
    <n v="0"/>
    <n v="0"/>
  </r>
  <r>
    <x v="0"/>
    <x v="0"/>
    <s v="OP-S-100"/>
    <x v="173"/>
    <d v="2025-10-12T00:00:00"/>
    <n v="108"/>
    <x v="0"/>
    <n v="0"/>
    <n v="0"/>
    <n v="1"/>
    <n v="0"/>
    <n v="0"/>
    <n v="0"/>
    <n v="0"/>
    <n v="0"/>
    <n v="0"/>
    <n v="6"/>
    <n v="0"/>
    <n v="1"/>
    <s v="https://www.clickideacore.com/ClickHTML5/Visit.aspx?ID=//5CDAEwASwAzADYAMwA2ADYAOAAxADUASQBEAEUAQQA6=&amp;Tipo=2&amp;ST=1&amp;nLang=0"/>
    <n v="15"/>
    <n v="0"/>
    <n v="0"/>
    <n v="0"/>
    <n v="0"/>
    <n v="0"/>
    <n v="0"/>
    <n v="1"/>
  </r>
  <r>
    <x v="1"/>
    <x v="1"/>
    <s v="OP-DYR-004"/>
    <x v="173"/>
    <d v="2025-10-12T00:00:00"/>
    <n v="41"/>
    <x v="0"/>
    <n v="0"/>
    <n v="0"/>
    <n v="0"/>
    <n v="0"/>
    <n v="0"/>
    <n v="0"/>
    <n v="0"/>
    <n v="0"/>
    <n v="1"/>
    <n v="1"/>
    <n v="0"/>
    <n v="1"/>
    <s v="https://www.clickideacore.com/ClickHTML5/Visit.aspx?ID=//55DAEwASwAzADYAMwA2ADcAMwA5ADUASQBEAEUAQQAC=&amp;Tipo=2&amp;ST=1&amp;nLang=0"/>
    <n v="0"/>
    <n v="0"/>
    <n v="0"/>
    <n v="0"/>
    <n v="0"/>
    <n v="0"/>
    <n v="0"/>
    <n v="0"/>
  </r>
  <r>
    <x v="3"/>
    <x v="3"/>
    <s v="OP-S-076"/>
    <x v="173"/>
    <d v="2025-10-12T00:00:00"/>
    <n v="39"/>
    <x v="0"/>
    <n v="0"/>
    <n v="0"/>
    <n v="0"/>
    <n v="0"/>
    <n v="0"/>
    <n v="0"/>
    <n v="0"/>
    <n v="0"/>
    <n v="1"/>
    <n v="4"/>
    <n v="0"/>
    <n v="1"/>
    <s v="https://www.clickideacore.com/ClickHTML5/Visit.aspx?ID=//5ADAEwASwAzADYAMwA2ADYANwA3ADkASQBEAEUAQQAE=&amp;Tipo=2&amp;ST=1&amp;nLang=0"/>
    <n v="11"/>
    <n v="0"/>
    <n v="0"/>
    <n v="0"/>
    <n v="0"/>
    <n v="0"/>
    <n v="0"/>
    <n v="0"/>
  </r>
  <r>
    <x v="4"/>
    <x v="8"/>
    <s v="OP-DYR-005"/>
    <x v="173"/>
    <d v="2025-10-12T00:00:00"/>
    <n v="18"/>
    <x v="0"/>
    <n v="0"/>
    <n v="0"/>
    <n v="0"/>
    <n v="0"/>
    <n v="0"/>
    <n v="0"/>
    <n v="0"/>
    <n v="0"/>
    <n v="1"/>
    <n v="2"/>
    <n v="0"/>
    <n v="1"/>
    <s v="https://www.clickideacore.com/ClickHTML5/Visit.aspx?ID=//58DAEwASwAzADYAMwA2ADcAMwAxADEASQBEAEUAQQA4=&amp;Tipo=2&amp;ST=1&amp;nLang=0"/>
    <n v="0"/>
    <n v="0"/>
    <n v="0"/>
    <n v="0"/>
    <n v="0"/>
    <n v="0"/>
    <n v="0"/>
    <n v="0"/>
  </r>
  <r>
    <x v="17"/>
    <x v="6"/>
    <s v="OP-DYR-005"/>
    <x v="173"/>
    <d v="2025-10-12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2"/>
    <x v="2"/>
    <s v="OP-DYR-005"/>
    <x v="173"/>
    <d v="2025-10-12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5"/>
    <x v="4"/>
    <s v="OP-DYR-005"/>
    <x v="173"/>
    <d v="2025-10-12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73"/>
    <d v="2025-10-1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4"/>
    <d v="2025-10-13T00:00:00"/>
    <n v="26"/>
    <x v="0"/>
    <n v="4"/>
    <n v="0"/>
    <n v="0"/>
    <n v="0"/>
    <n v="0"/>
    <n v="1"/>
    <n v="0"/>
    <n v="0"/>
    <n v="0"/>
    <n v="0"/>
    <n v="0"/>
    <n v="0"/>
    <s v="https://www.clickideacore.com/ClickHTML5/Visit.aspx?ID=//5DDAEwASwAzADYAMwA3ADMAMAAyADkASQBEAEUAQQA8=&amp;Tipo=2&amp;ST=1&amp;nLang=0"/>
    <n v="0"/>
    <n v="0"/>
    <n v="0"/>
    <n v="0"/>
    <n v="0"/>
    <n v="0"/>
    <n v="0"/>
    <n v="0"/>
  </r>
  <r>
    <x v="19"/>
    <x v="6"/>
    <s v="OP-DYR-011"/>
    <x v="174"/>
    <d v="2025-10-13T00:00:00"/>
    <n v="26"/>
    <x v="0"/>
    <n v="4"/>
    <n v="0"/>
    <n v="0"/>
    <n v="0"/>
    <n v="0"/>
    <n v="1"/>
    <n v="0"/>
    <n v="0"/>
    <n v="0"/>
    <n v="0"/>
    <n v="0"/>
    <n v="0"/>
    <s v="https://www.clickideacore.com/ClickHTML5/Visit.aspx?ID=//5DDAEwASwAzADYAMwA3ADMAMAAyADkASQBEAEUAQQA8=&amp;Tipo=2&amp;ST=1&amp;nLang=0"/>
    <n v="0"/>
    <n v="0"/>
    <n v="0"/>
    <n v="0"/>
    <n v="0"/>
    <n v="0"/>
    <n v="0"/>
    <n v="0"/>
  </r>
  <r>
    <x v="1"/>
    <x v="1"/>
    <s v="OP-DYR-004"/>
    <x v="174"/>
    <d v="2025-10-13T00:00:00"/>
    <n v="22"/>
    <x v="0"/>
    <n v="0"/>
    <n v="0"/>
    <n v="0"/>
    <n v="0"/>
    <n v="0"/>
    <n v="0"/>
    <n v="0"/>
    <n v="0"/>
    <n v="0"/>
    <n v="0"/>
    <n v="0"/>
    <n v="0"/>
    <s v="https://www.clickideacore.com/ClickHTML5/Visit.aspx?ID=//52DAEwASwAzADYAMwA3ADUANAA5ADYASQBEAEUAQQAE=&amp;Tipo=2&amp;ST=1&amp;nLang=0"/>
    <n v="0"/>
    <n v="20"/>
    <n v="0"/>
    <n v="0"/>
    <n v="0"/>
    <n v="0"/>
    <n v="0"/>
    <n v="0"/>
  </r>
  <r>
    <x v="2"/>
    <x v="2"/>
    <s v="OP-S-200"/>
    <x v="174"/>
    <d v="2025-10-13T00:00:00"/>
    <n v="26"/>
    <x v="0"/>
    <n v="11"/>
    <n v="0"/>
    <n v="0"/>
    <n v="0"/>
    <n v="0"/>
    <n v="0"/>
    <n v="0"/>
    <n v="0"/>
    <n v="0"/>
    <n v="0"/>
    <n v="0"/>
    <n v="0"/>
    <s v="https://www.clickideacore.com/ClickHTML5/Visit.aspx?ID=//50DAEwASwAzADYAMwA3ADcAOQA3ADUASQBEAEUAQQA6=&amp;Tipo=2&amp;ST=1&amp;nLang=0"/>
    <n v="0"/>
    <n v="2"/>
    <n v="4"/>
    <n v="0"/>
    <n v="0"/>
    <n v="0"/>
    <n v="0"/>
    <n v="0"/>
  </r>
  <r>
    <x v="5"/>
    <x v="4"/>
    <s v="OP-S-200"/>
    <x v="174"/>
    <d v="2025-10-13T00:00:00"/>
    <n v="26"/>
    <x v="0"/>
    <n v="0"/>
    <n v="0"/>
    <n v="0"/>
    <n v="0"/>
    <n v="0"/>
    <n v="0"/>
    <n v="0"/>
    <n v="0"/>
    <n v="0"/>
    <n v="0"/>
    <n v="0"/>
    <n v="0"/>
    <s v="https://www.clickideacore.com/ClickHTML5/Visit.aspx?ID=//50DAEwASwAzADYAMwA3ADcAOQA3ADUASQBEAEUAQQA6=&amp;Tipo=2&amp;ST=1&amp;nLang=0"/>
    <n v="0"/>
    <n v="41"/>
    <n v="0"/>
    <n v="0"/>
    <n v="0"/>
    <n v="0"/>
    <n v="0"/>
    <n v="0"/>
  </r>
  <r>
    <x v="3"/>
    <x v="3"/>
    <s v="OP-S-076"/>
    <x v="174"/>
    <d v="2025-10-13T00:00:00"/>
    <n v="41"/>
    <x v="0"/>
    <n v="10"/>
    <n v="0"/>
    <n v="0"/>
    <n v="0"/>
    <n v="0"/>
    <n v="0"/>
    <n v="0"/>
    <n v="0"/>
    <n v="0"/>
    <n v="0"/>
    <n v="0"/>
    <n v="0"/>
    <s v="https://www.clickideacore.com/ClickHTML5/Visit.aspx?ID=//57DAEwASwAzADYAMwA3ADMANwA3ADEASQBEAEUAQQAE=&amp;Tipo=2&amp;ST=1&amp;nLang=0"/>
    <n v="0"/>
    <n v="1"/>
    <n v="0"/>
    <n v="0"/>
    <n v="0"/>
    <n v="0"/>
    <n v="0"/>
    <n v="0"/>
  </r>
  <r>
    <x v="4"/>
    <x v="8"/>
    <s v="OP-DYR-005"/>
    <x v="174"/>
    <d v="2025-10-13T00:00:00"/>
    <n v="25"/>
    <x v="0"/>
    <n v="5"/>
    <n v="0"/>
    <n v="0"/>
    <n v="0"/>
    <n v="0"/>
    <n v="1"/>
    <n v="1"/>
    <n v="0"/>
    <n v="0"/>
    <n v="0"/>
    <n v="0"/>
    <n v="0"/>
    <s v="https://www.clickideacore.com/ClickHTML5/Visit.aspx?ID=//5EDAEwASwAzADYAMwA3ADYAMQAxADEASQBEAEUAQQA8=&amp;Tipo=2&amp;ST=1&amp;nLang=0"/>
    <n v="0"/>
    <n v="10"/>
    <n v="0"/>
    <n v="0"/>
    <n v="0"/>
    <n v="0"/>
    <n v="0"/>
    <n v="0"/>
  </r>
  <r>
    <x v="17"/>
    <x v="6"/>
    <n v="0"/>
    <x v="174"/>
    <d v="2025-10-13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MwA3ADYAMQAxADEASQBEAEUAQQA8=&amp;Tipo=2&amp;ST=1&amp;nLang=0"/>
    <n v="0"/>
    <n v="10"/>
    <n v="4"/>
    <n v="0"/>
    <n v="0"/>
    <n v="0"/>
    <n v="0"/>
    <n v="0"/>
  </r>
  <r>
    <x v="0"/>
    <x v="6"/>
    <n v="0"/>
    <x v="174"/>
    <d v="2025-10-13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MwA3ADYAMQAxADEASQBEAEUAQQA8=&amp;Tipo=2&amp;ST=1&amp;nLang=0"/>
    <n v="0"/>
    <n v="10"/>
    <n v="0"/>
    <n v="0"/>
    <n v="0"/>
    <n v="0"/>
    <n v="0"/>
    <n v="0"/>
  </r>
  <r>
    <x v="9"/>
    <x v="0"/>
    <n v="0"/>
    <x v="174"/>
    <d v="2025-10-13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MwA3ADYAMQAxADEASQBEAEUAQQA8=&amp;Tipo=2&amp;ST=1&amp;nLang=0"/>
    <n v="0"/>
    <n v="20"/>
    <n v="4"/>
    <n v="0"/>
    <n v="0"/>
    <n v="0"/>
    <n v="0"/>
    <n v="0"/>
  </r>
  <r>
    <x v="9"/>
    <x v="7"/>
    <s v="OP-S-0010"/>
    <x v="174"/>
    <d v="2025-10-1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5"/>
    <d v="2025-10-14T00:00:00"/>
    <n v="59"/>
    <x v="0"/>
    <n v="47"/>
    <n v="0"/>
    <n v="1"/>
    <n v="1"/>
    <n v="0"/>
    <n v="0"/>
    <n v="0"/>
    <n v="0"/>
    <n v="0"/>
    <n v="0"/>
    <n v="0"/>
    <n v="0"/>
    <s v="https://www.clickideacore.com/ClickHTML5/Visit.aspx?ID=//52DAEwASwAzADYAMwA5ADkANAAzADEASQBEAEUAQQA8=&amp;Tipo=2&amp;ST=1&amp;nLang=0"/>
    <n v="0"/>
    <n v="12"/>
    <n v="0"/>
    <n v="0"/>
    <n v="0"/>
    <n v="0"/>
    <n v="0"/>
    <n v="0"/>
  </r>
  <r>
    <x v="17"/>
    <x v="6"/>
    <s v="OP-DYR-00001"/>
    <x v="175"/>
    <d v="2025-10-14T00:00:00"/>
    <n v="21"/>
    <x v="0"/>
    <n v="47"/>
    <n v="0"/>
    <n v="1"/>
    <n v="1"/>
    <n v="0"/>
    <n v="0"/>
    <n v="0"/>
    <n v="0"/>
    <n v="0"/>
    <n v="0"/>
    <n v="0"/>
    <n v="0"/>
    <s v="https://www.clickideacore.com/ClickHTML5/Visit.aspx?ID=//5ADAEwASwAzADYAMwA5ADkAMwA1ADIASQBEAEUAQQAF=&amp;Tipo=2&amp;ST=1&amp;nLang=0"/>
    <n v="0"/>
    <n v="12"/>
    <n v="0"/>
    <n v="0"/>
    <n v="0"/>
    <n v="0"/>
    <n v="0"/>
    <n v="0"/>
  </r>
  <r>
    <x v="19"/>
    <x v="6"/>
    <s v="OP-DYR-00001"/>
    <x v="175"/>
    <d v="2025-10-14T00:00:00"/>
    <n v="21"/>
    <x v="0"/>
    <n v="47"/>
    <n v="0"/>
    <n v="1"/>
    <n v="1"/>
    <n v="0"/>
    <n v="0"/>
    <n v="0"/>
    <n v="0"/>
    <n v="0"/>
    <n v="0"/>
    <n v="0"/>
    <n v="0"/>
    <s v="https://www.clickideacore.com/ClickHTML5/Visit.aspx?ID=//5ADAEwASwAzADYAMwA5ADkAMwA1ADIASQBEAEUAQQAF=&amp;Tipo=2&amp;ST=1&amp;nLang=0"/>
    <n v="0"/>
    <n v="12"/>
    <n v="0"/>
    <n v="0"/>
    <n v="0"/>
    <n v="0"/>
    <n v="0"/>
    <n v="0"/>
  </r>
  <r>
    <x v="1"/>
    <x v="1"/>
    <s v="OP-DYR-004"/>
    <x v="175"/>
    <d v="2025-10-14T00:00:00"/>
    <n v="70"/>
    <x v="0"/>
    <n v="25"/>
    <n v="0"/>
    <n v="0"/>
    <n v="1"/>
    <n v="0"/>
    <n v="0"/>
    <n v="0"/>
    <n v="0"/>
    <n v="0"/>
    <n v="0"/>
    <n v="0"/>
    <n v="0"/>
    <s v="https://www.clickideacore.com/ClickHTML5/Visit.aspx?ID=//50DAEwASwAzADYAMwA5ADMANwAxADUASQBEAEUAQQA7=&amp;Tipo=2&amp;ST=1&amp;nLang=0"/>
    <n v="0"/>
    <n v="0"/>
    <n v="0"/>
    <n v="0"/>
    <n v="0"/>
    <n v="0"/>
    <n v="0"/>
    <n v="0"/>
  </r>
  <r>
    <x v="3"/>
    <x v="3"/>
    <s v="OP-S-076"/>
    <x v="175"/>
    <d v="2025-10-14T00:00:00"/>
    <n v="39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YAMwA5ADUAMgA5ADQASQBEAEUAQQAB=&amp;Tipo=2&amp;ST=1&amp;nLang=0"/>
    <n v="0"/>
    <n v="0"/>
    <n v="0"/>
    <n v="0"/>
    <n v="0"/>
    <n v="0"/>
    <n v="0"/>
    <n v="0"/>
  </r>
  <r>
    <x v="4"/>
    <x v="8"/>
    <s v="OP-DYR-005"/>
    <x v="175"/>
    <d v="2025-10-14T00:00:00"/>
    <n v="28"/>
    <x v="0"/>
    <n v="14"/>
    <n v="0"/>
    <n v="0"/>
    <n v="1"/>
    <n v="0"/>
    <n v="0"/>
    <n v="0"/>
    <n v="0"/>
    <n v="0"/>
    <n v="0"/>
    <n v="0"/>
    <n v="0"/>
    <s v="https://www.clickideacore.com/ClickHTML5/Visit.aspx?ID=//5BDAEwASwAzADYAMwA5ADYAMAAyADUASQBEAEUAQQAB=&amp;Tipo=2&amp;ST=1&amp;nLang=0"/>
    <n v="0"/>
    <n v="0"/>
    <n v="0"/>
    <n v="0"/>
    <n v="0"/>
    <n v="0"/>
    <n v="0"/>
    <n v="0"/>
  </r>
  <r>
    <x v="5"/>
    <x v="4"/>
    <s v="OP-S-076"/>
    <x v="175"/>
    <d v="2025-10-14T00:00:00"/>
    <n v="25"/>
    <x v="0"/>
    <n v="24"/>
    <n v="0"/>
    <n v="0"/>
    <n v="0"/>
    <n v="1"/>
    <n v="0"/>
    <n v="0"/>
    <n v="0"/>
    <n v="0"/>
    <n v="0"/>
    <n v="0"/>
    <n v="0"/>
    <s v="https://www.clickideacore.com/ClickHTML5/Visit.aspx?ID=//58DAEwASwAzADYAMwA5ADQANAAxADEASQBEAEUAQQA0=&amp;Tipo=2&amp;ST=1&amp;nLang=0"/>
    <n v="0"/>
    <n v="0"/>
    <n v="0"/>
    <n v="0"/>
    <n v="0"/>
    <n v="0"/>
    <n v="0"/>
    <n v="0"/>
  </r>
  <r>
    <x v="2"/>
    <x v="2"/>
    <s v="OP-S-0010"/>
    <x v="175"/>
    <d v="2025-10-1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75"/>
    <d v="2025-10-1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75"/>
    <d v="2025-10-1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76"/>
    <d v="2025-10-15T00:00:00"/>
    <n v="46"/>
    <x v="0"/>
    <n v="12"/>
    <n v="0"/>
    <n v="0"/>
    <n v="0"/>
    <n v="1"/>
    <n v="0"/>
    <n v="0"/>
    <n v="0"/>
    <n v="0"/>
    <n v="0"/>
    <n v="0"/>
    <n v="0"/>
    <s v="https://www.clickideacore.com/ClickHTML5/Visit.aspx?ID=//51DAEwASwAzADYANAAxADUAMAA5ADYASQBEAEUAQQA0=&amp;Tipo=2&amp;ST=1&amp;nLang=0"/>
    <n v="0"/>
    <n v="55"/>
    <n v="2"/>
    <n v="0"/>
    <n v="0"/>
    <n v="0"/>
    <n v="0"/>
    <n v="0"/>
  </r>
  <r>
    <x v="0"/>
    <x v="0"/>
    <s v="OP-S-100"/>
    <x v="176"/>
    <d v="2025-10-15T00:00:00"/>
    <n v="25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YANAAxADYANQA5ADIASQBEAEUAQQA1=&amp;Tipo=2&amp;ST=1&amp;nLang=0"/>
    <n v="0"/>
    <n v="31"/>
    <n v="7"/>
    <n v="0"/>
    <n v="0"/>
    <n v="0"/>
    <n v="0"/>
    <n v="0"/>
  </r>
  <r>
    <x v="1"/>
    <x v="1"/>
    <s v="OP-DYR-004"/>
    <x v="176"/>
    <d v="2025-10-15T00:00:00"/>
    <n v="27"/>
    <x v="0"/>
    <n v="42"/>
    <n v="0"/>
    <n v="0"/>
    <n v="1"/>
    <n v="0"/>
    <n v="0"/>
    <n v="0"/>
    <n v="0"/>
    <n v="0"/>
    <n v="0"/>
    <n v="0"/>
    <n v="0"/>
    <s v="https://www.clickideacore.com/ClickHTML5/Visit.aspx?ID=//59DAEwASwAzADYANAAyADIAMQAwADIASQBEAEUAQQA5=&amp;Tipo=2&amp;ST=1&amp;nLang=0"/>
    <n v="0"/>
    <n v="42"/>
    <n v="0"/>
    <n v="0"/>
    <n v="0"/>
    <n v="0"/>
    <n v="0"/>
    <n v="0"/>
  </r>
  <r>
    <x v="2"/>
    <x v="2"/>
    <s v="OP-S-200"/>
    <x v="176"/>
    <d v="2025-10-15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YANAAxADgANwAxADYASQBEAEUAQQA7=&amp;Tipo=2&amp;ST=1&amp;nLang=0"/>
    <n v="0"/>
    <n v="58"/>
    <n v="3"/>
    <n v="0"/>
    <n v="0"/>
    <n v="0"/>
    <n v="0"/>
    <n v="0"/>
  </r>
  <r>
    <x v="19"/>
    <x v="6"/>
    <s v="OP-S-200"/>
    <x v="176"/>
    <d v="2025-10-15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YANAAxADgANwAxADYASQBEAEUAQQA7=&amp;Tipo=2&amp;ST=1&amp;nLang=0"/>
    <n v="0"/>
    <n v="58"/>
    <n v="3"/>
    <n v="0"/>
    <n v="0"/>
    <n v="0"/>
    <n v="0"/>
    <n v="0"/>
  </r>
  <r>
    <x v="3"/>
    <x v="3"/>
    <s v="OP-S-076"/>
    <x v="176"/>
    <d v="2025-10-15T00:00:00"/>
    <n v="22"/>
    <x v="0"/>
    <n v="11"/>
    <n v="1"/>
    <n v="0"/>
    <n v="0"/>
    <n v="0"/>
    <n v="0"/>
    <n v="0"/>
    <n v="0"/>
    <n v="0"/>
    <n v="0"/>
    <n v="0"/>
    <n v="0"/>
    <s v="https://www.clickideacore.com/ClickHTML5/Visit.aspx?ID=//5DDAEwASwAzADYANAAxADIAOQAxADgASQBEAEUAQQA3=&amp;Tipo=2&amp;ST=1&amp;nLang=0"/>
    <n v="0"/>
    <n v="20"/>
    <n v="0"/>
    <n v="0"/>
    <n v="0"/>
    <n v="0"/>
    <n v="0"/>
    <n v="0"/>
  </r>
  <r>
    <x v="4"/>
    <x v="8"/>
    <s v="OP-DYR-005"/>
    <x v="176"/>
    <d v="2025-10-15T00:00:00"/>
    <n v="20"/>
    <x v="0"/>
    <n v="24"/>
    <n v="0"/>
    <n v="0"/>
    <n v="1"/>
    <n v="0"/>
    <n v="0"/>
    <n v="0"/>
    <n v="0"/>
    <n v="0"/>
    <n v="0"/>
    <n v="0"/>
    <n v="0"/>
    <s v="https://www.clickideacore.com/ClickHTML5/Visit.aspx?ID=//50DAEwASwAzADYANAAxADcAOAA1ADgASQBEAEUAQQA0=&amp;Tipo=2&amp;ST=1&amp;nLang=0"/>
    <n v="0"/>
    <n v="66"/>
    <n v="0"/>
    <n v="0"/>
    <n v="0"/>
    <n v="0"/>
    <n v="0"/>
    <n v="0"/>
  </r>
  <r>
    <x v="4"/>
    <x v="8"/>
    <s v="OP-DYR-005"/>
    <x v="176"/>
    <d v="2025-10-15T00:00:00"/>
    <n v="20"/>
    <x v="0"/>
    <n v="90"/>
    <n v="0"/>
    <n v="0"/>
    <n v="1"/>
    <n v="0"/>
    <n v="0"/>
    <n v="0"/>
    <n v="0"/>
    <n v="0"/>
    <n v="0"/>
    <n v="0"/>
    <n v="0"/>
    <s v="https://www.clickideacore.com/ClickHTML5/Visit.aspx?ID=//50DAEwASwAzADYANAAxADcAOAA1ADgASQBEAEUAQQA0=&amp;Tipo=2&amp;ST=1&amp;nLang=0"/>
    <n v="0"/>
    <n v="0"/>
    <n v="0"/>
    <n v="0"/>
    <n v="0"/>
    <n v="0"/>
    <n v="0"/>
    <n v="0"/>
  </r>
  <r>
    <x v="10"/>
    <x v="6"/>
    <s v="OP-S-0010"/>
    <x v="176"/>
    <d v="2025-10-1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76"/>
    <d v="2025-10-1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76"/>
    <d v="2025-10-1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7"/>
    <d v="2025-10-16T00:00:00"/>
    <n v="42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YANAA0ADEAMAA0ADUASQBEAEUAQQA1=&amp;Tipo=2&amp;ST=1&amp;nLang=0"/>
    <n v="0"/>
    <n v="0"/>
    <n v="0"/>
    <n v="0"/>
    <n v="0"/>
    <n v="0"/>
    <n v="0"/>
    <n v="0"/>
  </r>
  <r>
    <x v="19"/>
    <x v="6"/>
    <s v="OP-DYR-011"/>
    <x v="177"/>
    <d v="2025-10-16T00:00:00"/>
    <n v="42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YANAA0ADEAMAA0ADUASQBEAEUAQQA1=&amp;Tipo=2&amp;ST=1&amp;nLang=0"/>
    <n v="0"/>
    <n v="0"/>
    <n v="0"/>
    <n v="0"/>
    <n v="0"/>
    <n v="0"/>
    <n v="0"/>
    <n v="0"/>
  </r>
  <r>
    <x v="17"/>
    <x v="6"/>
    <s v="OP-DYR-011"/>
    <x v="177"/>
    <d v="2025-10-16T00:00:00"/>
    <n v="42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YANAA0ADEAMAA0ADUASQBEAEUAQQA1=&amp;Tipo=2&amp;ST=1&amp;nLang=0"/>
    <n v="0"/>
    <n v="0"/>
    <n v="0"/>
    <n v="0"/>
    <n v="0"/>
    <n v="0"/>
    <n v="0"/>
    <n v="0"/>
  </r>
  <r>
    <x v="5"/>
    <x v="4"/>
    <s v="OP-S-005"/>
    <x v="177"/>
    <d v="2025-10-16T00:00:00"/>
    <n v="97"/>
    <x v="0"/>
    <n v="33"/>
    <n v="0"/>
    <n v="0"/>
    <n v="0"/>
    <n v="1"/>
    <n v="0"/>
    <n v="0"/>
    <n v="0"/>
    <n v="0"/>
    <n v="0"/>
    <n v="0"/>
    <n v="0"/>
    <s v="https://www.clickideacore.com/ClickHTML5/Visit.aspx?ID=//5DDAEwASwAzADYANAA0ADAAMQAzADkASQBEAEUAQQA1=&amp;Tipo=2&amp;ST=1&amp;nLang=0"/>
    <n v="0"/>
    <n v="0"/>
    <n v="0"/>
    <n v="0"/>
    <n v="0"/>
    <n v="0"/>
    <n v="0"/>
    <n v="0"/>
  </r>
  <r>
    <x v="0"/>
    <x v="0"/>
    <s v="OP-S-100"/>
    <x v="177"/>
    <d v="2025-10-16T00:00:00"/>
    <n v="24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YANAA0ADMAMgA5ADUASQBEAEUAQQAE=&amp;Tipo=2&amp;ST=1&amp;nLang=0"/>
    <n v="0"/>
    <n v="0"/>
    <n v="0"/>
    <n v="0"/>
    <n v="0"/>
    <n v="0"/>
    <n v="0"/>
    <n v="0"/>
  </r>
  <r>
    <x v="2"/>
    <x v="2"/>
    <s v="OP-S-200"/>
    <x v="177"/>
    <d v="2025-10-16T00:00:00"/>
    <n v="26"/>
    <x v="0"/>
    <n v="25"/>
    <n v="0"/>
    <n v="0"/>
    <n v="1"/>
    <n v="0"/>
    <n v="0"/>
    <n v="0"/>
    <n v="0"/>
    <n v="0"/>
    <n v="0"/>
    <n v="0"/>
    <n v="0"/>
    <s v="https://www.clickideacore.com/ClickHTML5/Visit.aspx?ID=//50DAEwASwAzADYANAAzADgAOAA2ADIASQBEAEUAQQA9=&amp;Tipo=2&amp;ST=1&amp;nLang=0"/>
    <n v="0"/>
    <n v="3"/>
    <n v="0"/>
    <n v="0"/>
    <n v="0"/>
    <n v="0"/>
    <n v="0"/>
    <n v="0"/>
  </r>
  <r>
    <x v="3"/>
    <x v="3"/>
    <s v="OP-S-076"/>
    <x v="177"/>
    <d v="2025-10-16T00:00:00"/>
    <n v="20"/>
    <x v="0"/>
    <n v="32"/>
    <n v="0"/>
    <n v="0"/>
    <n v="1"/>
    <n v="0"/>
    <n v="0"/>
    <n v="0"/>
    <n v="0"/>
    <n v="0"/>
    <n v="0"/>
    <n v="0"/>
    <n v="0"/>
    <s v="https://www.clickideacore.com/ClickHTML5/Visit.aspx?ID=//5ADAEwASwAzADYANAA0ADEAMgA5ADUASQBEAEUAQQA3=&amp;Tipo=2&amp;ST=1&amp;nLang=0"/>
    <n v="0"/>
    <n v="0"/>
    <n v="0"/>
    <n v="0"/>
    <n v="0"/>
    <n v="0"/>
    <n v="0"/>
    <n v="0"/>
  </r>
  <r>
    <x v="4"/>
    <x v="8"/>
    <s v="OP-DYR-005"/>
    <x v="177"/>
    <d v="2025-10-16T00:00:00"/>
    <n v="20"/>
    <x v="0"/>
    <n v="6"/>
    <n v="0"/>
    <n v="0"/>
    <n v="0"/>
    <n v="0"/>
    <n v="0"/>
    <n v="1"/>
    <n v="0"/>
    <n v="0"/>
    <n v="0"/>
    <n v="0"/>
    <n v="0"/>
    <s v="https://www.clickideacore.com/ClickHTML5/Visit.aspx?ID=//5DDAEwASwAzADYANAA0ADMAMwA2ADEASQBEAEUAQQAA=&amp;Tipo=2&amp;ST=1&amp;nLang=0"/>
    <n v="0"/>
    <n v="1"/>
    <n v="0"/>
    <n v="0"/>
    <n v="0"/>
    <n v="0"/>
    <n v="0"/>
    <n v="0"/>
  </r>
  <r>
    <x v="1"/>
    <x v="1"/>
    <s v="OP-S-0010"/>
    <x v="177"/>
    <d v="2025-10-1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77"/>
    <d v="2025-10-1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78"/>
    <d v="2025-10-17T00:00:00"/>
    <n v="45"/>
    <x v="0"/>
    <n v="28"/>
    <n v="0"/>
    <n v="0"/>
    <n v="1"/>
    <n v="0"/>
    <n v="0"/>
    <n v="0"/>
    <n v="0"/>
    <n v="0"/>
    <n v="0"/>
    <n v="0"/>
    <n v="0"/>
    <s v="https://www.clickideacore.com/ClickHTML5/Visit.aspx?ID=//51DAEwASwAzADYANAA2ADMANQAxADgASQBEAEUAQQA0=&amp;Tipo=2&amp;ST=1&amp;nLang=0"/>
    <n v="0"/>
    <n v="24"/>
    <n v="0"/>
    <n v="0"/>
    <n v="0"/>
    <n v="0"/>
    <n v="0"/>
    <n v="0"/>
  </r>
  <r>
    <x v="1"/>
    <x v="1"/>
    <s v="OP-DYR-004"/>
    <x v="178"/>
    <d v="2025-10-17T00:00:00"/>
    <n v="31"/>
    <x v="0"/>
    <n v="32"/>
    <n v="0"/>
    <n v="0"/>
    <n v="1"/>
    <n v="0"/>
    <n v="0"/>
    <n v="0"/>
    <n v="0"/>
    <n v="0"/>
    <n v="0"/>
    <n v="0"/>
    <n v="0"/>
    <s v="https://www.clickideacore.com/ClickHTML5/Visit.aspx?ID=//5ADAEwASwAzADYANAA2ADcAMwAxADgASQBEAEUAQQA7=&amp;Tipo=2&amp;ST=1&amp;nLang=0"/>
    <n v="0"/>
    <n v="6"/>
    <n v="0"/>
    <n v="0"/>
    <n v="0"/>
    <n v="0"/>
    <n v="0"/>
    <n v="0"/>
  </r>
  <r>
    <x v="2"/>
    <x v="2"/>
    <s v="OP-S-200"/>
    <x v="178"/>
    <d v="2025-10-17T00:00:00"/>
    <n v="16"/>
    <x v="0"/>
    <n v="18"/>
    <n v="0"/>
    <n v="0"/>
    <n v="1"/>
    <n v="0"/>
    <n v="0"/>
    <n v="0"/>
    <n v="0"/>
    <n v="0"/>
    <n v="0"/>
    <n v="0"/>
    <n v="0"/>
    <s v="https://www.clickideacore.com/ClickHTML5/Visit.aspx?ID=//51DAEwASwAzADYANAA2ADMAMgA2ADQASQBEAEUAQQA6=&amp;Tipo=2&amp;ST=1&amp;nLang=0"/>
    <n v="0"/>
    <n v="24"/>
    <n v="0"/>
    <n v="0"/>
    <n v="0"/>
    <n v="0"/>
    <n v="0"/>
    <n v="0"/>
  </r>
  <r>
    <x v="17"/>
    <x v="6"/>
    <s v="OP-DYR-00001"/>
    <x v="178"/>
    <d v="2025-10-17T00:00:00"/>
    <n v="163"/>
    <x v="0"/>
    <n v="36"/>
    <n v="0"/>
    <n v="1"/>
    <n v="1"/>
    <n v="0"/>
    <n v="1"/>
    <n v="0"/>
    <n v="0"/>
    <n v="0"/>
    <n v="0"/>
    <n v="0"/>
    <n v="0"/>
    <s v="https://www.clickideacore.com/ClickHTML5/Visit.aspx?ID=//56DAEwASwAzADYANAA2ADYAMgAzADUASQBEAEUAQQA3=&amp;Tipo=2&amp;ST=1&amp;nLang=0"/>
    <n v="0"/>
    <n v="25"/>
    <n v="0"/>
    <n v="0"/>
    <n v="0"/>
    <n v="0"/>
    <n v="0"/>
    <n v="0"/>
  </r>
  <r>
    <x v="10"/>
    <x v="6"/>
    <s v="OP-DYR-00001"/>
    <x v="178"/>
    <d v="2025-10-17T00:00:00"/>
    <n v="163"/>
    <x v="0"/>
    <n v="36"/>
    <n v="0"/>
    <n v="1"/>
    <n v="1"/>
    <n v="0"/>
    <n v="1"/>
    <n v="0"/>
    <n v="0"/>
    <n v="0"/>
    <n v="0"/>
    <n v="0"/>
    <n v="0"/>
    <s v="https://www.clickideacore.com/ClickHTML5/Visit.aspx?ID=//56DAEwASwAzADYANAA2ADYAMgAzADUASQBEAEUAQQA3=&amp;Tipo=2&amp;ST=1&amp;nLang=0"/>
    <n v="0"/>
    <n v="25"/>
    <n v="0"/>
    <n v="0"/>
    <n v="0"/>
    <n v="0"/>
    <n v="0"/>
    <n v="0"/>
  </r>
  <r>
    <x v="19"/>
    <x v="6"/>
    <s v="OP-DYR-00001"/>
    <x v="178"/>
    <d v="2025-10-17T00:00:00"/>
    <n v="163"/>
    <x v="0"/>
    <n v="36"/>
    <n v="0"/>
    <n v="1"/>
    <n v="1"/>
    <n v="0"/>
    <n v="1"/>
    <n v="0"/>
    <n v="0"/>
    <n v="0"/>
    <n v="0"/>
    <n v="0"/>
    <n v="0"/>
    <s v="https://www.clickideacore.com/ClickHTML5/Visit.aspx?ID=//56DAEwASwAzADYANAA2ADYAMgAzADUASQBEAEUAQQA3=&amp;Tipo=2&amp;ST=1&amp;nLang=0"/>
    <n v="0"/>
    <n v="25"/>
    <n v="0"/>
    <n v="0"/>
    <n v="0"/>
    <n v="0"/>
    <n v="0"/>
    <n v="0"/>
  </r>
  <r>
    <x v="3"/>
    <x v="3"/>
    <s v="OP-S-076"/>
    <x v="178"/>
    <d v="2025-10-17T00:00:00"/>
    <n v="33"/>
    <x v="0"/>
    <n v="3"/>
    <n v="0"/>
    <n v="0"/>
    <n v="0"/>
    <n v="0"/>
    <n v="1"/>
    <n v="0"/>
    <n v="0"/>
    <n v="0"/>
    <n v="0"/>
    <n v="0"/>
    <n v="0"/>
    <s v="https://www.clickideacore.com/ClickHTML5/Visit.aspx?ID=//5FDAEwASwAzADYANAA1ADgAMgA4ADMASQBEAEUAQQAD=&amp;Tipo=2&amp;ST=1&amp;nLang=0"/>
    <n v="0"/>
    <n v="12"/>
    <n v="0"/>
    <n v="0"/>
    <n v="0"/>
    <n v="0"/>
    <n v="0"/>
    <n v="0"/>
  </r>
  <r>
    <x v="4"/>
    <x v="8"/>
    <s v="OP-DYR-005"/>
    <x v="178"/>
    <d v="2025-10-17T00:00:00"/>
    <n v="26"/>
    <x v="0"/>
    <n v="33"/>
    <n v="0"/>
    <n v="0"/>
    <n v="0"/>
    <n v="1"/>
    <n v="0"/>
    <n v="0"/>
    <n v="0"/>
    <n v="0"/>
    <n v="0"/>
    <n v="0"/>
    <n v="0"/>
    <s v="https://www.clickideacore.com/ClickHTML5/Visit.aspx?ID=//50DAEwASwAzADYANQAwADgAOAAzADgASQBEAEUAQQA1=&amp;Tipo=2&amp;ST=1&amp;nLang=0"/>
    <n v="0"/>
    <n v="0"/>
    <n v="0"/>
    <n v="0"/>
    <n v="0"/>
    <n v="0"/>
    <n v="0"/>
    <n v="0"/>
  </r>
  <r>
    <x v="5"/>
    <x v="4"/>
    <s v="OP-S-0010"/>
    <x v="178"/>
    <d v="2025-10-1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78"/>
    <d v="2025-10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79"/>
    <d v="2025-10-18T00:00:00"/>
    <n v="46"/>
    <x v="0"/>
    <n v="0"/>
    <n v="0"/>
    <n v="0"/>
    <n v="0"/>
    <n v="0"/>
    <n v="0"/>
    <n v="0"/>
    <n v="1"/>
    <n v="0"/>
    <n v="1"/>
    <n v="1"/>
    <n v="0"/>
    <s v="https://www.clickideacore.com/ClickHTML5/Visit.aspx?ID=//5FDAEwASwAzADYANAA3ADkANwA4ADgASQBEAEUAQQA2=&amp;Tipo=2&amp;ST=1&amp;nLang=0"/>
    <n v="12"/>
    <n v="0"/>
    <n v="0"/>
    <n v="0"/>
    <n v="0"/>
    <n v="0"/>
    <n v="0"/>
    <n v="0"/>
  </r>
  <r>
    <x v="19"/>
    <x v="6"/>
    <s v="OP-DYR-011"/>
    <x v="179"/>
    <d v="2025-10-18T00:00:00"/>
    <n v="46"/>
    <x v="0"/>
    <n v="0"/>
    <n v="0"/>
    <n v="0"/>
    <n v="0"/>
    <n v="0"/>
    <n v="0"/>
    <n v="0"/>
    <n v="1"/>
    <n v="0"/>
    <n v="1"/>
    <n v="1"/>
    <n v="0"/>
    <s v="https://www.clickideacore.com/ClickHTML5/Visit.aspx?ID=//5FDAEwASwAzADYANAA3ADkANwA4ADgASQBEAEUAQQA2=&amp;Tipo=2&amp;ST=1&amp;nLang=0"/>
    <n v="12"/>
    <n v="0"/>
    <n v="0"/>
    <n v="0"/>
    <n v="0"/>
    <n v="0"/>
    <n v="0"/>
    <n v="0"/>
  </r>
  <r>
    <x v="5"/>
    <x v="4"/>
    <s v="OP-S-005"/>
    <x v="179"/>
    <d v="2025-10-18T00:00:00"/>
    <n v="51"/>
    <x v="0"/>
    <n v="0"/>
    <n v="0"/>
    <n v="0"/>
    <n v="0"/>
    <n v="0"/>
    <n v="0"/>
    <n v="0"/>
    <n v="0"/>
    <n v="0"/>
    <n v="8"/>
    <n v="1"/>
    <n v="0"/>
    <s v="https://www.clickideacore.com/ClickHTML5/Visit.aspx?ID=//52DAEwASwAzADYANAA4ADAAMgAzADEASQBEAEUAQQA3=&amp;Tipo=2&amp;ST=1&amp;nLang=0"/>
    <n v="16"/>
    <n v="0"/>
    <n v="0"/>
    <n v="0"/>
    <n v="0"/>
    <n v="0"/>
    <n v="1"/>
    <n v="0"/>
  </r>
  <r>
    <x v="0"/>
    <x v="0"/>
    <s v="OP-S-100"/>
    <x v="179"/>
    <d v="2025-10-18T00:00:00"/>
    <n v="36"/>
    <x v="0"/>
    <n v="0"/>
    <n v="0"/>
    <n v="0"/>
    <n v="0"/>
    <n v="0"/>
    <n v="0"/>
    <n v="0"/>
    <n v="1"/>
    <n v="0"/>
    <n v="3"/>
    <n v="1"/>
    <n v="0"/>
    <s v="https://www.clickideacore.com/ClickHTML5/Visit.aspx?ID=//58DAEwASwAzADYANAA4ADIAMgAwADcASQBEAEUAQQAD=&amp;Tipo=2&amp;ST=1&amp;nLang=0"/>
    <n v="0"/>
    <n v="0"/>
    <n v="0"/>
    <n v="0"/>
    <n v="0"/>
    <n v="0"/>
    <n v="0"/>
    <n v="0"/>
  </r>
  <r>
    <x v="11"/>
    <x v="6"/>
    <s v="OP-S-100"/>
    <x v="179"/>
    <d v="2025-10-18T00:00:00"/>
    <n v="36"/>
    <x v="0"/>
    <n v="0"/>
    <n v="0"/>
    <n v="0"/>
    <n v="0"/>
    <n v="0"/>
    <n v="0"/>
    <n v="0"/>
    <n v="1"/>
    <n v="0"/>
    <n v="3"/>
    <n v="1"/>
    <n v="0"/>
    <s v="https://www.clickideacore.com/ClickHTML5/Visit.aspx?ID=//58DAEwASwAzADYANAA4ADIAMgAwADcASQBEAEUAQQAD=&amp;Tipo=2&amp;ST=1&amp;nLang=0"/>
    <n v="0"/>
    <n v="0"/>
    <n v="0"/>
    <n v="0"/>
    <n v="0"/>
    <n v="0"/>
    <n v="0"/>
    <n v="0"/>
  </r>
  <r>
    <x v="2"/>
    <x v="2"/>
    <s v="OP-S-200"/>
    <x v="179"/>
    <d v="2025-10-18T00:00:00"/>
    <n v="14"/>
    <x v="0"/>
    <n v="0"/>
    <n v="0"/>
    <n v="0"/>
    <n v="0"/>
    <n v="0"/>
    <n v="0"/>
    <n v="0"/>
    <n v="1"/>
    <n v="0"/>
    <n v="1"/>
    <n v="1"/>
    <n v="0"/>
    <s v="https://www.clickideacore.com/ClickHTML5/Visit.aspx?ID=//53DAEwASwAzADYANAA4ADAAMgA3ADUASQBEAEUAQQAE=&amp;Tipo=2&amp;ST=1&amp;nLang=0"/>
    <n v="0"/>
    <n v="0"/>
    <n v="0"/>
    <n v="0"/>
    <n v="0"/>
    <n v="0"/>
    <n v="0"/>
    <n v="0"/>
  </r>
  <r>
    <x v="17"/>
    <x v="17"/>
    <s v="OP-DYR-00001"/>
    <x v="179"/>
    <d v="2025-10-18T00:00:00"/>
    <n v="34"/>
    <x v="0"/>
    <n v="0"/>
    <n v="0"/>
    <n v="0"/>
    <n v="0"/>
    <n v="0"/>
    <n v="0"/>
    <n v="0"/>
    <n v="1"/>
    <n v="0"/>
    <n v="3"/>
    <n v="1"/>
    <n v="0"/>
    <s v="https://www.clickideacore.com/ClickHTML5/Visit.aspx?ID=//50DAEwASwAzADYANAA3ADkANAA3ADcASQBEAEUAQQAC=&amp;Tipo=2&amp;ST=1&amp;nLang=0"/>
    <n v="0"/>
    <n v="0"/>
    <n v="0"/>
    <n v="0"/>
    <n v="0"/>
    <n v="0"/>
    <n v="0"/>
    <n v="0"/>
  </r>
  <r>
    <x v="1"/>
    <x v="1"/>
    <s v="OP-DYR-005"/>
    <x v="179"/>
    <d v="2025-10-18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4"/>
    <x v="8"/>
    <s v="OP-DYR-005"/>
    <x v="179"/>
    <d v="2025-10-18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3"/>
    <x v="3"/>
    <s v="OP-DYR-005"/>
    <x v="179"/>
    <d v="2025-10-18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79"/>
    <d v="2025-10-1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80"/>
    <d v="2025-10-19T00:00:00"/>
    <n v="48"/>
    <x v="0"/>
    <n v="0"/>
    <n v="0"/>
    <n v="0"/>
    <n v="0"/>
    <n v="0"/>
    <n v="0"/>
    <n v="0"/>
    <n v="0"/>
    <n v="1"/>
    <n v="1"/>
    <n v="0"/>
    <n v="1"/>
    <s v="https://www.clickideacore.com/ClickHTML5/Visit.aspx?ID=//56DAEwASwAzADYANAA4ADgANwA0ADQASQBEAEUAQQA4=&amp;Tipo=2&amp;ST=1&amp;nLang=0"/>
    <n v="16"/>
    <n v="0"/>
    <n v="0"/>
    <n v="0"/>
    <n v="0"/>
    <n v="0"/>
    <n v="0"/>
    <n v="0"/>
  </r>
  <r>
    <x v="19"/>
    <x v="6"/>
    <s v="OP-DYR-011"/>
    <x v="180"/>
    <d v="2025-10-19T00:00:00"/>
    <n v="48"/>
    <x v="0"/>
    <n v="0"/>
    <n v="0"/>
    <n v="0"/>
    <n v="0"/>
    <n v="0"/>
    <n v="0"/>
    <n v="0"/>
    <n v="0"/>
    <n v="1"/>
    <n v="1"/>
    <n v="0"/>
    <n v="1"/>
    <s v="https://www.clickideacore.com/ClickHTML5/Visit.aspx?ID=//56DAEwASwAzADYANAA4ADgANwA0ADQASQBEAEUAQQA4=&amp;Tipo=2&amp;ST=1&amp;nLang=0"/>
    <n v="16"/>
    <n v="0"/>
    <n v="0"/>
    <n v="0"/>
    <n v="0"/>
    <n v="0"/>
    <n v="0"/>
    <n v="0"/>
  </r>
  <r>
    <x v="5"/>
    <x v="4"/>
    <s v="OP-S-005"/>
    <x v="180"/>
    <d v="2025-10-19T00:00:00"/>
    <n v="65"/>
    <x v="0"/>
    <n v="0"/>
    <n v="0"/>
    <n v="0"/>
    <n v="0"/>
    <n v="0"/>
    <n v="0"/>
    <n v="0"/>
    <n v="0"/>
    <n v="0"/>
    <n v="5"/>
    <n v="0"/>
    <n v="1"/>
    <s v="https://www.clickideacore.com/ClickHTML5/Visit.aspx?ID=//5FDAEwASwAzADYANAA4ADgAMQA0ADcASQBEAEUAQQAC=&amp;Tipo=2&amp;ST=1&amp;nLang=0"/>
    <n v="16"/>
    <n v="0"/>
    <n v="0"/>
    <n v="0"/>
    <n v="0"/>
    <n v="0"/>
    <n v="0"/>
    <n v="1"/>
  </r>
  <r>
    <x v="0"/>
    <x v="0"/>
    <s v="OP-S-100"/>
    <x v="180"/>
    <d v="2025-10-19T00:00:00"/>
    <n v="28"/>
    <x v="0"/>
    <n v="0"/>
    <n v="0"/>
    <n v="0"/>
    <n v="0"/>
    <n v="0"/>
    <n v="0"/>
    <n v="0"/>
    <n v="0"/>
    <n v="1"/>
    <n v="2"/>
    <n v="0"/>
    <n v="1"/>
    <s v="https://www.clickideacore.com/ClickHTML5/Visit.aspx?ID=//56DAEwASwAzADYANAA4ADgANgAyADMASQBEAEUAQQA8=&amp;Tipo=2&amp;ST=1&amp;nLang=0"/>
    <n v="0"/>
    <n v="0"/>
    <n v="0"/>
    <n v="0"/>
    <n v="0"/>
    <n v="0"/>
    <n v="0"/>
    <n v="0"/>
  </r>
  <r>
    <x v="2"/>
    <x v="2"/>
    <s v="OP-S-200"/>
    <x v="180"/>
    <d v="2025-10-19T00:00:00"/>
    <n v="13"/>
    <x v="0"/>
    <n v="0"/>
    <n v="0"/>
    <n v="0"/>
    <n v="0"/>
    <n v="0"/>
    <n v="0"/>
    <n v="0"/>
    <n v="0"/>
    <n v="1"/>
    <n v="2"/>
    <n v="0"/>
    <n v="1"/>
    <s v="https://www.clickideacore.com/ClickHTML5/Visit.aspx?ID=//51DAEwASwAzADYANAA4ADcAOQAyADMASQBEAEUAQQA8=&amp;Tipo=2&amp;ST=1&amp;nLang=0"/>
    <n v="0"/>
    <n v="0"/>
    <n v="0"/>
    <n v="0"/>
    <n v="0"/>
    <n v="0"/>
    <n v="0"/>
    <n v="0"/>
  </r>
  <r>
    <x v="17"/>
    <x v="6"/>
    <s v="OP-DYR-00001"/>
    <x v="180"/>
    <d v="2025-10-19T00:00:00"/>
    <n v="112"/>
    <x v="0"/>
    <n v="0"/>
    <n v="0"/>
    <n v="1"/>
    <n v="0"/>
    <n v="0"/>
    <n v="0"/>
    <n v="0"/>
    <n v="0"/>
    <n v="1"/>
    <n v="3"/>
    <n v="0"/>
    <n v="1"/>
    <s v="https://www.clickideacore.com/ClickHTML5/Visit.aspx?ID=//5CDAEwASwAzADYANAA4ADkAMQA2ADAASQBEAEUAQQA0=&amp;Tipo=2&amp;ST=1&amp;nLang=0"/>
    <n v="0"/>
    <n v="0"/>
    <n v="0"/>
    <n v="0"/>
    <n v="0"/>
    <n v="0"/>
    <n v="0"/>
    <n v="0"/>
  </r>
  <r>
    <x v="11"/>
    <x v="6"/>
    <s v="OP-DYR-00001"/>
    <x v="180"/>
    <d v="2025-10-19T00:00:00"/>
    <n v="112"/>
    <x v="0"/>
    <n v="0"/>
    <n v="0"/>
    <n v="1"/>
    <n v="0"/>
    <n v="0"/>
    <n v="0"/>
    <n v="0"/>
    <n v="0"/>
    <n v="1"/>
    <n v="3"/>
    <n v="0"/>
    <n v="1"/>
    <s v="https://www.clickideacore.com/ClickHTML5/Visit.aspx?ID=//5CDAEwASwAzADYANAA4ADkAMQA2ADAASQBEAEUAQQA0=&amp;Tipo=2&amp;ST=1&amp;nLang=0"/>
    <n v="0"/>
    <n v="0"/>
    <n v="0"/>
    <n v="0"/>
    <n v="0"/>
    <n v="0"/>
    <n v="0"/>
    <n v="0"/>
  </r>
  <r>
    <x v="1"/>
    <x v="1"/>
    <s v="OP-DYR-005"/>
    <x v="180"/>
    <d v="2025-10-19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4"/>
    <x v="8"/>
    <s v="OP-DYR-005"/>
    <x v="180"/>
    <d v="2025-10-19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3"/>
    <x v="3"/>
    <s v="OP-DYR-005"/>
    <x v="180"/>
    <d v="2025-10-19T00:00:00"/>
    <n v="32"/>
    <x v="5"/>
    <n v="0"/>
    <n v="0"/>
    <n v="0"/>
    <n v="0"/>
    <n v="0"/>
    <n v="0"/>
    <n v="0"/>
    <n v="0"/>
    <n v="0"/>
    <n v="0"/>
    <n v="0"/>
    <n v="0"/>
    <s v="https://www.clickideacore.com/ClickHTML5/Visit.aspx?ID=//5BDAEwASwAzADYAMgAxADEAMwA1ADAASQBEAEUAQQAF=&amp;Tipo=2&amp;ST=1&amp;nLang=0"/>
    <n v="0"/>
    <n v="0"/>
    <n v="0"/>
    <n v="0"/>
    <n v="0"/>
    <n v="0"/>
    <n v="0"/>
    <n v="0"/>
  </r>
  <r>
    <x v="9"/>
    <x v="7"/>
    <s v="OP-S-0010"/>
    <x v="180"/>
    <d v="2025-10-1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81"/>
    <d v="2025-10-20T00:00:00"/>
    <n v="23"/>
    <x v="0"/>
    <n v="6"/>
    <n v="0"/>
    <n v="0"/>
    <n v="0"/>
    <n v="0"/>
    <n v="1"/>
    <n v="0"/>
    <n v="0"/>
    <n v="0"/>
    <n v="0"/>
    <n v="0"/>
    <n v="0"/>
    <s v="https://www.clickideacore.com/ClickHTML5/Visit.aspx?ID=//59DAEwASwAzADYANQAwADUANwA0ADIASQBEAEUAQQA1=&amp;Tipo=2&amp;ST=1&amp;nLang=0"/>
    <n v="0"/>
    <n v="29"/>
    <n v="0"/>
    <n v="0"/>
    <n v="0"/>
    <n v="0"/>
    <n v="0"/>
    <n v="0"/>
  </r>
  <r>
    <x v="19"/>
    <x v="6"/>
    <s v="OP-DYR-011"/>
    <x v="181"/>
    <d v="2025-10-20T00:00:00"/>
    <n v="23"/>
    <x v="0"/>
    <n v="6"/>
    <n v="0"/>
    <n v="0"/>
    <n v="0"/>
    <n v="0"/>
    <n v="1"/>
    <n v="0"/>
    <n v="0"/>
    <n v="0"/>
    <n v="0"/>
    <n v="0"/>
    <n v="0"/>
    <s v="https://www.clickideacore.com/ClickHTML5/Visit.aspx?ID=//59DAEwASwAzADYANQAwADUANwA0ADIASQBEAEUAQQA1=&amp;Tipo=2&amp;ST=1&amp;nLang=0"/>
    <n v="0"/>
    <n v="29"/>
    <n v="0"/>
    <n v="0"/>
    <n v="0"/>
    <n v="0"/>
    <n v="0"/>
    <n v="0"/>
  </r>
  <r>
    <x v="0"/>
    <x v="6"/>
    <s v="OP-S-100"/>
    <x v="181"/>
    <d v="2025-10-20T00:00:00"/>
    <n v="26"/>
    <x v="0"/>
    <n v="0"/>
    <n v="0"/>
    <n v="0"/>
    <n v="0"/>
    <n v="0"/>
    <n v="0"/>
    <n v="0"/>
    <n v="0"/>
    <n v="0"/>
    <n v="0"/>
    <n v="0"/>
    <n v="0"/>
    <s v="https://www.clickideacore.com/ClickHTML5/Visit.aspx?ID=//59DAEwASwAzADYANQAwADgANwA3ADkASQBEAEUAQQA9=&amp;Tipo=2&amp;ST=1&amp;nLang=0"/>
    <n v="0"/>
    <n v="0"/>
    <n v="10"/>
    <n v="0"/>
    <n v="0"/>
    <n v="0"/>
    <n v="0"/>
    <n v="0"/>
  </r>
  <r>
    <x v="1"/>
    <x v="1"/>
    <s v="OP-DYR-004"/>
    <x v="181"/>
    <d v="2025-10-20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1DAEwASwAzADYANQAxADIAMQA2ADgASQBEAEUAQQA5=&amp;Tipo=2&amp;ST=1&amp;nLang=0"/>
    <n v="0"/>
    <n v="34"/>
    <n v="0"/>
    <n v="0"/>
    <n v="0"/>
    <n v="0"/>
    <n v="0"/>
    <n v="0"/>
  </r>
  <r>
    <x v="2"/>
    <x v="2"/>
    <s v="OP-S-200"/>
    <x v="181"/>
    <d v="2025-10-20T00:00:00"/>
    <n v="21"/>
    <x v="0"/>
    <n v="0"/>
    <n v="1"/>
    <n v="0"/>
    <n v="0"/>
    <n v="0"/>
    <n v="0"/>
    <n v="0"/>
    <n v="0"/>
    <n v="0"/>
    <n v="0"/>
    <n v="0"/>
    <n v="0"/>
    <s v="https://www.clickideacore.com/ClickHTML5/Visit.aspx?ID=//53DAEwASwAzADYANQAwADYAMQAxADUASQBEAEUAQQA7=&amp;Tipo=2&amp;ST=1&amp;nLang=0"/>
    <n v="0"/>
    <n v="64"/>
    <n v="0"/>
    <n v="0"/>
    <n v="0"/>
    <n v="0"/>
    <n v="0"/>
    <n v="0"/>
  </r>
  <r>
    <x v="5"/>
    <x v="4"/>
    <s v="OP-DYR-00001"/>
    <x v="181"/>
    <d v="2025-10-20T00:00:00"/>
    <n v="65"/>
    <x v="0"/>
    <n v="8"/>
    <n v="0"/>
    <n v="0"/>
    <n v="1"/>
    <n v="0"/>
    <n v="0"/>
    <n v="0"/>
    <n v="0"/>
    <n v="0"/>
    <n v="0"/>
    <n v="0"/>
    <n v="0"/>
    <s v="https://www.clickideacore.com/ClickHTML5/Visit.aspx?ID=//53DAEwASwAzADYANQAyADAANgAyADAASQBEAEUAQQA4=&amp;Tipo=2&amp;ST=1&amp;nLang=0"/>
    <n v="0"/>
    <n v="1"/>
    <n v="0"/>
    <n v="0"/>
    <n v="0"/>
    <n v="0"/>
    <n v="0"/>
    <n v="0"/>
  </r>
  <r>
    <x v="17"/>
    <x v="0"/>
    <s v="OP-DYR-00001"/>
    <x v="181"/>
    <d v="2025-10-20T00:00:00"/>
    <n v="132"/>
    <x v="0"/>
    <n v="2"/>
    <n v="0"/>
    <n v="0"/>
    <n v="0"/>
    <n v="0"/>
    <n v="0"/>
    <n v="0"/>
    <n v="0"/>
    <n v="0"/>
    <n v="0"/>
    <n v="0"/>
    <n v="0"/>
    <s v="https://www.clickideacore.com/ClickHTML5/Visit.aspx?ID=//54DAEwASwAzADYANQAwADMAOAAxADEASQBEAEUAQQA2=&amp;Tipo=2&amp;ST=1&amp;nLang=0"/>
    <n v="0"/>
    <n v="21"/>
    <n v="0"/>
    <n v="0"/>
    <n v="0"/>
    <n v="0"/>
    <n v="0"/>
    <n v="0"/>
  </r>
  <r>
    <x v="3"/>
    <x v="3"/>
    <s v="OP-S-076"/>
    <x v="181"/>
    <d v="2025-10-20T00:00:00"/>
    <n v="21"/>
    <x v="0"/>
    <n v="10"/>
    <n v="0"/>
    <n v="0"/>
    <n v="0"/>
    <n v="0"/>
    <n v="0"/>
    <n v="0"/>
    <n v="0"/>
    <n v="0"/>
    <n v="0"/>
    <n v="0"/>
    <n v="0"/>
    <s v="https://www.clickideacore.com/ClickHTML5/Visit.aspx?ID=//55DAEwASwAzADYANAA5ADkANAA1ADgASQBEAEUAQQA4=&amp;Tipo=2&amp;ST=1&amp;nLang=0"/>
    <n v="0"/>
    <n v="0"/>
    <n v="0"/>
    <n v="0"/>
    <n v="0"/>
    <n v="0"/>
    <n v="0"/>
    <n v="0"/>
  </r>
  <r>
    <x v="4"/>
    <x v="8"/>
    <s v="OP-DYR-005"/>
    <x v="181"/>
    <d v="2025-10-20T00:00:00"/>
    <n v="20"/>
    <x v="0"/>
    <n v="0"/>
    <n v="0"/>
    <n v="0"/>
    <n v="0"/>
    <n v="0"/>
    <n v="0"/>
    <n v="0"/>
    <n v="0"/>
    <n v="0"/>
    <n v="0"/>
    <n v="0"/>
    <n v="0"/>
    <s v="https://www.clickideacore.com/ClickHTML5/Visit.aspx?ID=//57DAEwASwAzADYANQAwADgAOAA0ADUASQBEAEUAQQA3=&amp;Tipo=2&amp;ST=1&amp;nLang=0"/>
    <n v="0"/>
    <n v="36"/>
    <n v="0"/>
    <n v="0"/>
    <n v="0"/>
    <n v="0"/>
    <n v="0"/>
    <n v="0"/>
  </r>
  <r>
    <x v="9"/>
    <x v="7"/>
    <s v="OP-S-0010"/>
    <x v="181"/>
    <d v="2025-10-2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82"/>
    <d v="2025-10-21T00:00:00"/>
    <n v="56"/>
    <x v="0"/>
    <n v="36"/>
    <n v="0"/>
    <n v="0"/>
    <n v="1"/>
    <n v="0"/>
    <n v="0"/>
    <n v="0"/>
    <n v="0"/>
    <n v="0"/>
    <n v="0"/>
    <n v="0"/>
    <n v="0"/>
    <s v="https://www.clickideacore.com/ClickHTML5/Visit.aspx?ID=//58DAEwASwAzADYANQAyADgANgAyADUASQBEAEUAQQA5=&amp;Tipo=2&amp;ST=1&amp;nLang=0"/>
    <n v="0"/>
    <n v="0"/>
    <n v="0"/>
    <n v="0"/>
    <n v="0"/>
    <n v="0"/>
    <n v="0"/>
    <n v="0"/>
  </r>
  <r>
    <x v="19"/>
    <x v="6"/>
    <s v="OP-DYR-011"/>
    <x v="182"/>
    <d v="2025-10-21T00:00:00"/>
    <n v="56"/>
    <x v="0"/>
    <n v="36"/>
    <n v="0"/>
    <n v="0"/>
    <n v="1"/>
    <n v="0"/>
    <n v="0"/>
    <n v="0"/>
    <n v="0"/>
    <n v="0"/>
    <n v="0"/>
    <n v="0"/>
    <n v="0"/>
    <s v="https://www.clickideacore.com/ClickHTML5/Visit.aspx?ID=//58DAEwASwAzADYANQAyADgANgAyADUASQBEAEUAQQA5=&amp;Tipo=2&amp;ST=1&amp;nLang=0"/>
    <n v="0"/>
    <n v="0"/>
    <n v="0"/>
    <n v="0"/>
    <n v="0"/>
    <n v="0"/>
    <n v="0"/>
    <n v="0"/>
  </r>
  <r>
    <x v="0"/>
    <x v="0"/>
    <s v="OP-S-100"/>
    <x v="182"/>
    <d v="2025-10-21T00:00:00"/>
    <n v="42"/>
    <x v="0"/>
    <n v="40"/>
    <n v="0"/>
    <n v="0"/>
    <n v="0"/>
    <n v="1"/>
    <n v="1"/>
    <n v="0"/>
    <n v="0"/>
    <n v="0"/>
    <n v="0"/>
    <n v="0"/>
    <n v="0"/>
    <s v="https://www.clickideacore.com/ClickHTML5/Visit.aspx?ID=//5ADAEwASwAzADYANQAyADkAMAA5ADcASQBEAEUAQQAB=&amp;Tipo=2&amp;ST=1&amp;nLang=0"/>
    <n v="0"/>
    <n v="0"/>
    <n v="0"/>
    <n v="0"/>
    <n v="0"/>
    <n v="0"/>
    <n v="0"/>
    <n v="0"/>
  </r>
  <r>
    <x v="1"/>
    <x v="1"/>
    <s v="OP-DYR-004"/>
    <x v="182"/>
    <d v="2025-10-21T00:00:00"/>
    <n v="23"/>
    <x v="0"/>
    <n v="16"/>
    <n v="0"/>
    <n v="0"/>
    <n v="1"/>
    <n v="0"/>
    <n v="0"/>
    <n v="0"/>
    <n v="0"/>
    <n v="0"/>
    <n v="0"/>
    <n v="0"/>
    <n v="0"/>
    <s v="https://www.clickideacore.com/ClickHTML5/Visit.aspx?ID=//56DAEwASwAzADYANQAzADUAMgA4ADgASQBEAEUAQQA6=&amp;Tipo=2&amp;ST=1&amp;nLang=0"/>
    <n v="0"/>
    <n v="0"/>
    <n v="0"/>
    <n v="0"/>
    <n v="0"/>
    <n v="0"/>
    <n v="0"/>
    <n v="0"/>
  </r>
  <r>
    <x v="17"/>
    <x v="4"/>
    <s v="OP-DYR-00001"/>
    <x v="182"/>
    <d v="2025-10-21T00:00:00"/>
    <n v="65"/>
    <x v="0"/>
    <n v="10"/>
    <n v="0"/>
    <n v="0"/>
    <n v="0"/>
    <n v="0"/>
    <n v="0"/>
    <n v="0"/>
    <n v="0"/>
    <n v="0"/>
    <n v="0"/>
    <n v="0"/>
    <n v="0"/>
    <s v="https://www.clickideacore.com/ClickHTML5/Visit.aspx?ID=//53DAEwASwAzADYANQAyADAANgAyADAASQBEAEUAQQA4=&amp;Tipo=2&amp;ST=1&amp;nLang=0"/>
    <n v="0"/>
    <n v="0"/>
    <n v="0"/>
    <n v="0"/>
    <n v="0"/>
    <n v="0"/>
    <n v="0"/>
    <n v="0"/>
  </r>
  <r>
    <x v="4"/>
    <x v="8"/>
    <s v="OP-DYR-00001"/>
    <x v="182"/>
    <d v="2025-10-21T00:00:00"/>
    <n v="65"/>
    <x v="0"/>
    <n v="14"/>
    <n v="0"/>
    <n v="0"/>
    <n v="1"/>
    <n v="0"/>
    <n v="0"/>
    <n v="0"/>
    <n v="0"/>
    <n v="0"/>
    <n v="0"/>
    <n v="0"/>
    <n v="0"/>
    <s v="https://www.clickideacore.com/ClickHTML5/Visit.aspx?ID=//53DAEwASwAzADYANQAyADAANgAyADAASQBEAEUAQQA4=&amp;Tipo=2&amp;ST=1&amp;nLang=0"/>
    <n v="0"/>
    <n v="0"/>
    <n v="0"/>
    <n v="0"/>
    <n v="0"/>
    <n v="0"/>
    <n v="0"/>
    <n v="0"/>
  </r>
  <r>
    <x v="5"/>
    <x v="4"/>
    <s v="OP-DYR-00001"/>
    <x v="182"/>
    <d v="2025-10-21T00:00:00"/>
    <n v="65"/>
    <x v="0"/>
    <n v="36"/>
    <n v="0"/>
    <n v="0"/>
    <n v="1"/>
    <n v="0"/>
    <n v="0"/>
    <n v="0"/>
    <n v="0"/>
    <n v="0"/>
    <n v="0"/>
    <n v="0"/>
    <n v="0"/>
    <s v="https://www.clickideacore.com/ClickHTML5/Visit.aspx?ID=//53DAEwASwAzADYANQAyADAANgAyADAASQBEAEUAQQA4=&amp;Tipo=2&amp;ST=1&amp;nLang=0"/>
    <n v="0"/>
    <n v="0"/>
    <n v="0"/>
    <n v="0"/>
    <n v="0"/>
    <n v="0"/>
    <n v="0"/>
    <n v="0"/>
  </r>
  <r>
    <x v="9"/>
    <x v="4"/>
    <s v="OP-DYR-00001"/>
    <x v="182"/>
    <d v="2025-10-21T00:00:00"/>
    <n v="65"/>
    <x v="0"/>
    <n v="46"/>
    <n v="0"/>
    <n v="0"/>
    <n v="1"/>
    <n v="0"/>
    <n v="0"/>
    <n v="0"/>
    <n v="0"/>
    <n v="0"/>
    <n v="0"/>
    <n v="0"/>
    <n v="0"/>
    <s v="https://www.clickideacore.com/ClickHTML5/Visit.aspx?ID=//53DAEwASwAzADYANQAyADAANgAyADAASQBEAEUAQQA4=&amp;Tipo=2&amp;ST=1&amp;nLang=0"/>
    <n v="0"/>
    <n v="0"/>
    <n v="0"/>
    <n v="0"/>
    <n v="0"/>
    <n v="0"/>
    <n v="0"/>
    <n v="0"/>
  </r>
  <r>
    <x v="2"/>
    <x v="2"/>
    <s v="OP-S-0010"/>
    <x v="182"/>
    <d v="2025-10-2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82"/>
    <d v="2025-10-2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2"/>
    <d v="2025-10-2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83"/>
    <d v="2025-10-22T00:00:00"/>
    <n v="41"/>
    <x v="0"/>
    <n v="40"/>
    <n v="0"/>
    <n v="0"/>
    <n v="1"/>
    <n v="0"/>
    <n v="0"/>
    <n v="0"/>
    <n v="0"/>
    <n v="0"/>
    <n v="1"/>
    <n v="0"/>
    <n v="0"/>
    <s v="https://www.clickideacore.com/ClickHTML5/Visit.aspx?ID=//52DAEwASwAzADYANQA1ADQAMQA0ADYASQBEAEUAQQA1=&amp;Tipo=2&amp;ST=1&amp;nLang=0"/>
    <n v="0"/>
    <n v="47"/>
    <n v="0"/>
    <n v="0"/>
    <n v="0"/>
    <n v="0"/>
    <n v="0"/>
    <n v="0"/>
  </r>
  <r>
    <x v="1"/>
    <x v="1"/>
    <s v="OP-DYR-004"/>
    <x v="183"/>
    <d v="2025-10-22T00:00:00"/>
    <n v="21"/>
    <x v="0"/>
    <n v="24"/>
    <n v="0"/>
    <n v="0"/>
    <n v="1"/>
    <n v="0"/>
    <n v="1"/>
    <n v="0"/>
    <n v="0"/>
    <n v="0"/>
    <n v="0"/>
    <n v="0"/>
    <n v="0"/>
    <s v="https://www.clickideacore.com/ClickHTML5/Visit.aspx?ID=//55DAEwASwAzADYANQA1ADYAMwA5ADkASQBEAEUAQQA3=&amp;Tipo=2&amp;ST=1&amp;nLang=0"/>
    <n v="0"/>
    <n v="34"/>
    <n v="0"/>
    <n v="0"/>
    <n v="0"/>
    <n v="0"/>
    <n v="0"/>
    <n v="0"/>
  </r>
  <r>
    <x v="2"/>
    <x v="2"/>
    <s v="OP-S-200"/>
    <x v="183"/>
    <d v="2025-10-22T00:00:00"/>
    <n v="35"/>
    <x v="0"/>
    <n v="12"/>
    <n v="0"/>
    <n v="0"/>
    <n v="0"/>
    <n v="1"/>
    <n v="0"/>
    <n v="0"/>
    <n v="0"/>
    <n v="0"/>
    <n v="0"/>
    <n v="0"/>
    <n v="0"/>
    <s v="https://www.clickideacore.com/ClickHTML5/Visit.aspx?ID=//5EDAEwASwAzADYANQA1ADMANwAzADQASQBEAEUAQQAA=&amp;Tipo=2&amp;ST=1&amp;nLang=0"/>
    <n v="0"/>
    <n v="55"/>
    <n v="0"/>
    <n v="0"/>
    <n v="0"/>
    <n v="0"/>
    <n v="0"/>
    <n v="0"/>
  </r>
  <r>
    <x v="17"/>
    <x v="6"/>
    <s v="OP-DYR-00001"/>
    <x v="183"/>
    <d v="2025-10-22T00:00:00"/>
    <n v="44"/>
    <x v="0"/>
    <n v="24"/>
    <n v="0"/>
    <n v="0"/>
    <n v="1"/>
    <n v="0"/>
    <n v="0"/>
    <n v="0"/>
    <n v="0"/>
    <n v="0"/>
    <n v="1"/>
    <n v="0"/>
    <n v="0"/>
    <s v="https://www.clickideacore.com/ClickHTML5/Visit.aspx?ID=//5BDAEwASwAzADYANQA1ADQAOQAxADUASQBEAEUAQQA8=&amp;Tipo=2&amp;ST=1&amp;nLang=0"/>
    <n v="0"/>
    <n v="41"/>
    <n v="10"/>
    <n v="0"/>
    <n v="0"/>
    <n v="0"/>
    <n v="0"/>
    <n v="0"/>
  </r>
  <r>
    <x v="19"/>
    <x v="6"/>
    <s v="OP-DYR-00001"/>
    <x v="183"/>
    <d v="2025-10-22T00:00:00"/>
    <n v="44"/>
    <x v="0"/>
    <n v="24"/>
    <n v="0"/>
    <n v="0"/>
    <n v="1"/>
    <n v="0"/>
    <n v="0"/>
    <n v="0"/>
    <n v="0"/>
    <n v="0"/>
    <n v="1"/>
    <n v="0"/>
    <n v="0"/>
    <s v="https://www.clickideacore.com/ClickHTML5/Visit.aspx?ID=//5BDAEwASwAzADYANQA1ADQAOQAxADUASQBEAEUAQQA8=&amp;Tipo=2&amp;ST=1&amp;nLang=0"/>
    <n v="0"/>
    <n v="41"/>
    <n v="10"/>
    <n v="0"/>
    <n v="0"/>
    <n v="0"/>
    <n v="0"/>
    <n v="0"/>
  </r>
  <r>
    <x v="3"/>
    <x v="3"/>
    <s v="OP-S-076"/>
    <x v="183"/>
    <d v="2025-10-22T00:00:00"/>
    <n v="30"/>
    <x v="0"/>
    <n v="48"/>
    <n v="0"/>
    <n v="0"/>
    <n v="1"/>
    <n v="0"/>
    <n v="0"/>
    <n v="0"/>
    <n v="0"/>
    <n v="0"/>
    <n v="0"/>
    <n v="0"/>
    <n v="0"/>
    <s v="https://www.clickideacore.com/ClickHTML5/Visit.aspx?ID=//50DAEwASwAzADYANQA1ADUAMgA0ADgASQBEAEUAQQA2=&amp;Tipo=2&amp;ST=1&amp;nLang=0"/>
    <n v="0"/>
    <n v="24"/>
    <n v="0"/>
    <n v="0"/>
    <n v="0"/>
    <n v="0"/>
    <n v="0"/>
    <n v="0"/>
  </r>
  <r>
    <x v="5"/>
    <x v="4"/>
    <s v="OP-S-0010"/>
    <x v="183"/>
    <d v="2025-10-22T00:00:00"/>
    <n v="0"/>
    <x v="0"/>
    <n v="6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183"/>
    <d v="2025-10-2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83"/>
    <d v="2025-10-2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3"/>
    <d v="2025-10-2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84"/>
    <d v="2025-10-23T00:00:00"/>
    <n v="34"/>
    <x v="0"/>
    <n v="40"/>
    <n v="0"/>
    <n v="0"/>
    <n v="1"/>
    <n v="0"/>
    <n v="0"/>
    <n v="1"/>
    <n v="0"/>
    <n v="0"/>
    <n v="0"/>
    <n v="0"/>
    <n v="0"/>
    <s v="https://www.clickideacore.com/ClickHTML5/Visit.aspx?ID=//58DAEwASwAzADYANQA3ADYAMgAwADAASQBEAEUAQQA9=&amp;Tipo=2&amp;ST=1&amp;nLang=0"/>
    <n v="0"/>
    <n v="12"/>
    <n v="0"/>
    <n v="0"/>
    <n v="0"/>
    <n v="0"/>
    <n v="0"/>
    <n v="0"/>
  </r>
  <r>
    <x v="19"/>
    <x v="6"/>
    <s v="OP-DYR-011"/>
    <x v="184"/>
    <d v="2025-10-23T00:00:00"/>
    <n v="34"/>
    <x v="0"/>
    <n v="40"/>
    <n v="0"/>
    <n v="0"/>
    <n v="1"/>
    <n v="0"/>
    <n v="0"/>
    <n v="1"/>
    <n v="0"/>
    <n v="0"/>
    <n v="0"/>
    <n v="0"/>
    <n v="0"/>
    <s v="https://www.clickideacore.com/ClickHTML5/Visit.aspx?ID=//58DAEwASwAzADYANQA3ADYAMgAwADAASQBEAEUAQQA9=&amp;Tipo=2&amp;ST=1&amp;nLang=0"/>
    <n v="0"/>
    <n v="12"/>
    <n v="0"/>
    <n v="0"/>
    <n v="0"/>
    <n v="0"/>
    <n v="0"/>
    <n v="0"/>
  </r>
  <r>
    <x v="0"/>
    <x v="0"/>
    <s v="OP-S-100"/>
    <x v="184"/>
    <d v="2025-10-23T00:00:00"/>
    <n v="29"/>
    <x v="0"/>
    <n v="10"/>
    <n v="0"/>
    <n v="0"/>
    <n v="0"/>
    <n v="0"/>
    <n v="1"/>
    <n v="0"/>
    <n v="0"/>
    <n v="0"/>
    <n v="0"/>
    <n v="0"/>
    <n v="0"/>
    <s v="https://www.clickideacore.com/ClickHTML5/Visit.aspx?ID=//54DAEwASwAzADYANQA3ADUAMAAyADAASQBEAEUAQQA8=&amp;Tipo=2&amp;ST=1&amp;nLang=0"/>
    <n v="0"/>
    <n v="0"/>
    <n v="0"/>
    <n v="0"/>
    <n v="0"/>
    <n v="0"/>
    <n v="0"/>
    <n v="0"/>
  </r>
  <r>
    <x v="2"/>
    <x v="2"/>
    <s v="OP-S-200"/>
    <x v="184"/>
    <d v="2025-10-23T00:00:00"/>
    <n v="27"/>
    <x v="0"/>
    <n v="21"/>
    <n v="0"/>
    <n v="0"/>
    <n v="0"/>
    <n v="1"/>
    <n v="0"/>
    <n v="0"/>
    <n v="0"/>
    <n v="0"/>
    <n v="0"/>
    <n v="0"/>
    <n v="0"/>
    <s v="https://www.clickideacore.com/ClickHTML5/Visit.aspx?ID=//5FDAEwASwAzADYANQA3ADQANwAyADcASQBEAEUAQQA8=&amp;Tipo=2&amp;ST=1&amp;nLang=0"/>
    <n v="0"/>
    <n v="4"/>
    <n v="0"/>
    <n v="0"/>
    <n v="0"/>
    <n v="0"/>
    <n v="0"/>
    <n v="0"/>
  </r>
  <r>
    <x v="17"/>
    <x v="6"/>
    <s v="OP-DYR-00001"/>
    <x v="184"/>
    <d v="2025-10-23T00:00:00"/>
    <n v="42"/>
    <x v="0"/>
    <n v="3"/>
    <n v="0"/>
    <n v="0"/>
    <n v="0"/>
    <n v="0"/>
    <n v="1"/>
    <n v="0"/>
    <n v="0"/>
    <n v="0"/>
    <n v="0"/>
    <n v="0"/>
    <n v="0"/>
    <s v="https://www.clickideacore.com/ClickHTML5/Visit.aspx?ID=//59DAEwASwAzADYANQA3ADgAMAA4ADAASQBEAEUAQQA4=&amp;Tipo=2&amp;ST=1&amp;nLang=0"/>
    <n v="0"/>
    <n v="0"/>
    <n v="1"/>
    <n v="0"/>
    <n v="0"/>
    <n v="0"/>
    <n v="0"/>
    <n v="0"/>
  </r>
  <r>
    <x v="19"/>
    <x v="6"/>
    <s v="OP-DYR-00001"/>
    <x v="184"/>
    <d v="2025-10-23T00:00:00"/>
    <n v="42"/>
    <x v="0"/>
    <n v="3"/>
    <n v="0"/>
    <n v="0"/>
    <n v="0"/>
    <n v="0"/>
    <n v="1"/>
    <n v="0"/>
    <n v="0"/>
    <n v="0"/>
    <n v="0"/>
    <n v="0"/>
    <n v="0"/>
    <s v="https://www.clickideacore.com/ClickHTML5/Visit.aspx?ID=//59DAEwASwAzADYANQA3ADgAMAA4ADAASQBEAEUAQQA4=&amp;Tipo=2&amp;ST=1&amp;nLang=0"/>
    <n v="0"/>
    <n v="0"/>
    <n v="1"/>
    <n v="0"/>
    <n v="0"/>
    <n v="0"/>
    <n v="0"/>
    <n v="0"/>
  </r>
  <r>
    <x v="3"/>
    <x v="3"/>
    <s v="OP-S-076"/>
    <x v="184"/>
    <d v="2025-10-23T00:00:00"/>
    <n v="28"/>
    <x v="0"/>
    <n v="36"/>
    <n v="0"/>
    <n v="0"/>
    <n v="1"/>
    <n v="0"/>
    <n v="0"/>
    <n v="0"/>
    <n v="0"/>
    <n v="0"/>
    <n v="0"/>
    <n v="0"/>
    <n v="0"/>
    <s v="https://www.clickideacore.com/ClickHTML5/Visit.aspx?ID=//52DAEwASwAzADYANQA3ADcAMgA2ADEASQBEAEUAQQAB=&amp;Tipo=2&amp;ST=1&amp;nLang=0"/>
    <n v="0"/>
    <n v="20"/>
    <n v="0"/>
    <n v="0"/>
    <n v="0"/>
    <n v="0"/>
    <n v="0"/>
    <n v="0"/>
  </r>
  <r>
    <x v="4"/>
    <x v="8"/>
    <s v="OP-DYR-005"/>
    <x v="184"/>
    <d v="2025-10-23T00:00:00"/>
    <n v="26"/>
    <x v="0"/>
    <n v="16"/>
    <n v="0"/>
    <n v="0"/>
    <n v="1"/>
    <n v="0"/>
    <n v="0"/>
    <n v="1"/>
    <n v="0"/>
    <n v="0"/>
    <n v="0"/>
    <n v="0"/>
    <n v="0"/>
    <s v="https://www.clickideacore.com/ClickHTML5/Visit.aspx?ID=//5DDAEwASwAzADYANQA3ADgANAA4ADQASQBEAEUAQQAC=&amp;Tipo=2&amp;ST=1&amp;nLang=0"/>
    <n v="0"/>
    <n v="0"/>
    <n v="0"/>
    <n v="0"/>
    <n v="0"/>
    <n v="0"/>
    <n v="0"/>
    <n v="0"/>
  </r>
  <r>
    <x v="1"/>
    <x v="1"/>
    <s v="OP-S-0010"/>
    <x v="184"/>
    <d v="2025-10-2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4"/>
    <d v="2025-10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85"/>
    <d v="2025-10-24T00:00:00"/>
    <n v="18"/>
    <x v="0"/>
    <n v="28"/>
    <n v="0"/>
    <n v="1"/>
    <n v="1"/>
    <n v="0"/>
    <n v="0"/>
    <n v="1"/>
    <n v="0"/>
    <n v="0"/>
    <n v="0"/>
    <n v="0"/>
    <n v="0"/>
    <s v="https://www.clickideacore.com/ClickHTML5/Visit.aspx?ID=//50DAEwASwAzADYANgAwADEANQAxADMASQBEAEUAQQA5=&amp;Tipo=2&amp;ST=1&amp;nLang=0"/>
    <n v="0"/>
    <n v="17"/>
    <n v="0"/>
    <n v="0"/>
    <n v="0"/>
    <n v="0"/>
    <n v="0"/>
    <n v="0"/>
  </r>
  <r>
    <x v="9"/>
    <x v="4"/>
    <s v="OP-DYR-011"/>
    <x v="185"/>
    <d v="2025-10-24T00:00:00"/>
    <n v="18"/>
    <x v="0"/>
    <n v="28"/>
    <n v="0"/>
    <n v="1"/>
    <n v="1"/>
    <n v="0"/>
    <n v="0"/>
    <n v="1"/>
    <n v="0"/>
    <n v="0"/>
    <n v="0"/>
    <n v="0"/>
    <n v="0"/>
    <s v="https://www.clickideacore.com/ClickHTML5/Visit.aspx?ID=//50DAEwASwAzADYANgAwADEANQAxADMASQBEAEUAQQA5=&amp;Tipo=2&amp;ST=1&amp;nLang=0"/>
    <n v="0"/>
    <n v="27"/>
    <n v="0"/>
    <n v="0"/>
    <n v="0"/>
    <n v="0"/>
    <n v="0"/>
    <n v="0"/>
  </r>
  <r>
    <x v="1"/>
    <x v="1"/>
    <s v="OP-DYR-004"/>
    <x v="185"/>
    <d v="2025-10-24T00:00:00"/>
    <n v="21"/>
    <x v="0"/>
    <n v="17"/>
    <n v="0"/>
    <n v="0"/>
    <n v="1"/>
    <n v="0"/>
    <n v="0"/>
    <n v="1"/>
    <n v="0"/>
    <n v="0"/>
    <n v="0"/>
    <n v="0"/>
    <n v="0"/>
    <s v="https://www.clickideacore.com/ClickHTML5/Visit.aspx?ID=//52DAEwASwAzADYANgAwADEAMQA2ADIASQBEAEUAQQAA=&amp;Tipo=2&amp;ST=1&amp;nLang=0"/>
    <n v="0"/>
    <n v="28"/>
    <n v="0"/>
    <n v="0"/>
    <n v="0"/>
    <n v="0"/>
    <n v="0"/>
    <n v="0"/>
  </r>
  <r>
    <x v="2"/>
    <x v="2"/>
    <s v="OP-S-200"/>
    <x v="185"/>
    <d v="2025-10-24T00:00:00"/>
    <n v="21"/>
    <x v="0"/>
    <n v="18"/>
    <n v="0"/>
    <n v="1"/>
    <n v="0"/>
    <n v="1"/>
    <n v="0"/>
    <n v="1"/>
    <n v="0"/>
    <n v="0"/>
    <n v="0"/>
    <n v="0"/>
    <n v="0"/>
    <s v="https://www.clickideacore.com/ClickHTML5/Visit.aspx?ID=//58DAEwASwAzADYANgAwADAANAA2ADUASQBEAEUAQQAB=&amp;Tipo=2&amp;ST=1&amp;nLang=0"/>
    <n v="0"/>
    <n v="42"/>
    <n v="0"/>
    <n v="0"/>
    <n v="0"/>
    <n v="0"/>
    <n v="0"/>
    <n v="0"/>
  </r>
  <r>
    <x v="3"/>
    <x v="3"/>
    <s v="OP-S-076"/>
    <x v="185"/>
    <d v="2025-10-24T00:00:00"/>
    <n v="54"/>
    <x v="0"/>
    <n v="39"/>
    <n v="0"/>
    <n v="1"/>
    <n v="1"/>
    <n v="0"/>
    <n v="0"/>
    <n v="1"/>
    <n v="0"/>
    <n v="0"/>
    <n v="0"/>
    <n v="0"/>
    <n v="0"/>
    <s v="https://www.clickideacore.com/ClickHTML5/Visit.aspx?ID=//54DAEwASwAzADYANQA5ADkAMgA4ADYASQBEAEUAQQA6=&amp;Tipo=2&amp;ST=1&amp;nLang=0"/>
    <n v="0"/>
    <n v="21"/>
    <n v="0"/>
    <n v="0"/>
    <n v="0"/>
    <n v="0"/>
    <n v="0"/>
    <n v="0"/>
  </r>
  <r>
    <x v="4"/>
    <x v="8"/>
    <s v="OP-DYR-005"/>
    <x v="185"/>
    <d v="2025-10-24T00:00:00"/>
    <n v="28"/>
    <x v="0"/>
    <n v="18"/>
    <n v="0"/>
    <n v="1"/>
    <n v="1"/>
    <n v="0"/>
    <n v="0"/>
    <n v="1"/>
    <n v="0"/>
    <n v="0"/>
    <n v="0"/>
    <n v="0"/>
    <n v="0"/>
    <s v="https://www.clickideacore.com/ClickHTML5/Visit.aspx?ID=//5BDAEwASwAzADYANgAwADEANQA3ADMASQBEAEUAQQA3=&amp;Tipo=2&amp;ST=1&amp;nLang=0"/>
    <n v="0"/>
    <n v="22"/>
    <n v="0"/>
    <n v="0"/>
    <n v="0"/>
    <n v="0"/>
    <n v="0"/>
    <n v="0"/>
  </r>
  <r>
    <x v="0"/>
    <x v="6"/>
    <s v="OP-DYR-005"/>
    <x v="185"/>
    <d v="2025-10-24T00:00:00"/>
    <n v="28"/>
    <x v="0"/>
    <n v="0"/>
    <n v="0"/>
    <n v="0"/>
    <n v="0"/>
    <n v="0"/>
    <n v="0"/>
    <n v="1"/>
    <n v="0"/>
    <n v="0"/>
    <n v="2"/>
    <n v="0"/>
    <n v="0"/>
    <s v="https://www.clickideacore.com/ClickHTML5/Visit.aspx?ID=//5BDAEwASwAzADYANgAwADEANQA3ADMASQBEAEUAQQA3=&amp;Tipo=2&amp;ST=1&amp;nLang=0"/>
    <n v="0"/>
    <n v="17"/>
    <n v="0"/>
    <n v="0"/>
    <n v="0"/>
    <n v="0"/>
    <n v="0"/>
    <n v="0"/>
  </r>
  <r>
    <x v="9"/>
    <x v="0"/>
    <s v="OP-DYR-005"/>
    <x v="185"/>
    <d v="2025-10-24T00:00:00"/>
    <n v="28"/>
    <x v="0"/>
    <n v="0"/>
    <n v="0"/>
    <n v="0"/>
    <n v="0"/>
    <n v="0"/>
    <n v="0"/>
    <n v="1"/>
    <n v="0"/>
    <n v="0"/>
    <n v="0"/>
    <n v="0"/>
    <n v="0"/>
    <s v="https://www.clickideacore.com/ClickHTML5/Visit.aspx?ID=//5BDAEwASwAzADYANgAwADEANQA3ADMASQBEAEUAQQA3=&amp;Tipo=2&amp;ST=1&amp;nLang=0"/>
    <n v="0"/>
    <n v="27"/>
    <n v="0"/>
    <n v="0"/>
    <n v="0"/>
    <n v="0"/>
    <n v="0"/>
    <n v="0"/>
  </r>
  <r>
    <x v="5"/>
    <x v="4"/>
    <s v="OP-S-076"/>
    <x v="184"/>
    <d v="2025-10-23T00:00:00"/>
    <n v="28"/>
    <x v="0"/>
    <n v="32"/>
    <n v="0"/>
    <n v="0"/>
    <n v="1"/>
    <n v="0"/>
    <n v="0"/>
    <n v="0"/>
    <n v="0"/>
    <n v="0"/>
    <n v="0"/>
    <n v="0"/>
    <n v="0"/>
    <s v="https://www.clickideacore.com/ClickHTML5/Visit.aspx?ID=//52DAEwASwAzADYANQA3ADcAMgA2ADEASQBEAEUAQQAB=&amp;Tipo=2&amp;ST=1&amp;nLang=0"/>
    <n v="0"/>
    <n v="21"/>
    <n v="1"/>
    <n v="0"/>
    <n v="0"/>
    <n v="0"/>
    <n v="0"/>
    <n v="0"/>
  </r>
  <r>
    <x v="5"/>
    <x v="6"/>
    <s v="OP-DYR-005"/>
    <x v="185"/>
    <d v="2025-10-24T00:00:00"/>
    <n v="28"/>
    <x v="0"/>
    <n v="0"/>
    <n v="0"/>
    <n v="0"/>
    <n v="0"/>
    <n v="0"/>
    <n v="0"/>
    <n v="1"/>
    <n v="0"/>
    <n v="0"/>
    <n v="1"/>
    <n v="0"/>
    <n v="0"/>
    <s v="https://www.clickideacore.com/ClickHTML5/Visit.aspx?ID=//5BDAEwASwAzADYANgAwADEANQA3ADMASQBEAEUAQQA3=&amp;Tipo=2&amp;ST=1&amp;nLang=0"/>
    <n v="0"/>
    <n v="10"/>
    <n v="0"/>
    <n v="0"/>
    <n v="0"/>
    <n v="0"/>
    <n v="0"/>
    <n v="0"/>
  </r>
  <r>
    <x v="17"/>
    <x v="6"/>
    <s v="OP-S-0010"/>
    <x v="185"/>
    <d v="2025-10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85"/>
    <d v="2025-10-2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5"/>
    <d v="2025-10-2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17"/>
    <s v="OP-DYR-011"/>
    <x v="186"/>
    <d v="2025-10-25T00:00:00"/>
    <n v="30"/>
    <x v="0"/>
    <n v="0"/>
    <n v="0"/>
    <n v="0"/>
    <n v="0"/>
    <n v="0"/>
    <n v="0"/>
    <n v="1"/>
    <n v="1"/>
    <n v="0"/>
    <n v="5"/>
    <n v="1"/>
    <n v="0"/>
    <s v="https://www.clickideacore.com/ClickHTML5/Visit.aspx?ID=//57DAEwASwAzADYANgAxADUAOQAxADAASQBEAEUAQQAA=&amp;Tipo=2&amp;ST=1&amp;nLang=0"/>
    <n v="20"/>
    <n v="0"/>
    <n v="0"/>
    <n v="0"/>
    <n v="0"/>
    <n v="0"/>
    <n v="0"/>
    <n v="0"/>
  </r>
  <r>
    <x v="1"/>
    <x v="1"/>
    <s v="OP-DYR-004"/>
    <x v="186"/>
    <d v="2025-10-25T00:00:00"/>
    <n v="55"/>
    <x v="0"/>
    <n v="0"/>
    <n v="0"/>
    <n v="0"/>
    <n v="0"/>
    <n v="0"/>
    <n v="0"/>
    <n v="1"/>
    <n v="1"/>
    <n v="0"/>
    <n v="4"/>
    <n v="1"/>
    <n v="0"/>
    <s v="https://www.clickideacore.com/ClickHTML5/Visit.aspx?ID=//52DAEwASwAzADYANgAxADQAOQA0ADgASQBEAEUAQQAA=&amp;Tipo=2&amp;ST=1&amp;nLang=0"/>
    <n v="12"/>
    <n v="0"/>
    <n v="0"/>
    <n v="0"/>
    <n v="0"/>
    <n v="0"/>
    <n v="0"/>
    <n v="0"/>
  </r>
  <r>
    <x v="2"/>
    <x v="2"/>
    <s v="OP-S-200"/>
    <x v="186"/>
    <d v="2025-10-25T00:00:00"/>
    <n v="26"/>
    <x v="0"/>
    <n v="0"/>
    <n v="0"/>
    <n v="0"/>
    <n v="0"/>
    <n v="0"/>
    <n v="0"/>
    <n v="1"/>
    <n v="0"/>
    <n v="0"/>
    <n v="10"/>
    <n v="1"/>
    <n v="0"/>
    <s v="https://www.clickideacore.com/ClickHTML5/Visit.aspx?ID=//52DAEwASwAzADYANgAxADUAOAAzADkASQBEAEUAQQA3=&amp;Tipo=2&amp;ST=1&amp;nLang=0"/>
    <n v="16"/>
    <n v="0"/>
    <n v="0"/>
    <n v="0"/>
    <n v="0"/>
    <n v="0"/>
    <n v="1"/>
    <n v="0"/>
  </r>
  <r>
    <x v="3"/>
    <x v="3"/>
    <s v="OP-S-076"/>
    <x v="186"/>
    <d v="2025-10-25T00:00:00"/>
    <n v="81"/>
    <x v="0"/>
    <n v="0"/>
    <n v="0"/>
    <n v="0"/>
    <n v="0"/>
    <n v="0"/>
    <n v="0"/>
    <n v="1"/>
    <n v="1"/>
    <n v="0"/>
    <n v="5"/>
    <n v="1"/>
    <n v="0"/>
    <s v="https://www.clickideacore.com/ClickHTML5/Visit.aspx?ID=//50DAEwASwAzADYANgAxADUANwA3ADgASQBEAEUAQQAB=&amp;Tipo=2&amp;ST=1&amp;nLang=0"/>
    <n v="21"/>
    <n v="0"/>
    <n v="0"/>
    <n v="0"/>
    <n v="0"/>
    <n v="0"/>
    <n v="0"/>
    <n v="0"/>
  </r>
  <r>
    <x v="4"/>
    <x v="8"/>
    <s v="OP-DYR-005"/>
    <x v="186"/>
    <d v="2025-10-25T00:00:00"/>
    <n v="20"/>
    <x v="0"/>
    <n v="0"/>
    <n v="0"/>
    <n v="0"/>
    <n v="0"/>
    <n v="0"/>
    <n v="0"/>
    <n v="1"/>
    <n v="1"/>
    <n v="0"/>
    <n v="3"/>
    <n v="1"/>
    <n v="0"/>
    <s v="https://www.clickideacore.com/ClickHTML5/Visit.aspx?ID=//54DAEwASwAzADYANgAxADYAMQA0ADcASQBEAEUAQQA5=&amp;Tipo=2&amp;ST=1&amp;nLang=0"/>
    <n v="0"/>
    <n v="0"/>
    <n v="0"/>
    <n v="0"/>
    <n v="0"/>
    <n v="0"/>
    <n v="0"/>
    <n v="0"/>
  </r>
  <r>
    <x v="5"/>
    <x v="4"/>
    <s v="OP-S-0010"/>
    <x v="186"/>
    <d v="2025-10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86"/>
    <d v="2025-10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86"/>
    <d v="2025-10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86"/>
    <d v="2025-10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6"/>
    <d v="2025-10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17"/>
    <s v="OP-DYR-011"/>
    <x v="187"/>
    <d v="2025-10-26T00:00:00"/>
    <n v="33"/>
    <x v="0"/>
    <n v="0"/>
    <n v="0"/>
    <n v="0"/>
    <n v="0"/>
    <n v="0"/>
    <n v="0"/>
    <n v="0"/>
    <n v="0"/>
    <n v="1"/>
    <n v="4"/>
    <n v="0"/>
    <n v="1"/>
    <s v="https://www.clickideacore.com/ClickHTML5/Visit.aspx?ID=//52DAEwASwAzADYANgAyADMANQAyADIASQBEAEUAQQAC=&amp;Tipo=2&amp;ST=1&amp;nLang=0"/>
    <n v="20"/>
    <n v="0"/>
    <n v="0"/>
    <n v="0"/>
    <n v="0"/>
    <n v="0"/>
    <n v="0"/>
    <n v="0"/>
  </r>
  <r>
    <x v="2"/>
    <x v="2"/>
    <s v="OP-DYR-011"/>
    <x v="187"/>
    <d v="2025-10-26T00:00:00"/>
    <n v="63"/>
    <x v="0"/>
    <n v="0"/>
    <n v="0"/>
    <n v="0"/>
    <n v="0"/>
    <n v="0"/>
    <n v="0"/>
    <n v="0"/>
    <n v="0"/>
    <n v="0"/>
    <n v="6"/>
    <n v="0"/>
    <n v="1"/>
    <s v="https://www.clickideacore.com/ClickHTML5/Visit.aspx?ID=//5FDAEwASwAzADYANgAyADMAOAAwADQASQBEAEUAQQA3=&amp;Tipo=2&amp;ST=1&amp;nLang=0"/>
    <n v="16"/>
    <n v="0"/>
    <n v="0"/>
    <n v="0"/>
    <n v="0"/>
    <n v="0"/>
    <n v="0"/>
    <n v="1"/>
  </r>
  <r>
    <x v="1"/>
    <x v="1"/>
    <s v="OP-DYR-004"/>
    <x v="187"/>
    <d v="2025-10-26T00:00:00"/>
    <n v="28"/>
    <x v="0"/>
    <n v="0"/>
    <n v="0"/>
    <n v="0"/>
    <n v="0"/>
    <n v="0"/>
    <n v="0"/>
    <n v="0"/>
    <n v="0"/>
    <n v="1"/>
    <n v="2"/>
    <n v="0"/>
    <n v="1"/>
    <s v="https://www.clickideacore.com/ClickHTML5/Visit.aspx?ID=//57DAEwASwAzADYANgAyADMAOQAxADkASQBEAEUAQQA7=&amp;Tipo=2&amp;ST=1&amp;nLang=0"/>
    <n v="16"/>
    <n v="0"/>
    <n v="0"/>
    <n v="0"/>
    <n v="0"/>
    <n v="0"/>
    <n v="0"/>
    <n v="0"/>
  </r>
  <r>
    <x v="3"/>
    <x v="3"/>
    <s v="OP-S-076"/>
    <x v="187"/>
    <d v="2025-10-26T00:00:00"/>
    <n v="56"/>
    <x v="0"/>
    <n v="0"/>
    <n v="0"/>
    <n v="0"/>
    <n v="0"/>
    <n v="0"/>
    <n v="0"/>
    <n v="0"/>
    <n v="0"/>
    <n v="1"/>
    <n v="4"/>
    <n v="0"/>
    <n v="1"/>
    <s v="https://www.clickideacore.com/ClickHTML5/Visit.aspx?ID=//59DAEwASwAzADYANgAyADMAOQAyADcASQBEAEUAQQA1=&amp;Tipo=2&amp;ST=1&amp;nLang=0"/>
    <n v="20"/>
    <n v="0"/>
    <n v="0"/>
    <n v="0"/>
    <n v="0"/>
    <n v="0"/>
    <n v="0"/>
    <n v="0"/>
  </r>
  <r>
    <x v="4"/>
    <x v="8"/>
    <s v="OP-DYR-005"/>
    <x v="187"/>
    <d v="2025-10-26T00:00:00"/>
    <n v="30"/>
    <x v="0"/>
    <n v="0"/>
    <n v="0"/>
    <n v="0"/>
    <n v="0"/>
    <n v="0"/>
    <n v="0"/>
    <n v="0"/>
    <n v="0"/>
    <n v="1"/>
    <n v="4"/>
    <n v="0"/>
    <n v="1"/>
    <s v="https://www.clickideacore.com/ClickHTML5/Visit.aspx?ID=//50DAEwASwAzADYANgAyADMANwAzADYASQBEAEUAQQA9=&amp;Tipo=2&amp;ST=1&amp;nLang=0"/>
    <n v="0"/>
    <n v="0"/>
    <n v="0"/>
    <n v="0"/>
    <n v="0"/>
    <n v="0"/>
    <n v="0"/>
    <n v="0"/>
  </r>
  <r>
    <x v="5"/>
    <x v="4"/>
    <s v="OP-S-0010"/>
    <x v="187"/>
    <d v="2025-10-2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87"/>
    <d v="2025-10-2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87"/>
    <d v="2025-10-2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87"/>
    <d v="2025-10-2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7"/>
    <d v="2025-10-2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88"/>
    <d v="2025-10-27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ADAEwASwAzADYANgAzADQAMgAwADIASQBEAEUAQQA4=&amp;Tipo=2&amp;ST=1&amp;nLang=0"/>
    <n v="0"/>
    <n v="17"/>
    <n v="0"/>
    <n v="0"/>
    <n v="0"/>
    <n v="0"/>
    <n v="0"/>
    <n v="0"/>
  </r>
  <r>
    <x v="2"/>
    <x v="2"/>
    <s v="OP-S-200"/>
    <x v="188"/>
    <d v="2025-10-27T00:00:00"/>
    <n v="24"/>
    <x v="0"/>
    <n v="1"/>
    <n v="0"/>
    <n v="0"/>
    <n v="0"/>
    <n v="0"/>
    <n v="0"/>
    <n v="0"/>
    <n v="0"/>
    <n v="0"/>
    <n v="0"/>
    <n v="0"/>
    <n v="0"/>
    <s v="https://www.clickideacore.com/ClickHTML5/Visit.aspx?ID=//55DAEwASwAzADYANgAzADcAOAA1ADgASQBEAEUAQQA4=&amp;Tipo=2&amp;ST=1&amp;nLang=0"/>
    <n v="0"/>
    <n v="18"/>
    <n v="0"/>
    <n v="0"/>
    <n v="0"/>
    <n v="0"/>
    <n v="0"/>
    <n v="0"/>
  </r>
  <r>
    <x v="3"/>
    <x v="3"/>
    <s v="OP-S-076"/>
    <x v="188"/>
    <d v="2025-10-27T00:00:00"/>
    <n v="35"/>
    <x v="0"/>
    <n v="0"/>
    <n v="0"/>
    <n v="0"/>
    <n v="0"/>
    <n v="0"/>
    <n v="1"/>
    <n v="0"/>
    <n v="0"/>
    <n v="0"/>
    <n v="0"/>
    <n v="0"/>
    <n v="0"/>
    <s v="https://www.clickideacore.com/ClickHTML5/Visit.aspx?ID=//58DAEwASwAzADYANgAzADcAOQA2ADEASQBEAEUAQQA2=&amp;Tipo=2&amp;ST=1&amp;nLang=0"/>
    <n v="0"/>
    <n v="0"/>
    <n v="1"/>
    <n v="0"/>
    <n v="0"/>
    <n v="0"/>
    <n v="0"/>
    <n v="0"/>
  </r>
  <r>
    <x v="4"/>
    <x v="8"/>
    <s v="OP-DYR-005"/>
    <x v="188"/>
    <d v="2025-10-27T00:00:00"/>
    <n v="24"/>
    <x v="0"/>
    <n v="6"/>
    <n v="0"/>
    <n v="0"/>
    <n v="0"/>
    <n v="0"/>
    <n v="1"/>
    <n v="0"/>
    <n v="0"/>
    <n v="0"/>
    <n v="0"/>
    <n v="0"/>
    <n v="0"/>
    <s v="https://www.clickideacore.com/ClickHTML5/Visit.aspx?ID=//54DAEwASwAzADYANgAzADcAMwAzADIASQBEAEUAQQA9=&amp;Tipo=2&amp;ST=1&amp;nLang=0"/>
    <n v="0"/>
    <n v="35"/>
    <n v="0"/>
    <n v="0"/>
    <n v="0"/>
    <n v="0"/>
    <n v="0"/>
    <n v="0"/>
  </r>
  <r>
    <x v="1"/>
    <x v="1"/>
    <s v="OP-DYR-005"/>
    <x v="188"/>
    <d v="2025-10-27T00:00:00"/>
    <n v="24"/>
    <x v="0"/>
    <n v="5"/>
    <n v="0"/>
    <n v="0"/>
    <n v="0"/>
    <n v="0"/>
    <n v="0"/>
    <n v="0"/>
    <n v="0"/>
    <n v="0"/>
    <n v="0"/>
    <n v="0"/>
    <n v="0"/>
    <s v="https://www.clickideacore.com/ClickHTML5/Visit.aspx?ID=//54DAEwASwAzADYANgAzADcAMwAzADIASQBEAEUAQQA9=&amp;Tipo=2&amp;ST=1&amp;nLang=0"/>
    <n v="0"/>
    <n v="0"/>
    <n v="0"/>
    <n v="0"/>
    <n v="0"/>
    <n v="0"/>
    <n v="0"/>
    <n v="0"/>
  </r>
  <r>
    <x v="5"/>
    <x v="4"/>
    <s v="OP-DYR-005"/>
    <x v="188"/>
    <d v="2025-10-27T00:00:00"/>
    <n v="24"/>
    <x v="0"/>
    <n v="0"/>
    <n v="0"/>
    <n v="0"/>
    <n v="0"/>
    <n v="0"/>
    <n v="0"/>
    <n v="0"/>
    <n v="0"/>
    <n v="0"/>
    <n v="0"/>
    <n v="0"/>
    <n v="0"/>
    <s v="https://www.clickideacore.com/ClickHTML5/Visit.aspx?ID=//54DAEwASwAzADYANgAzADcAMwAzADIASQBEAEUAQQA9=&amp;Tipo=2&amp;ST=1&amp;nLang=0"/>
    <n v="0"/>
    <n v="33"/>
    <n v="0"/>
    <n v="0"/>
    <n v="0"/>
    <n v="0"/>
    <n v="0"/>
    <n v="0"/>
  </r>
  <r>
    <x v="17"/>
    <x v="6"/>
    <s v="OP-S-0010"/>
    <x v="188"/>
    <d v="2025-10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88"/>
    <d v="2025-10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88"/>
    <d v="2025-10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8"/>
    <d v="2025-10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3"/>
    <s v="OP-S-100"/>
    <x v="189"/>
    <d v="2025-10-28T00:00:00"/>
    <n v="26"/>
    <x v="0"/>
    <n v="58"/>
    <n v="0"/>
    <n v="0"/>
    <n v="1"/>
    <n v="0"/>
    <n v="0"/>
    <n v="1"/>
    <n v="0"/>
    <n v="0"/>
    <n v="0"/>
    <n v="0"/>
    <n v="0"/>
    <s v="https://www.clickideacore.com/ClickHTML5/Visit.aspx?ID=//52DAEwASwAzADYANgA2ADUAMwAzADAASQBEAEUAQQAC=&amp;Tipo=2&amp;ST=1&amp;nLang=0"/>
    <n v="0"/>
    <n v="0"/>
    <n v="0"/>
    <n v="0"/>
    <n v="0"/>
    <n v="0"/>
    <n v="0"/>
    <n v="0"/>
  </r>
  <r>
    <x v="1"/>
    <x v="1"/>
    <s v="OP-DYR-004"/>
    <x v="189"/>
    <d v="2025-10-28T00:00:00"/>
    <n v="25"/>
    <x v="0"/>
    <n v="26"/>
    <n v="0"/>
    <n v="0"/>
    <n v="1"/>
    <n v="0"/>
    <n v="0"/>
    <n v="0"/>
    <n v="0"/>
    <n v="0"/>
    <n v="0"/>
    <n v="0"/>
    <n v="0"/>
    <s v="https://www.clickideacore.com/ClickHTML5/Visit.aspx?ID=//54DAEwASwAzADYANgA2ADQAMQA0ADUASQBEAEUAQQA8=&amp;Tipo=2&amp;ST=1&amp;nLang=0"/>
    <n v="0"/>
    <n v="24"/>
    <n v="0"/>
    <n v="0"/>
    <n v="0"/>
    <n v="0"/>
    <n v="0"/>
    <n v="0"/>
  </r>
  <r>
    <x v="2"/>
    <x v="2"/>
    <s v="OP-S-200"/>
    <x v="189"/>
    <d v="2025-10-28T00:00:00"/>
    <n v="52"/>
    <x v="0"/>
    <n v="45"/>
    <n v="0"/>
    <n v="0"/>
    <n v="1"/>
    <n v="0"/>
    <n v="0"/>
    <n v="1"/>
    <n v="0"/>
    <n v="0"/>
    <n v="0"/>
    <n v="0"/>
    <n v="0"/>
    <s v="https://www.clickideacore.com/ClickHTML5/Visit.aspx?ID=//56DAEwASwAzADYANgA2ADMAMQA4ADcASQBEAEUAQQA3=&amp;Tipo=2&amp;ST=1&amp;nLang=0"/>
    <n v="0"/>
    <n v="0"/>
    <n v="0"/>
    <n v="0"/>
    <n v="0"/>
    <n v="0"/>
    <n v="0"/>
    <n v="0"/>
  </r>
  <r>
    <x v="17"/>
    <x v="6"/>
    <s v="OP-DYR-00001"/>
    <x v="189"/>
    <d v="2025-10-28T00:00:00"/>
    <n v="133"/>
    <x v="0"/>
    <n v="27"/>
    <n v="0"/>
    <n v="0"/>
    <n v="0"/>
    <n v="1"/>
    <n v="0"/>
    <n v="0"/>
    <n v="0"/>
    <n v="0"/>
    <n v="0"/>
    <n v="0"/>
    <n v="0"/>
    <s v="https://www.clickideacore.com/ClickHTML5/Visit.aspx?ID=//5ADAEwASwAzADYANgA2ADQANwAzADgASQBEAEUAQQA2=&amp;Tipo=2&amp;ST=1&amp;nLang=0"/>
    <n v="0"/>
    <n v="17"/>
    <n v="1"/>
    <n v="0"/>
    <n v="0"/>
    <n v="0"/>
    <n v="0"/>
    <n v="0"/>
  </r>
  <r>
    <x v="19"/>
    <x v="6"/>
    <s v="OP-DYR-00001"/>
    <x v="189"/>
    <d v="2025-10-28T00:00:00"/>
    <n v="133"/>
    <x v="0"/>
    <n v="27"/>
    <n v="0"/>
    <n v="0"/>
    <n v="0"/>
    <n v="1"/>
    <n v="0"/>
    <n v="0"/>
    <n v="0"/>
    <n v="0"/>
    <n v="0"/>
    <n v="0"/>
    <n v="0"/>
    <s v="https://www.clickideacore.com/ClickHTML5/Visit.aspx?ID=//5ADAEwASwAzADYANgA2ADQANwAzADgASQBEAEUAQQA2=&amp;Tipo=2&amp;ST=1&amp;nLang=0"/>
    <n v="0"/>
    <n v="17"/>
    <n v="1"/>
    <n v="0"/>
    <n v="0"/>
    <n v="0"/>
    <n v="0"/>
    <n v="0"/>
  </r>
  <r>
    <x v="3"/>
    <x v="5"/>
    <s v="OP-S-076"/>
    <x v="189"/>
    <d v="2025-10-28T00:00:00"/>
    <n v="20"/>
    <x v="0"/>
    <n v="7"/>
    <n v="0"/>
    <n v="0"/>
    <n v="0"/>
    <n v="0"/>
    <n v="1"/>
    <n v="0"/>
    <n v="0"/>
    <n v="0"/>
    <n v="0"/>
    <n v="0"/>
    <n v="0"/>
    <s v="https://www.clickideacore.com/ClickHTML5/Visit.aspx?ID=//57DAEwASwAzADYANgA1ADkANwA4ADcASQBEAEUAQQA9=&amp;Tipo=2&amp;ST=1&amp;nLang=0"/>
    <n v="0"/>
    <n v="2"/>
    <n v="0"/>
    <n v="0"/>
    <n v="0"/>
    <n v="0"/>
    <n v="0"/>
    <n v="0"/>
  </r>
  <r>
    <x v="4"/>
    <x v="8"/>
    <s v="OP-DYR-005"/>
    <x v="189"/>
    <d v="2025-10-28T00:00:00"/>
    <n v="20"/>
    <x v="0"/>
    <n v="27"/>
    <n v="0"/>
    <n v="0"/>
    <n v="1"/>
    <n v="0"/>
    <n v="0"/>
    <n v="1"/>
    <n v="0"/>
    <n v="0"/>
    <n v="0"/>
    <n v="0"/>
    <n v="0"/>
    <s v="https://www.clickideacore.com/ClickHTML5/Visit.aspx?ID=//54DAEwASwAzADYANgA2ADUAMQA0ADAASQBEAEUAQQA7=&amp;Tipo=2&amp;ST=1&amp;nLang=0"/>
    <n v="0"/>
    <n v="0"/>
    <n v="0"/>
    <n v="0"/>
    <n v="0"/>
    <n v="0"/>
    <n v="0"/>
    <n v="0"/>
  </r>
  <r>
    <x v="9"/>
    <x v="0"/>
    <s v="OP-S-0010"/>
    <x v="189"/>
    <d v="2025-10-28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89"/>
    <d v="2025-10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189"/>
    <d v="2025-10-28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90"/>
    <d v="2025-10-29T00:00:00"/>
    <n v="39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YANgA4ADUANQA1ADYASQBEAEUAQQA1=&amp;Tipo=2&amp;ST=1&amp;nLang=0"/>
    <n v="0"/>
    <n v="16"/>
    <n v="0"/>
    <n v="0"/>
    <n v="0"/>
    <n v="0"/>
    <n v="0"/>
    <n v="0"/>
  </r>
  <r>
    <x v="0"/>
    <x v="0"/>
    <s v="OP-S-100"/>
    <x v="190"/>
    <d v="2025-10-29T00:00:00"/>
    <n v="49"/>
    <x v="0"/>
    <n v="64"/>
    <n v="0"/>
    <n v="0"/>
    <n v="1"/>
    <n v="0"/>
    <n v="1"/>
    <n v="1"/>
    <n v="0"/>
    <n v="0"/>
    <n v="0"/>
    <n v="0"/>
    <n v="0"/>
    <s v="https://www.clickideacore.com/ClickHTML5/Visit.aspx?ID=//54DAEwASwAzADYANgA4ADUAMgAxADIASQBEAEUAQQA4=&amp;Tipo=2&amp;ST=1&amp;nLang=0"/>
    <n v="0"/>
    <n v="17"/>
    <n v="0"/>
    <n v="0"/>
    <n v="0"/>
    <n v="0"/>
    <n v="0"/>
    <n v="0"/>
  </r>
  <r>
    <x v="1"/>
    <x v="1"/>
    <s v="OP-DYR-004"/>
    <x v="190"/>
    <d v="2025-10-29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CDAEwASwAzADYANgA4ADkANgAyADEASQBEAEUAQQAF=&amp;Tipo=2&amp;ST=1&amp;nLang=0"/>
    <n v="0"/>
    <n v="44"/>
    <n v="0"/>
    <n v="0"/>
    <n v="0"/>
    <n v="0"/>
    <n v="0"/>
    <n v="0"/>
  </r>
  <r>
    <x v="17"/>
    <x v="6"/>
    <s v="OP-DYR-00001"/>
    <x v="190"/>
    <d v="2025-10-29T00:00:00"/>
    <n v="43"/>
    <x v="0"/>
    <n v="20"/>
    <n v="0"/>
    <n v="0"/>
    <n v="0"/>
    <n v="1"/>
    <n v="1"/>
    <n v="0"/>
    <n v="0"/>
    <n v="0"/>
    <n v="0"/>
    <n v="0"/>
    <n v="0"/>
    <s v="https://www.clickideacore.com/ClickHTML5/Visit.aspx?ID=//58DAEwASwAzADYANgA4ADcANAAyADkASQBEAEUAQQA5=&amp;Tipo=2&amp;ST=1&amp;nLang=0"/>
    <n v="0"/>
    <n v="14"/>
    <n v="0"/>
    <n v="0"/>
    <n v="0"/>
    <n v="0"/>
    <n v="0"/>
    <n v="0"/>
  </r>
  <r>
    <x v="19"/>
    <x v="6"/>
    <s v="OP-DYR-00001"/>
    <x v="190"/>
    <d v="2025-10-29T00:00:00"/>
    <n v="43"/>
    <x v="0"/>
    <n v="20"/>
    <n v="0"/>
    <n v="0"/>
    <n v="0"/>
    <n v="1"/>
    <n v="1"/>
    <n v="0"/>
    <n v="0"/>
    <n v="0"/>
    <n v="0"/>
    <n v="0"/>
    <n v="0"/>
    <s v="https://www.clickideacore.com/ClickHTML5/Visit.aspx?ID=//58DAEwASwAzADYANgA4ADcANAAyADkASQBEAEUAQQA5=&amp;Tipo=2&amp;ST=1&amp;nLang=0"/>
    <n v="0"/>
    <n v="14"/>
    <n v="0"/>
    <n v="0"/>
    <n v="0"/>
    <n v="0"/>
    <n v="0"/>
    <n v="0"/>
  </r>
  <r>
    <x v="3"/>
    <x v="3"/>
    <s v="OP-S-076"/>
    <x v="190"/>
    <d v="2025-10-29T00:00:00"/>
    <n v="35"/>
    <x v="0"/>
    <n v="50"/>
    <n v="0"/>
    <n v="0"/>
    <n v="1"/>
    <n v="0"/>
    <n v="0"/>
    <n v="0"/>
    <n v="0"/>
    <n v="0"/>
    <n v="0"/>
    <n v="0"/>
    <n v="0"/>
    <s v="https://www.clickideacore.com/ClickHTML5/Visit.aspx?ID=//5CDAEwASwAzADYANgA4ADUANwAxADgASQBEAEUAQQA6=&amp;Tipo=2&amp;ST=1&amp;nLang=0"/>
    <n v="0"/>
    <n v="0"/>
    <n v="0"/>
    <n v="0"/>
    <n v="0"/>
    <n v="0"/>
    <n v="0"/>
    <n v="0"/>
  </r>
  <r>
    <x v="4"/>
    <x v="8"/>
    <s v="OP-DYR-005"/>
    <x v="190"/>
    <d v="2025-10-29T00:00:00"/>
    <n v="33"/>
    <x v="0"/>
    <n v="24"/>
    <n v="0"/>
    <n v="0"/>
    <n v="1"/>
    <n v="0"/>
    <n v="0"/>
    <n v="0"/>
    <n v="0"/>
    <n v="0"/>
    <n v="0"/>
    <n v="0"/>
    <n v="0"/>
    <s v="https://www.clickideacore.com/ClickHTML5/Visit.aspx?ID=//5FDAEwASwAzADYANgA4ADgAMQAyADgASQBEAEUAQQA5=&amp;Tipo=2&amp;ST=1&amp;nLang=0"/>
    <n v="0"/>
    <n v="14"/>
    <n v="0"/>
    <n v="0"/>
    <n v="0"/>
    <n v="0"/>
    <n v="0"/>
    <n v="0"/>
  </r>
  <r>
    <x v="10"/>
    <x v="6"/>
    <s v="OP-S-0010"/>
    <x v="190"/>
    <d v="2025-10-29T00:00:00"/>
    <n v="0"/>
    <x v="6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190"/>
    <d v="2025-10-2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0"/>
    <d v="2025-10-2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191"/>
    <d v="2025-10-30T00:00:00"/>
    <n v="40"/>
    <x v="0"/>
    <n v="40"/>
    <n v="0"/>
    <n v="0"/>
    <n v="1"/>
    <n v="0"/>
    <n v="0"/>
    <n v="0"/>
    <n v="0"/>
    <n v="0"/>
    <n v="0"/>
    <n v="0"/>
    <n v="0"/>
    <s v="https://www.clickideacore.com/ClickHTML5/Visit.aspx?ID=//59DAEwASwAzADYANwAwADMAOAA0ADMASQBEAEUAQQAE=&amp;Tipo=2&amp;ST=1&amp;nLang=0"/>
    <n v="0"/>
    <n v="14"/>
    <n v="0"/>
    <n v="0"/>
    <n v="0"/>
    <n v="0"/>
    <n v="0"/>
    <n v="0"/>
  </r>
  <r>
    <x v="5"/>
    <x v="4"/>
    <s v="OP-S-005"/>
    <x v="191"/>
    <d v="2025-10-30T00:00:00"/>
    <n v="70"/>
    <x v="0"/>
    <n v="14"/>
    <n v="0"/>
    <n v="0"/>
    <n v="1"/>
    <n v="0"/>
    <n v="0"/>
    <n v="0"/>
    <n v="0"/>
    <n v="0"/>
    <n v="1"/>
    <n v="0"/>
    <n v="0"/>
    <s v="https://www.clickideacore.com/ClickHTML5/Visit.aspx?ID=//5FDAEwASwAzADYANwAwADcANQA4ADMASQBEAEUAQQA1=&amp;Tipo=2&amp;ST=1&amp;nLang=0"/>
    <n v="0"/>
    <n v="25"/>
    <n v="0"/>
    <n v="0"/>
    <n v="0"/>
    <n v="0"/>
    <n v="0"/>
    <n v="0"/>
  </r>
  <r>
    <x v="1"/>
    <x v="1"/>
    <s v="OP-DYR-004"/>
    <x v="191"/>
    <d v="2025-10-30T00:00:00"/>
    <n v="26"/>
    <x v="0"/>
    <n v="32"/>
    <n v="0"/>
    <n v="0"/>
    <n v="1"/>
    <n v="0"/>
    <n v="0"/>
    <n v="0"/>
    <n v="0"/>
    <n v="0"/>
    <n v="0"/>
    <n v="0"/>
    <n v="0"/>
    <s v="https://www.clickideacore.com/ClickHTML5/Visit.aspx?ID=//5FDAEwASwAzADYANwAwADkANQAwADcASQBEAEUAQQAA=&amp;Tipo=2&amp;ST=1&amp;nLang=0"/>
    <n v="0"/>
    <n v="36"/>
    <n v="0"/>
    <n v="0"/>
    <n v="0"/>
    <n v="0"/>
    <n v="0"/>
    <n v="0"/>
  </r>
  <r>
    <x v="2"/>
    <x v="2"/>
    <s v="OP-S-200"/>
    <x v="191"/>
    <d v="2025-10-30T00:00:00"/>
    <n v="18"/>
    <x v="0"/>
    <n v="40"/>
    <n v="0"/>
    <n v="0"/>
    <n v="1"/>
    <n v="0"/>
    <n v="0"/>
    <n v="0"/>
    <n v="0"/>
    <n v="0"/>
    <n v="0"/>
    <n v="0"/>
    <n v="0"/>
    <s v="https://www.clickideacore.com/ClickHTML5/Visit.aspx?ID=//5DDAEwASwAzADYANwAwADYAMQA0ADAASQBEAEUAQQA2=&amp;Tipo=2&amp;ST=1&amp;nLang=0"/>
    <n v="0"/>
    <n v="20"/>
    <n v="0"/>
    <n v="0"/>
    <n v="0"/>
    <n v="0"/>
    <n v="0"/>
    <n v="0"/>
  </r>
  <r>
    <x v="3"/>
    <x v="3"/>
    <s v="OP-S-076"/>
    <x v="191"/>
    <d v="2025-10-30T00:00:00"/>
    <n v="54"/>
    <x v="0"/>
    <n v="18"/>
    <n v="0"/>
    <n v="0"/>
    <n v="0"/>
    <n v="1"/>
    <n v="1"/>
    <n v="0"/>
    <n v="0"/>
    <n v="0"/>
    <n v="1"/>
    <n v="0"/>
    <n v="0"/>
    <s v="https://www.clickideacore.com/ClickHTML5/Visit.aspx?ID=//56DAEwASwAzADYANwAwADkAMgA1ADUASQBEAEUAQQA7=&amp;Tipo=2&amp;ST=1&amp;nLang=0"/>
    <n v="0"/>
    <n v="0"/>
    <n v="0"/>
    <n v="0"/>
    <n v="0"/>
    <n v="0"/>
    <n v="0"/>
    <n v="0"/>
  </r>
  <r>
    <x v="4"/>
    <x v="8"/>
    <s v="OP-DYR-005"/>
    <x v="191"/>
    <d v="2025-10-30T00:00:00"/>
    <n v="20"/>
    <x v="0"/>
    <n v="9"/>
    <n v="0"/>
    <n v="0"/>
    <n v="0"/>
    <n v="0"/>
    <n v="0"/>
    <n v="0"/>
    <n v="0"/>
    <n v="0"/>
    <n v="0"/>
    <n v="0"/>
    <n v="0"/>
    <s v="https://www.clickideacore.com/ClickHTML5/Visit.aspx?ID=//59DAEwASwAzADYANwAwADEAMgAwADkASQBEAEUAQQA5=&amp;Tipo=2&amp;ST=1&amp;nLang=0"/>
    <n v="0"/>
    <n v="0"/>
    <n v="0"/>
    <n v="0"/>
    <n v="0"/>
    <n v="0"/>
    <n v="0"/>
    <n v="0"/>
  </r>
  <r>
    <x v="17"/>
    <x v="6"/>
    <s v="OP-S-0010"/>
    <x v="191"/>
    <d v="2025-10-3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91"/>
    <d v="2025-10-3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191"/>
    <d v="2025-10-3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1"/>
    <d v="2025-10-3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92"/>
    <d v="2025-10-31T00:00:00"/>
    <n v="35"/>
    <x v="0"/>
    <n v="0"/>
    <n v="0"/>
    <n v="0"/>
    <n v="0"/>
    <n v="0"/>
    <n v="0"/>
    <n v="0"/>
    <n v="0"/>
    <n v="1"/>
    <n v="3"/>
    <n v="0"/>
    <n v="1"/>
    <s v="https://www.clickideacore.com/ClickHTML5/Visit.aspx?ID=//54DAEwASwAzADYANwAyADYAMAA3ADIASQBEAEUAQQA2=&amp;Tipo=2&amp;ST=1&amp;nLang=0"/>
    <n v="0"/>
    <n v="0"/>
    <n v="0"/>
    <n v="0"/>
    <n v="0"/>
    <n v="0"/>
    <n v="0"/>
    <n v="0"/>
  </r>
  <r>
    <x v="11"/>
    <x v="17"/>
    <s v="OP-SDYR-001"/>
    <x v="192"/>
    <d v="2025-10-31T00:00:00"/>
    <n v="40"/>
    <x v="0"/>
    <n v="0"/>
    <n v="0"/>
    <n v="0"/>
    <n v="0"/>
    <n v="0"/>
    <n v="1"/>
    <n v="0"/>
    <n v="0"/>
    <n v="1"/>
    <n v="3"/>
    <n v="0"/>
    <n v="1"/>
    <s v="https://www.clickideacore.com/ClickHTML5/Visit.aspx?ID=//55DAEwASwAzADYANwAyADIANAA0ADcASQBEAEUAQQAB=&amp;Tipo=2&amp;ST=1&amp;nLang=0"/>
    <n v="0"/>
    <n v="0"/>
    <n v="0"/>
    <n v="0"/>
    <n v="0"/>
    <n v="0"/>
    <n v="0"/>
    <n v="0"/>
  </r>
  <r>
    <x v="2"/>
    <x v="2"/>
    <s v="OP-S-200"/>
    <x v="192"/>
    <d v="2025-10-31T00:00:00"/>
    <n v="19"/>
    <x v="0"/>
    <n v="0"/>
    <n v="0"/>
    <n v="0"/>
    <n v="0"/>
    <n v="0"/>
    <n v="0"/>
    <n v="0"/>
    <n v="0"/>
    <n v="1"/>
    <n v="1"/>
    <n v="0"/>
    <n v="1"/>
    <s v="https://www.clickideacore.com/ClickHTML5/Visit.aspx?ID=//56DAEwASwAzADYANwAyADcAMwAxADMASQBEAEUAQQA4=&amp;Tipo=2&amp;ST=1&amp;nLang=0"/>
    <n v="0"/>
    <n v="0"/>
    <n v="0"/>
    <n v="0"/>
    <n v="0"/>
    <n v="0"/>
    <n v="0"/>
    <n v="0"/>
  </r>
  <r>
    <x v="17"/>
    <x v="6"/>
    <s v="OP-DYR-00001"/>
    <x v="192"/>
    <d v="2025-10-31T00:00:00"/>
    <n v="75"/>
    <x v="0"/>
    <n v="0"/>
    <n v="0"/>
    <n v="0"/>
    <n v="0"/>
    <n v="0"/>
    <n v="0"/>
    <n v="0"/>
    <n v="0"/>
    <n v="0"/>
    <n v="3"/>
    <n v="0"/>
    <n v="1"/>
    <s v="https://www.clickideacore.com/ClickHTML5/Visit.aspx?ID=//5CDAEwASwAzADYANwAyADYANgA4ADIASQBEAEUAQQA7=&amp;Tipo=2&amp;ST=1&amp;nLang=0"/>
    <n v="0"/>
    <n v="0"/>
    <n v="0"/>
    <n v="0"/>
    <n v="0"/>
    <n v="0"/>
    <n v="0"/>
    <n v="1"/>
  </r>
  <r>
    <x v="19"/>
    <x v="6"/>
    <s v="OP-DYR-00001"/>
    <x v="192"/>
    <d v="2025-10-31T00:00:00"/>
    <n v="75"/>
    <x v="0"/>
    <n v="0"/>
    <n v="0"/>
    <n v="0"/>
    <n v="0"/>
    <n v="0"/>
    <n v="0"/>
    <n v="0"/>
    <n v="0"/>
    <n v="0"/>
    <n v="3"/>
    <n v="0"/>
    <n v="1"/>
    <s v="https://www.clickideacore.com/ClickHTML5/Visit.aspx?ID=//5CDAEwASwAzADYANwAyADYANgA4ADIASQBEAEUAQQA7=&amp;Tipo=2&amp;ST=1&amp;nLang=0"/>
    <n v="0"/>
    <n v="0"/>
    <n v="0"/>
    <n v="0"/>
    <n v="0"/>
    <n v="0"/>
    <n v="0"/>
    <n v="1"/>
  </r>
  <r>
    <x v="5"/>
    <x v="4"/>
    <s v="OP-DYR-00001"/>
    <x v="192"/>
    <d v="2025-10-31T00:00:00"/>
    <n v="75"/>
    <x v="0"/>
    <n v="0"/>
    <n v="0"/>
    <n v="0"/>
    <n v="0"/>
    <n v="0"/>
    <n v="0"/>
    <n v="0"/>
    <n v="0"/>
    <n v="1"/>
    <n v="4"/>
    <n v="0"/>
    <n v="1"/>
    <s v="https://www.clickideacore.com/ClickHTML5/Visit.aspx?ID=//5CDAEwASwAzADYANwAyADYANgA4ADIASQBEAEUAQQA7=&amp;Tipo=2&amp;ST=1&amp;nLang=0"/>
    <n v="0"/>
    <n v="0"/>
    <n v="0"/>
    <n v="0"/>
    <n v="0"/>
    <n v="0"/>
    <n v="0"/>
    <n v="0"/>
  </r>
  <r>
    <x v="1"/>
    <x v="1"/>
    <s v="OP-S-0010"/>
    <x v="192"/>
    <d v="2025-10-3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192"/>
    <d v="2025-10-3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92"/>
    <d v="2025-10-3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2"/>
    <d v="2025-10-3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93"/>
    <d v="2025-11-01T00:00:00"/>
    <n v="78"/>
    <x v="0"/>
    <n v="0"/>
    <n v="0"/>
    <n v="0"/>
    <n v="0"/>
    <n v="0"/>
    <n v="0"/>
    <n v="0"/>
    <n v="0"/>
    <n v="1"/>
    <n v="9"/>
    <n v="0"/>
    <n v="1"/>
    <s v="https://www.clickideacore.com/ClickHTML5/Visit.aspx?ID=//5FDAEwASwAzADYANwA0ADAAOAAzADEASQBEAEUAQQA4=&amp;Tipo=2&amp;ST=1&amp;nLang=0"/>
    <n v="0"/>
    <n v="0"/>
    <n v="0"/>
    <n v="0"/>
    <n v="0"/>
    <n v="0"/>
    <n v="0"/>
    <n v="0"/>
  </r>
  <r>
    <x v="11"/>
    <x v="17"/>
    <s v="OP-SDYR-001"/>
    <x v="193"/>
    <d v="2025-11-01T00:00:00"/>
    <n v="59"/>
    <x v="0"/>
    <n v="0"/>
    <n v="0"/>
    <n v="0"/>
    <n v="0"/>
    <n v="0"/>
    <n v="0"/>
    <n v="0"/>
    <n v="0"/>
    <n v="1"/>
    <n v="8"/>
    <n v="0"/>
    <n v="1"/>
    <s v="https://www.clickideacore.com/ClickHTML5/Visit.aspx?ID=//50DAEwASwAzADYANwA0ADAAOAA0ADEASQBEAEUAQQAD=&amp;Tipo=2&amp;ST=1&amp;nLang=0"/>
    <n v="0"/>
    <n v="0"/>
    <n v="0"/>
    <n v="0"/>
    <n v="0"/>
    <n v="0"/>
    <n v="0"/>
    <n v="0"/>
  </r>
  <r>
    <x v="17"/>
    <x v="6"/>
    <s v="OP-SDYR-001"/>
    <x v="193"/>
    <d v="2025-11-01T00:00:00"/>
    <n v="59"/>
    <x v="0"/>
    <n v="0"/>
    <n v="0"/>
    <n v="0"/>
    <n v="0"/>
    <n v="0"/>
    <n v="0"/>
    <n v="0"/>
    <n v="0"/>
    <n v="0"/>
    <n v="14"/>
    <n v="0"/>
    <n v="1"/>
    <s v="https://www.clickideacore.com/ClickHTML5/Visit.aspx?ID=//50DAEwASwAzADYANwA0ADAAOAA0ADEASQBEAEUAQQAD=&amp;Tipo=2&amp;ST=1&amp;nLang=0"/>
    <n v="0"/>
    <n v="0"/>
    <n v="0"/>
    <n v="0"/>
    <n v="0"/>
    <n v="0"/>
    <n v="0"/>
    <n v="1"/>
  </r>
  <r>
    <x v="19"/>
    <x v="6"/>
    <s v="OP-SDYR-001"/>
    <x v="193"/>
    <d v="2025-11-01T00:00:00"/>
    <n v="59"/>
    <x v="0"/>
    <n v="0"/>
    <n v="0"/>
    <n v="0"/>
    <n v="0"/>
    <n v="0"/>
    <n v="0"/>
    <n v="0"/>
    <n v="0"/>
    <n v="0"/>
    <n v="14"/>
    <n v="0"/>
    <n v="1"/>
    <s v="https://www.clickideacore.com/ClickHTML5/Visit.aspx?ID=//50DAEwASwAzADYANwA0ADAAOAA0ADEASQBEAEUAQQAD=&amp;Tipo=2&amp;ST=1&amp;nLang=0"/>
    <n v="0"/>
    <n v="0"/>
    <n v="0"/>
    <n v="0"/>
    <n v="0"/>
    <n v="0"/>
    <n v="0"/>
    <n v="1"/>
  </r>
  <r>
    <x v="2"/>
    <x v="2"/>
    <s v="OP-SDYR-001"/>
    <x v="193"/>
    <d v="2025-11-01T00:00:00"/>
    <n v="59"/>
    <x v="0"/>
    <n v="0"/>
    <n v="0"/>
    <n v="0"/>
    <n v="0"/>
    <n v="0"/>
    <n v="0"/>
    <n v="0"/>
    <n v="0"/>
    <n v="1"/>
    <n v="9"/>
    <n v="0"/>
    <n v="1"/>
    <s v="https://www.clickideacore.com/ClickHTML5/Visit.aspx?ID=//50DAEwASwAzADYANwA0ADAAOAA0ADEASQBEAEUAQQAD=&amp;Tipo=2&amp;ST=1&amp;nLang=0"/>
    <n v="0"/>
    <n v="0"/>
    <n v="0"/>
    <n v="0"/>
    <n v="0"/>
    <n v="0"/>
    <n v="0"/>
    <n v="0"/>
  </r>
  <r>
    <x v="5"/>
    <x v="4"/>
    <s v="OP-SDYR-001"/>
    <x v="193"/>
    <d v="2025-11-01T00:00:00"/>
    <n v="59"/>
    <x v="0"/>
    <n v="0"/>
    <n v="0"/>
    <n v="0"/>
    <n v="0"/>
    <n v="0"/>
    <n v="0"/>
    <n v="0"/>
    <n v="0"/>
    <n v="1"/>
    <n v="7"/>
    <n v="0"/>
    <n v="1"/>
    <s v="https://www.clickideacore.com/ClickHTML5/Visit.aspx?ID=//50DAEwASwAzADYANwA0ADAAOAA0ADEASQBEAEUAQQAD=&amp;Tipo=2&amp;ST=1&amp;nLang=0"/>
    <n v="0"/>
    <n v="0"/>
    <n v="0"/>
    <n v="0"/>
    <n v="0"/>
    <n v="0"/>
    <n v="0"/>
    <n v="0"/>
  </r>
  <r>
    <x v="1"/>
    <x v="1"/>
    <s v="OP-S-0010"/>
    <x v="193"/>
    <d v="2025-11-0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193"/>
    <d v="2025-11-0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93"/>
    <d v="2025-11-0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3"/>
    <d v="2025-11-0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94"/>
    <d v="2025-11-02T00:00:00"/>
    <n v="67"/>
    <x v="0"/>
    <n v="0"/>
    <n v="0"/>
    <n v="0"/>
    <n v="0"/>
    <n v="0"/>
    <n v="0"/>
    <n v="0"/>
    <n v="0"/>
    <n v="1"/>
    <n v="8"/>
    <n v="0"/>
    <n v="1"/>
    <s v="https://www.clickideacore.com/ClickHTML5/Visit.aspx?ID=//5CDAEwASwAzADYANwA0ADAAOQA5ADMASQBEAEUAQQAF=&amp;Tipo=2&amp;ST=1&amp;nLang=0"/>
    <n v="0"/>
    <n v="0"/>
    <n v="0"/>
    <n v="0"/>
    <n v="0"/>
    <n v="0"/>
    <n v="0"/>
    <n v="0"/>
  </r>
  <r>
    <x v="0"/>
    <x v="0"/>
    <s v="OP-S-100"/>
    <x v="194"/>
    <d v="2025-11-02T00:00:00"/>
    <n v="33"/>
    <x v="0"/>
    <n v="0"/>
    <n v="0"/>
    <n v="0"/>
    <n v="0"/>
    <n v="0"/>
    <n v="0"/>
    <n v="0"/>
    <n v="0"/>
    <n v="1"/>
    <n v="5"/>
    <n v="0"/>
    <n v="1"/>
    <s v="https://www.clickideacore.com/ClickHTML5/Visit.aspx?ID=//5BDAEwASwAzADYANwA0ADcAOQA2ADAASQBEAEUAQQA5=&amp;Tipo=2&amp;ST=1&amp;nLang=0"/>
    <n v="0"/>
    <n v="0"/>
    <n v="0"/>
    <n v="0"/>
    <n v="0"/>
    <n v="0"/>
    <n v="0"/>
    <n v="0"/>
  </r>
  <r>
    <x v="11"/>
    <x v="17"/>
    <s v="OP-SDYR-001"/>
    <x v="194"/>
    <d v="2025-11-02T00:00:00"/>
    <n v="48"/>
    <x v="0"/>
    <n v="0"/>
    <n v="0"/>
    <n v="0"/>
    <n v="0"/>
    <n v="0"/>
    <n v="0"/>
    <n v="0"/>
    <n v="0"/>
    <n v="1"/>
    <n v="6"/>
    <n v="0"/>
    <n v="1"/>
    <s v="https://www.clickideacore.com/ClickHTML5/Visit.aspx?ID=//5CDAEwASwAzADYANwA0ADcANQA0ADYASQBEAEUAQQA4=&amp;Tipo=2&amp;ST=1&amp;nLang=0"/>
    <n v="0"/>
    <n v="0"/>
    <n v="0"/>
    <n v="0"/>
    <n v="0"/>
    <n v="0"/>
    <n v="0"/>
    <n v="0"/>
  </r>
  <r>
    <x v="2"/>
    <x v="2"/>
    <s v="OP-S-200"/>
    <x v="194"/>
    <d v="2025-11-02T00:00:00"/>
    <n v="21"/>
    <x v="0"/>
    <n v="0"/>
    <n v="0"/>
    <n v="0"/>
    <n v="0"/>
    <n v="0"/>
    <n v="0"/>
    <n v="0"/>
    <n v="0"/>
    <n v="1"/>
    <n v="5"/>
    <n v="0"/>
    <n v="1"/>
    <s v="https://www.clickideacore.com/ClickHTML5/Visit.aspx?ID=//58DAEwASwAzADYANwA0ADcANQA5ADcASQBEAEUAQQAF=&amp;Tipo=2&amp;ST=1&amp;nLang=0"/>
    <n v="0"/>
    <n v="0"/>
    <n v="0"/>
    <n v="0"/>
    <n v="0"/>
    <n v="0"/>
    <n v="0"/>
    <n v="0"/>
  </r>
  <r>
    <x v="17"/>
    <x v="6"/>
    <s v="OP-DYR-00001"/>
    <x v="194"/>
    <d v="2025-11-02T00:00:00"/>
    <n v="83"/>
    <x v="0"/>
    <n v="0"/>
    <n v="0"/>
    <n v="0"/>
    <n v="0"/>
    <n v="0"/>
    <n v="0"/>
    <n v="0"/>
    <n v="0"/>
    <n v="0"/>
    <n v="8"/>
    <n v="0"/>
    <n v="1"/>
    <s v="https://www.clickideacore.com/ClickHTML5/Visit.aspx?ID=//5ADAEwASwAzADYANwA0ADcANwA5ADAASQBEAEUAQQAE=&amp;Tipo=2&amp;ST=1&amp;nLang=0"/>
    <n v="0"/>
    <n v="0"/>
    <n v="0"/>
    <n v="0"/>
    <n v="0"/>
    <n v="0"/>
    <n v="0"/>
    <n v="1"/>
  </r>
  <r>
    <x v="19"/>
    <x v="6"/>
    <s v="OP-DYR-00001"/>
    <x v="194"/>
    <d v="2025-11-02T00:00:00"/>
    <n v="83"/>
    <x v="0"/>
    <n v="0"/>
    <n v="0"/>
    <n v="0"/>
    <n v="0"/>
    <n v="0"/>
    <n v="0"/>
    <n v="0"/>
    <n v="0"/>
    <n v="1"/>
    <n v="8"/>
    <n v="0"/>
    <n v="1"/>
    <s v="https://www.clickideacore.com/ClickHTML5/Visit.aspx?ID=//5ADAEwASwAzADYANwA0ADcANwA5ADAASQBEAEUAQQAE=&amp;Tipo=2&amp;ST=1&amp;nLang=0"/>
    <n v="0"/>
    <n v="0"/>
    <n v="0"/>
    <n v="0"/>
    <n v="0"/>
    <n v="0"/>
    <n v="0"/>
    <n v="1"/>
  </r>
  <r>
    <x v="1"/>
    <x v="1"/>
    <s v="OP-S-0010"/>
    <x v="194"/>
    <d v="2025-11-0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194"/>
    <d v="2025-11-0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94"/>
    <d v="2025-11-0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4"/>
    <d v="2025-11-0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195"/>
    <d v="2025-11-03T00:00:00"/>
    <n v="38"/>
    <x v="0"/>
    <n v="2"/>
    <n v="0"/>
    <n v="0"/>
    <n v="0"/>
    <n v="0"/>
    <n v="0"/>
    <n v="0"/>
    <n v="0"/>
    <n v="0"/>
    <n v="0"/>
    <n v="0"/>
    <n v="0"/>
    <s v="https://www.clickideacore.com/ClickHTML5/Visit.aspx?ID=//52DAEwASwAzADYANwA1ADQAMwA0ADIASQBEAEUAQQA7=&amp;Tipo=2&amp;ST=1&amp;nLang=0"/>
    <n v="0"/>
    <n v="10"/>
    <n v="0"/>
    <n v="0"/>
    <n v="0"/>
    <n v="0"/>
    <n v="0"/>
    <n v="0"/>
  </r>
  <r>
    <x v="1"/>
    <x v="1"/>
    <s v="OP-DYR-004"/>
    <x v="195"/>
    <d v="2025-11-03T00:00:00"/>
    <n v="22"/>
    <x v="0"/>
    <n v="0"/>
    <n v="0"/>
    <n v="0"/>
    <n v="0"/>
    <n v="0"/>
    <n v="0"/>
    <n v="0"/>
    <n v="0"/>
    <n v="0"/>
    <n v="0"/>
    <n v="0"/>
    <n v="0"/>
    <s v="https://www.clickideacore.com/ClickHTML5/Visit.aspx?ID=//5FDAEwASwAzADYANwA1ADQAOQAyADYASQBEAEUAQQA6=&amp;Tipo=2&amp;ST=1&amp;nLang=0"/>
    <n v="0"/>
    <n v="20"/>
    <n v="0"/>
    <n v="0"/>
    <n v="0"/>
    <n v="0"/>
    <n v="0"/>
    <n v="0"/>
  </r>
  <r>
    <x v="3"/>
    <x v="3"/>
    <s v="OP-S-076"/>
    <x v="195"/>
    <d v="2025-11-03T00:00:00"/>
    <n v="33"/>
    <x v="0"/>
    <n v="15"/>
    <n v="0"/>
    <n v="0"/>
    <n v="0"/>
    <n v="0"/>
    <n v="0"/>
    <n v="0"/>
    <n v="0"/>
    <n v="0"/>
    <n v="0"/>
    <n v="0"/>
    <n v="0"/>
    <s v="https://www.clickideacore.com/ClickHTML5/Visit.aspx?ID=//53DAEwASwAzADYANwA1ADUANwA4ADEASQBEAEUAQQAE=&amp;Tipo=2&amp;ST=1&amp;nLang=0"/>
    <n v="0"/>
    <n v="11"/>
    <n v="1"/>
    <n v="0"/>
    <n v="0"/>
    <n v="0"/>
    <n v="0"/>
    <n v="0"/>
  </r>
  <r>
    <x v="4"/>
    <x v="8"/>
    <s v="OP-DYR-005"/>
    <x v="195"/>
    <d v="2025-11-03T00:00:00"/>
    <n v="16"/>
    <x v="0"/>
    <n v="0"/>
    <n v="0"/>
    <n v="0"/>
    <n v="0"/>
    <n v="0"/>
    <n v="1"/>
    <n v="0"/>
    <n v="0"/>
    <n v="0"/>
    <n v="0"/>
    <n v="0"/>
    <n v="0"/>
    <s v="https://www.clickideacore.com/ClickHTML5/Visit.aspx?ID=//5BDAEwASwAzADYANwA1ADIAOQA5ADUASQBEAEUAQQA9=&amp;Tipo=2&amp;ST=1&amp;nLang=0"/>
    <n v="0"/>
    <n v="22"/>
    <n v="0"/>
    <n v="0"/>
    <n v="0"/>
    <n v="0"/>
    <n v="0"/>
    <n v="0"/>
  </r>
  <r>
    <x v="5"/>
    <x v="4"/>
    <s v="OP-DYR-005"/>
    <x v="195"/>
    <d v="2025-11-03T00:00:00"/>
    <n v="16"/>
    <x v="0"/>
    <n v="0"/>
    <n v="0"/>
    <n v="0"/>
    <n v="0"/>
    <n v="0"/>
    <n v="1"/>
    <n v="0"/>
    <n v="0"/>
    <n v="0"/>
    <n v="0"/>
    <n v="0"/>
    <n v="0"/>
    <s v="https://www.clickideacore.com/ClickHTML5/Visit.aspx?ID=//5BDAEwASwAzADYANwA1ADIAOQA5ADUASQBEAEUAQQA9=&amp;Tipo=2&amp;ST=1&amp;nLang=0"/>
    <n v="0"/>
    <n v="20"/>
    <n v="0"/>
    <n v="0"/>
    <n v="0"/>
    <n v="0"/>
    <n v="0"/>
    <n v="0"/>
  </r>
  <r>
    <x v="10"/>
    <x v="6"/>
    <s v="OP-S-0010"/>
    <x v="195"/>
    <d v="2025-11-03T00:00:00"/>
    <n v="0"/>
    <x v="0"/>
    <n v="0"/>
    <n v="0"/>
    <n v="0"/>
    <n v="0"/>
    <n v="0"/>
    <n v="0"/>
    <n v="0"/>
    <n v="0"/>
    <n v="0"/>
    <n v="2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95"/>
    <d v="2025-11-03T00:00:00"/>
    <n v="0"/>
    <x v="1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95"/>
    <d v="2025-11-03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5"/>
    <d v="2025-11-0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96"/>
    <d v="2025-11-04T00:00:00"/>
    <n v="56"/>
    <x v="0"/>
    <n v="25"/>
    <n v="0"/>
    <n v="0"/>
    <n v="1"/>
    <n v="0"/>
    <n v="0"/>
    <n v="1"/>
    <n v="0"/>
    <n v="0"/>
    <n v="0"/>
    <n v="0"/>
    <n v="0"/>
    <s v="https://www.clickideacore.com/ClickHTML5/Visit.aspx?ID=//59DAEwASwAzADYANwA3ADEAOQAwADkASQBEAEUAQQA4=&amp;Tipo=2&amp;ST=1&amp;nLang=0"/>
    <n v="0"/>
    <n v="0"/>
    <n v="0"/>
    <n v="0"/>
    <n v="0"/>
    <n v="0"/>
    <n v="0"/>
    <n v="0"/>
  </r>
  <r>
    <x v="17"/>
    <x v="6"/>
    <s v="OP-DYR-011"/>
    <x v="196"/>
    <d v="2025-11-04T00:00:00"/>
    <n v="56"/>
    <x v="0"/>
    <n v="25"/>
    <n v="0"/>
    <n v="0"/>
    <n v="1"/>
    <n v="0"/>
    <n v="0"/>
    <n v="1"/>
    <n v="0"/>
    <n v="0"/>
    <n v="0"/>
    <n v="0"/>
    <n v="0"/>
    <s v="https://www.clickideacore.com/ClickHTML5/Visit.aspx?ID=//59DAEwASwAzADYANwA3ADEAOQAwADkASQBEAEUAQQA4=&amp;Tipo=2&amp;ST=1&amp;nLang=0"/>
    <n v="0"/>
    <n v="0"/>
    <n v="0"/>
    <n v="0"/>
    <n v="0"/>
    <n v="0"/>
    <n v="0"/>
    <n v="0"/>
  </r>
  <r>
    <x v="5"/>
    <x v="4"/>
    <s v="OP-S-005"/>
    <x v="196"/>
    <d v="2025-11-04T00:00:00"/>
    <n v="42"/>
    <x v="0"/>
    <n v="14"/>
    <n v="0"/>
    <n v="0"/>
    <n v="0"/>
    <n v="1"/>
    <n v="0"/>
    <n v="0"/>
    <n v="0"/>
    <n v="0"/>
    <n v="0"/>
    <n v="0"/>
    <n v="0"/>
    <s v="https://www.clickideacore.com/ClickHTML5/Visit.aspx?ID=//5ADAEwASwAzADYANwA3ADkAOQA0ADEASQBEAEUAQQA3=&amp;Tipo=2&amp;ST=1&amp;nLang=0"/>
    <n v="0"/>
    <n v="0"/>
    <n v="0"/>
    <n v="0"/>
    <n v="0"/>
    <n v="0"/>
    <n v="0"/>
    <n v="0"/>
  </r>
  <r>
    <x v="0"/>
    <x v="0"/>
    <s v="OP-S-100"/>
    <x v="196"/>
    <d v="2025-11-04T00:00:00"/>
    <n v="20"/>
    <x v="0"/>
    <n v="24"/>
    <n v="0"/>
    <n v="0"/>
    <n v="1"/>
    <n v="0"/>
    <n v="1"/>
    <n v="0"/>
    <n v="0"/>
    <n v="0"/>
    <n v="0"/>
    <n v="0"/>
    <n v="0"/>
    <s v="https://www.clickideacore.com/ClickHTML5/Visit.aspx?ID=//56DAEwASwAzADYANwA3ADQAMgA2ADQASQBEAEUAQQA5=&amp;Tipo=2&amp;ST=1&amp;nLang=0"/>
    <n v="0"/>
    <n v="6"/>
    <n v="0"/>
    <n v="0"/>
    <n v="0"/>
    <n v="0"/>
    <n v="0"/>
    <n v="0"/>
  </r>
  <r>
    <x v="1"/>
    <x v="1"/>
    <s v="OP-DYR-004"/>
    <x v="196"/>
    <d v="2025-11-04T00:00:00"/>
    <n v="37"/>
    <x v="0"/>
    <n v="35"/>
    <n v="0"/>
    <n v="0"/>
    <n v="1"/>
    <n v="0"/>
    <n v="0"/>
    <n v="0"/>
    <n v="0"/>
    <n v="0"/>
    <n v="0"/>
    <n v="0"/>
    <n v="0"/>
    <s v="https://www.clickideacore.com/ClickHTML5/Visit.aspx?ID=//5BDAEwASwAzADYANwA3ADkAOAA2ADkASQBEAEUAQQA7=&amp;Tipo=2&amp;ST=1&amp;nLang=0"/>
    <n v="0"/>
    <n v="0"/>
    <n v="1"/>
    <n v="0"/>
    <n v="0"/>
    <n v="0"/>
    <n v="0"/>
    <n v="0"/>
  </r>
  <r>
    <x v="2"/>
    <x v="2"/>
    <s v="OP-DYR-004"/>
    <x v="195"/>
    <d v="2025-11-03T00:00:00"/>
    <n v="37"/>
    <x v="0"/>
    <n v="11"/>
    <n v="0"/>
    <n v="0"/>
    <n v="0"/>
    <n v="0"/>
    <n v="0"/>
    <n v="0"/>
    <n v="0"/>
    <n v="0"/>
    <n v="0"/>
    <n v="0"/>
    <n v="0"/>
    <s v="https://www.clickideacore.com/ClickHTML5/Visit.aspx?ID=//5BDAEwASwAzADYANwA3ADkAOAA2ADkASQBEAEUAQQA7=&amp;Tipo=2&amp;ST=1&amp;nLang=0"/>
    <n v="0"/>
    <n v="0"/>
    <n v="0"/>
    <n v="0"/>
    <n v="0"/>
    <n v="0"/>
    <n v="0"/>
    <n v="0"/>
  </r>
  <r>
    <x v="2"/>
    <x v="2"/>
    <s v="OP-DYR-004"/>
    <x v="196"/>
    <d v="2025-11-04T00:00:00"/>
    <n v="37"/>
    <x v="0"/>
    <n v="36"/>
    <n v="0"/>
    <n v="0"/>
    <n v="1"/>
    <n v="0"/>
    <n v="0"/>
    <n v="0"/>
    <n v="0"/>
    <n v="0"/>
    <n v="0"/>
    <n v="0"/>
    <n v="0"/>
    <s v="https://www.clickideacore.com/ClickHTML5/Visit.aspx?ID=//5BDAEwASwAzADYANwA3ADkAOAA2ADkASQBEAEUAQQA7=&amp;Tipo=2&amp;ST=1&amp;nLang=0"/>
    <n v="0"/>
    <n v="0"/>
    <n v="0"/>
    <n v="0"/>
    <n v="0"/>
    <n v="0"/>
    <n v="0"/>
    <n v="0"/>
  </r>
  <r>
    <x v="4"/>
    <x v="8"/>
    <s v="OP-S-0010"/>
    <x v="196"/>
    <d v="2025-11-0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196"/>
    <d v="2025-11-04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196"/>
    <d v="2025-11-0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6"/>
    <d v="2025-11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197"/>
    <d v="2025-11-05T00:00:00"/>
    <n v="78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YAOAAwADQAMgA0ADcASQBEAEUAQQA8=&amp;Tipo=2&amp;ST=1&amp;nLang=0"/>
    <n v="0"/>
    <n v="10"/>
    <n v="0"/>
    <n v="0"/>
    <n v="0"/>
    <n v="0"/>
    <n v="0"/>
    <n v="0"/>
  </r>
  <r>
    <x v="19"/>
    <x v="6"/>
    <s v="OP-S-005"/>
    <x v="197"/>
    <d v="2025-11-05T00:00:00"/>
    <n v="78"/>
    <x v="0"/>
    <n v="40"/>
    <n v="0"/>
    <n v="0"/>
    <n v="1"/>
    <n v="0"/>
    <n v="0"/>
    <n v="0"/>
    <n v="0"/>
    <n v="0"/>
    <n v="0"/>
    <n v="0"/>
    <n v="0"/>
    <s v="https://www.clickideacore.com/ClickHTML5/Visit.aspx?ID=//52DAEwASwAzADYAOAAwADQAMgA0ADcASQBEAEUAQQA8=&amp;Tipo=2&amp;ST=1&amp;nLang=0"/>
    <n v="0"/>
    <n v="10"/>
    <n v="0"/>
    <n v="0"/>
    <n v="0"/>
    <n v="0"/>
    <n v="0"/>
    <n v="0"/>
  </r>
  <r>
    <x v="0"/>
    <x v="0"/>
    <s v="OP-S-100"/>
    <x v="197"/>
    <d v="2025-11-05T00:00:00"/>
    <n v="30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YANwA5ADcAMgAwADYASQBEAEUAQQA8=&amp;Tipo=2&amp;ST=1&amp;nLang=0"/>
    <n v="0"/>
    <n v="24"/>
    <n v="0"/>
    <n v="0"/>
    <n v="0"/>
    <n v="0"/>
    <n v="0"/>
    <n v="0"/>
  </r>
  <r>
    <x v="2"/>
    <x v="2"/>
    <s v="OP-S-200"/>
    <x v="197"/>
    <d v="2025-11-05T00:00:00"/>
    <n v="26"/>
    <x v="0"/>
    <n v="80"/>
    <n v="0"/>
    <n v="0"/>
    <n v="1"/>
    <n v="0"/>
    <n v="1"/>
    <n v="0"/>
    <n v="0"/>
    <n v="0"/>
    <n v="0"/>
    <n v="0"/>
    <n v="0"/>
    <s v="https://www.clickideacore.com/ClickHTML5/Visit.aspx?ID=//58DAEwASwAzADYANwA5ADcANAA5ADkASQBEAEUAQQAE=&amp;Tipo=2&amp;ST=1&amp;nLang=0"/>
    <n v="0"/>
    <n v="0"/>
    <n v="0"/>
    <n v="0"/>
    <n v="0"/>
    <n v="0"/>
    <n v="0"/>
    <n v="0"/>
  </r>
  <r>
    <x v="3"/>
    <x v="3"/>
    <s v="OP-S-076"/>
    <x v="197"/>
    <d v="2025-11-05T00:00:00"/>
    <n v="45"/>
    <x v="0"/>
    <n v="18"/>
    <n v="0"/>
    <n v="0"/>
    <n v="0"/>
    <n v="1"/>
    <n v="0"/>
    <n v="0"/>
    <n v="0"/>
    <n v="0"/>
    <n v="0"/>
    <n v="0"/>
    <n v="0"/>
    <s v="https://www.clickideacore.com/ClickHTML5/Visit.aspx?ID=//56DAEwASwAzADYANwA5ADYANQA5ADAASQBEAEUAQQA1=&amp;Tipo=2&amp;ST=1&amp;nLang=0"/>
    <n v="0"/>
    <n v="4"/>
    <n v="0"/>
    <n v="0"/>
    <n v="0"/>
    <n v="0"/>
    <n v="0"/>
    <n v="0"/>
  </r>
  <r>
    <x v="4"/>
    <x v="8"/>
    <s v="OP-DYR-005"/>
    <x v="197"/>
    <d v="2025-11-05T00:00:00"/>
    <n v="16"/>
    <x v="0"/>
    <n v="52"/>
    <n v="0"/>
    <n v="0"/>
    <n v="1"/>
    <n v="0"/>
    <n v="0"/>
    <n v="0"/>
    <n v="0"/>
    <n v="0"/>
    <n v="0"/>
    <n v="0"/>
    <n v="0"/>
    <s v="https://www.clickideacore.com/ClickHTML5/Visit.aspx?ID=//59DAEwASwAzADYAOAAwADAANQAyADMASQBEAEUAQQA4=&amp;Tipo=2&amp;ST=1&amp;nLang=0"/>
    <n v="0"/>
    <n v="0"/>
    <n v="0"/>
    <n v="0"/>
    <n v="0"/>
    <n v="0"/>
    <n v="0"/>
    <n v="0"/>
  </r>
  <r>
    <x v="1"/>
    <x v="1"/>
    <s v="OP-S-0010"/>
    <x v="197"/>
    <d v="2025-11-0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197"/>
    <d v="2025-11-0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197"/>
    <d v="2025-11-05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7"/>
    <d v="2025-11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98"/>
    <d v="2025-11-06T00:00:00"/>
    <n v="43"/>
    <x v="0"/>
    <n v="14"/>
    <n v="0"/>
    <n v="0"/>
    <n v="1"/>
    <n v="0"/>
    <n v="0"/>
    <n v="0"/>
    <n v="0"/>
    <n v="0"/>
    <n v="0"/>
    <n v="0"/>
    <n v="0"/>
    <s v="https://www.clickideacore.com/ClickHTML5/Visit.aspx?ID=//50DAEwASwAzADYAOAAxADgAMwA5ADQASQBEAEUAQQAC=&amp;Tipo=2&amp;ST=1&amp;nLang=0"/>
    <n v="0"/>
    <n v="18"/>
    <n v="0"/>
    <n v="0"/>
    <n v="0"/>
    <n v="0"/>
    <n v="0"/>
    <n v="0"/>
  </r>
  <r>
    <x v="19"/>
    <x v="6"/>
    <s v="OP-DYR-011"/>
    <x v="198"/>
    <d v="2025-11-06T00:00:00"/>
    <n v="43"/>
    <x v="0"/>
    <n v="14"/>
    <n v="0"/>
    <n v="0"/>
    <n v="1"/>
    <n v="0"/>
    <n v="0"/>
    <n v="0"/>
    <n v="0"/>
    <n v="0"/>
    <n v="0"/>
    <n v="0"/>
    <n v="0"/>
    <s v="https://www.clickideacore.com/ClickHTML5/Visit.aspx?ID=//50DAEwASwAzADYAOAAxADgAMwA5ADQASQBEAEUAQQAC=&amp;Tipo=2&amp;ST=1&amp;nLang=0"/>
    <n v="0"/>
    <n v="18"/>
    <n v="0"/>
    <n v="0"/>
    <n v="0"/>
    <n v="0"/>
    <n v="0"/>
    <n v="0"/>
  </r>
  <r>
    <x v="5"/>
    <x v="4"/>
    <s v="OP-S-005"/>
    <x v="198"/>
    <d v="2025-11-06T00:00:00"/>
    <n v="38"/>
    <x v="0"/>
    <n v="10"/>
    <n v="0"/>
    <n v="0"/>
    <n v="0"/>
    <n v="0"/>
    <n v="0"/>
    <n v="0"/>
    <n v="0"/>
    <n v="0"/>
    <n v="0"/>
    <n v="0"/>
    <n v="0"/>
    <s v="https://www.clickideacore.com/ClickHTML5/Visit.aspx?ID=//55DAEwASwAzADYAOAAxADkANgA2ADYASQBEAEUAQQA9=&amp;Tipo=2&amp;ST=1&amp;nLang=0"/>
    <n v="0"/>
    <n v="4"/>
    <n v="0"/>
    <n v="0"/>
    <n v="0"/>
    <n v="0"/>
    <n v="0"/>
    <n v="0"/>
  </r>
  <r>
    <x v="0"/>
    <x v="0"/>
    <s v="OP-S-100"/>
    <x v="198"/>
    <d v="2025-11-06T00:00:00"/>
    <n v="27"/>
    <x v="0"/>
    <n v="32"/>
    <n v="0"/>
    <n v="0"/>
    <n v="1"/>
    <n v="0"/>
    <n v="0"/>
    <n v="0"/>
    <n v="0"/>
    <n v="0"/>
    <n v="0"/>
    <n v="0"/>
    <n v="0"/>
    <s v="https://www.clickideacore.com/ClickHTML5/Visit.aspx?ID=//56DAEwASwAzADYAOAAyADAANAA3ADgASQBEAEUAQQA1=&amp;Tipo=2&amp;ST=1&amp;nLang=0"/>
    <n v="0"/>
    <n v="8"/>
    <n v="3"/>
    <n v="0"/>
    <n v="0"/>
    <n v="0"/>
    <n v="0"/>
    <n v="0"/>
  </r>
  <r>
    <x v="1"/>
    <x v="1"/>
    <s v="OP-DYR-004"/>
    <x v="198"/>
    <d v="2025-11-06T00:00:00"/>
    <n v="33"/>
    <x v="0"/>
    <n v="40"/>
    <n v="0"/>
    <n v="0"/>
    <n v="1"/>
    <n v="0"/>
    <n v="0"/>
    <n v="0"/>
    <n v="0"/>
    <n v="0"/>
    <n v="0"/>
    <n v="0"/>
    <n v="0"/>
    <s v="https://www.clickideacore.com/ClickHTML5/Visit.aspx?ID=//5ADAEwASwAzADYAOAAyADYAOQA1ADIASQBEAEUAQQA0=&amp;Tipo=2&amp;ST=1&amp;nLang=0"/>
    <n v="0"/>
    <n v="20"/>
    <n v="0"/>
    <n v="0"/>
    <n v="0"/>
    <n v="0"/>
    <n v="0"/>
    <n v="0"/>
  </r>
  <r>
    <x v="2"/>
    <x v="2"/>
    <s v="OP-S-200"/>
    <x v="198"/>
    <d v="2025-11-06T00:00:00"/>
    <n v="17"/>
    <x v="0"/>
    <n v="14"/>
    <n v="0"/>
    <n v="0"/>
    <n v="0"/>
    <n v="0"/>
    <n v="0"/>
    <n v="0"/>
    <n v="0"/>
    <n v="0"/>
    <n v="0"/>
    <n v="0"/>
    <n v="0"/>
    <s v="https://www.clickideacore.com/ClickHTML5/Visit.aspx?ID=//53DAEwASwAzADYAOAAxADcAMgA5ADIASQBEAEUAQQAF=&amp;Tipo=2&amp;ST=1&amp;nLang=0"/>
    <n v="0"/>
    <n v="0"/>
    <n v="0"/>
    <n v="0"/>
    <n v="0"/>
    <n v="0"/>
    <n v="0"/>
    <n v="0"/>
  </r>
  <r>
    <x v="3"/>
    <x v="3"/>
    <s v="OP-S-076"/>
    <x v="198"/>
    <d v="2025-11-06T00:00:00"/>
    <n v="28"/>
    <x v="0"/>
    <n v="16"/>
    <n v="0"/>
    <n v="0"/>
    <n v="0"/>
    <n v="1"/>
    <n v="0"/>
    <n v="0"/>
    <n v="0"/>
    <n v="0"/>
    <n v="0"/>
    <n v="0"/>
    <n v="0"/>
    <s v="https://www.clickideacore.com/ClickHTML5/Visit.aspx?ID=//55DAEwASwAzADYAOAAyADEAOAA3ADgASQBEAEUAQQAE=&amp;Tipo=2&amp;ST=1&amp;nLang=0"/>
    <n v="0"/>
    <n v="14"/>
    <n v="0"/>
    <n v="0"/>
    <n v="0"/>
    <n v="0"/>
    <n v="0"/>
    <n v="0"/>
  </r>
  <r>
    <x v="4"/>
    <x v="8"/>
    <s v="OP-DYR-005"/>
    <x v="198"/>
    <d v="2025-11-06T00:00:00"/>
    <n v="15"/>
    <x v="0"/>
    <n v="50"/>
    <n v="0"/>
    <n v="0"/>
    <n v="1"/>
    <n v="0"/>
    <n v="0"/>
    <n v="0"/>
    <n v="0"/>
    <n v="0"/>
    <n v="0"/>
    <n v="0"/>
    <n v="0"/>
    <s v="https://www.clickideacore.com/ClickHTML5/Visit.aspx?ID=//50DAEwASwAzADYAOAAyADcAMgA5ADkASQBEAEUAQQA8=&amp;Tipo=2&amp;ST=1&amp;nLang=0"/>
    <n v="0"/>
    <n v="0"/>
    <n v="2"/>
    <n v="0"/>
    <n v="0"/>
    <n v="0"/>
    <n v="0"/>
    <n v="0"/>
  </r>
  <r>
    <x v="17"/>
    <x v="6"/>
    <s v="OP-S-0010"/>
    <x v="198"/>
    <d v="2025-11-0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8"/>
    <d v="2025-11-0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199"/>
    <d v="2025-11-07T00:00:00"/>
    <n v="52"/>
    <x v="0"/>
    <n v="25"/>
    <n v="0"/>
    <n v="0"/>
    <n v="1"/>
    <n v="0"/>
    <n v="0"/>
    <n v="0"/>
    <n v="0"/>
    <n v="0"/>
    <n v="0"/>
    <n v="0"/>
    <n v="0"/>
    <s v="https://www.clickideacore.com/ClickHTML5/Visit.aspx?ID=//53DAEwASwAzADYAOAA0ADQAOQAzADMASQBEAEUAQQA6=&amp;Tipo=2&amp;ST=1&amp;nLang=0"/>
    <n v="0"/>
    <n v="11"/>
    <n v="0"/>
    <n v="0"/>
    <n v="0"/>
    <n v="0"/>
    <n v="0"/>
    <n v="0"/>
  </r>
  <r>
    <x v="19"/>
    <x v="6"/>
    <s v="OP-DYR-011"/>
    <x v="199"/>
    <d v="2025-11-07T00:00:00"/>
    <n v="52"/>
    <x v="0"/>
    <n v="25"/>
    <n v="0"/>
    <n v="0"/>
    <n v="1"/>
    <n v="0"/>
    <n v="0"/>
    <n v="0"/>
    <n v="0"/>
    <n v="0"/>
    <n v="0"/>
    <n v="0"/>
    <n v="0"/>
    <s v="https://www.clickideacore.com/ClickHTML5/Visit.aspx?ID=//53DAEwASwAzADYAOAA0ADQAOQAzADMASQBEAEUAQQA6=&amp;Tipo=2&amp;ST=1&amp;nLang=0"/>
    <n v="0"/>
    <n v="11"/>
    <n v="0"/>
    <n v="0"/>
    <n v="0"/>
    <n v="0"/>
    <n v="0"/>
    <n v="0"/>
  </r>
  <r>
    <x v="5"/>
    <x v="6"/>
    <s v="OP-S-005"/>
    <x v="199"/>
    <d v="2025-11-07T00:00:00"/>
    <n v="41"/>
    <x v="0"/>
    <n v="0"/>
    <n v="0"/>
    <n v="0"/>
    <n v="0"/>
    <n v="0"/>
    <n v="0"/>
    <n v="0"/>
    <n v="0"/>
    <n v="0"/>
    <n v="0"/>
    <n v="0"/>
    <n v="0"/>
    <s v="https://www.clickideacore.com/ClickHTML5/Visit.aspx?ID=//51DAEwASwAzADYAOAAzADkAMwA4ADcASQBEAEUAQQA1=&amp;Tipo=2&amp;ST=1&amp;nLang=0"/>
    <n v="0"/>
    <n v="35"/>
    <n v="0"/>
    <n v="0"/>
    <n v="0"/>
    <n v="0"/>
    <n v="0"/>
    <n v="0"/>
  </r>
  <r>
    <x v="2"/>
    <x v="6"/>
    <s v="OP-S-005"/>
    <x v="199"/>
    <d v="2025-11-07T00:00:00"/>
    <n v="41"/>
    <x v="0"/>
    <n v="0"/>
    <n v="0"/>
    <n v="0"/>
    <n v="0"/>
    <n v="0"/>
    <n v="0"/>
    <n v="0"/>
    <n v="0"/>
    <n v="0"/>
    <n v="0"/>
    <n v="0"/>
    <n v="0"/>
    <s v="https://www.clickideacore.com/ClickHTML5/Visit.aspx?ID=//51DAEwASwAzADYAOAAzADkAMwA4ADcASQBEAEUAQQA1=&amp;Tipo=2&amp;ST=1&amp;nLang=0"/>
    <n v="0"/>
    <n v="35"/>
    <n v="0"/>
    <n v="0"/>
    <n v="0"/>
    <n v="0"/>
    <n v="0"/>
    <n v="0"/>
  </r>
  <r>
    <x v="1"/>
    <x v="1"/>
    <s v="OP-DYR-004"/>
    <x v="199"/>
    <d v="2025-11-07T00:00:00"/>
    <n v="23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YAOAA0ADgANwAyADEASQBEAEUAQQA0=&amp;Tipo=2&amp;ST=1&amp;nLang=0"/>
    <n v="0"/>
    <n v="20"/>
    <n v="0"/>
    <n v="0"/>
    <n v="0"/>
    <n v="0"/>
    <n v="0"/>
    <n v="0"/>
  </r>
  <r>
    <x v="17"/>
    <x v="2"/>
    <s v="OP-DYR-00001"/>
    <x v="199"/>
    <d v="2025-11-07T00:00:00"/>
    <n v="28"/>
    <x v="0"/>
    <n v="28"/>
    <n v="0"/>
    <n v="0"/>
    <n v="1"/>
    <n v="0"/>
    <n v="1"/>
    <n v="0"/>
    <n v="0"/>
    <n v="0"/>
    <n v="0"/>
    <n v="0"/>
    <n v="0"/>
    <s v="https://www.clickideacore.com/ClickHTML5/Visit.aspx?ID=//5CDAEwASwAzADYAOAA0ADIAOAA3ADIASQBEAEUAQQA2=&amp;Tipo=2&amp;ST=1&amp;nLang=0"/>
    <n v="0"/>
    <n v="7"/>
    <n v="0"/>
    <n v="0"/>
    <n v="0"/>
    <n v="0"/>
    <n v="0"/>
    <n v="0"/>
  </r>
  <r>
    <x v="3"/>
    <x v="3"/>
    <s v="OP-S-076"/>
    <x v="199"/>
    <d v="2025-11-07T00:00:00"/>
    <n v="28"/>
    <x v="0"/>
    <n v="38"/>
    <n v="0"/>
    <n v="0"/>
    <n v="0"/>
    <n v="1"/>
    <n v="0"/>
    <n v="0"/>
    <n v="0"/>
    <n v="0"/>
    <n v="0"/>
    <n v="0"/>
    <n v="0"/>
    <s v="https://www.clickideacore.com/ClickHTML5/Visit.aspx?ID=//5EDAEwASwAzADYAOAA0ADcANQA0ADYASQBEAEUAQQAE=&amp;Tipo=2&amp;ST=1&amp;nLang=0"/>
    <n v="0"/>
    <n v="20"/>
    <n v="0"/>
    <n v="0"/>
    <n v="0"/>
    <n v="0"/>
    <n v="0"/>
    <n v="0"/>
  </r>
  <r>
    <x v="4"/>
    <x v="8"/>
    <s v="OP-DYR-005"/>
    <x v="199"/>
    <d v="2025-11-07T00:00:00"/>
    <n v="27"/>
    <x v="0"/>
    <n v="39"/>
    <n v="0"/>
    <n v="0"/>
    <n v="1"/>
    <n v="0"/>
    <n v="1"/>
    <n v="0"/>
    <n v="0"/>
    <n v="0"/>
    <n v="0"/>
    <n v="0"/>
    <n v="0"/>
    <s v="https://www.clickideacore.com/ClickHTML5/Visit.aspx?ID=//5EDAEwASwAzADYAOAA0ADkAMAAxADEASQBEAEUAQQA0=&amp;Tipo=2&amp;ST=1&amp;nLang=0"/>
    <n v="0"/>
    <n v="9"/>
    <n v="0"/>
    <n v="0"/>
    <n v="0"/>
    <n v="0"/>
    <n v="0"/>
    <n v="0"/>
  </r>
  <r>
    <x v="9"/>
    <x v="4"/>
    <s v="OP-S-0010"/>
    <x v="199"/>
    <d v="2025-11-0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0010"/>
    <x v="199"/>
    <d v="2025-11-07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199"/>
    <d v="2025-11-0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0"/>
    <d v="2025-11-08T00:00:00"/>
    <n v="25"/>
    <x v="0"/>
    <n v="0"/>
    <n v="0"/>
    <n v="0"/>
    <n v="0"/>
    <n v="0"/>
    <n v="0"/>
    <n v="0"/>
    <n v="1"/>
    <n v="0"/>
    <n v="5"/>
    <n v="1"/>
    <n v="0"/>
    <s v="https://www.clickideacore.com/ClickHTML5/Visit.aspx?ID=//55DAEwASwAzADYAOAA2ADQAOAAwADgASQBEAEUAQQA2=&amp;Tipo=2&amp;ST=1&amp;nLang=0"/>
    <n v="0"/>
    <n v="0"/>
    <n v="0"/>
    <n v="0"/>
    <n v="0"/>
    <n v="0"/>
    <n v="0"/>
    <n v="0"/>
  </r>
  <r>
    <x v="0"/>
    <x v="6"/>
    <s v="OP-DYR-011"/>
    <x v="200"/>
    <d v="2025-11-08T00:00:00"/>
    <n v="25"/>
    <x v="0"/>
    <n v="0"/>
    <n v="0"/>
    <n v="0"/>
    <n v="0"/>
    <n v="0"/>
    <n v="0"/>
    <n v="0"/>
    <n v="1"/>
    <n v="0"/>
    <n v="5"/>
    <n v="1"/>
    <n v="0"/>
    <s v="https://www.clickideacore.com/ClickHTML5/Visit.aspx?ID=//55DAEwASwAzADYAOAA2ADQAOAAwADgASQBEAEUAQQA2=&amp;Tipo=2&amp;ST=1&amp;nLang=0"/>
    <n v="0"/>
    <n v="0"/>
    <n v="0"/>
    <n v="0"/>
    <n v="0"/>
    <n v="0"/>
    <n v="0"/>
    <n v="0"/>
  </r>
  <r>
    <x v="1"/>
    <x v="1"/>
    <s v="OP-DYR-004"/>
    <x v="200"/>
    <d v="2025-11-08T00:00:00"/>
    <n v="35"/>
    <x v="0"/>
    <n v="0"/>
    <n v="0"/>
    <n v="0"/>
    <n v="0"/>
    <n v="0"/>
    <n v="0"/>
    <n v="0"/>
    <n v="1"/>
    <n v="0"/>
    <n v="2"/>
    <n v="1"/>
    <n v="0"/>
    <s v="https://www.clickideacore.com/ClickHTML5/Visit.aspx?ID=//59DAEwASwAzADYAOAA2ADQANQA3ADgASQBEAEUAQQAB=&amp;Tipo=2&amp;ST=1&amp;nLang=0"/>
    <n v="10"/>
    <n v="0"/>
    <n v="0"/>
    <n v="0"/>
    <n v="0"/>
    <n v="0"/>
    <n v="0"/>
    <n v="0"/>
  </r>
  <r>
    <x v="17"/>
    <x v="0"/>
    <s v="OP-DYR-00001"/>
    <x v="200"/>
    <d v="2025-11-08T00:00:00"/>
    <n v="64"/>
    <x v="0"/>
    <n v="0"/>
    <n v="0"/>
    <n v="0"/>
    <n v="0"/>
    <n v="0"/>
    <n v="0"/>
    <n v="0"/>
    <n v="1"/>
    <n v="0"/>
    <n v="2"/>
    <n v="1"/>
    <n v="0"/>
    <s v="https://www.clickideacore.com/ClickHTML5/Visit.aspx?ID=//52DAEwASwAzADYAOAA2ADQANQA0ADYASQBEAEUAQQA9=&amp;Tipo=2&amp;ST=1&amp;nLang=0"/>
    <n v="0"/>
    <n v="0"/>
    <n v="0"/>
    <n v="0"/>
    <n v="0"/>
    <n v="0"/>
    <n v="0"/>
    <n v="0"/>
  </r>
  <r>
    <x v="3"/>
    <x v="3"/>
    <s v="OP-S-076"/>
    <x v="200"/>
    <d v="2025-11-08T00:00:00"/>
    <n v="35"/>
    <x v="0"/>
    <n v="0"/>
    <n v="0"/>
    <n v="0"/>
    <n v="0"/>
    <n v="0"/>
    <n v="0"/>
    <n v="0"/>
    <n v="0"/>
    <n v="0"/>
    <n v="7"/>
    <n v="1"/>
    <n v="0"/>
    <s v="https://www.clickideacore.com/ClickHTML5/Visit.aspx?ID=//57DAEwASwAzADYAOAA2ADMANgAyADUASQBEAEUAQQAA=&amp;Tipo=2&amp;ST=1&amp;nLang=0"/>
    <n v="0"/>
    <n v="0"/>
    <n v="0"/>
    <n v="0"/>
    <n v="0"/>
    <n v="0"/>
    <n v="1"/>
    <n v="0"/>
  </r>
  <r>
    <x v="4"/>
    <x v="8"/>
    <s v="OP-DYR-005"/>
    <x v="200"/>
    <d v="2025-11-08T00:00:00"/>
    <n v="27"/>
    <x v="0"/>
    <n v="0"/>
    <n v="0"/>
    <n v="0"/>
    <n v="0"/>
    <n v="0"/>
    <n v="0"/>
    <n v="0"/>
    <n v="1"/>
    <n v="0"/>
    <n v="3"/>
    <n v="1"/>
    <n v="0"/>
    <s v="https://www.clickideacore.com/ClickHTML5/Visit.aspx?ID=//58DAEwASwAzADYAOAA2ADQAMAA2ADEASQBEAEUAQQA3=&amp;Tipo=2&amp;ST=1&amp;nLang=0"/>
    <n v="0"/>
    <n v="0"/>
    <n v="0"/>
    <n v="0"/>
    <n v="0"/>
    <n v="0"/>
    <n v="0"/>
    <n v="0"/>
  </r>
  <r>
    <x v="2"/>
    <x v="2"/>
    <s v="OP-S-0010"/>
    <x v="200"/>
    <d v="2025-11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00"/>
    <d v="2025-11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00"/>
    <d v="2025-11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0"/>
    <d v="2025-11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1"/>
    <d v="2025-11-09T00:00:00"/>
    <n v="49"/>
    <x v="0"/>
    <n v="0"/>
    <n v="0"/>
    <n v="0"/>
    <n v="0"/>
    <n v="0"/>
    <n v="0"/>
    <n v="0"/>
    <n v="0"/>
    <n v="1"/>
    <n v="3"/>
    <n v="0"/>
    <n v="1"/>
    <s v="https://www.clickideacore.com/ClickHTML5/Visit.aspx?ID=//57DAEwASwAzADYAOAA3ADEAMgAzADcASQBEAEUAQQAF=&amp;Tipo=2&amp;ST=1&amp;nLang=0"/>
    <n v="0"/>
    <n v="0"/>
    <n v="0"/>
    <n v="0"/>
    <n v="0"/>
    <n v="0"/>
    <n v="0"/>
    <n v="0"/>
  </r>
  <r>
    <x v="0"/>
    <x v="6"/>
    <s v="OP-DYR-011"/>
    <x v="201"/>
    <d v="2025-11-09T00:00:00"/>
    <n v="49"/>
    <x v="0"/>
    <n v="0"/>
    <n v="0"/>
    <n v="0"/>
    <n v="0"/>
    <n v="0"/>
    <n v="0"/>
    <n v="0"/>
    <n v="0"/>
    <n v="1"/>
    <n v="3"/>
    <n v="0"/>
    <n v="1"/>
    <s v="https://www.clickideacore.com/ClickHTML5/Visit.aspx?ID=//57DAEwASwAzADYAOAA3ADEAMgAzADcASQBEAEUAQQAF=&amp;Tipo=2&amp;ST=1&amp;nLang=0"/>
    <n v="0"/>
    <n v="0"/>
    <n v="0"/>
    <n v="0"/>
    <n v="0"/>
    <n v="0"/>
    <n v="0"/>
    <n v="0"/>
  </r>
  <r>
    <x v="1"/>
    <x v="1"/>
    <s v="OP-DYR-004"/>
    <x v="201"/>
    <d v="2025-11-09T00:00:00"/>
    <n v="37"/>
    <x v="0"/>
    <n v="0"/>
    <n v="0"/>
    <n v="0"/>
    <n v="0"/>
    <n v="0"/>
    <n v="0"/>
    <n v="0"/>
    <n v="0"/>
    <n v="1"/>
    <n v="2"/>
    <n v="0"/>
    <n v="1"/>
    <s v="https://www.clickideacore.com/ClickHTML5/Visit.aspx?ID=//52DAEwASwAzADYAOAA3ADIAMgAwADYASQBEAEUAQQA8=&amp;Tipo=2&amp;ST=1&amp;nLang=0"/>
    <n v="0"/>
    <n v="0"/>
    <n v="0"/>
    <n v="0"/>
    <n v="0"/>
    <n v="0"/>
    <n v="0"/>
    <n v="0"/>
  </r>
  <r>
    <x v="17"/>
    <x v="0"/>
    <s v="OP-DYR-00001"/>
    <x v="201"/>
    <d v="2025-11-09T00:00:00"/>
    <n v="39"/>
    <x v="0"/>
    <n v="0"/>
    <n v="0"/>
    <n v="0"/>
    <n v="0"/>
    <n v="0"/>
    <n v="0"/>
    <n v="0"/>
    <n v="0"/>
    <n v="1"/>
    <n v="1"/>
    <n v="0"/>
    <n v="1"/>
    <s v="https://www.clickideacore.com/ClickHTML5/Visit.aspx?ID=//5CDAEwASwAzADYAOAA3ADEAMwA5ADgASQBEAEUAQQA0=&amp;Tipo=2&amp;ST=1&amp;nLang=0"/>
    <n v="0"/>
    <n v="0"/>
    <n v="0"/>
    <n v="0"/>
    <n v="0"/>
    <n v="0"/>
    <n v="0"/>
    <n v="0"/>
  </r>
  <r>
    <x v="3"/>
    <x v="3"/>
    <s v="OP-S-076"/>
    <x v="201"/>
    <d v="2025-11-09T00:00:00"/>
    <n v="33"/>
    <x v="0"/>
    <n v="0"/>
    <n v="0"/>
    <n v="0"/>
    <n v="0"/>
    <n v="0"/>
    <n v="0"/>
    <n v="0"/>
    <n v="0"/>
    <n v="0"/>
    <n v="6"/>
    <n v="0"/>
    <n v="1"/>
    <s v="https://www.clickideacore.com/ClickHTML5/Visit.aspx?ID=//58DAEwASwAzADYAOAA3ADEAMwA2ADQASQBEAEUAQQAE=&amp;Tipo=2&amp;ST=1&amp;nLang=0"/>
    <n v="0"/>
    <n v="0"/>
    <n v="0"/>
    <n v="0"/>
    <n v="0"/>
    <n v="0"/>
    <n v="0"/>
    <n v="1"/>
  </r>
  <r>
    <x v="4"/>
    <x v="8"/>
    <s v="OP-DYR-005"/>
    <x v="201"/>
    <d v="2025-11-09T00:00:00"/>
    <n v="19"/>
    <x v="0"/>
    <n v="0"/>
    <n v="0"/>
    <n v="0"/>
    <n v="0"/>
    <n v="0"/>
    <n v="1"/>
    <n v="0"/>
    <n v="0"/>
    <n v="1"/>
    <n v="8"/>
    <n v="0"/>
    <n v="1"/>
    <s v="https://www.clickideacore.com/ClickHTML5/Visit.aspx?ID=//51DAEwASwAzADYAOAA3ADEANgAzADQASQBEAEUAQQAD=&amp;Tipo=2&amp;ST=1&amp;nLang=0"/>
    <n v="0"/>
    <n v="0"/>
    <n v="0"/>
    <n v="0"/>
    <n v="0"/>
    <n v="0"/>
    <n v="0"/>
    <n v="0"/>
  </r>
  <r>
    <x v="2"/>
    <x v="2"/>
    <s v="OP-S-0010"/>
    <x v="201"/>
    <d v="2025-11-0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01"/>
    <d v="2025-11-0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01"/>
    <d v="2025-11-0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1"/>
    <d v="2025-11-0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202"/>
    <d v="2025-11-10T00:00:00"/>
    <n v="17"/>
    <x v="0"/>
    <n v="4"/>
    <n v="0"/>
    <n v="0"/>
    <n v="0"/>
    <n v="0"/>
    <n v="0"/>
    <n v="0"/>
    <n v="0"/>
    <n v="0"/>
    <n v="0"/>
    <n v="0"/>
    <n v="0"/>
    <s v="https://www.clickideacore.com/ClickHTML5/Visit.aspx?ID=//52DAEwASwAzADYAOAA4ADEAMwA1ADIASQBEAEUAQQAC=&amp;Tipo=2&amp;ST=1&amp;nLang=0"/>
    <n v="0"/>
    <n v="2"/>
    <n v="0"/>
    <n v="0"/>
    <n v="0"/>
    <n v="0"/>
    <n v="0"/>
    <n v="0"/>
  </r>
  <r>
    <x v="1"/>
    <x v="1"/>
    <s v="OP-DYR-004"/>
    <x v="202"/>
    <d v="2025-11-10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2DAEwASwAzADYAOAA4ADUAMgA2ADkASQBEAEUAQQAC=&amp;Tipo=2&amp;ST=1&amp;nLang=0"/>
    <n v="0"/>
    <n v="20"/>
    <n v="0"/>
    <n v="0"/>
    <n v="0"/>
    <n v="0"/>
    <n v="0"/>
    <n v="0"/>
  </r>
  <r>
    <x v="3"/>
    <x v="3"/>
    <s v="OP-S-076"/>
    <x v="202"/>
    <d v="2025-11-10T00:00:00"/>
    <n v="27"/>
    <x v="0"/>
    <n v="1"/>
    <n v="0"/>
    <n v="0"/>
    <n v="0"/>
    <n v="0"/>
    <n v="1"/>
    <n v="0"/>
    <n v="0"/>
    <n v="0"/>
    <n v="0"/>
    <n v="0"/>
    <n v="0"/>
    <s v="https://www.clickideacore.com/ClickHTML5/Visit.aspx?ID=//53DAEwASwAzADYAOAA3ADkAOQAwADIASQBEAEUAQQA3=&amp;Tipo=2&amp;ST=1&amp;nLang=0"/>
    <n v="0"/>
    <n v="6"/>
    <n v="0"/>
    <n v="0"/>
    <n v="0"/>
    <n v="0"/>
    <n v="0"/>
    <n v="0"/>
  </r>
  <r>
    <x v="4"/>
    <x v="8"/>
    <s v="OP-DYR-005"/>
    <x v="202"/>
    <d v="2025-11-10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25"/>
    <n v="0"/>
    <n v="0"/>
    <n v="20"/>
    <n v="0"/>
    <n v="0"/>
    <n v="0"/>
  </r>
  <r>
    <x v="9"/>
    <x v="4"/>
    <s v="OP-DYR-005"/>
    <x v="202"/>
    <d v="2025-11-10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14"/>
    <n v="3"/>
    <n v="0"/>
    <n v="0"/>
    <n v="0"/>
    <n v="0"/>
    <n v="0"/>
  </r>
  <r>
    <x v="5"/>
    <x v="6"/>
    <s v="OP-DYR-005"/>
    <x v="202"/>
    <d v="2025-11-10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34"/>
    <n v="3"/>
    <n v="0"/>
    <n v="0"/>
    <n v="0"/>
    <n v="0"/>
    <n v="0"/>
  </r>
  <r>
    <x v="19"/>
    <x v="6"/>
    <s v="OP-DYR-005"/>
    <x v="202"/>
    <d v="2025-11-10T00:00:00"/>
    <n v="17"/>
    <x v="0"/>
    <n v="0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20"/>
    <n v="0"/>
    <n v="0"/>
    <n v="0"/>
    <n v="0"/>
    <n v="0"/>
    <n v="0"/>
  </r>
  <r>
    <x v="2"/>
    <x v="2"/>
    <s v="OP-DYR-005"/>
    <x v="202"/>
    <d v="2025-11-10T00:00:00"/>
    <n v="17"/>
    <x v="0"/>
    <n v="4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26"/>
    <n v="0"/>
    <n v="0"/>
    <n v="0"/>
    <n v="0"/>
    <n v="0"/>
    <n v="0"/>
  </r>
  <r>
    <x v="2"/>
    <x v="2"/>
    <s v="OP-DYR-005"/>
    <x v="203"/>
    <d v="2025-11-11T00:00:00"/>
    <n v="17"/>
    <x v="0"/>
    <n v="40"/>
    <n v="0"/>
    <n v="0"/>
    <n v="0"/>
    <n v="0"/>
    <n v="0"/>
    <n v="0"/>
    <n v="0"/>
    <n v="0"/>
    <n v="0"/>
    <n v="0"/>
    <n v="0"/>
    <s v="https://www.clickideacore.com/ClickHTML5/Visit.aspx?ID=//5EDAEwASwAzADYAOAA4ADMAOAA3ADUASQBEAEUAQQA1=&amp;Tipo=2&amp;ST=1&amp;nLang=0"/>
    <n v="0"/>
    <n v="4"/>
    <n v="0"/>
    <n v="0"/>
    <n v="0"/>
    <n v="0"/>
    <n v="0"/>
    <n v="0"/>
  </r>
  <r>
    <x v="17"/>
    <x v="6"/>
    <s v="OP-S-0010"/>
    <x v="202"/>
    <d v="2025-11-1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202"/>
    <d v="2025-11-10T00:00:00"/>
    <n v="0"/>
    <x v="1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2"/>
    <d v="2025-11-1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3"/>
    <d v="2025-11-11T00:00:00"/>
    <n v="55"/>
    <x v="0"/>
    <n v="44"/>
    <n v="0"/>
    <n v="0"/>
    <n v="1"/>
    <n v="0"/>
    <n v="1"/>
    <n v="0"/>
    <n v="0"/>
    <n v="0"/>
    <n v="0"/>
    <n v="0"/>
    <n v="0"/>
    <s v="https://www.clickideacore.com/ClickHTML5/Visit.aspx?ID=//5DDAEwASwAzADYAOQAxADMAMgA0ADQASQBEAEUAQQAC=&amp;Tipo=2&amp;ST=1&amp;nLang=0"/>
    <n v="0"/>
    <n v="0"/>
    <n v="0"/>
    <n v="0"/>
    <n v="0"/>
    <n v="0"/>
    <n v="0"/>
    <n v="0"/>
  </r>
  <r>
    <x v="19"/>
    <x v="6"/>
    <s v="OP-DYR-011"/>
    <x v="203"/>
    <d v="2025-11-11T00:00:00"/>
    <n v="55"/>
    <x v="0"/>
    <n v="44"/>
    <n v="0"/>
    <n v="0"/>
    <n v="1"/>
    <n v="0"/>
    <n v="1"/>
    <n v="0"/>
    <n v="0"/>
    <n v="0"/>
    <n v="0"/>
    <n v="0"/>
    <n v="0"/>
    <s v="https://www.clickideacore.com/ClickHTML5/Visit.aspx?ID=//5DDAEwASwAzADYAOQAxADMAMgA0ADQASQBEAEUAQQAC=&amp;Tipo=2&amp;ST=1&amp;nLang=0"/>
    <n v="0"/>
    <n v="0"/>
    <n v="0"/>
    <n v="0"/>
    <n v="0"/>
    <n v="0"/>
    <n v="0"/>
    <n v="0"/>
  </r>
  <r>
    <x v="5"/>
    <x v="4"/>
    <s v="OP-S-005"/>
    <x v="203"/>
    <d v="2025-11-11T00:00:00"/>
    <n v="43"/>
    <x v="0"/>
    <n v="14"/>
    <n v="0"/>
    <n v="0"/>
    <n v="0"/>
    <n v="1"/>
    <n v="0"/>
    <n v="0"/>
    <n v="0"/>
    <n v="0"/>
    <n v="0"/>
    <n v="0"/>
    <n v="0"/>
    <s v="https://www.clickideacore.com/ClickHTML5/Visit.aspx?ID=//58DAEwASwAzADYAOQAxADkANAA3ADgASQBEAEUAQQA7=&amp;Tipo=2&amp;ST=1&amp;nLang=0"/>
    <n v="0"/>
    <n v="0"/>
    <n v="0"/>
    <n v="0"/>
    <n v="0"/>
    <n v="0"/>
    <n v="0"/>
    <n v="0"/>
  </r>
  <r>
    <x v="1"/>
    <x v="1"/>
    <s v="OP-DYR-004"/>
    <x v="203"/>
    <d v="2025-11-11T00:00:00"/>
    <n v="24"/>
    <x v="0"/>
    <n v="16"/>
    <n v="0"/>
    <n v="0"/>
    <n v="1"/>
    <n v="0"/>
    <n v="0"/>
    <n v="0"/>
    <n v="0"/>
    <n v="0"/>
    <n v="0"/>
    <n v="0"/>
    <n v="0"/>
    <s v="https://www.clickideacore.com/ClickHTML5/Visit.aspx?ID=//5ADAEwASwAzADYAOQAxADIANQAxADEASQBEAEUAQQA7=&amp;Tipo=2&amp;ST=1&amp;nLang=0"/>
    <n v="0"/>
    <n v="0"/>
    <n v="0"/>
    <n v="0"/>
    <n v="0"/>
    <n v="0"/>
    <n v="0"/>
    <n v="0"/>
  </r>
  <r>
    <x v="3"/>
    <x v="6"/>
    <s v="OP-S-076"/>
    <x v="203"/>
    <d v="2025-11-11T00:00:00"/>
    <n v="25"/>
    <x v="0"/>
    <n v="11"/>
    <n v="0"/>
    <n v="0"/>
    <n v="0"/>
    <n v="0"/>
    <n v="0"/>
    <n v="0"/>
    <n v="0"/>
    <n v="0"/>
    <n v="0"/>
    <n v="0"/>
    <n v="0"/>
    <s v="https://www.clickideacore.com/ClickHTML5/Visit.aspx?ID=//54DAEwASwAzADYAOQAwADYANwA4ADkASQBEAEUAQQA1=&amp;Tipo=2&amp;ST=1&amp;nLang=0"/>
    <n v="0"/>
    <n v="0"/>
    <n v="0"/>
    <n v="0"/>
    <n v="0"/>
    <n v="0"/>
    <n v="0"/>
    <n v="0"/>
  </r>
  <r>
    <x v="0"/>
    <x v="6"/>
    <s v="OP-S-076"/>
    <x v="203"/>
    <d v="2025-11-11T00:00:00"/>
    <n v="25"/>
    <x v="0"/>
    <n v="11"/>
    <n v="0"/>
    <n v="0"/>
    <n v="0"/>
    <n v="0"/>
    <n v="0"/>
    <n v="0"/>
    <n v="0"/>
    <n v="0"/>
    <n v="0"/>
    <n v="0"/>
    <n v="0"/>
    <s v="https://www.clickideacore.com/ClickHTML5/Visit.aspx?ID=//54DAEwASwAzADYAOQAwADYANwA4ADkASQBEAEUAQQA1=&amp;Tipo=2&amp;ST=1&amp;nLang=0"/>
    <n v="0"/>
    <n v="0"/>
    <n v="0"/>
    <n v="0"/>
    <n v="0"/>
    <n v="0"/>
    <n v="0"/>
    <n v="0"/>
  </r>
  <r>
    <x v="0"/>
    <x v="6"/>
    <s v="OP-S-076"/>
    <x v="204"/>
    <d v="2025-11-12T00:00:00"/>
    <n v="25"/>
    <x v="0"/>
    <n v="0"/>
    <n v="0"/>
    <n v="0"/>
    <n v="0"/>
    <n v="0"/>
    <n v="0"/>
    <n v="0"/>
    <n v="0"/>
    <n v="0"/>
    <n v="0"/>
    <n v="0"/>
    <n v="0"/>
    <s v="https://www.clickideacore.com/ClickHTML5/Visit.aspx?ID=//54DAEwASwAzADYAOQAwADYANwA4ADkASQBEAEUAQQA1=&amp;Tipo=2&amp;ST=1&amp;nLang=0"/>
    <n v="0"/>
    <n v="20"/>
    <n v="0"/>
    <n v="0"/>
    <n v="0"/>
    <n v="0"/>
    <n v="0"/>
    <n v="0"/>
  </r>
  <r>
    <x v="4"/>
    <x v="8"/>
    <s v="OP-DYR-005"/>
    <x v="203"/>
    <d v="2025-11-11T00:00:00"/>
    <n v="30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YAOQAxADQANwA4ADYASQBEAEUAQQA0=&amp;Tipo=2&amp;ST=1&amp;nLang=0"/>
    <n v="0"/>
    <n v="0"/>
    <n v="0"/>
    <n v="0"/>
    <n v="0"/>
    <n v="0"/>
    <n v="0"/>
    <n v="0"/>
  </r>
  <r>
    <x v="17"/>
    <x v="0"/>
    <s v="OP-S-0010"/>
    <x v="203"/>
    <d v="2025-11-1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3"/>
    <s v="OP-S-0010"/>
    <x v="203"/>
    <d v="2025-11-1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3"/>
    <d v="2025-11-1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04"/>
    <d v="2025-11-12T00:00:00"/>
    <n v="27"/>
    <x v="0"/>
    <n v="30"/>
    <n v="0"/>
    <n v="0"/>
    <n v="1"/>
    <n v="0"/>
    <n v="1"/>
    <n v="0"/>
    <n v="0"/>
    <n v="0"/>
    <n v="0"/>
    <n v="0"/>
    <n v="0"/>
    <s v="https://www.clickideacore.com/ClickHTML5/Visit.aspx?ID=//5DDAEwASwAzADYAOQA0ADMANgA5ADAASQBEAEUAQQA1=&amp;Tipo=2&amp;ST=1&amp;nLang=0"/>
    <n v="0"/>
    <n v="0"/>
    <n v="0"/>
    <n v="0"/>
    <n v="0"/>
    <n v="0"/>
    <n v="0"/>
    <n v="0"/>
  </r>
  <r>
    <x v="2"/>
    <x v="2"/>
    <s v="OP-S-200"/>
    <x v="204"/>
    <d v="2025-11-12T00:00:00"/>
    <n v="17"/>
    <x v="0"/>
    <n v="42"/>
    <n v="0"/>
    <n v="0"/>
    <n v="1"/>
    <n v="0"/>
    <n v="0"/>
    <n v="0"/>
    <n v="0"/>
    <n v="0"/>
    <n v="0"/>
    <n v="0"/>
    <n v="0"/>
    <s v="https://www.clickideacore.com/ClickHTML5/Visit.aspx?ID=//5DDAEwASwAzADYAOQAzADQAMQAyADcASQBEAEUAQQAE=&amp;Tipo=2&amp;ST=1&amp;nLang=0"/>
    <n v="0"/>
    <n v="20"/>
    <n v="0"/>
    <n v="0"/>
    <n v="0"/>
    <n v="0"/>
    <n v="0"/>
    <n v="0"/>
  </r>
  <r>
    <x v="17"/>
    <x v="0"/>
    <s v="OP-DYR-00001"/>
    <x v="204"/>
    <d v="2025-11-12T00:00:00"/>
    <n v="48"/>
    <x v="0"/>
    <n v="42"/>
    <n v="0"/>
    <n v="0"/>
    <n v="1"/>
    <n v="0"/>
    <n v="0"/>
    <n v="0"/>
    <n v="0"/>
    <n v="0"/>
    <n v="0"/>
    <n v="0"/>
    <n v="0"/>
    <s v="https://www.clickideacore.com/ClickHTML5/Visit.aspx?ID=//55DAEwASwAzADYAOQA0ADAAMgAzADIASQBEAEUAQQAF=&amp;Tipo=2&amp;ST=1&amp;nLang=0"/>
    <n v="0"/>
    <n v="0"/>
    <n v="0"/>
    <n v="0"/>
    <n v="0"/>
    <n v="0"/>
    <n v="0"/>
    <n v="0"/>
  </r>
  <r>
    <x v="3"/>
    <x v="3"/>
    <s v="OP-S-076"/>
    <x v="204"/>
    <d v="2025-11-12T00:00:00"/>
    <n v="34"/>
    <x v="0"/>
    <n v="31"/>
    <n v="0"/>
    <n v="0"/>
    <n v="0"/>
    <n v="1"/>
    <n v="0"/>
    <n v="0"/>
    <n v="0"/>
    <n v="0"/>
    <n v="0"/>
    <n v="0"/>
    <n v="0"/>
    <s v="https://www.clickideacore.com/ClickHTML5/Visit.aspx?ID=//5ADAEwASwAzADYAOQAzADcANQAxADIASQBEAEUAQQA8=&amp;Tipo=2&amp;ST=1&amp;nLang=0"/>
    <n v="0"/>
    <n v="0"/>
    <n v="0"/>
    <n v="0"/>
    <n v="0"/>
    <n v="0"/>
    <n v="0"/>
    <n v="0"/>
  </r>
  <r>
    <x v="4"/>
    <x v="8"/>
    <s v="OP-DYR-005"/>
    <x v="204"/>
    <d v="2025-11-12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0DAEwASwAzADYAOQA0ADAAMgA1ADkASQBEAEUAQQAA=&amp;Tipo=2&amp;ST=1&amp;nLang=0"/>
    <n v="0"/>
    <n v="0"/>
    <n v="0"/>
    <n v="0"/>
    <n v="0"/>
    <n v="0"/>
    <n v="0"/>
    <n v="0"/>
  </r>
  <r>
    <x v="5"/>
    <x v="4"/>
    <s v="OP-S-0010"/>
    <x v="204"/>
    <d v="2025-11-12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S-0010"/>
    <x v="204"/>
    <d v="2025-11-12T00:00:00"/>
    <n v="0"/>
    <x v="6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04"/>
    <d v="2025-11-12T00:00:00"/>
    <n v="0"/>
    <x v="6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4"/>
    <d v="2025-11-1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5"/>
    <d v="2025-11-13T00:00:00"/>
    <n v="80"/>
    <x v="0"/>
    <n v="39"/>
    <n v="0"/>
    <n v="0"/>
    <n v="1"/>
    <n v="0"/>
    <n v="0"/>
    <n v="0"/>
    <n v="0"/>
    <n v="0"/>
    <n v="0"/>
    <n v="0"/>
    <n v="0"/>
    <s v="https://www.clickideacore.com/ClickHTML5/Visit.aspx?ID=//5DDAEwASwAzADYAOQA1ADkAMQAzADMASQBEAEUAQQA3=&amp;Tipo=2&amp;ST=1&amp;nLang=0"/>
    <n v="0"/>
    <n v="0"/>
    <n v="0"/>
    <n v="0"/>
    <n v="0"/>
    <n v="0"/>
    <n v="0"/>
    <n v="0"/>
  </r>
  <r>
    <x v="19"/>
    <x v="6"/>
    <s v="OP-DYR-011"/>
    <x v="205"/>
    <d v="2025-11-13T00:00:00"/>
    <n v="80"/>
    <x v="0"/>
    <n v="39"/>
    <n v="0"/>
    <n v="0"/>
    <n v="1"/>
    <n v="0"/>
    <n v="0"/>
    <n v="0"/>
    <n v="0"/>
    <n v="0"/>
    <n v="0"/>
    <n v="0"/>
    <n v="0"/>
    <s v="https://www.clickideacore.com/ClickHTML5/Visit.aspx?ID=//5DDAEwASwAzADYAOQA1ADkAMQAzADMASQBEAEUAQQA3=&amp;Tipo=2&amp;ST=1&amp;nLang=0"/>
    <n v="0"/>
    <n v="0"/>
    <n v="0"/>
    <n v="0"/>
    <n v="0"/>
    <n v="0"/>
    <n v="0"/>
    <n v="0"/>
  </r>
  <r>
    <x v="1"/>
    <x v="1"/>
    <s v="OP-DYR-004"/>
    <x v="205"/>
    <d v="2025-11-13T00:00:00"/>
    <n v="24"/>
    <x v="0"/>
    <n v="26"/>
    <n v="0"/>
    <n v="0"/>
    <n v="0"/>
    <n v="0"/>
    <n v="0"/>
    <n v="0"/>
    <n v="0"/>
    <n v="0"/>
    <n v="0"/>
    <n v="0"/>
    <n v="0"/>
    <s v="https://www.clickideacore.com/ClickHTML5/Visit.aspx?ID=//5FDAEwASwAzADYAOQA2ADYAMgA1ADQASQBEAEUAQQA1=&amp;Tipo=2&amp;ST=1&amp;nLang=0"/>
    <n v="0"/>
    <n v="0"/>
    <n v="0"/>
    <n v="0"/>
    <n v="0"/>
    <n v="0"/>
    <n v="0"/>
    <n v="0"/>
  </r>
  <r>
    <x v="17"/>
    <x v="6"/>
    <s v="OP-DYR-00001"/>
    <x v="205"/>
    <d v="2025-11-13T00:00:00"/>
    <n v="137"/>
    <x v="0"/>
    <n v="43"/>
    <n v="0"/>
    <n v="1"/>
    <n v="1"/>
    <n v="0"/>
    <n v="0"/>
    <n v="0"/>
    <n v="0"/>
    <n v="0"/>
    <n v="0"/>
    <n v="0"/>
    <n v="0"/>
    <s v="https://www.clickideacore.com/ClickHTML5/Visit.aspx?ID=//58DAEwASwAzADYAOQA2ADcANwA5ADUASQBEAEUAQQAD=&amp;Tipo=2&amp;ST=1&amp;nLang=0"/>
    <n v="0"/>
    <n v="0"/>
    <n v="0"/>
    <n v="0"/>
    <n v="0"/>
    <n v="0"/>
    <n v="0"/>
    <n v="0"/>
  </r>
  <r>
    <x v="9"/>
    <x v="0"/>
    <s v="OP-DYR-00001"/>
    <x v="205"/>
    <d v="2025-11-13T00:00:00"/>
    <n v="137"/>
    <x v="0"/>
    <n v="40"/>
    <n v="0"/>
    <n v="1"/>
    <n v="1"/>
    <n v="0"/>
    <n v="0"/>
    <n v="0"/>
    <n v="0"/>
    <n v="0"/>
    <n v="0"/>
    <n v="0"/>
    <n v="0"/>
    <s v="https://www.clickideacore.com/ClickHTML5/Visit.aspx?ID=//58DAEwASwAzADYAOQA2ADcANwA5ADUASQBEAEUAQQAD=&amp;Tipo=2&amp;ST=1&amp;nLang=0"/>
    <n v="0"/>
    <n v="0"/>
    <n v="0"/>
    <n v="0"/>
    <n v="0"/>
    <n v="0"/>
    <n v="0"/>
    <n v="0"/>
  </r>
  <r>
    <x v="3"/>
    <x v="3"/>
    <s v="OP-S-076"/>
    <x v="205"/>
    <d v="2025-11-13T00:00:00"/>
    <n v="30"/>
    <x v="0"/>
    <n v="32"/>
    <n v="0"/>
    <n v="0"/>
    <n v="1"/>
    <n v="0"/>
    <n v="0"/>
    <n v="0"/>
    <n v="0"/>
    <n v="0"/>
    <n v="0"/>
    <n v="0"/>
    <n v="0"/>
    <s v="https://www.clickideacore.com/ClickHTML5/Visit.aspx?ID=//5EDAEwASwAzADYAOQA2ADMAOQAyADcASQBEAEUAQQA3=&amp;Tipo=2&amp;ST=1&amp;nLang=0"/>
    <n v="0"/>
    <n v="0"/>
    <n v="0"/>
    <n v="0"/>
    <n v="0"/>
    <n v="0"/>
    <n v="0"/>
    <n v="0"/>
  </r>
  <r>
    <x v="4"/>
    <x v="8"/>
    <s v="OP-DYR-005"/>
    <x v="205"/>
    <d v="2025-11-13T00:00:00"/>
    <n v="22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YAOQA2ADUAMgA0ADMASQBEAEUAQQA2=&amp;Tipo=2&amp;ST=1&amp;nLang=0"/>
    <n v="0"/>
    <n v="0"/>
    <n v="0"/>
    <n v="0"/>
    <n v="0"/>
    <n v="0"/>
    <n v="0"/>
    <n v="0"/>
  </r>
  <r>
    <x v="0"/>
    <x v="6"/>
    <s v="OP-DYR-005"/>
    <x v="205"/>
    <d v="2025-11-13T00:00:00"/>
    <n v="22"/>
    <x v="0"/>
    <n v="3"/>
    <n v="0"/>
    <n v="0"/>
    <n v="0"/>
    <n v="0"/>
    <n v="0"/>
    <n v="0"/>
    <n v="0"/>
    <n v="0"/>
    <n v="0"/>
    <n v="0"/>
    <n v="0"/>
    <s v="https://www.clickideacore.com/ClickHTML5/Visit.aspx?ID=//5BDAEwASwAzADYAOQA2ADUAMgA0ADMASQBEAEUAQQA2=&amp;Tipo=2&amp;ST=1&amp;nLang=0"/>
    <n v="0"/>
    <n v="0"/>
    <n v="0"/>
    <n v="0"/>
    <n v="0"/>
    <n v="0"/>
    <n v="0"/>
    <n v="0"/>
  </r>
  <r>
    <x v="2"/>
    <x v="2"/>
    <s v="OP-S-0010"/>
    <x v="205"/>
    <d v="2025-11-13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5"/>
    <d v="2025-11-1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6"/>
    <d v="2025-11-14T00:00:00"/>
    <n v="51"/>
    <x v="0"/>
    <n v="25"/>
    <n v="0"/>
    <n v="0"/>
    <n v="0"/>
    <n v="0"/>
    <n v="0"/>
    <n v="0"/>
    <n v="0"/>
    <n v="0"/>
    <n v="0"/>
    <n v="0"/>
    <n v="0"/>
    <s v="https://www.clickideacore.com/ClickHTML5/Visit.aspx?ID=//58DAEwASwAzADYAOQA3ADkANQA4ADUASQBEAEUAQQA3=&amp;Tipo=2&amp;ST=1&amp;nLang=0"/>
    <n v="0"/>
    <n v="0"/>
    <n v="0"/>
    <n v="0"/>
    <n v="0"/>
    <n v="0"/>
    <n v="0"/>
    <n v="0"/>
  </r>
  <r>
    <x v="1"/>
    <x v="1"/>
    <s v="OP-DYR-004"/>
    <x v="206"/>
    <d v="2025-11-14T00:00:00"/>
    <n v="23"/>
    <x v="0"/>
    <n v="19"/>
    <n v="0"/>
    <n v="0"/>
    <n v="1"/>
    <n v="0"/>
    <n v="0"/>
    <n v="0"/>
    <n v="0"/>
    <n v="0"/>
    <n v="0"/>
    <n v="0"/>
    <n v="0"/>
    <s v="https://www.clickideacore.com/ClickHTML5/Visit.aspx?ID=//55DAEwASwAzADYAOQA5ADAANgAwADQASQBEAEUAQQA0=&amp;Tipo=2&amp;ST=1&amp;nLang=0"/>
    <n v="0"/>
    <n v="22"/>
    <n v="0"/>
    <n v="0"/>
    <n v="0"/>
    <n v="0"/>
    <n v="0"/>
    <n v="0"/>
  </r>
  <r>
    <x v="17"/>
    <x v="0"/>
    <s v="OP-DYR-00001"/>
    <x v="206"/>
    <d v="2025-11-14T00:00:00"/>
    <n v="134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YAOQA4ADYAMwA2ADQASQBEAEUAQQA9=&amp;Tipo=2&amp;ST=1&amp;nLang=0"/>
    <n v="0"/>
    <n v="23"/>
    <n v="0"/>
    <n v="0"/>
    <n v="0"/>
    <n v="0"/>
    <n v="0"/>
    <n v="0"/>
  </r>
  <r>
    <x v="3"/>
    <x v="3"/>
    <s v="OP-S-076"/>
    <x v="206"/>
    <d v="2025-11-14T00:00:00"/>
    <n v="32"/>
    <x v="0"/>
    <n v="22"/>
    <n v="0"/>
    <n v="0"/>
    <n v="1"/>
    <n v="0"/>
    <n v="0"/>
    <n v="0"/>
    <n v="0"/>
    <n v="0"/>
    <n v="0"/>
    <n v="0"/>
    <n v="0"/>
    <s v="https://www.clickideacore.com/ClickHTML5/Visit.aspx?ID=//51DAEwASwAzADYAOQA4ADYAOQA4ADMASQBEAEUAQQAE=&amp;Tipo=2&amp;ST=1&amp;nLang=0"/>
    <n v="0"/>
    <n v="11"/>
    <n v="0"/>
    <n v="0"/>
    <n v="0"/>
    <n v="0"/>
    <n v="0"/>
    <n v="0"/>
  </r>
  <r>
    <x v="4"/>
    <x v="8"/>
    <s v="OP-DYR-005"/>
    <x v="206"/>
    <d v="2025-11-14T00:00:00"/>
    <n v="19"/>
    <x v="0"/>
    <n v="22"/>
    <n v="0"/>
    <n v="0"/>
    <n v="0"/>
    <n v="0"/>
    <n v="0"/>
    <n v="1"/>
    <n v="0"/>
    <n v="0"/>
    <n v="0"/>
    <n v="0"/>
    <n v="0"/>
    <s v="https://www.clickideacore.com/ClickHTML5/Visit.aspx?ID=//52DAEwASwAzADYAOQA4ADUAMAAxADMASQBEAEUAQQA2=&amp;Tipo=2&amp;ST=1&amp;nLang=0"/>
    <n v="0"/>
    <n v="0"/>
    <n v="0"/>
    <n v="0"/>
    <n v="0"/>
    <n v="0"/>
    <n v="0"/>
    <n v="0"/>
  </r>
  <r>
    <x v="9"/>
    <x v="2"/>
    <s v="OP-S-126"/>
    <x v="206"/>
    <d v="2025-11-14T00:00:00"/>
    <n v="28"/>
    <x v="0"/>
    <n v="37"/>
    <n v="0"/>
    <n v="0"/>
    <n v="1"/>
    <n v="0"/>
    <n v="0"/>
    <n v="0"/>
    <n v="0"/>
    <n v="0"/>
    <n v="0"/>
    <n v="0"/>
    <n v="0"/>
    <s v="https://www.clickideacore.com/ClickHTML5/Visit.aspx?ID=//57DAEwASwAzADYAOQA4ADIAOAA5ADIASQBEAEUAQQA2=&amp;Tipo=2&amp;ST=1&amp;nLang=0"/>
    <n v="0"/>
    <n v="11"/>
    <n v="1"/>
    <n v="0"/>
    <n v="0"/>
    <n v="0"/>
    <n v="0"/>
    <n v="0"/>
  </r>
  <r>
    <x v="2"/>
    <x v="6"/>
    <s v="OP-S-126"/>
    <x v="206"/>
    <d v="2025-11-14T00:00:00"/>
    <n v="28"/>
    <x v="0"/>
    <n v="37"/>
    <n v="0"/>
    <n v="0"/>
    <n v="1"/>
    <n v="0"/>
    <n v="0"/>
    <n v="0"/>
    <n v="0"/>
    <n v="0"/>
    <n v="0"/>
    <n v="0"/>
    <n v="0"/>
    <s v="https://www.clickideacore.com/ClickHTML5/Visit.aspx?ID=//57DAEwASwAzADYAOQA4ADIAOAA5ADIASQBEAEUAQQA2=&amp;Tipo=2&amp;ST=1&amp;nLang=0"/>
    <n v="0"/>
    <n v="11"/>
    <n v="1"/>
    <n v="0"/>
    <n v="0"/>
    <n v="0"/>
    <n v="0"/>
    <n v="0"/>
  </r>
  <r>
    <x v="0"/>
    <x v="6"/>
    <s v="OP-S-0010"/>
    <x v="206"/>
    <d v="2025-11-14T00:00:00"/>
    <n v="0"/>
    <x v="7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6"/>
    <d v="2025-11-1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DYR-011"/>
    <x v="205"/>
    <d v="2025-11-13T00:00:00"/>
    <n v="80"/>
    <x v="0"/>
    <n v="16"/>
    <n v="0"/>
    <n v="0"/>
    <n v="0"/>
    <n v="1"/>
    <n v="0"/>
    <n v="0"/>
    <n v="0"/>
    <n v="0"/>
    <n v="0"/>
    <n v="0"/>
    <n v="0"/>
    <s v="https://www.clickideacore.com/ClickHTML5/Visit.aspx?ID=//5DDAEwASwAzADYAOQA1ADkAMQAzADMASQBEAEUAQQA3=&amp;Tipo=2&amp;ST=1&amp;nLang=0"/>
    <n v="0"/>
    <n v="0"/>
    <n v="0"/>
    <n v="0"/>
    <n v="0"/>
    <n v="0"/>
    <n v="0"/>
    <n v="0"/>
  </r>
  <r>
    <x v="5"/>
    <x v="4"/>
    <s v="OP-DYR-011"/>
    <x v="206"/>
    <d v="2025-11-14T00:00:00"/>
    <n v="80"/>
    <x v="0"/>
    <n v="18"/>
    <n v="0"/>
    <n v="0"/>
    <n v="0"/>
    <n v="1"/>
    <n v="0"/>
    <n v="0"/>
    <n v="0"/>
    <n v="0"/>
    <n v="0"/>
    <n v="0"/>
    <n v="0"/>
    <s v="https://www.clickideacore.com/ClickHTML5/Visit.aspx?ID=//5DDAEwASwAzADYAOQA1ADkAMQAzADMASQBEAEUAQQA3=&amp;Tipo=2&amp;ST=1&amp;nLang=0"/>
    <n v="0"/>
    <n v="0"/>
    <n v="0"/>
    <n v="0"/>
    <n v="0"/>
    <n v="0"/>
    <n v="0"/>
    <n v="0"/>
  </r>
  <r>
    <x v="5"/>
    <x v="4"/>
    <s v="OP-S-005"/>
    <x v="207"/>
    <d v="2025-11-15T00:00:00"/>
    <n v="54"/>
    <x v="0"/>
    <n v="0"/>
    <n v="0"/>
    <n v="0"/>
    <n v="0"/>
    <n v="0"/>
    <n v="0"/>
    <n v="0"/>
    <n v="1"/>
    <n v="0"/>
    <n v="7"/>
    <n v="1"/>
    <n v="0"/>
    <s v="https://www.clickideacore.com/ClickHTML5/Visit.aspx?ID=//5DDAEwASwAzADcAMAAwADUANgAwADUASQBEAEUAQQA0=&amp;Tipo=2&amp;ST=1&amp;nLang=0"/>
    <n v="16"/>
    <n v="0"/>
    <n v="0"/>
    <n v="0"/>
    <n v="0"/>
    <n v="0"/>
    <n v="1"/>
    <n v="0"/>
  </r>
  <r>
    <x v="11"/>
    <x v="17"/>
    <s v="OP-SDYR-001"/>
    <x v="207"/>
    <d v="2025-11-15T00:00:00"/>
    <n v="17"/>
    <x v="0"/>
    <n v="0"/>
    <n v="0"/>
    <n v="0"/>
    <n v="0"/>
    <n v="0"/>
    <n v="0"/>
    <n v="0"/>
    <n v="1"/>
    <n v="0"/>
    <n v="2"/>
    <n v="1"/>
    <n v="0"/>
    <s v="https://www.clickideacore.com/ClickHTML5/Visit.aspx?ID=//5EDAEwASwAzADcAMAAwADMAMgAxADAASQBEAEUAQQA6=&amp;Tipo=2&amp;ST=1&amp;nLang=0"/>
    <n v="12"/>
    <n v="0"/>
    <n v="0"/>
    <n v="0"/>
    <n v="0"/>
    <n v="0"/>
    <n v="0"/>
    <n v="0"/>
  </r>
  <r>
    <x v="17"/>
    <x v="0"/>
    <s v="OP-DYR-00001"/>
    <x v="207"/>
    <d v="2025-11-15T00:00:00"/>
    <n v="57"/>
    <x v="0"/>
    <n v="0"/>
    <n v="0"/>
    <n v="0"/>
    <n v="0"/>
    <n v="0"/>
    <n v="0"/>
    <n v="0"/>
    <n v="1"/>
    <n v="0"/>
    <n v="1"/>
    <n v="1"/>
    <n v="0"/>
    <s v="https://www.clickideacore.com/ClickHTML5/Visit.aspx?ID=//5DDAEwASwAzADcAMAAwADQAOQAwADcASQBEAEUAQQA8=&amp;Tipo=2&amp;ST=1&amp;nLang=0"/>
    <n v="0"/>
    <n v="0"/>
    <n v="0"/>
    <n v="0"/>
    <n v="0"/>
    <n v="0"/>
    <n v="0"/>
    <n v="0"/>
  </r>
  <r>
    <x v="12"/>
    <x v="3"/>
    <s v="OP-S-DYR-009"/>
    <x v="207"/>
    <d v="2025-11-15T00:00:00"/>
    <n v="40"/>
    <x v="0"/>
    <n v="0"/>
    <n v="0"/>
    <n v="0"/>
    <n v="0"/>
    <n v="0"/>
    <n v="0"/>
    <n v="0"/>
    <n v="1"/>
    <n v="0"/>
    <n v="1"/>
    <n v="1"/>
    <n v="0"/>
    <s v="https://www.clickideacore.com/ClickHTML5/Visit.aspx?ID=//5EDAEwASwAzADcAMAAwADIAOAA2ADMASQBEAEUAQQAC=&amp;Tipo=2&amp;ST=1&amp;nLang=0"/>
    <n v="0"/>
    <n v="0"/>
    <n v="0"/>
    <n v="0"/>
    <n v="0"/>
    <n v="0"/>
    <n v="0"/>
    <n v="0"/>
  </r>
  <r>
    <x v="2"/>
    <x v="2"/>
    <s v="OP-S-DYR-009"/>
    <x v="207"/>
    <d v="2025-11-15T00:00:00"/>
    <n v="40"/>
    <x v="0"/>
    <n v="0"/>
    <n v="0"/>
    <n v="0"/>
    <n v="0"/>
    <n v="0"/>
    <n v="0"/>
    <n v="0"/>
    <n v="1"/>
    <n v="0"/>
    <n v="1"/>
    <n v="1"/>
    <n v="0"/>
    <s v="https://www.clickideacore.com/ClickHTML5/Visit.aspx?ID=//5EDAEwASwAzADcAMAAwADIAOAA2ADMASQBEAEUAQQAC=&amp;Tipo=2&amp;ST=1&amp;nLang=0"/>
    <n v="0"/>
    <n v="0"/>
    <n v="0"/>
    <n v="0"/>
    <n v="0"/>
    <n v="0"/>
    <n v="0"/>
    <n v="0"/>
  </r>
  <r>
    <x v="4"/>
    <x v="8"/>
    <s v="OP-S-0010"/>
    <x v="207"/>
    <d v="2025-11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26"/>
    <s v="OP-S-0010"/>
    <x v="207"/>
    <d v="2025-11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207"/>
    <d v="2025-11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07"/>
    <d v="2025-11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7"/>
    <d v="2025-11-1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1"/>
    <x v="17"/>
    <s v="OP-SDYR-001"/>
    <x v="208"/>
    <d v="2025-11-16T00:00:00"/>
    <n v="17"/>
    <x v="0"/>
    <n v="0"/>
    <n v="0"/>
    <n v="0"/>
    <n v="0"/>
    <n v="0"/>
    <n v="0"/>
    <n v="0"/>
    <n v="0"/>
    <n v="1"/>
    <n v="2"/>
    <n v="0"/>
    <n v="1"/>
    <s v="https://www.clickideacore.com/ClickHTML5/Visit.aspx?ID=//5EDAEwASwAzADcAMAAxADEANQA2ADgASQBEAEUAQQA3=&amp;Tipo=2&amp;ST=1&amp;nLang=0"/>
    <n v="16"/>
    <n v="0"/>
    <n v="0"/>
    <n v="0"/>
    <n v="0"/>
    <n v="0"/>
    <n v="0"/>
    <n v="0"/>
  </r>
  <r>
    <x v="2"/>
    <x v="2"/>
    <s v="OP-S-200"/>
    <x v="208"/>
    <d v="2025-11-16T00:00:00"/>
    <n v="30"/>
    <x v="0"/>
    <n v="0"/>
    <n v="0"/>
    <n v="0"/>
    <n v="0"/>
    <n v="0"/>
    <n v="0"/>
    <n v="0"/>
    <n v="0"/>
    <n v="1"/>
    <n v="1"/>
    <n v="0"/>
    <n v="1"/>
    <s v="https://www.clickideacore.com/ClickHTML5/Visit.aspx?ID=//59DAEwASwAzADcAMAAxADEAOQAzADQASQBEAEUAQQA9=&amp;Tipo=2&amp;ST=1&amp;nLang=0"/>
    <n v="0"/>
    <n v="0"/>
    <n v="0"/>
    <n v="0"/>
    <n v="0"/>
    <n v="0"/>
    <n v="0"/>
    <n v="0"/>
  </r>
  <r>
    <x v="17"/>
    <x v="0"/>
    <s v="OP-DYR-00001"/>
    <x v="208"/>
    <d v="2025-11-16T00:00:00"/>
    <n v="43"/>
    <x v="0"/>
    <n v="0"/>
    <n v="0"/>
    <n v="0"/>
    <n v="0"/>
    <n v="0"/>
    <n v="0"/>
    <n v="0"/>
    <n v="0"/>
    <n v="1"/>
    <n v="1"/>
    <n v="0"/>
    <n v="1"/>
    <s v="https://www.clickideacore.com/ClickHTML5/Visit.aspx?ID=//54DAEwASwAzADcAMAAxADIAMgAwADIASQBEAEUAQQAB=&amp;Tipo=2&amp;ST=1&amp;nLang=0"/>
    <n v="0"/>
    <n v="0"/>
    <n v="0"/>
    <n v="0"/>
    <n v="0"/>
    <n v="0"/>
    <n v="0"/>
    <n v="0"/>
  </r>
  <r>
    <x v="12"/>
    <x v="3"/>
    <s v="OP-S-DYR-009"/>
    <x v="208"/>
    <d v="2025-11-16T00:00:00"/>
    <n v="53"/>
    <x v="0"/>
    <n v="0"/>
    <n v="0"/>
    <n v="0"/>
    <n v="0"/>
    <n v="0"/>
    <n v="0"/>
    <n v="0"/>
    <n v="0"/>
    <n v="1"/>
    <n v="1"/>
    <n v="0"/>
    <n v="1"/>
    <s v="https://www.clickideacore.com/ClickHTML5/Visit.aspx?ID=//53DAEwASwAzADcAMAAxADMAOQAxADUASQBEAEUAQQA5=&amp;Tipo=2&amp;ST=1&amp;nLang=0"/>
    <n v="0"/>
    <n v="0"/>
    <n v="0"/>
    <n v="0"/>
    <n v="0"/>
    <n v="0"/>
    <n v="0"/>
    <n v="0"/>
  </r>
  <r>
    <x v="5"/>
    <x v="4"/>
    <s v="OP-S-DYR-009"/>
    <x v="208"/>
    <d v="2025-11-16T00:00:00"/>
    <n v="53"/>
    <x v="0"/>
    <n v="0"/>
    <n v="0"/>
    <n v="0"/>
    <n v="0"/>
    <n v="0"/>
    <n v="0"/>
    <n v="0"/>
    <n v="0"/>
    <n v="1"/>
    <n v="5"/>
    <n v="0"/>
    <n v="1"/>
    <s v="https://www.clickideacore.com/ClickHTML5/Visit.aspx?ID=//53DAEwASwAzADcAMAAxADMAOQAxADUASQBEAEUAQQA5=&amp;Tipo=2&amp;ST=1&amp;nLang=0"/>
    <n v="15"/>
    <n v="0"/>
    <n v="0"/>
    <n v="0"/>
    <n v="0"/>
    <n v="0"/>
    <n v="0"/>
    <n v="1"/>
  </r>
  <r>
    <x v="4"/>
    <x v="8"/>
    <s v="OP-S-0010"/>
    <x v="208"/>
    <d v="2025-11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26"/>
    <s v="OP-S-0010"/>
    <x v="208"/>
    <d v="2025-11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208"/>
    <d v="2025-11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08"/>
    <d v="2025-11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8"/>
    <d v="2025-11-1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09"/>
    <d v="2025-11-17T00:00:00"/>
    <n v="18"/>
    <x v="0"/>
    <n v="11"/>
    <n v="0"/>
    <n v="0"/>
    <n v="0"/>
    <n v="0"/>
    <n v="0"/>
    <n v="0"/>
    <n v="0"/>
    <n v="0"/>
    <n v="0"/>
    <n v="0"/>
    <n v="0"/>
    <s v="https://www.clickideacore.com/ClickHTML5/Visit.aspx?ID=//56DAEwASwAzADcAMAAxADgAOQA1ADkASQBEAEUAQQA0=&amp;Tipo=2&amp;ST=1&amp;nLang=0"/>
    <n v="0"/>
    <n v="10"/>
    <n v="0"/>
    <n v="0"/>
    <n v="0"/>
    <n v="0"/>
    <n v="0"/>
    <n v="0"/>
  </r>
  <r>
    <x v="19"/>
    <x v="6"/>
    <s v="OP-DYR-011"/>
    <x v="209"/>
    <d v="2025-11-17T00:00:00"/>
    <n v="18"/>
    <x v="0"/>
    <n v="11"/>
    <n v="0"/>
    <n v="0"/>
    <n v="0"/>
    <n v="0"/>
    <n v="0"/>
    <n v="0"/>
    <n v="0"/>
    <n v="0"/>
    <n v="0"/>
    <n v="0"/>
    <n v="0"/>
    <s v="https://www.clickideacore.com/ClickHTML5/Visit.aspx?ID=//56DAEwASwAzADcAMAAxADgAOQA1ADkASQBEAEUAQQA0=&amp;Tipo=2&amp;ST=1&amp;nLang=0"/>
    <n v="0"/>
    <n v="10"/>
    <n v="0"/>
    <n v="0"/>
    <n v="0"/>
    <n v="0"/>
    <n v="0"/>
    <n v="0"/>
  </r>
  <r>
    <x v="5"/>
    <x v="4"/>
    <s v="OP-S-005"/>
    <x v="209"/>
    <d v="2025-11-17T00:00:00"/>
    <n v="51"/>
    <x v="0"/>
    <n v="12"/>
    <n v="0"/>
    <n v="0"/>
    <n v="0"/>
    <n v="0"/>
    <n v="1"/>
    <n v="0"/>
    <n v="0"/>
    <n v="0"/>
    <n v="0"/>
    <n v="0"/>
    <n v="0"/>
    <s v="https://www.clickideacore.com/ClickHTML5/Visit.aspx?ID=//5CDAEwASwAzADcAMAAxADgANQA3ADIASQBEAEUAQQA2=&amp;Tipo=2&amp;ST=1&amp;nLang=0"/>
    <n v="0"/>
    <n v="1"/>
    <n v="0"/>
    <n v="0"/>
    <n v="0"/>
    <n v="0"/>
    <n v="0"/>
    <n v="0"/>
  </r>
  <r>
    <x v="1"/>
    <x v="1"/>
    <s v="OP-DYR-004"/>
    <x v="209"/>
    <d v="2025-11-17T00:00:00"/>
    <n v="23"/>
    <x v="0"/>
    <n v="0"/>
    <n v="0"/>
    <n v="0"/>
    <n v="0"/>
    <n v="0"/>
    <n v="0"/>
    <n v="0"/>
    <n v="0"/>
    <n v="0"/>
    <n v="1"/>
    <n v="0"/>
    <n v="0"/>
    <s v="https://www.clickideacore.com/ClickHTML5/Visit.aspx?ID=//53DAEwASwAzADcAMAAyADIAMAAxADUASQBEAEUAQQAB=&amp;Tipo=2&amp;ST=1&amp;nLang=0"/>
    <n v="0"/>
    <n v="0"/>
    <n v="0"/>
    <n v="0"/>
    <n v="0"/>
    <n v="0"/>
    <n v="0"/>
    <n v="0"/>
  </r>
  <r>
    <x v="3"/>
    <x v="3"/>
    <s v="OP-S-076"/>
    <x v="209"/>
    <d v="2025-11-17T00:00:00"/>
    <n v="56"/>
    <x v="0"/>
    <n v="24"/>
    <n v="0"/>
    <n v="1"/>
    <n v="0"/>
    <n v="0"/>
    <n v="0"/>
    <n v="1"/>
    <n v="0"/>
    <n v="0"/>
    <n v="0"/>
    <n v="0"/>
    <n v="0"/>
    <s v="https://www.clickideacore.com/ClickHTML5/Visit.aspx?ID=//5CDAEwASwAzADcAMAAyADAAOAA2ADYASQBEAEUAQQA7=&amp;Tipo=2&amp;ST=1&amp;nLang=0"/>
    <n v="0"/>
    <n v="0"/>
    <n v="0"/>
    <n v="0"/>
    <n v="0"/>
    <n v="0"/>
    <n v="0"/>
    <n v="0"/>
  </r>
  <r>
    <x v="17"/>
    <x v="0"/>
    <s v="OP-S-0010"/>
    <x v="209"/>
    <d v="2025-11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209"/>
    <d v="2025-11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1"/>
    <s v="OP-S-0010"/>
    <x v="209"/>
    <d v="2025-11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209"/>
    <d v="2025-11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09"/>
    <d v="2025-11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10"/>
    <d v="2025-11-18T00:00:00"/>
    <n v="29"/>
    <x v="0"/>
    <n v="47"/>
    <n v="0"/>
    <n v="0"/>
    <n v="1"/>
    <n v="0"/>
    <n v="0"/>
    <n v="1"/>
    <n v="0"/>
    <n v="0"/>
    <n v="0"/>
    <n v="0"/>
    <n v="0"/>
    <s v="https://www.clickideacore.com/ClickHTML5/Visit.aspx?ID=//51DAEwASwAzADcAMAAzADcAOAA5ADkASQBEAEUAQQA8=&amp;Tipo=2&amp;ST=1&amp;nLang=0"/>
    <n v="0"/>
    <n v="4"/>
    <n v="0"/>
    <n v="0"/>
    <n v="0"/>
    <n v="0"/>
    <n v="0"/>
    <n v="0"/>
  </r>
  <r>
    <x v="19"/>
    <x v="6"/>
    <s v="OP-DYR-011"/>
    <x v="210"/>
    <d v="2025-11-18T00:00:00"/>
    <n v="29"/>
    <x v="0"/>
    <n v="47"/>
    <n v="0"/>
    <n v="0"/>
    <n v="1"/>
    <n v="0"/>
    <n v="0"/>
    <n v="1"/>
    <n v="0"/>
    <n v="0"/>
    <n v="0"/>
    <n v="0"/>
    <n v="0"/>
    <s v="https://www.clickideacore.com/ClickHTML5/Visit.aspx?ID=//51DAEwASwAzADcAMAAzADcAOAA5ADkASQBEAEUAQQA8=&amp;Tipo=2&amp;ST=1&amp;nLang=0"/>
    <n v="0"/>
    <n v="4"/>
    <n v="0"/>
    <n v="0"/>
    <n v="0"/>
    <n v="0"/>
    <n v="0"/>
    <n v="0"/>
  </r>
  <r>
    <x v="2"/>
    <x v="2"/>
    <s v="OP-S-200"/>
    <x v="209"/>
    <d v="2025-11-17T00:00:00"/>
    <n v="12"/>
    <x v="0"/>
    <n v="16"/>
    <n v="0"/>
    <n v="0"/>
    <n v="0"/>
    <n v="0"/>
    <n v="0"/>
    <n v="1"/>
    <n v="0"/>
    <n v="0"/>
    <n v="0"/>
    <n v="0"/>
    <n v="0"/>
    <s v="https://www.clickideacore.com/ClickHTML5/Visit.aspx?ID=//58DAEwASwAzADcAMAAzADkAOQA4ADIASQBEAEUAQQA1=&amp;Tipo=2&amp;ST=1&amp;nLang=0"/>
    <n v="0"/>
    <n v="0"/>
    <n v="0"/>
    <n v="0"/>
    <n v="0"/>
    <n v="0"/>
    <n v="0"/>
    <n v="0"/>
  </r>
  <r>
    <x v="2"/>
    <x v="2"/>
    <s v="OP-S-200"/>
    <x v="210"/>
    <d v="2025-11-18T00:00:00"/>
    <n v="12"/>
    <x v="0"/>
    <n v="14"/>
    <n v="0"/>
    <n v="0"/>
    <n v="1"/>
    <n v="0"/>
    <n v="0"/>
    <n v="0"/>
    <n v="0"/>
    <n v="0"/>
    <n v="2"/>
    <n v="0"/>
    <n v="0"/>
    <s v="https://www.clickideacore.com/ClickHTML5/Visit.aspx?ID=//58DAEwASwAzADcAMAAzADkAOQA4ADIASQBEAEUAQQA1=&amp;Tipo=2&amp;ST=1&amp;nLang=0"/>
    <n v="0"/>
    <n v="27"/>
    <n v="0"/>
    <n v="0"/>
    <n v="0"/>
    <n v="0"/>
    <n v="0"/>
    <n v="0"/>
  </r>
  <r>
    <x v="17"/>
    <x v="0"/>
    <s v="OP-DYR-00001"/>
    <x v="210"/>
    <d v="2025-11-18T00:00:00"/>
    <n v="42"/>
    <x v="0"/>
    <n v="15"/>
    <n v="0"/>
    <n v="0"/>
    <n v="0"/>
    <n v="0"/>
    <n v="1"/>
    <n v="0"/>
    <n v="0"/>
    <n v="0"/>
    <n v="2"/>
    <n v="0"/>
    <n v="0"/>
    <s v="https://www.clickideacore.com/ClickHTML5/Visit.aspx?ID=//52DAEwASwAzADcAMAAzADQAMgAxADAASQBEAEUAQQAA=&amp;Tipo=2&amp;ST=1&amp;nLang=0"/>
    <n v="0"/>
    <n v="0"/>
    <n v="0"/>
    <n v="0"/>
    <n v="0"/>
    <n v="0"/>
    <n v="0"/>
    <n v="0"/>
  </r>
  <r>
    <x v="3"/>
    <x v="3"/>
    <s v="OP-S-076"/>
    <x v="210"/>
    <d v="2025-11-18T00:00:00"/>
    <n v="64"/>
    <x v="0"/>
    <n v="28"/>
    <n v="0"/>
    <n v="0"/>
    <n v="1"/>
    <n v="0"/>
    <n v="0"/>
    <n v="0"/>
    <n v="0"/>
    <n v="0"/>
    <n v="1"/>
    <n v="0"/>
    <n v="0"/>
    <s v="https://www.clickideacore.com/ClickHTML5/Visit.aspx?ID=//57DAEwASwAzADcAMAAzADkAMgA4ADgASQBEAEUAQQAB=&amp;Tipo=2&amp;ST=1&amp;nLang=0"/>
    <n v="0"/>
    <n v="12"/>
    <n v="0"/>
    <n v="0"/>
    <n v="0"/>
    <n v="0"/>
    <n v="0"/>
    <n v="0"/>
  </r>
  <r>
    <x v="4"/>
    <x v="8"/>
    <s v="OP-DYR-005"/>
    <x v="210"/>
    <d v="2025-11-18T00:00:00"/>
    <n v="16"/>
    <x v="0"/>
    <n v="26"/>
    <n v="0"/>
    <n v="0"/>
    <n v="1"/>
    <n v="0"/>
    <n v="0"/>
    <n v="0"/>
    <n v="0"/>
    <n v="0"/>
    <n v="0"/>
    <n v="0"/>
    <n v="0"/>
    <s v="https://www.clickideacore.com/ClickHTML5/Visit.aspx?ID=//53DAEwASwAzADcAMAAzADgANAA1ADkASQBEAEUAQQA2=&amp;Tipo=2&amp;ST=1&amp;nLang=0"/>
    <n v="0"/>
    <n v="0"/>
    <n v="0"/>
    <n v="0"/>
    <n v="0"/>
    <n v="0"/>
    <n v="0"/>
    <n v="0"/>
  </r>
  <r>
    <x v="5"/>
    <x v="4"/>
    <s v="OP-DYR-005"/>
    <x v="210"/>
    <d v="2025-11-18T00:00:00"/>
    <n v="16"/>
    <x v="0"/>
    <n v="26"/>
    <n v="0"/>
    <n v="0"/>
    <n v="0"/>
    <n v="1"/>
    <n v="0"/>
    <n v="0"/>
    <n v="0"/>
    <n v="0"/>
    <n v="1"/>
    <n v="0"/>
    <n v="0"/>
    <s v="https://www.clickideacore.com/ClickHTML5/Visit.aspx?ID=//53DAEwASwAzADcAMAAzADgANAA1ADkASQBEAEUAQQA2=&amp;Tipo=2&amp;ST=1&amp;nLang=0"/>
    <n v="0"/>
    <n v="12"/>
    <n v="0"/>
    <n v="0"/>
    <n v="0"/>
    <n v="0"/>
    <n v="0"/>
    <n v="0"/>
  </r>
  <r>
    <x v="1"/>
    <x v="1"/>
    <s v="OP-S-0010"/>
    <x v="210"/>
    <d v="2025-11-18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210"/>
    <d v="2025-11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0"/>
    <d v="2025-11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200"/>
    <x v="211"/>
    <d v="2025-11-19T00:00:00"/>
    <n v="12"/>
    <x v="0"/>
    <n v="28"/>
    <n v="0"/>
    <n v="0"/>
    <n v="1"/>
    <n v="0"/>
    <n v="0"/>
    <n v="0"/>
    <n v="0"/>
    <n v="0"/>
    <n v="0"/>
    <n v="0"/>
    <n v="0"/>
    <s v="https://www.clickideacore.com/ClickHTML5/Visit.aspx?ID=//58DAEwASwAzADcAMAAzADkAOQA4ADIASQBEAEUAQQA1=&amp;Tipo=2&amp;ST=1&amp;nLang=0"/>
    <n v="0"/>
    <n v="6"/>
    <n v="0"/>
    <n v="0"/>
    <n v="0"/>
    <n v="0"/>
    <n v="0"/>
    <n v="0"/>
  </r>
  <r>
    <x v="1"/>
    <x v="1"/>
    <s v="OP-S-0010"/>
    <x v="211"/>
    <d v="2025-11-19T00:00:00"/>
    <n v="0"/>
    <x v="0"/>
    <n v="11"/>
    <n v="0"/>
    <n v="0"/>
    <n v="0"/>
    <n v="1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10"/>
    <n v="0"/>
    <n v="0"/>
    <n v="0"/>
    <n v="0"/>
    <n v="0"/>
    <n v="0"/>
  </r>
  <r>
    <x v="5"/>
    <x v="4"/>
    <s v="OP-DYR-005"/>
    <x v="211"/>
    <d v="2025-11-19T00:00:00"/>
    <n v="16"/>
    <x v="0"/>
    <n v="26"/>
    <n v="0"/>
    <n v="0"/>
    <n v="1"/>
    <n v="0"/>
    <n v="0"/>
    <n v="0"/>
    <n v="0"/>
    <n v="0"/>
    <n v="1"/>
    <n v="0"/>
    <n v="0"/>
    <s v="https://www.clickideacore.com/ClickHTML5/Visit.aspx?ID=//53DAEwASwAzADcAMAAzADgANAA1ADkASQBEAEUAQQA2=&amp;Tipo=2&amp;ST=1&amp;nLang=0"/>
    <n v="0"/>
    <n v="0"/>
    <n v="0"/>
    <n v="0"/>
    <n v="0"/>
    <n v="0"/>
    <n v="0"/>
    <n v="0"/>
  </r>
  <r>
    <x v="17"/>
    <x v="0"/>
    <s v="OP-DYR-00001"/>
    <x v="211"/>
    <d v="2025-11-19T00:00:00"/>
    <n v="176"/>
    <x v="0"/>
    <n v="47"/>
    <n v="0"/>
    <n v="0"/>
    <n v="1"/>
    <n v="0"/>
    <n v="0"/>
    <n v="0"/>
    <n v="0"/>
    <n v="0"/>
    <n v="0"/>
    <n v="0"/>
    <n v="0"/>
    <s v="https://www.clickideacore.com/ClickHTML5/Visit.aspx?ID=//56DAEwASwAzADcAMAA2ADcAMwA2ADkASQBEAEUAQQAA=&amp;Tipo=2&amp;ST=1&amp;nLang=0"/>
    <n v="0"/>
    <n v="5"/>
    <n v="0"/>
    <n v="0"/>
    <n v="0"/>
    <n v="0"/>
    <n v="0"/>
    <n v="0"/>
  </r>
  <r>
    <x v="3"/>
    <x v="3"/>
    <s v="OP-S-076"/>
    <x v="211"/>
    <d v="2025-11-19T00:00:00"/>
    <n v="25"/>
    <x v="0"/>
    <n v="47"/>
    <n v="0"/>
    <n v="0"/>
    <n v="1"/>
    <n v="0"/>
    <n v="1"/>
    <n v="0"/>
    <n v="0"/>
    <n v="0"/>
    <n v="0"/>
    <n v="0"/>
    <n v="0"/>
    <s v="https://www.clickideacore.com/ClickHTML5/Visit.aspx?ID=//5ADAEwASwAzADcAMAA2ADYAMgA3ADMASQBEAEUAQQAD=&amp;Tipo=2&amp;ST=1&amp;nLang=0"/>
    <n v="0"/>
    <n v="0"/>
    <n v="0"/>
    <n v="0"/>
    <n v="0"/>
    <n v="0"/>
    <n v="0"/>
    <n v="0"/>
  </r>
  <r>
    <x v="10"/>
    <x v="6"/>
    <s v="OP-S-0010"/>
    <x v="211"/>
    <d v="2025-11-1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211"/>
    <d v="2025-11-1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211"/>
    <d v="2025-11-1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6"/>
    <s v="OP-S-0010"/>
    <x v="212"/>
    <d v="2025-11-20T00:00:00"/>
    <n v="0"/>
    <x v="0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20"/>
    <n v="0"/>
    <n v="0"/>
    <n v="0"/>
    <n v="0"/>
    <n v="0"/>
    <n v="0"/>
  </r>
  <r>
    <x v="19"/>
    <x v="6"/>
    <s v="OP-S-0010"/>
    <x v="211"/>
    <d v="2025-11-1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1"/>
    <d v="2025-11-1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12"/>
    <d v="2025-11-20T00:00:00"/>
    <n v="21"/>
    <x v="0"/>
    <n v="36"/>
    <n v="0"/>
    <n v="1"/>
    <n v="1"/>
    <n v="0"/>
    <n v="0"/>
    <n v="0"/>
    <n v="0"/>
    <n v="0"/>
    <n v="0"/>
    <n v="0"/>
    <n v="0"/>
    <s v="https://www.clickideacore.com/ClickHTML5/Visit.aspx?ID=//5FDAEwASwAzADcAMAA5ADEANwA4ADYASQBEAEUAQQA5=&amp;Tipo=2&amp;ST=1&amp;nLang=0"/>
    <n v="0"/>
    <n v="20"/>
    <n v="0"/>
    <n v="0"/>
    <n v="0"/>
    <n v="0"/>
    <n v="0"/>
    <n v="0"/>
  </r>
  <r>
    <x v="19"/>
    <x v="6"/>
    <s v="OP-DYR-011"/>
    <x v="212"/>
    <d v="2025-11-20T00:00:00"/>
    <n v="21"/>
    <x v="0"/>
    <n v="36"/>
    <n v="0"/>
    <n v="1"/>
    <n v="1"/>
    <n v="0"/>
    <n v="0"/>
    <n v="0"/>
    <n v="0"/>
    <n v="0"/>
    <n v="0"/>
    <n v="0"/>
    <n v="0"/>
    <s v="https://www.clickideacore.com/ClickHTML5/Visit.aspx?ID=//5FDAEwASwAzADcAMAA5ADEANwA4ADYASQBEAEUAQQA5=&amp;Tipo=2&amp;ST=1&amp;nLang=0"/>
    <n v="0"/>
    <n v="20"/>
    <n v="0"/>
    <n v="0"/>
    <n v="0"/>
    <n v="0"/>
    <n v="0"/>
    <n v="0"/>
  </r>
  <r>
    <x v="1"/>
    <x v="1"/>
    <s v="OP-DYR-004"/>
    <x v="212"/>
    <d v="2025-11-20T00:00:00"/>
    <n v="27"/>
    <x v="0"/>
    <n v="16"/>
    <n v="0"/>
    <n v="0"/>
    <n v="0"/>
    <n v="1"/>
    <n v="0"/>
    <n v="0"/>
    <n v="0"/>
    <n v="0"/>
    <n v="0"/>
    <n v="0"/>
    <n v="0"/>
    <s v="https://www.clickideacore.com/ClickHTML5/Visit.aspx?ID=//59DAEwASwAzADcAMAA5ADIANAA3ADQASQBEAEUAQQA7=&amp;Tipo=2&amp;ST=1&amp;nLang=0"/>
    <n v="0"/>
    <n v="54"/>
    <n v="1"/>
    <n v="10"/>
    <n v="0"/>
    <n v="0"/>
    <n v="0"/>
    <n v="0"/>
  </r>
  <r>
    <x v="11"/>
    <x v="4"/>
    <s v="OP-SDYR-001"/>
    <x v="212"/>
    <d v="2025-11-20T00:00:00"/>
    <n v="62"/>
    <x v="0"/>
    <n v="11"/>
    <n v="0"/>
    <n v="1"/>
    <n v="0"/>
    <n v="0"/>
    <n v="0"/>
    <n v="0"/>
    <n v="0"/>
    <n v="0"/>
    <n v="3"/>
    <n v="0"/>
    <n v="0"/>
    <s v="https://www.clickideacore.com/ClickHTML5/Visit.aspx?ID=//54DAEwASwAzADcAMAA5ADIAOQAyADIASQBEAEUAQQA2=&amp;Tipo=2&amp;ST=1&amp;nLang=0"/>
    <n v="0"/>
    <n v="40"/>
    <n v="0"/>
    <n v="0"/>
    <n v="0"/>
    <n v="0"/>
    <n v="0"/>
    <n v="0"/>
  </r>
  <r>
    <x v="4"/>
    <x v="8"/>
    <s v="OP-DYR-005"/>
    <x v="212"/>
    <d v="2025-11-20T00:00:00"/>
    <n v="17"/>
    <x v="0"/>
    <n v="39"/>
    <n v="0"/>
    <n v="0"/>
    <n v="1"/>
    <n v="0"/>
    <n v="0"/>
    <n v="0"/>
    <n v="0"/>
    <n v="0"/>
    <n v="0"/>
    <n v="0"/>
    <n v="0"/>
    <s v="https://www.clickideacore.com/ClickHTML5/Visit.aspx?ID=//5DDAEwASwAzADcAMAA5ADEANgAzADAASQBEAEUAQQAA=&amp;Tipo=2&amp;ST=1&amp;nLang=0"/>
    <n v="0"/>
    <n v="31"/>
    <n v="0"/>
    <n v="0"/>
    <n v="0"/>
    <n v="0"/>
    <n v="0"/>
    <n v="0"/>
  </r>
  <r>
    <x v="17"/>
    <x v="0"/>
    <s v="OP-DYR-005"/>
    <x v="212"/>
    <d v="2025-11-20T00:00:00"/>
    <n v="17"/>
    <x v="0"/>
    <n v="40"/>
    <n v="0"/>
    <n v="1"/>
    <n v="1"/>
    <n v="0"/>
    <n v="0"/>
    <n v="0"/>
    <n v="0"/>
    <n v="0"/>
    <n v="0"/>
    <n v="0"/>
    <n v="0"/>
    <s v="https://www.clickideacore.com/ClickHTML5/Visit.aspx?ID=//5DDAEwASwAzADcAMAA5ADEANgAzADAASQBEAEUAQQAA=&amp;Tipo=2&amp;ST=1&amp;nLang=0"/>
    <n v="0"/>
    <n v="0"/>
    <n v="0"/>
    <n v="0"/>
    <n v="0"/>
    <n v="0"/>
    <n v="0"/>
    <n v="0"/>
  </r>
  <r>
    <x v="2"/>
    <x v="27"/>
    <s v="OP-DYR-005"/>
    <x v="212"/>
    <d v="2025-11-20T00:00:00"/>
    <n v="17"/>
    <x v="0"/>
    <n v="14"/>
    <n v="0"/>
    <n v="1"/>
    <n v="1"/>
    <n v="0"/>
    <n v="0"/>
    <n v="0"/>
    <n v="0"/>
    <n v="0"/>
    <n v="0"/>
    <n v="0"/>
    <n v="0"/>
    <s v="https://www.clickideacore.com/ClickHTML5/Visit.aspx?ID=//5DDAEwASwAzADcAMAA5ADEANgAzADAASQBEAEUAQQAA=&amp;Tipo=2&amp;ST=1&amp;nLang=0"/>
    <n v="0"/>
    <n v="0"/>
    <n v="0"/>
    <n v="0"/>
    <n v="0"/>
    <n v="0"/>
    <n v="0"/>
    <n v="0"/>
  </r>
  <r>
    <x v="9"/>
    <x v="3"/>
    <s v="OP-S-0010"/>
    <x v="212"/>
    <d v="2025-11-20T00:00:00"/>
    <n v="0"/>
    <x v="1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212"/>
    <d v="2025-11-2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6"/>
    <s v="OP-S-0010"/>
    <x v="212"/>
    <d v="2025-11-20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2"/>
    <d v="2025-11-2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13"/>
    <d v="2025-11-21T00:00:00"/>
    <n v="63"/>
    <x v="0"/>
    <n v="40"/>
    <n v="0"/>
    <n v="1"/>
    <n v="1"/>
    <n v="0"/>
    <n v="0"/>
    <n v="0"/>
    <n v="0"/>
    <n v="0"/>
    <n v="0"/>
    <n v="0"/>
    <n v="0"/>
    <s v="https://www.clickideacore.com/ClickHTML5/Visit.aspx?ID=//59DAEwASwAzADcAMQAxADcANwA0ADAASQBEAEUAQQA3=&amp;Tipo=2&amp;ST=1&amp;nLang=0"/>
    <n v="0"/>
    <n v="0"/>
    <n v="0"/>
    <n v="0"/>
    <n v="0"/>
    <n v="0"/>
    <n v="0"/>
    <n v="0"/>
  </r>
  <r>
    <x v="0"/>
    <x v="6"/>
    <s v="OP-DYR-011"/>
    <x v="213"/>
    <d v="2025-11-21T00:00:00"/>
    <n v="63"/>
    <x v="0"/>
    <n v="40"/>
    <n v="0"/>
    <n v="1"/>
    <n v="1"/>
    <n v="0"/>
    <n v="0"/>
    <n v="0"/>
    <n v="0"/>
    <n v="0"/>
    <n v="0"/>
    <n v="0"/>
    <n v="0"/>
    <s v="https://www.clickideacore.com/ClickHTML5/Visit.aspx?ID=//59DAEwASwAzADcAMQAxADcANwA0ADAASQBEAEUAQQA3=&amp;Tipo=2&amp;ST=1&amp;nLang=0"/>
    <n v="0"/>
    <n v="0"/>
    <n v="0"/>
    <n v="0"/>
    <n v="0"/>
    <n v="0"/>
    <n v="0"/>
    <n v="0"/>
  </r>
  <r>
    <x v="5"/>
    <x v="4"/>
    <s v="OP-S-005"/>
    <x v="213"/>
    <d v="2025-11-21T00:00:00"/>
    <n v="49"/>
    <x v="0"/>
    <n v="0"/>
    <n v="0"/>
    <n v="0"/>
    <n v="0"/>
    <n v="0"/>
    <n v="0"/>
    <n v="0"/>
    <n v="0"/>
    <n v="0"/>
    <n v="0"/>
    <n v="0"/>
    <n v="0"/>
    <s v="https://www.clickideacore.com/ClickHTML5/Visit.aspx?ID=//5FDAEwASwAzADcAMQAxADYANgA2ADMASQBEAEUAQQA0=&amp;Tipo=2&amp;ST=1&amp;nLang=0"/>
    <n v="0"/>
    <n v="74"/>
    <n v="0"/>
    <n v="10"/>
    <n v="0"/>
    <n v="0"/>
    <n v="0"/>
    <n v="0"/>
  </r>
  <r>
    <x v="1"/>
    <x v="1"/>
    <s v="OP-DYR-004"/>
    <x v="213"/>
    <d v="2025-11-21T00:00:00"/>
    <n v="25"/>
    <x v="0"/>
    <n v="18"/>
    <n v="0"/>
    <n v="0"/>
    <n v="0"/>
    <n v="1"/>
    <n v="0"/>
    <n v="0"/>
    <n v="0"/>
    <n v="0"/>
    <n v="0"/>
    <n v="0"/>
    <n v="0"/>
    <s v="https://www.clickideacore.com/ClickHTML5/Visit.aspx?ID=//55DAEwASwAzADcAMQAxADcAMwA1ADEASQBEAEUAQQA8=&amp;Tipo=2&amp;ST=1&amp;nLang=0"/>
    <n v="0"/>
    <n v="48"/>
    <n v="0"/>
    <n v="0"/>
    <n v="0"/>
    <n v="0"/>
    <n v="0"/>
    <n v="0"/>
  </r>
  <r>
    <x v="17"/>
    <x v="0"/>
    <s v="OP-DYR-00001"/>
    <x v="213"/>
    <d v="2025-11-21T00:00:00"/>
    <n v="32"/>
    <x v="0"/>
    <n v="18"/>
    <n v="0"/>
    <n v="1"/>
    <n v="1"/>
    <n v="0"/>
    <n v="0"/>
    <n v="0"/>
    <n v="0"/>
    <n v="0"/>
    <n v="0"/>
    <n v="0"/>
    <n v="0"/>
    <s v="https://www.clickideacore.com/ClickHTML5/Visit.aspx?ID=//5FDAEwASwAzADcAMQAxADYAMwA2ADUASQBEAEUAQQA7=&amp;Tipo=2&amp;ST=1&amp;nLang=0"/>
    <n v="0"/>
    <n v="36"/>
    <n v="1"/>
    <n v="1"/>
    <n v="0"/>
    <n v="0"/>
    <n v="0"/>
    <n v="0"/>
  </r>
  <r>
    <x v="3"/>
    <x v="3"/>
    <s v="OP-S-076"/>
    <x v="213"/>
    <d v="2025-11-21T00:00:00"/>
    <n v="60"/>
    <x v="0"/>
    <n v="36"/>
    <n v="0"/>
    <n v="0"/>
    <n v="1"/>
    <n v="0"/>
    <n v="0"/>
    <n v="0"/>
    <n v="0"/>
    <n v="0"/>
    <n v="0"/>
    <n v="0"/>
    <n v="0"/>
    <s v="https://www.clickideacore.com/ClickHTML5/Visit.aspx?ID=//52DAEwASwAzADcAMQAxADEAMgA2ADgASQBEAEUAQQA9=&amp;Tipo=2&amp;ST=1&amp;nLang=0"/>
    <n v="0"/>
    <n v="0"/>
    <n v="0"/>
    <n v="0"/>
    <n v="0"/>
    <n v="0"/>
    <n v="0"/>
    <n v="0"/>
  </r>
  <r>
    <x v="4"/>
    <x v="8"/>
    <s v="OP-DYR-005"/>
    <x v="213"/>
    <d v="2025-11-21T00:00:00"/>
    <n v="27"/>
    <x v="0"/>
    <n v="16"/>
    <n v="0"/>
    <n v="0"/>
    <n v="1"/>
    <n v="0"/>
    <n v="0"/>
    <n v="0"/>
    <n v="0"/>
    <n v="0"/>
    <n v="0"/>
    <n v="0"/>
    <n v="1"/>
    <s v="https://www.clickideacore.com/ClickHTML5/Visit.aspx?ID=//51DAEwASwAzADcAMQAxADMAMwA2ADUASQBEAEUAQQA5=&amp;Tipo=2&amp;ST=1&amp;nLang=0"/>
    <n v="0"/>
    <n v="37"/>
    <n v="0"/>
    <n v="0"/>
    <n v="0"/>
    <n v="0"/>
    <n v="0"/>
    <n v="0"/>
  </r>
  <r>
    <x v="2"/>
    <x v="2"/>
    <s v="OP-S-0010"/>
    <x v="213"/>
    <d v="2025-11-2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13"/>
    <d v="2025-11-21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3"/>
    <d v="2025-11-2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14"/>
    <d v="2025-11-22T00:00:00"/>
    <n v="27"/>
    <x v="0"/>
    <n v="0"/>
    <n v="0"/>
    <n v="0"/>
    <n v="0"/>
    <n v="0"/>
    <n v="0"/>
    <n v="0"/>
    <n v="1"/>
    <n v="0"/>
    <n v="3"/>
    <n v="1"/>
    <n v="0"/>
    <s v="https://www.clickideacore.com/ClickHTML5/Visit.aspx?ID=//51DAEwASwAzADcAMQAzADIANQAxADkASQBEAEUAQQA6=&amp;Tipo=2&amp;ST=1&amp;nLang=0"/>
    <n v="0"/>
    <n v="0"/>
    <n v="0"/>
    <n v="0"/>
    <n v="0"/>
    <n v="0"/>
    <n v="0"/>
    <n v="0"/>
  </r>
  <r>
    <x v="0"/>
    <x v="6"/>
    <s v="OP-DYR-011"/>
    <x v="214"/>
    <d v="2025-11-22T00:00:00"/>
    <n v="27"/>
    <x v="0"/>
    <n v="0"/>
    <n v="0"/>
    <n v="0"/>
    <n v="0"/>
    <n v="0"/>
    <n v="0"/>
    <n v="0"/>
    <n v="1"/>
    <n v="0"/>
    <n v="3"/>
    <n v="1"/>
    <n v="0"/>
    <s v="https://www.clickideacore.com/ClickHTML5/Visit.aspx?ID=//51DAEwASwAzADcAMQAzADIANQAxADkASQBEAEUAQQA6=&amp;Tipo=2&amp;ST=1&amp;nLang=0"/>
    <n v="0"/>
    <n v="0"/>
    <n v="0"/>
    <n v="0"/>
    <n v="0"/>
    <n v="0"/>
    <n v="0"/>
    <n v="0"/>
  </r>
  <r>
    <x v="1"/>
    <x v="1"/>
    <s v="OP-DYR-004"/>
    <x v="214"/>
    <d v="2025-11-22T00:00:00"/>
    <n v="37"/>
    <x v="0"/>
    <n v="0"/>
    <n v="0"/>
    <n v="0"/>
    <n v="0"/>
    <n v="0"/>
    <n v="0"/>
    <n v="0"/>
    <n v="1"/>
    <n v="0"/>
    <n v="6"/>
    <n v="1"/>
    <n v="0"/>
    <s v="https://www.clickideacore.com/ClickHTML5/Visit.aspx?ID=//55DAEwASwAzADcAMQAzADMANgAzADEASQBEAEUAQQAA=&amp;Tipo=2&amp;ST=1&amp;nLang=0"/>
    <n v="16"/>
    <n v="0"/>
    <n v="0"/>
    <n v="0"/>
    <n v="0"/>
    <n v="0"/>
    <n v="1"/>
    <n v="0"/>
  </r>
  <r>
    <x v="3"/>
    <x v="3"/>
    <s v="OP-S-076"/>
    <x v="214"/>
    <d v="2025-11-22T00:00:00"/>
    <n v="30"/>
    <x v="0"/>
    <n v="0"/>
    <n v="0"/>
    <n v="0"/>
    <n v="0"/>
    <n v="0"/>
    <n v="0"/>
    <n v="0"/>
    <n v="1"/>
    <n v="0"/>
    <n v="0"/>
    <n v="1"/>
    <n v="0"/>
    <s v="https://www.clickideacore.com/ClickHTML5/Visit.aspx?ID=//5ADAEwASwAzADcAMQAzADEAOQA3ADYASQBEAEUAQQA4=&amp;Tipo=2&amp;ST=1&amp;nLang=0"/>
    <n v="0"/>
    <n v="0"/>
    <n v="0"/>
    <n v="0"/>
    <n v="0"/>
    <n v="0"/>
    <n v="0"/>
    <n v="0"/>
  </r>
  <r>
    <x v="4"/>
    <x v="8"/>
    <s v="OP-DYR-005"/>
    <x v="214"/>
    <d v="2025-11-22T00:00:00"/>
    <n v="18"/>
    <x v="0"/>
    <n v="0"/>
    <n v="0"/>
    <n v="0"/>
    <n v="0"/>
    <n v="0"/>
    <n v="0"/>
    <n v="0"/>
    <n v="1"/>
    <n v="0"/>
    <n v="2"/>
    <n v="1"/>
    <n v="0"/>
    <s v="https://www.clickideacore.com/ClickHTML5/Visit.aspx?ID=//5FDAEwASwAzADcAMQAzADIAMAAyADEASQBEAEUAQQA8=&amp;Tipo=2&amp;ST=1&amp;nLang=0"/>
    <n v="12"/>
    <n v="0"/>
    <n v="0"/>
    <n v="0"/>
    <n v="0"/>
    <n v="0"/>
    <n v="0"/>
    <n v="0"/>
  </r>
  <r>
    <x v="2"/>
    <x v="2"/>
    <s v="OP-DYR-005"/>
    <x v="214"/>
    <d v="2025-11-22T00:00:00"/>
    <n v="18"/>
    <x v="0"/>
    <n v="0"/>
    <n v="0"/>
    <n v="0"/>
    <n v="0"/>
    <n v="0"/>
    <n v="0"/>
    <n v="0"/>
    <n v="1"/>
    <n v="0"/>
    <n v="3"/>
    <n v="1"/>
    <n v="0"/>
    <s v="https://www.clickideacore.com/ClickHTML5/Visit.aspx?ID=//5FDAEwASwAzADcAMQAzADIAMAAyADEASQBEAEUAQQA8=&amp;Tipo=2&amp;ST=1&amp;nLang=0"/>
    <n v="0"/>
    <n v="0"/>
    <n v="0"/>
    <n v="0"/>
    <n v="0"/>
    <n v="0"/>
    <n v="0"/>
    <n v="0"/>
  </r>
  <r>
    <x v="17"/>
    <x v="0"/>
    <s v="OP-S-0010"/>
    <x v="214"/>
    <d v="2025-11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14"/>
    <d v="2025-11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14"/>
    <d v="2025-11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4"/>
    <d v="2025-11-22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15"/>
    <d v="2025-11-23T00:00:00"/>
    <n v="23"/>
    <x v="0"/>
    <n v="0"/>
    <n v="0"/>
    <n v="0"/>
    <n v="0"/>
    <n v="0"/>
    <n v="0"/>
    <n v="0"/>
    <n v="0"/>
    <n v="1"/>
    <n v="4"/>
    <n v="0"/>
    <n v="1"/>
    <s v="https://www.clickideacore.com/ClickHTML5/Visit.aspx?ID=//56DAEwASwAzADcAMQA0ADAANAA5ADkASQBEAEUAQQA7=&amp;Tipo=2&amp;ST=1&amp;nLang=0"/>
    <n v="0"/>
    <n v="0"/>
    <n v="0"/>
    <n v="0"/>
    <n v="0"/>
    <n v="0"/>
    <n v="0"/>
    <n v="0"/>
  </r>
  <r>
    <x v="0"/>
    <x v="6"/>
    <s v="OP-DYR-011"/>
    <x v="215"/>
    <d v="2025-11-23T00:00:00"/>
    <n v="23"/>
    <x v="0"/>
    <n v="0"/>
    <n v="0"/>
    <n v="0"/>
    <n v="0"/>
    <n v="0"/>
    <n v="0"/>
    <n v="0"/>
    <n v="0"/>
    <n v="1"/>
    <n v="4"/>
    <n v="0"/>
    <n v="1"/>
    <s v="https://www.clickideacore.com/ClickHTML5/Visit.aspx?ID=//56DAEwASwAzADcAMQA0ADAANAA5ADkASQBEAEUAQQA7=&amp;Tipo=2&amp;ST=1&amp;nLang=0"/>
    <n v="0"/>
    <n v="0"/>
    <n v="0"/>
    <n v="0"/>
    <n v="0"/>
    <n v="0"/>
    <n v="0"/>
    <n v="0"/>
  </r>
  <r>
    <x v="1"/>
    <x v="1"/>
    <s v="OP-DYR-004"/>
    <x v="215"/>
    <d v="2025-11-23T00:00:00"/>
    <n v="56"/>
    <x v="0"/>
    <n v="0"/>
    <n v="0"/>
    <n v="0"/>
    <n v="0"/>
    <n v="0"/>
    <n v="0"/>
    <n v="0"/>
    <n v="0"/>
    <n v="1"/>
    <n v="8"/>
    <n v="0"/>
    <n v="1"/>
    <s v="https://www.clickideacore.com/ClickHTML5/Visit.aspx?ID=//57DAEwASwAzADcAMQA0ADAAOQA0ADMASQBEAEUAQQA0=&amp;Tipo=2&amp;ST=1&amp;nLang=0"/>
    <n v="16"/>
    <n v="0"/>
    <n v="0"/>
    <n v="0"/>
    <n v="0"/>
    <n v="0"/>
    <n v="0"/>
    <n v="1"/>
  </r>
  <r>
    <x v="3"/>
    <x v="17"/>
    <s v="OP-S-076"/>
    <x v="215"/>
    <d v="2025-11-23T00:00:00"/>
    <n v="18"/>
    <x v="0"/>
    <n v="0"/>
    <n v="0"/>
    <n v="0"/>
    <n v="0"/>
    <n v="0"/>
    <n v="0"/>
    <n v="0"/>
    <n v="0"/>
    <n v="1"/>
    <n v="4"/>
    <n v="0"/>
    <n v="1"/>
    <s v="https://www.clickideacore.com/ClickHTML5/Visit.aspx?ID=//5BDAEwASwAzADcAMQA0ADAANAAyADcASQBEAEUAQQA9=&amp;Tipo=2&amp;ST=1&amp;nLang=0"/>
    <n v="0"/>
    <n v="0"/>
    <n v="0"/>
    <n v="0"/>
    <n v="0"/>
    <n v="0"/>
    <n v="0"/>
    <n v="0"/>
  </r>
  <r>
    <x v="2"/>
    <x v="2"/>
    <s v="OP-DYR-005"/>
    <x v="215"/>
    <d v="2025-11-23T00:00:00"/>
    <n v="19"/>
    <x v="0"/>
    <n v="0"/>
    <n v="0"/>
    <n v="0"/>
    <n v="0"/>
    <n v="0"/>
    <n v="0"/>
    <n v="0"/>
    <n v="0"/>
    <n v="1"/>
    <n v="6"/>
    <n v="0"/>
    <n v="1"/>
    <s v="https://www.clickideacore.com/ClickHTML5/Visit.aspx?ID=//53DAEwASwAzADcAMQA0ADEAMQA3ADYASQBEAEUAQQA9=&amp;Tipo=2&amp;ST=1&amp;nLang=0"/>
    <n v="0"/>
    <n v="0"/>
    <n v="0"/>
    <n v="0"/>
    <n v="0"/>
    <n v="0"/>
    <n v="0"/>
    <n v="0"/>
  </r>
  <r>
    <x v="4"/>
    <x v="8"/>
    <s v="OP-DYR-005"/>
    <x v="215"/>
    <d v="2025-11-23T00:00:00"/>
    <n v="19"/>
    <x v="0"/>
    <n v="0"/>
    <n v="0"/>
    <n v="0"/>
    <n v="0"/>
    <n v="0"/>
    <n v="0"/>
    <n v="0"/>
    <n v="0"/>
    <n v="1"/>
    <n v="4"/>
    <n v="0"/>
    <n v="1"/>
    <s v="https://www.clickideacore.com/ClickHTML5/Visit.aspx?ID=//53DAEwASwAzADcAMQA0ADEAMQA3ADYASQBEAEUAQQA9=&amp;Tipo=2&amp;ST=1&amp;nLang=0"/>
    <n v="16"/>
    <n v="0"/>
    <n v="0"/>
    <n v="0"/>
    <n v="0"/>
    <n v="0"/>
    <n v="0"/>
    <n v="0"/>
  </r>
  <r>
    <x v="17"/>
    <x v="0"/>
    <s v="OP-S-0010"/>
    <x v="215"/>
    <d v="2025-11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15"/>
    <d v="2025-11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15"/>
    <d v="2025-11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3"/>
    <s v="OP-S-0010"/>
    <x v="215"/>
    <d v="2025-11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15"/>
    <d v="2025-11-2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2"/>
    <s v="OP-DYR-011"/>
    <x v="216"/>
    <d v="2025-11-24T00:00:00"/>
    <n v="27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MQA1ADMAMwAyADkASQBEAEUAQQA4=&amp;Tipo=2&amp;ST=1&amp;nLang=0"/>
    <n v="0"/>
    <n v="10"/>
    <n v="0"/>
    <n v="0"/>
    <n v="0"/>
    <n v="0"/>
    <n v="0"/>
    <n v="0"/>
  </r>
  <r>
    <x v="17"/>
    <x v="6"/>
    <s v="OP-DYR-00001"/>
    <x v="216"/>
    <d v="2025-11-24T00:00:00"/>
    <n v="98"/>
    <x v="0"/>
    <n v="2"/>
    <n v="0"/>
    <n v="0"/>
    <n v="0"/>
    <n v="0"/>
    <n v="0"/>
    <n v="0"/>
    <n v="0"/>
    <n v="0"/>
    <n v="0"/>
    <n v="0"/>
    <n v="0"/>
    <s v="https://www.clickideacore.com/ClickHTML5/Visit.aspx?ID=//56DAEwASwAzADcAMQA1ADEAOQA4ADEASQBEAEUAQQA7=&amp;Tipo=2&amp;ST=1&amp;nLang=0"/>
    <n v="0"/>
    <n v="6"/>
    <n v="0"/>
    <n v="0"/>
    <n v="0"/>
    <n v="0"/>
    <n v="0"/>
    <n v="0"/>
  </r>
  <r>
    <x v="1"/>
    <x v="1"/>
    <s v="OP-DYR-00001"/>
    <x v="216"/>
    <d v="2025-11-24T00:00:00"/>
    <n v="98"/>
    <x v="4"/>
    <n v="0"/>
    <n v="0"/>
    <n v="0"/>
    <n v="0"/>
    <n v="0"/>
    <n v="0"/>
    <n v="0"/>
    <n v="0"/>
    <n v="0"/>
    <n v="0"/>
    <n v="0"/>
    <n v="0"/>
    <s v="https://www.clickideacore.com/ClickHTML5/Visit.aspx?ID=//56DAEwASwAzADcAMQA1ADEAOQA4ADEASQBEAEUAQQA7=&amp;Tipo=2&amp;ST=1&amp;nLang=0"/>
    <n v="0"/>
    <n v="0"/>
    <n v="0"/>
    <n v="0"/>
    <n v="0"/>
    <n v="0"/>
    <n v="0"/>
    <n v="0"/>
  </r>
  <r>
    <x v="19"/>
    <x v="6"/>
    <s v="OP-DYR-00001"/>
    <x v="216"/>
    <d v="2025-11-24T00:00:00"/>
    <n v="98"/>
    <x v="0"/>
    <n v="2"/>
    <n v="0"/>
    <n v="0"/>
    <n v="0"/>
    <n v="0"/>
    <n v="0"/>
    <n v="0"/>
    <n v="0"/>
    <n v="0"/>
    <n v="0"/>
    <n v="0"/>
    <n v="0"/>
    <s v="https://www.clickideacore.com/ClickHTML5/Visit.aspx?ID=//56DAEwASwAzADcAMQA1ADEAOQA4ADEASQBEAEUAQQA7=&amp;Tipo=2&amp;ST=1&amp;nLang=0"/>
    <n v="0"/>
    <n v="6"/>
    <n v="0"/>
    <n v="0"/>
    <n v="0"/>
    <n v="0"/>
    <n v="0"/>
    <n v="0"/>
  </r>
  <r>
    <x v="3"/>
    <x v="3"/>
    <s v="OP-S-076"/>
    <x v="216"/>
    <d v="2025-11-24T00:00:00"/>
    <n v="35"/>
    <x v="0"/>
    <n v="0"/>
    <n v="0"/>
    <n v="0"/>
    <n v="0"/>
    <n v="0"/>
    <n v="0"/>
    <n v="0"/>
    <n v="0"/>
    <n v="0"/>
    <n v="0"/>
    <n v="0"/>
    <n v="0"/>
    <s v="https://www.clickideacore.com/ClickHTML5/Visit.aspx?ID=//5ADAEwASwAzADcAMQA0ADkANAAyADkASQBEAEUAQQA9=&amp;Tipo=2&amp;ST=1&amp;nLang=0"/>
    <n v="0"/>
    <n v="20"/>
    <n v="0"/>
    <n v="0"/>
    <n v="0"/>
    <n v="0"/>
    <n v="0"/>
    <n v="0"/>
  </r>
  <r>
    <x v="4"/>
    <x v="8"/>
    <s v="OP-DYR-005"/>
    <x v="216"/>
    <d v="2025-11-24T00:00:00"/>
    <n v="14"/>
    <x v="0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22"/>
    <n v="0"/>
    <n v="0"/>
    <n v="0"/>
    <n v="0"/>
    <n v="0"/>
    <n v="0"/>
  </r>
  <r>
    <x v="0"/>
    <x v="0"/>
    <s v="OP-DYR-005"/>
    <x v="216"/>
    <d v="2025-11-24T00:00:00"/>
    <n v="14"/>
    <x v="0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22"/>
    <n v="0"/>
    <n v="0"/>
    <n v="0"/>
    <n v="0"/>
    <n v="0"/>
    <n v="0"/>
  </r>
  <r>
    <x v="5"/>
    <x v="4"/>
    <s v="OP-DYR-005"/>
    <x v="216"/>
    <d v="2025-11-24T00:00:00"/>
    <n v="14"/>
    <x v="0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15"/>
    <n v="0"/>
    <n v="0"/>
    <n v="0"/>
    <n v="0"/>
    <n v="0"/>
    <n v="0"/>
  </r>
  <r>
    <x v="2"/>
    <x v="6"/>
    <s v="OP-DYR-005"/>
    <x v="216"/>
    <d v="2025-11-24T00:00:00"/>
    <n v="14"/>
    <x v="4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7"/>
    <s v="OP-S-0010"/>
    <x v="216"/>
    <d v="2025-11-2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217"/>
    <d v="2025-11-25T00:00:00"/>
    <n v="33"/>
    <x v="0"/>
    <n v="34"/>
    <n v="0"/>
    <n v="0"/>
    <n v="0"/>
    <n v="1"/>
    <n v="0"/>
    <n v="0"/>
    <n v="0"/>
    <n v="0"/>
    <n v="0"/>
    <n v="0"/>
    <n v="0"/>
    <s v="https://www.clickideacore.com/ClickHTML5/Visit.aspx?ID=//56DAEwASwAzADcAMQA4ADEANgAxADQASQBEAEUAQQA1=&amp;Tipo=2&amp;ST=1&amp;nLang=0"/>
    <n v="0"/>
    <n v="0"/>
    <n v="0"/>
    <n v="0"/>
    <n v="0"/>
    <n v="0"/>
    <n v="0"/>
    <n v="0"/>
  </r>
  <r>
    <x v="5"/>
    <x v="6"/>
    <s v="OP-S-005"/>
    <x v="217"/>
    <d v="2025-11-25T00:00:00"/>
    <n v="42"/>
    <x v="0"/>
    <n v="56"/>
    <n v="0"/>
    <n v="0"/>
    <n v="1"/>
    <n v="0"/>
    <n v="0"/>
    <n v="0"/>
    <n v="0"/>
    <n v="0"/>
    <n v="0"/>
    <n v="0"/>
    <n v="0"/>
    <s v="https://www.clickideacore.com/ClickHTML5/Visit.aspx?ID=//58DAEwASwAzADcAMQA4ADcANgAzADkASQBEAEUAQQA2=&amp;Tipo=2&amp;ST=1&amp;nLang=0"/>
    <n v="0"/>
    <n v="0"/>
    <n v="0"/>
    <n v="0"/>
    <n v="0"/>
    <n v="0"/>
    <n v="0"/>
    <n v="0"/>
  </r>
  <r>
    <x v="19"/>
    <x v="6"/>
    <s v="OP-S-005"/>
    <x v="217"/>
    <d v="2025-11-25T00:00:00"/>
    <n v="42"/>
    <x v="0"/>
    <n v="56"/>
    <n v="0"/>
    <n v="0"/>
    <n v="1"/>
    <n v="0"/>
    <n v="0"/>
    <n v="0"/>
    <n v="0"/>
    <n v="0"/>
    <n v="0"/>
    <n v="0"/>
    <n v="0"/>
    <s v="https://www.clickideacore.com/ClickHTML5/Visit.aspx?ID=//58DAEwASwAzADcAMQA4ADcANgAzADkASQBEAEUAQQA2=&amp;Tipo=2&amp;ST=1&amp;nLang=0"/>
    <n v="0"/>
    <n v="0"/>
    <n v="0"/>
    <n v="0"/>
    <n v="0"/>
    <n v="0"/>
    <n v="0"/>
    <n v="0"/>
  </r>
  <r>
    <x v="1"/>
    <x v="1"/>
    <s v="OP-DYR-004"/>
    <x v="217"/>
    <d v="2025-11-25T00:00:00"/>
    <n v="20"/>
    <x v="0"/>
    <n v="31"/>
    <n v="0"/>
    <n v="0"/>
    <n v="1"/>
    <n v="0"/>
    <n v="0"/>
    <n v="0"/>
    <n v="0"/>
    <n v="0"/>
    <n v="0"/>
    <n v="0"/>
    <n v="0"/>
    <s v="https://www.clickideacore.com/ClickHTML5/Visit.aspx?ID=//5EDAEwASwAzADcAMQA4ADkAOAA5ADAASQBEAEUAQQA6=&amp;Tipo=2&amp;ST=1&amp;nLang=0"/>
    <n v="0"/>
    <n v="0"/>
    <n v="0"/>
    <n v="0"/>
    <n v="0"/>
    <n v="0"/>
    <n v="0"/>
    <n v="0"/>
  </r>
  <r>
    <x v="2"/>
    <x v="2"/>
    <s v="OP-S-200"/>
    <x v="217"/>
    <d v="2025-11-25T00:00:00"/>
    <n v="18"/>
    <x v="0"/>
    <n v="36"/>
    <n v="0"/>
    <n v="0"/>
    <n v="1"/>
    <n v="0"/>
    <n v="0"/>
    <n v="0"/>
    <n v="0"/>
    <n v="0"/>
    <n v="0"/>
    <n v="0"/>
    <n v="0"/>
    <s v="https://www.clickideacore.com/ClickHTML5/Visit.aspx?ID=//5DDAEwASwAzADcAMQA4ADgAMQA1ADAASQBEAEUAQQA7=&amp;Tipo=2&amp;ST=1&amp;nLang=0"/>
    <n v="0"/>
    <n v="0"/>
    <n v="0"/>
    <n v="0"/>
    <n v="0"/>
    <n v="0"/>
    <n v="0"/>
    <n v="0"/>
  </r>
  <r>
    <x v="3"/>
    <x v="3"/>
    <s v="OP-S-076"/>
    <x v="217"/>
    <d v="2025-11-25T00:00:00"/>
    <n v="39"/>
    <x v="0"/>
    <n v="31"/>
    <n v="0"/>
    <n v="0"/>
    <n v="1"/>
    <n v="0"/>
    <n v="1"/>
    <n v="0"/>
    <n v="0"/>
    <n v="0"/>
    <n v="0"/>
    <n v="0"/>
    <n v="0"/>
    <s v="https://www.clickideacore.com/ClickHTML5/Visit.aspx?ID=//5CDAEwASwAzADcAMQA4ADIANgA0ADEASQBEAEUAQQAF=&amp;Tipo=2&amp;ST=1&amp;nLang=0"/>
    <n v="0"/>
    <n v="0"/>
    <n v="0"/>
    <n v="0"/>
    <n v="0"/>
    <n v="0"/>
    <n v="0"/>
    <n v="0"/>
  </r>
  <r>
    <x v="4"/>
    <x v="8"/>
    <s v="OP-DYR-005"/>
    <x v="217"/>
    <d v="2025-11-25T00:00:00"/>
    <n v="27"/>
    <x v="0"/>
    <n v="8"/>
    <n v="0"/>
    <n v="0"/>
    <n v="0"/>
    <n v="0"/>
    <n v="0"/>
    <n v="1"/>
    <n v="0"/>
    <n v="0"/>
    <n v="0"/>
    <n v="0"/>
    <n v="0"/>
    <s v="https://www.clickideacore.com/ClickHTML5/Visit.aspx?ID=//56DAEwASwAzADcAMQA4ADEAMwA5ADUASQBEAEUAQQA1=&amp;Tipo=2&amp;ST=1&amp;nLang=0"/>
    <n v="0"/>
    <n v="0"/>
    <n v="0"/>
    <n v="0"/>
    <n v="0"/>
    <n v="0"/>
    <n v="0"/>
    <n v="0"/>
  </r>
  <r>
    <x v="0"/>
    <x v="6"/>
    <s v="OP-DYR-005"/>
    <x v="217"/>
    <d v="2025-11-25T00:00:00"/>
    <n v="14"/>
    <x v="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17"/>
    <x v="6"/>
    <s v="OP-DYR-005"/>
    <x v="217"/>
    <d v="2025-11-25T00:00:00"/>
    <n v="14"/>
    <x v="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4"/>
    <s v="OP-DYR-005"/>
    <x v="217"/>
    <d v="2025-11-25T00:00:00"/>
    <n v="14"/>
    <x v="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7"/>
    <s v="OP-S-0010"/>
    <x v="217"/>
    <d v="2025-11-2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218"/>
    <d v="2025-11-26T00:00:00"/>
    <n v="48"/>
    <x v="0"/>
    <n v="14"/>
    <n v="0"/>
    <n v="0"/>
    <n v="0"/>
    <n v="1"/>
    <n v="0"/>
    <n v="0"/>
    <n v="0"/>
    <n v="0"/>
    <n v="0"/>
    <n v="0"/>
    <n v="0"/>
    <s v="https://www.clickideacore.com/ClickHTML5/Visit.aspx?ID=//54DAEwASwAzADcAMgAxADEAMgA2ADAASQBEAEUAQQA8=&amp;Tipo=2&amp;ST=1&amp;nLang=0"/>
    <n v="0"/>
    <n v="1"/>
    <n v="0"/>
    <n v="0"/>
    <n v="0"/>
    <n v="0"/>
    <n v="0"/>
    <n v="0"/>
  </r>
  <r>
    <x v="2"/>
    <x v="2"/>
    <s v="OP-S-200"/>
    <x v="218"/>
    <d v="2025-11-26T00:00:00"/>
    <n v="26"/>
    <x v="0"/>
    <n v="46"/>
    <n v="0"/>
    <n v="0"/>
    <n v="0"/>
    <n v="0"/>
    <n v="1"/>
    <n v="0"/>
    <n v="0"/>
    <n v="0"/>
    <n v="0"/>
    <n v="0"/>
    <n v="0"/>
    <s v="https://www.clickideacore.com/ClickHTML5/Visit.aspx?ID=//56DAEwASwAzADcAMgAwADkANAA3ADUASQBEAEUAQQA2=&amp;Tipo=2&amp;ST=1&amp;nLang=0"/>
    <n v="0"/>
    <n v="0"/>
    <n v="0"/>
    <n v="0"/>
    <n v="0"/>
    <n v="0"/>
    <n v="0"/>
    <n v="0"/>
  </r>
  <r>
    <x v="17"/>
    <x v="6"/>
    <s v="OP-DYR-00001"/>
    <x v="218"/>
    <d v="2025-11-26T00:00:00"/>
    <n v="71"/>
    <x v="0"/>
    <n v="37"/>
    <n v="0"/>
    <n v="0"/>
    <n v="1"/>
    <n v="0"/>
    <n v="0"/>
    <n v="0"/>
    <n v="0"/>
    <n v="0"/>
    <n v="0"/>
    <n v="0"/>
    <n v="0"/>
    <s v="https://www.clickideacore.com/ClickHTML5/Visit.aspx?ID=//56DAEwASwAzADcAMgAwADkAMQA5ADAASQBEAEUAQQA4=&amp;Tipo=2&amp;ST=1&amp;nLang=0"/>
    <n v="0"/>
    <n v="0"/>
    <n v="0"/>
    <n v="0"/>
    <n v="0"/>
    <n v="0"/>
    <n v="0"/>
    <n v="0"/>
  </r>
  <r>
    <x v="19"/>
    <x v="6"/>
    <s v="OP-DYR-00001"/>
    <x v="218"/>
    <d v="2025-11-26T00:00:00"/>
    <n v="71"/>
    <x v="0"/>
    <n v="37"/>
    <n v="0"/>
    <n v="0"/>
    <n v="1"/>
    <n v="0"/>
    <n v="0"/>
    <n v="0"/>
    <n v="0"/>
    <n v="0"/>
    <n v="0"/>
    <n v="0"/>
    <n v="0"/>
    <s v="https://www.clickideacore.com/ClickHTML5/Visit.aspx?ID=//56DAEwASwAzADcAMgAwADkAMQA5ADAASQBEAEUAQQA4=&amp;Tipo=2&amp;ST=1&amp;nLang=0"/>
    <n v="0"/>
    <n v="0"/>
    <n v="0"/>
    <n v="0"/>
    <n v="0"/>
    <n v="0"/>
    <n v="0"/>
    <n v="0"/>
  </r>
  <r>
    <x v="5"/>
    <x v="4"/>
    <s v="OP-DYR-00001"/>
    <x v="218"/>
    <d v="2025-11-26T00:00:00"/>
    <n v="71"/>
    <x v="0"/>
    <n v="42"/>
    <n v="0"/>
    <n v="0"/>
    <n v="1"/>
    <n v="0"/>
    <n v="0"/>
    <n v="0"/>
    <n v="0"/>
    <n v="0"/>
    <n v="0"/>
    <n v="0"/>
    <n v="0"/>
    <s v="https://www.clickideacore.com/ClickHTML5/Visit.aspx?ID=//56DAEwASwAzADcAMgAwADkAMQA5ADAASQBEAEUAQQA4=&amp;Tipo=2&amp;ST=1&amp;nLang=0"/>
    <n v="0"/>
    <n v="0"/>
    <n v="0"/>
    <n v="0"/>
    <n v="0"/>
    <n v="0"/>
    <n v="0"/>
    <n v="0"/>
  </r>
  <r>
    <x v="3"/>
    <x v="3"/>
    <s v="OP-S-076"/>
    <x v="218"/>
    <d v="2025-11-26T00:00:00"/>
    <n v="33"/>
    <x v="0"/>
    <n v="12"/>
    <n v="0"/>
    <n v="0"/>
    <n v="0"/>
    <n v="0"/>
    <n v="0"/>
    <n v="0"/>
    <n v="0"/>
    <n v="0"/>
    <n v="0"/>
    <n v="0"/>
    <n v="0"/>
    <s v="https://www.clickideacore.com/ClickHTML5/Visit.aspx?ID=//50DAEwASwAzADcAMgAwADEANQA0ADcASQBEAEUAQQA1=&amp;Tipo=2&amp;ST=1&amp;nLang=0"/>
    <n v="0"/>
    <n v="0"/>
    <n v="0"/>
    <n v="0"/>
    <n v="0"/>
    <n v="0"/>
    <n v="0"/>
    <n v="0"/>
  </r>
  <r>
    <x v="4"/>
    <x v="8"/>
    <s v="OP-DYR-005"/>
    <x v="218"/>
    <d v="2025-11-26T00:00:00"/>
    <n v="22"/>
    <x v="0"/>
    <n v="36"/>
    <n v="0"/>
    <n v="0"/>
    <n v="1"/>
    <n v="0"/>
    <n v="0"/>
    <n v="0"/>
    <n v="0"/>
    <n v="0"/>
    <n v="0"/>
    <n v="0"/>
    <n v="0"/>
    <s v="https://www.clickideacore.com/ClickHTML5/Visit.aspx?ID=//54DAEwASwAzADcAMgAxADIAMgA3ADcASQBEAEUAQQAB=&amp;Tipo=2&amp;ST=1&amp;nLang=0"/>
    <n v="0"/>
    <n v="3"/>
    <n v="0"/>
    <n v="0"/>
    <n v="0"/>
    <n v="0"/>
    <n v="0"/>
    <n v="0"/>
  </r>
  <r>
    <x v="1"/>
    <x v="1"/>
    <s v="OP-DYR-005"/>
    <x v="218"/>
    <d v="2025-11-26T00:00:00"/>
    <n v="14"/>
    <x v="4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10"/>
    <x v="6"/>
    <s v="OP-DYR-005"/>
    <x v="218"/>
    <d v="2025-11-26T00:00:00"/>
    <n v="14"/>
    <x v="4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7"/>
    <s v="OP-S-0010"/>
    <x v="218"/>
    <d v="2025-11-2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0"/>
    <s v="OP-DYR-011"/>
    <x v="219"/>
    <d v="2025-11-27T00:00:00"/>
    <n v="40"/>
    <x v="0"/>
    <n v="3"/>
    <n v="0"/>
    <n v="0"/>
    <n v="0"/>
    <n v="0"/>
    <n v="0"/>
    <n v="1"/>
    <n v="0"/>
    <n v="0"/>
    <n v="0"/>
    <n v="0"/>
    <n v="0"/>
    <s v="https://www.clickideacore.com/ClickHTML5/Visit.aspx?ID=//55DAEwASwAzADcAMgAyADUANwAwADQASQBEAEUAQQAB=&amp;Tipo=2&amp;ST=1&amp;nLang=0"/>
    <n v="0"/>
    <n v="0"/>
    <n v="0"/>
    <n v="0"/>
    <n v="0"/>
    <n v="0"/>
    <n v="0"/>
    <n v="0"/>
  </r>
  <r>
    <x v="5"/>
    <x v="4"/>
    <s v="OP-S-005"/>
    <x v="219"/>
    <d v="2025-11-27T00:00:00"/>
    <n v="42"/>
    <x v="0"/>
    <n v="37"/>
    <n v="0"/>
    <n v="1"/>
    <n v="1"/>
    <n v="0"/>
    <n v="0"/>
    <n v="0"/>
    <n v="0"/>
    <n v="0"/>
    <n v="0"/>
    <n v="0"/>
    <n v="0"/>
    <s v="https://www.clickideacore.com/ClickHTML5/Visit.aspx?ID=//5DDAEwASwAzADcAMgAzADcANwAwADYASQBEAEUAQQA4=&amp;Tipo=2&amp;ST=1&amp;nLang=0"/>
    <n v="0"/>
    <n v="22"/>
    <n v="3"/>
    <n v="0"/>
    <n v="0"/>
    <n v="0"/>
    <n v="0"/>
    <n v="0"/>
  </r>
  <r>
    <x v="0"/>
    <x v="0"/>
    <s v="OP-S-100"/>
    <x v="219"/>
    <d v="2025-11-27T00:00:00"/>
    <n v="22"/>
    <x v="0"/>
    <n v="16"/>
    <n v="0"/>
    <n v="0"/>
    <n v="0"/>
    <n v="1"/>
    <n v="0"/>
    <n v="0"/>
    <n v="0"/>
    <n v="0"/>
    <n v="0"/>
    <n v="0"/>
    <n v="0"/>
    <s v="https://www.clickideacore.com/ClickHTML5/Visit.aspx?ID=//58DAEwASwAzADcAMgAzADQANwA0ADYASQBEAEUAQQAE=&amp;Tipo=2&amp;ST=1&amp;nLang=0"/>
    <n v="0"/>
    <n v="86"/>
    <n v="0"/>
    <n v="0"/>
    <n v="0"/>
    <n v="0"/>
    <n v="0"/>
    <n v="0"/>
  </r>
  <r>
    <x v="1"/>
    <x v="1"/>
    <s v="OP-DYR-004"/>
    <x v="219"/>
    <d v="2025-11-27T00:00:00"/>
    <n v="19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MgAzADcANQAwADgASQBEAEUAQQA0=&amp;Tipo=2&amp;ST=1&amp;nLang=0"/>
    <n v="0"/>
    <n v="34"/>
    <n v="0"/>
    <n v="0"/>
    <n v="0"/>
    <n v="0"/>
    <n v="0"/>
    <n v="0"/>
  </r>
  <r>
    <x v="17"/>
    <x v="6"/>
    <s v="OP-DYR-00001"/>
    <x v="219"/>
    <d v="2025-11-27T00:00:00"/>
    <n v="42"/>
    <x v="0"/>
    <n v="22"/>
    <n v="0"/>
    <n v="0"/>
    <n v="1"/>
    <n v="0"/>
    <n v="0"/>
    <n v="0"/>
    <n v="0"/>
    <n v="0"/>
    <n v="0"/>
    <n v="0"/>
    <n v="0"/>
    <s v="https://www.clickideacore.com/ClickHTML5/Visit.aspx?ID=//53DAEwASwAzADcAMgAzADEANAA5ADYASQBEAEUAQQA6=&amp;Tipo=2&amp;ST=1&amp;nLang=0"/>
    <n v="0"/>
    <n v="1"/>
    <n v="0"/>
    <n v="0"/>
    <n v="0"/>
    <n v="0"/>
    <n v="0"/>
    <n v="0"/>
  </r>
  <r>
    <x v="19"/>
    <x v="6"/>
    <s v="OP-DYR-00001"/>
    <x v="219"/>
    <d v="2025-11-27T00:00:00"/>
    <n v="42"/>
    <x v="0"/>
    <n v="22"/>
    <n v="0"/>
    <n v="0"/>
    <n v="1"/>
    <n v="0"/>
    <n v="0"/>
    <n v="0"/>
    <n v="0"/>
    <n v="0"/>
    <n v="0"/>
    <n v="0"/>
    <n v="0"/>
    <s v="https://www.clickideacore.com/ClickHTML5/Visit.aspx?ID=//53DAEwASwAzADcAMgAzADEANAA5ADYASQBEAEUAQQA6=&amp;Tipo=2&amp;ST=1&amp;nLang=0"/>
    <n v="0"/>
    <n v="1"/>
    <n v="0"/>
    <n v="0"/>
    <n v="0"/>
    <n v="0"/>
    <n v="0"/>
    <n v="0"/>
  </r>
  <r>
    <x v="3"/>
    <x v="3"/>
    <s v="OP-S-076"/>
    <x v="219"/>
    <d v="2025-11-27T00:00:00"/>
    <n v="27"/>
    <x v="0"/>
    <n v="41"/>
    <n v="0"/>
    <n v="0"/>
    <n v="1"/>
    <n v="0"/>
    <n v="1"/>
    <n v="0"/>
    <n v="0"/>
    <n v="0"/>
    <n v="0"/>
    <n v="0"/>
    <n v="0"/>
    <s v="https://www.clickideacore.com/ClickHTML5/Visit.aspx?ID=//5EDAEwASwAzADcAMgAzADYANAAyADkASQBEAEUAQQA7=&amp;Tipo=2&amp;ST=1&amp;nLang=0"/>
    <n v="0"/>
    <n v="14"/>
    <n v="0"/>
    <n v="0"/>
    <n v="0"/>
    <n v="0"/>
    <n v="0"/>
    <n v="0"/>
  </r>
  <r>
    <x v="4"/>
    <x v="8"/>
    <s v="OP-DYR-005"/>
    <x v="219"/>
    <d v="2025-11-27T00:00:00"/>
    <n v="19"/>
    <x v="0"/>
    <n v="32"/>
    <n v="0"/>
    <n v="0"/>
    <n v="1"/>
    <n v="0"/>
    <n v="0"/>
    <n v="0"/>
    <n v="0"/>
    <n v="0"/>
    <n v="0"/>
    <n v="0"/>
    <n v="0"/>
    <s v="https://www.clickideacore.com/ClickHTML5/Visit.aspx?ID=//55DAEwASwAzADcAMgAzADcAMgA4ADYASQBEAEUAQQA5=&amp;Tipo=2&amp;ST=1&amp;nLang=0"/>
    <n v="0"/>
    <n v="84"/>
    <n v="0"/>
    <n v="0"/>
    <n v="0"/>
    <n v="0"/>
    <n v="0"/>
    <n v="0"/>
  </r>
  <r>
    <x v="2"/>
    <x v="2"/>
    <s v="OP-DYR-005"/>
    <x v="219"/>
    <d v="2025-11-27T00:00:00"/>
    <n v="14"/>
    <x v="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7"/>
    <s v="OP-S-0010"/>
    <x v="219"/>
    <d v="2025-11-2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220"/>
    <d v="2025-11-28T00:00:00"/>
    <n v="47"/>
    <x v="0"/>
    <n v="36"/>
    <n v="0"/>
    <n v="0"/>
    <n v="1"/>
    <n v="0"/>
    <n v="0"/>
    <n v="0"/>
    <n v="0"/>
    <n v="0"/>
    <n v="0"/>
    <n v="0"/>
    <n v="0"/>
    <s v="https://www.clickideacore.com/ClickHTML5/Visit.aspx?ID=//5BDAEwASwAzADcAMgA1ADgANAA1ADgASQBEAEUAQQA2=&amp;Tipo=2&amp;ST=1&amp;nLang=0"/>
    <n v="0"/>
    <n v="40"/>
    <n v="0"/>
    <n v="0"/>
    <n v="0"/>
    <n v="0"/>
    <n v="0"/>
    <n v="0"/>
  </r>
  <r>
    <x v="4"/>
    <x v="8"/>
    <s v="OP-S-005"/>
    <x v="220"/>
    <d v="2025-11-28T00:00:00"/>
    <n v="47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MgA1ADgANAA1ADgASQBEAEUAQQA2=&amp;Tipo=2&amp;ST=1&amp;nLang=0"/>
    <n v="0"/>
    <n v="33"/>
    <n v="0"/>
    <n v="0"/>
    <n v="0"/>
    <n v="0"/>
    <n v="0"/>
    <n v="0"/>
  </r>
  <r>
    <x v="0"/>
    <x v="6"/>
    <s v="OP-S-100"/>
    <x v="220"/>
    <d v="2025-11-28T00:00:00"/>
    <n v="113"/>
    <x v="0"/>
    <n v="18"/>
    <n v="0"/>
    <n v="0"/>
    <n v="0"/>
    <n v="1"/>
    <n v="0"/>
    <n v="0"/>
    <n v="0"/>
    <n v="0"/>
    <n v="0"/>
    <n v="0"/>
    <n v="0"/>
    <s v="https://www.clickideacore.com/ClickHTML5/Visit.aspx?ID=//58DAEwASwAzADcAMgA2ADAAMwA4ADIASQBEAEUAQQA1=&amp;Tipo=2&amp;ST=1&amp;nLang=0"/>
    <n v="0"/>
    <n v="10"/>
    <n v="0"/>
    <n v="0"/>
    <n v="0"/>
    <n v="0"/>
    <n v="0"/>
    <n v="0"/>
  </r>
  <r>
    <x v="10"/>
    <x v="6"/>
    <s v="OP-S-100"/>
    <x v="220"/>
    <d v="2025-11-28T00:00:00"/>
    <n v="113"/>
    <x v="0"/>
    <n v="18"/>
    <n v="0"/>
    <n v="0"/>
    <n v="0"/>
    <n v="1"/>
    <n v="0"/>
    <n v="0"/>
    <n v="0"/>
    <n v="0"/>
    <n v="0"/>
    <n v="0"/>
    <n v="0"/>
    <s v="https://www.clickideacore.com/ClickHTML5/Visit.aspx?ID=//58DAEwASwAzADcAMgA2ADAAMwA4ADIASQBEAEUAQQA1=&amp;Tipo=2&amp;ST=1&amp;nLang=0"/>
    <n v="0"/>
    <n v="10"/>
    <n v="0"/>
    <n v="0"/>
    <n v="0"/>
    <n v="0"/>
    <n v="0"/>
    <n v="0"/>
  </r>
  <r>
    <x v="1"/>
    <x v="1"/>
    <s v="OP-DYR-004"/>
    <x v="220"/>
    <d v="2025-11-28T00:00:00"/>
    <n v="25"/>
    <x v="0"/>
    <n v="16"/>
    <n v="0"/>
    <n v="0"/>
    <n v="1"/>
    <n v="0"/>
    <n v="0"/>
    <n v="0"/>
    <n v="0"/>
    <n v="0"/>
    <n v="0"/>
    <n v="0"/>
    <n v="0"/>
    <s v="https://www.clickideacore.com/ClickHTML5/Visit.aspx?ID=//57DAEwASwAzADcAMgA1ADcANAA3ADAASQBEAEUAQQA4=&amp;Tipo=2&amp;ST=1&amp;nLang=0"/>
    <n v="0"/>
    <n v="40"/>
    <n v="0"/>
    <n v="0"/>
    <n v="0"/>
    <n v="0"/>
    <n v="0"/>
    <n v="0"/>
  </r>
  <r>
    <x v="2"/>
    <x v="2"/>
    <s v="OP-S-200"/>
    <x v="220"/>
    <d v="2025-11-28T00:00:00"/>
    <n v="24"/>
    <x v="0"/>
    <n v="28"/>
    <n v="0"/>
    <n v="0"/>
    <n v="1"/>
    <n v="0"/>
    <n v="0"/>
    <n v="0"/>
    <n v="0"/>
    <n v="0"/>
    <n v="0"/>
    <n v="0"/>
    <n v="0"/>
    <s v="https://www.clickideacore.com/ClickHTML5/Visit.aspx?ID=//55DAEwASwAzADcAMgA1ADcAOQAzADEASQBEAEUAQQA0=&amp;Tipo=2&amp;ST=1&amp;nLang=0"/>
    <n v="0"/>
    <n v="0"/>
    <n v="0"/>
    <n v="0"/>
    <n v="0"/>
    <n v="0"/>
    <n v="0"/>
    <n v="0"/>
  </r>
  <r>
    <x v="17"/>
    <x v="6"/>
    <s v="OP-DYR-00001"/>
    <x v="220"/>
    <d v="2025-11-28T00:00:00"/>
    <n v="124"/>
    <x v="0"/>
    <n v="18"/>
    <n v="0"/>
    <n v="0"/>
    <n v="1"/>
    <n v="0"/>
    <n v="0"/>
    <n v="0"/>
    <n v="0"/>
    <n v="0"/>
    <n v="0"/>
    <n v="0"/>
    <n v="0"/>
    <s v="https://www.clickideacore.com/ClickHTML5/Visit.aspx?ID=//5ADAEwASwAzADcAMgA1ADcAMAAwADQASQBEAEUAQQAF=&amp;Tipo=2&amp;ST=1&amp;nLang=0"/>
    <n v="0"/>
    <n v="22"/>
    <n v="1"/>
    <n v="0"/>
    <n v="0"/>
    <n v="0"/>
    <n v="0"/>
    <n v="0"/>
  </r>
  <r>
    <x v="19"/>
    <x v="6"/>
    <s v="OP-DYR-00001"/>
    <x v="220"/>
    <d v="2025-11-28T00:00:00"/>
    <n v="124"/>
    <x v="0"/>
    <n v="18"/>
    <n v="0"/>
    <n v="0"/>
    <n v="1"/>
    <n v="0"/>
    <n v="0"/>
    <n v="0"/>
    <n v="0"/>
    <n v="0"/>
    <n v="0"/>
    <n v="0"/>
    <n v="0"/>
    <s v="https://www.clickideacore.com/ClickHTML5/Visit.aspx?ID=//5ADAEwASwAzADcAMgA1ADcAMAAwADQASQBEAEUAQQAF=&amp;Tipo=2&amp;ST=1&amp;nLang=0"/>
    <n v="0"/>
    <n v="22"/>
    <n v="1"/>
    <n v="0"/>
    <n v="0"/>
    <n v="0"/>
    <n v="0"/>
    <n v="0"/>
  </r>
  <r>
    <x v="3"/>
    <x v="3"/>
    <s v="OP-DYR-005"/>
    <x v="220"/>
    <d v="2025-11-28T00:00:00"/>
    <n v="14"/>
    <x v="1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0"/>
    <s v="OP-DYR-005"/>
    <x v="220"/>
    <d v="2025-11-28T00:00:00"/>
    <n v="14"/>
    <x v="1"/>
    <n v="0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0"/>
    <n v="0"/>
    <n v="0"/>
    <n v="0"/>
    <n v="0"/>
    <n v="0"/>
    <n v="0"/>
  </r>
  <r>
    <x v="9"/>
    <x v="7"/>
    <s v="OP-S-0010"/>
    <x v="220"/>
    <d v="2025-11-2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0"/>
    <s v="OP-S-100"/>
    <x v="221"/>
    <d v="2025-11-29T00:00:00"/>
    <n v="49"/>
    <x v="0"/>
    <n v="0"/>
    <n v="0"/>
    <n v="0"/>
    <n v="0"/>
    <n v="0"/>
    <n v="0"/>
    <n v="0"/>
    <n v="1"/>
    <n v="0"/>
    <n v="9"/>
    <n v="1"/>
    <n v="0"/>
    <s v="https://www.clickideacore.com/ClickHTML5/Visit.aspx?ID=//53DAEwASwAzADcAMgA3ADQAMQA5ADMASQBEAEUAQQAC=&amp;Tipo=2&amp;ST=1&amp;nLang=0"/>
    <n v="16"/>
    <n v="0"/>
    <n v="0"/>
    <n v="0"/>
    <n v="0"/>
    <n v="0"/>
    <n v="1"/>
    <n v="0"/>
  </r>
  <r>
    <x v="11"/>
    <x v="17"/>
    <s v="OP-SDYR-001"/>
    <x v="221"/>
    <d v="2025-11-29T00:00:00"/>
    <n v="94"/>
    <x v="0"/>
    <n v="0"/>
    <n v="0"/>
    <n v="0"/>
    <n v="0"/>
    <n v="0"/>
    <n v="0"/>
    <n v="0"/>
    <n v="1"/>
    <n v="0"/>
    <n v="5"/>
    <n v="1"/>
    <n v="0"/>
    <s v="https://www.clickideacore.com/ClickHTML5/Visit.aspx?ID=//5DDAEwASwAzADcAMgA3ADMAMQA1ADgASQBEAEUAQQAC=&amp;Tipo=2&amp;ST=1&amp;nLang=0"/>
    <n v="12"/>
    <n v="0"/>
    <n v="0"/>
    <n v="0"/>
    <n v="0"/>
    <n v="0"/>
    <n v="0"/>
    <n v="0"/>
  </r>
  <r>
    <x v="17"/>
    <x v="6"/>
    <s v="OP-DYR-00001"/>
    <x v="221"/>
    <d v="2025-11-29T00:00:00"/>
    <n v="105"/>
    <x v="0"/>
    <n v="0"/>
    <n v="0"/>
    <n v="0"/>
    <n v="0"/>
    <n v="0"/>
    <n v="0"/>
    <n v="0"/>
    <n v="1"/>
    <n v="0"/>
    <n v="2"/>
    <n v="1"/>
    <n v="0"/>
    <s v="https://www.clickideacore.com/ClickHTML5/Visit.aspx?ID=//50DAEwASwAzADcAMgA3ADMAMQAyADMASQBEAEUAQQA8=&amp;Tipo=2&amp;ST=1&amp;nLang=0"/>
    <n v="0"/>
    <n v="0"/>
    <n v="0"/>
    <n v="0"/>
    <n v="0"/>
    <n v="0"/>
    <n v="0"/>
    <n v="0"/>
  </r>
  <r>
    <x v="19"/>
    <x v="6"/>
    <s v="OP-DYR-00001"/>
    <x v="221"/>
    <d v="2025-11-29T00:00:00"/>
    <n v="105"/>
    <x v="0"/>
    <n v="0"/>
    <n v="0"/>
    <n v="0"/>
    <n v="0"/>
    <n v="0"/>
    <n v="0"/>
    <n v="0"/>
    <n v="1"/>
    <n v="0"/>
    <n v="2"/>
    <n v="1"/>
    <n v="0"/>
    <s v="https://www.clickideacore.com/ClickHTML5/Visit.aspx?ID=//50DAEwASwAzADcAMgA3ADMAMQAyADMASQBEAEUAQQA8=&amp;Tipo=2&amp;ST=1&amp;nLang=0"/>
    <n v="0"/>
    <n v="0"/>
    <n v="0"/>
    <n v="0"/>
    <n v="0"/>
    <n v="0"/>
    <n v="0"/>
    <n v="0"/>
  </r>
  <r>
    <x v="5"/>
    <x v="4"/>
    <s v="OP-DYR-00001"/>
    <x v="221"/>
    <d v="2025-11-29T00:00:00"/>
    <n v="105"/>
    <x v="0"/>
    <n v="0"/>
    <n v="0"/>
    <n v="0"/>
    <n v="0"/>
    <n v="0"/>
    <n v="0"/>
    <n v="0"/>
    <n v="1"/>
    <n v="0"/>
    <n v="2"/>
    <n v="1"/>
    <n v="0"/>
    <s v="https://www.clickideacore.com/ClickHTML5/Visit.aspx?ID=//50DAEwASwAzADcAMgA3ADMAMQAyADMASQBEAEUAQQA8=&amp;Tipo=2&amp;ST=1&amp;nLang=0"/>
    <n v="0"/>
    <n v="0"/>
    <n v="0"/>
    <n v="0"/>
    <n v="0"/>
    <n v="0"/>
    <n v="0"/>
    <n v="0"/>
  </r>
  <r>
    <x v="2"/>
    <x v="2"/>
    <s v="OP-DYR-00001"/>
    <x v="221"/>
    <d v="2025-11-29T00:00:00"/>
    <n v="105"/>
    <x v="0"/>
    <n v="0"/>
    <n v="0"/>
    <n v="0"/>
    <n v="0"/>
    <n v="0"/>
    <n v="0"/>
    <n v="0"/>
    <n v="1"/>
    <n v="0"/>
    <n v="2"/>
    <n v="1"/>
    <n v="0"/>
    <s v="https://www.clickideacore.com/ClickHTML5/Visit.aspx?ID=//50DAEwASwAzADcAMgA3ADMAMQAyADMASQBEAEUAQQA8=&amp;Tipo=2&amp;ST=1&amp;nLang=0"/>
    <n v="0"/>
    <n v="0"/>
    <n v="0"/>
    <n v="0"/>
    <n v="0"/>
    <n v="0"/>
    <n v="0"/>
    <n v="0"/>
  </r>
  <r>
    <x v="10"/>
    <x v="6"/>
    <s v="OP-S-0010"/>
    <x v="221"/>
    <d v="2025-11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221"/>
    <d v="2025-11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221"/>
    <d v="2025-11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221"/>
    <d v="2025-11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21"/>
    <d v="2025-11-29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5"/>
    <x v="222"/>
    <d v="2025-11-30T00:00:00"/>
    <n v="71"/>
    <x v="0"/>
    <n v="0"/>
    <n v="0"/>
    <n v="0"/>
    <n v="0"/>
    <n v="0"/>
    <n v="0"/>
    <n v="0"/>
    <n v="0"/>
    <n v="1"/>
    <n v="2"/>
    <n v="0"/>
    <n v="1"/>
    <s v="https://www.clickideacore.com/ClickHTML5/Visit.aspx?ID=//52DAEwASwAzADcAMgA4ADIANQAwADUASQBEAEUAQQA8=&amp;Tipo=2&amp;ST=1&amp;nLang=0"/>
    <n v="0"/>
    <n v="0"/>
    <n v="0"/>
    <n v="0"/>
    <n v="0"/>
    <n v="0"/>
    <n v="0"/>
    <n v="0"/>
  </r>
  <r>
    <x v="0"/>
    <x v="0"/>
    <s v="OP-S-100"/>
    <x v="222"/>
    <d v="2025-11-30T00:00:00"/>
    <n v="44"/>
    <x v="0"/>
    <n v="0"/>
    <n v="0"/>
    <n v="0"/>
    <n v="0"/>
    <n v="0"/>
    <n v="0"/>
    <n v="0"/>
    <n v="0"/>
    <n v="1"/>
    <n v="9"/>
    <n v="0"/>
    <n v="1"/>
    <s v="https://www.clickideacore.com/ClickHTML5/Visit.aspx?ID=//5ADAEwASwAzADcAMgA4ADIAOQA4ADYASQBEAEUAQQA8=&amp;Tipo=2&amp;ST=1&amp;nLang=0"/>
    <n v="16"/>
    <n v="0"/>
    <n v="0"/>
    <n v="0"/>
    <n v="0"/>
    <n v="0"/>
    <n v="0"/>
    <n v="1"/>
  </r>
  <r>
    <x v="11"/>
    <x v="6"/>
    <s v="OP-SDYR-001"/>
    <x v="222"/>
    <d v="2025-11-30T00:00:00"/>
    <n v="20"/>
    <x v="0"/>
    <n v="0"/>
    <n v="0"/>
    <n v="0"/>
    <n v="0"/>
    <n v="0"/>
    <n v="0"/>
    <n v="0"/>
    <n v="0"/>
    <n v="1"/>
    <n v="5"/>
    <n v="0"/>
    <n v="1"/>
    <s v="https://www.clickideacore.com/ClickHTML5/Visit.aspx?ID=//5ADAEwASwAzADcAMgA4ADEAOQA2ADIASQBEAEUAQQA8=&amp;Tipo=2&amp;ST=1&amp;nLang=0"/>
    <n v="16"/>
    <n v="0"/>
    <n v="0"/>
    <n v="0"/>
    <n v="0"/>
    <n v="0"/>
    <n v="0"/>
    <n v="0"/>
  </r>
  <r>
    <x v="9"/>
    <x v="17"/>
    <s v="OP-SDYR-001"/>
    <x v="222"/>
    <d v="2025-11-30T00:00:00"/>
    <n v="20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MgA4ADEAOQA2ADIASQBEAEUAQQA8=&amp;Tipo=2&amp;ST=1&amp;nLang=0"/>
    <n v="16"/>
    <n v="0"/>
    <n v="0"/>
    <n v="0"/>
    <n v="0"/>
    <n v="0"/>
    <n v="0"/>
    <n v="0"/>
  </r>
  <r>
    <x v="17"/>
    <x v="6"/>
    <s v="OP-DYR-00001"/>
    <x v="222"/>
    <d v="2025-11-30T00:00:00"/>
    <n v="137"/>
    <x v="0"/>
    <n v="0"/>
    <n v="0"/>
    <n v="0"/>
    <n v="0"/>
    <n v="0"/>
    <n v="0"/>
    <n v="0"/>
    <n v="0"/>
    <n v="1"/>
    <n v="5"/>
    <n v="0"/>
    <n v="1"/>
    <s v="https://www.clickideacore.com/ClickHTML5/Visit.aspx?ID=//5DDAEwASwAzADcAMgA4ADIAMwA1ADUASQBEAEUAQQAF=&amp;Tipo=2&amp;ST=1&amp;nLang=0"/>
    <n v="0"/>
    <n v="0"/>
    <n v="0"/>
    <n v="0"/>
    <n v="0"/>
    <n v="0"/>
    <n v="0"/>
    <n v="0"/>
  </r>
  <r>
    <x v="19"/>
    <x v="6"/>
    <s v="OP-DYR-00001"/>
    <x v="222"/>
    <d v="2025-11-30T00:00:00"/>
    <n v="137"/>
    <x v="0"/>
    <n v="0"/>
    <n v="0"/>
    <n v="0"/>
    <n v="0"/>
    <n v="0"/>
    <n v="0"/>
    <n v="0"/>
    <n v="0"/>
    <n v="1"/>
    <n v="5"/>
    <n v="0"/>
    <n v="1"/>
    <s v="https://www.clickideacore.com/ClickHTML5/Visit.aspx?ID=//5DDAEwASwAzADcAMgA4ADIAMwA1ADUASQBEAEUAQQAF=&amp;Tipo=2&amp;ST=1&amp;nLang=0"/>
    <n v="0"/>
    <n v="0"/>
    <n v="0"/>
    <n v="0"/>
    <n v="0"/>
    <n v="0"/>
    <n v="0"/>
    <n v="0"/>
  </r>
  <r>
    <x v="2"/>
    <x v="2"/>
    <s v="OP-DYR-00001"/>
    <x v="222"/>
    <d v="2025-11-30T00:00:00"/>
    <n v="105"/>
    <x v="0"/>
    <n v="0"/>
    <n v="0"/>
    <n v="0"/>
    <n v="0"/>
    <n v="0"/>
    <n v="0"/>
    <n v="0"/>
    <n v="1"/>
    <n v="0"/>
    <n v="4"/>
    <n v="0"/>
    <n v="1"/>
    <s v="https://www.clickideacore.com/ClickHTML5/Visit.aspx?ID=//50DAEwASwAzADcAMgA3ADMAMQAyADMASQBEAEUAQQA8=&amp;Tipo=2&amp;ST=1&amp;nLang=0"/>
    <n v="0"/>
    <n v="0"/>
    <n v="0"/>
    <n v="0"/>
    <n v="0"/>
    <n v="0"/>
    <n v="0"/>
    <n v="0"/>
  </r>
  <r>
    <x v="10"/>
    <x v="6"/>
    <s v="OP-S-0010"/>
    <x v="222"/>
    <d v="2025-11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S-0010"/>
    <x v="222"/>
    <d v="2025-11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0010"/>
    <x v="222"/>
    <d v="2025-11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010"/>
    <x v="222"/>
    <d v="2025-11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22"/>
    <d v="2025-11-3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6"/>
    <s v="OP-DYR-011"/>
    <x v="223"/>
    <d v="2025-12-01T00:00:00"/>
    <n v="44"/>
    <x v="0"/>
    <n v="13"/>
    <n v="0"/>
    <n v="0"/>
    <n v="0"/>
    <n v="0"/>
    <n v="0"/>
    <n v="0"/>
    <n v="0"/>
    <n v="0"/>
    <n v="0"/>
    <n v="0"/>
    <n v="0"/>
    <s v="https://www.clickideacore.com/ClickHTML5/Visit.aspx?ID=//5ADAEwASwAzADcAMgA5ADUAMAA0ADYASQBEAEUAQQA7=&amp;Tipo=2&amp;ST=1&amp;nLang=0"/>
    <n v="0"/>
    <n v="0"/>
    <n v="1"/>
    <n v="0"/>
    <n v="0"/>
    <n v="0"/>
    <n v="0"/>
    <n v="0"/>
  </r>
  <r>
    <x v="19"/>
    <x v="6"/>
    <s v="OP-DYR-011"/>
    <x v="223"/>
    <d v="2025-12-01T00:00:00"/>
    <n v="44"/>
    <x v="0"/>
    <n v="13"/>
    <n v="0"/>
    <n v="0"/>
    <n v="0"/>
    <n v="0"/>
    <n v="0"/>
    <n v="0"/>
    <n v="0"/>
    <n v="0"/>
    <n v="0"/>
    <n v="0"/>
    <n v="0"/>
    <s v="https://www.clickideacore.com/ClickHTML5/Visit.aspx?ID=//5ADAEwASwAzADcAMgA5ADUAMAA0ADYASQBEAEUAQQA7=&amp;Tipo=2&amp;ST=1&amp;nLang=0"/>
    <n v="0"/>
    <n v="0"/>
    <n v="1"/>
    <n v="0"/>
    <n v="0"/>
    <n v="0"/>
    <n v="0"/>
    <n v="0"/>
  </r>
  <r>
    <x v="1"/>
    <x v="1"/>
    <s v="OP-DYR-004"/>
    <x v="223"/>
    <d v="2025-12-01T00:00:00"/>
    <n v="20"/>
    <x v="0"/>
    <n v="14"/>
    <n v="0"/>
    <n v="0"/>
    <n v="0"/>
    <n v="0"/>
    <n v="0"/>
    <n v="1"/>
    <n v="0"/>
    <n v="0"/>
    <n v="0"/>
    <n v="0"/>
    <n v="0"/>
    <s v="https://www.clickideacore.com/ClickHTML5/Visit.aspx?ID=//52DAEwASwAzADcAMwAwADAAMAAwADIASQBEAEUAQQAE=&amp;Tipo=2&amp;ST=1&amp;nLang=0"/>
    <n v="0"/>
    <n v="0"/>
    <n v="0"/>
    <n v="0"/>
    <n v="0"/>
    <n v="0"/>
    <n v="0"/>
    <n v="0"/>
  </r>
  <r>
    <x v="17"/>
    <x v="6"/>
    <s v="OP-DYR-00001"/>
    <x v="223"/>
    <d v="2025-12-01T00:00:00"/>
    <n v="48"/>
    <x v="0"/>
    <n v="15"/>
    <n v="0"/>
    <n v="0"/>
    <n v="0"/>
    <n v="0"/>
    <n v="1"/>
    <n v="0"/>
    <n v="0"/>
    <n v="0"/>
    <n v="0"/>
    <n v="0"/>
    <n v="0"/>
    <s v="https://www.clickideacore.com/ClickHTML5/Visit.aspx?ID=//51DAEwASwAzADcAMgA5ADYANgA5ADQASQBEAEUAQQA2=&amp;Tipo=2&amp;ST=1&amp;nLang=0"/>
    <n v="0"/>
    <n v="8"/>
    <n v="2"/>
    <n v="0"/>
    <n v="0"/>
    <n v="0"/>
    <n v="0"/>
    <n v="0"/>
  </r>
  <r>
    <x v="2"/>
    <x v="6"/>
    <s v="OP-DYR-00001"/>
    <x v="223"/>
    <d v="2025-12-01T00:00:00"/>
    <n v="48"/>
    <x v="0"/>
    <n v="15"/>
    <n v="0"/>
    <n v="0"/>
    <n v="0"/>
    <n v="0"/>
    <n v="1"/>
    <n v="0"/>
    <n v="0"/>
    <n v="0"/>
    <n v="0"/>
    <n v="0"/>
    <n v="0"/>
    <s v="https://www.clickideacore.com/ClickHTML5/Visit.aspx?ID=//51DAEwASwAzADcAMgA5ADYANgA5ADQASQBEAEUAQQA2=&amp;Tipo=2&amp;ST=1&amp;nLang=0"/>
    <n v="0"/>
    <n v="8"/>
    <n v="2"/>
    <n v="0"/>
    <n v="0"/>
    <n v="0"/>
    <n v="0"/>
    <n v="0"/>
  </r>
  <r>
    <x v="3"/>
    <x v="3"/>
    <s v="OP-S-076"/>
    <x v="223"/>
    <d v="2025-12-01T00:00:00"/>
    <n v="21"/>
    <x v="0"/>
    <n v="1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36"/>
    <n v="0"/>
    <n v="0"/>
    <n v="0"/>
    <n v="0"/>
    <n v="0"/>
    <n v="0"/>
  </r>
  <r>
    <x v="5"/>
    <x v="4"/>
    <s v="OP-S-076"/>
    <x v="223"/>
    <d v="2025-12-01T00:00:00"/>
    <n v="21"/>
    <x v="0"/>
    <n v="1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8"/>
    <n v="0"/>
    <n v="0"/>
    <n v="0"/>
    <n v="0"/>
    <n v="0"/>
    <n v="0"/>
  </r>
  <r>
    <x v="0"/>
    <x v="0"/>
    <s v="OP-DYR-005"/>
    <x v="223"/>
    <d v="2025-12-01T00:00:00"/>
    <n v="14"/>
    <x v="0"/>
    <n v="17"/>
    <n v="0"/>
    <n v="0"/>
    <n v="0"/>
    <n v="0"/>
    <n v="0"/>
    <n v="0"/>
    <n v="0"/>
    <n v="0"/>
    <n v="0"/>
    <n v="0"/>
    <n v="0"/>
    <s v="https://www.clickideacore.com/ClickHTML5/Visit.aspx?ID=//51DAEwASwAzADcAMQA1ADQANgA4ADUASQBEAEUAQQAB=&amp;Tipo=2&amp;ST=1&amp;nLang=0"/>
    <n v="0"/>
    <n v="8"/>
    <n v="2"/>
    <n v="0"/>
    <n v="0"/>
    <n v="0"/>
    <n v="0"/>
    <n v="0"/>
  </r>
  <r>
    <x v="4"/>
    <x v="8"/>
    <s v="OP-S-076"/>
    <x v="223"/>
    <d v="2025-12-01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2"/>
    <s v="OP-S-076"/>
    <x v="223"/>
    <d v="2025-12-01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23"/>
    <d v="2025-12-0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200"/>
    <x v="224"/>
    <d v="2025-12-02T00:00:00"/>
    <n v="16"/>
    <x v="0"/>
    <n v="23"/>
    <n v="0"/>
    <n v="0"/>
    <n v="1"/>
    <n v="0"/>
    <n v="0"/>
    <n v="0"/>
    <n v="0"/>
    <n v="0"/>
    <n v="0"/>
    <n v="0"/>
    <n v="0"/>
    <s v="https://www.clickideacore.com/ClickHTML5/Visit.aspx?ID=//5EDAEwASwAzADcAMwAyADYAOQA0ADEASQBEAEUAQQAF=&amp;Tipo=2&amp;ST=1&amp;nLang=0"/>
    <n v="0"/>
    <n v="4"/>
    <n v="1"/>
    <n v="0"/>
    <n v="0"/>
    <n v="0"/>
    <n v="0"/>
    <n v="0"/>
  </r>
  <r>
    <x v="4"/>
    <x v="0"/>
    <s v="OP-DYR-005"/>
    <x v="224"/>
    <d v="2025-12-02T00:00:00"/>
    <n v="125"/>
    <x v="0"/>
    <n v="14"/>
    <n v="0"/>
    <n v="0"/>
    <n v="0"/>
    <n v="1"/>
    <n v="0"/>
    <n v="0"/>
    <n v="0"/>
    <n v="0"/>
    <n v="0"/>
    <n v="0"/>
    <n v="0"/>
    <s v="https://www.clickideacore.com/ClickHTML5/Visit.aspx?ID=//5CDAEwASwAzADcAMwAyADQAMwA3ADYASQBEAEUAQQA7=&amp;Tipo=2&amp;ST=1&amp;nLang=0"/>
    <n v="0"/>
    <n v="20"/>
    <n v="0"/>
    <n v="0"/>
    <n v="0"/>
    <n v="0"/>
    <n v="0"/>
    <n v="0"/>
  </r>
  <r>
    <x v="3"/>
    <x v="3"/>
    <s v="OP-S-076"/>
    <x v="224"/>
    <d v="2025-12-02T00:00:00"/>
    <n v="30"/>
    <x v="0"/>
    <n v="16"/>
    <n v="0"/>
    <n v="0"/>
    <n v="1"/>
    <n v="0"/>
    <n v="0"/>
    <n v="0"/>
    <n v="0"/>
    <n v="0"/>
    <n v="0"/>
    <n v="0"/>
    <n v="0"/>
    <s v="https://www.clickideacore.com/ClickHTML5/Visit.aspx?ID=//55DAEwASwAzADcAMwAyADAANAA1ADUASQBEAEUAQQAC=&amp;Tipo=2&amp;ST=1&amp;nLang=0"/>
    <n v="0"/>
    <n v="0"/>
    <n v="0"/>
    <n v="0"/>
    <n v="0"/>
    <n v="0"/>
    <n v="0"/>
    <n v="0"/>
  </r>
  <r>
    <x v="10"/>
    <x v="6"/>
    <s v="OP-DYR-011"/>
    <x v="224"/>
    <d v="2025-12-02T00:00:00"/>
    <n v="32"/>
    <x v="0"/>
    <n v="52"/>
    <n v="0"/>
    <n v="0"/>
    <n v="1"/>
    <n v="0"/>
    <n v="0"/>
    <n v="0"/>
    <n v="0"/>
    <n v="0"/>
    <n v="0"/>
    <n v="0"/>
    <n v="0"/>
    <s v="https://www.clickideacore.com/ClickHTML5/Visit.aspx?ID=//5BDAEwASwAzADcAMwAyADEAMAA2ADUASQBEAEUAQQAD=&amp;Tipo=2&amp;ST=1&amp;nLang=0"/>
    <n v="0"/>
    <n v="0"/>
    <n v="0"/>
    <n v="0"/>
    <n v="0"/>
    <n v="0"/>
    <n v="0"/>
    <n v="0"/>
  </r>
  <r>
    <x v="19"/>
    <x v="6"/>
    <s v="OP-DYR-011"/>
    <x v="224"/>
    <d v="2025-12-02T00:00:00"/>
    <n v="32"/>
    <x v="0"/>
    <n v="52"/>
    <n v="0"/>
    <n v="0"/>
    <n v="1"/>
    <n v="0"/>
    <n v="0"/>
    <n v="0"/>
    <n v="0"/>
    <n v="0"/>
    <n v="0"/>
    <n v="0"/>
    <n v="0"/>
    <s v="https://www.clickideacore.com/ClickHTML5/Visit.aspx?ID=//5BDAEwASwAzADcAMwAyADEAMAA2ADUASQBEAEUAQQAD=&amp;Tipo=2&amp;ST=1&amp;nLang=0"/>
    <n v="0"/>
    <n v="0"/>
    <n v="0"/>
    <n v="0"/>
    <n v="0"/>
    <n v="0"/>
    <n v="0"/>
    <n v="0"/>
  </r>
  <r>
    <x v="5"/>
    <x v="4"/>
    <s v="OP-DYR-005"/>
    <x v="224"/>
    <d v="2025-12-02T00:00:00"/>
    <n v="125"/>
    <x v="0"/>
    <n v="35"/>
    <n v="0"/>
    <n v="1"/>
    <n v="0"/>
    <n v="1"/>
    <n v="0"/>
    <n v="1"/>
    <n v="0"/>
    <n v="0"/>
    <n v="0"/>
    <n v="0"/>
    <n v="0"/>
    <s v="https://www.clickideacore.com/ClickHTML5/Visit.aspx?ID=//5CDAEwASwAzADcAMwAyADQAMwA3ADYASQBEAEUAQQA7=&amp;Tipo=2&amp;ST=1&amp;nLang=0"/>
    <n v="0"/>
    <n v="0"/>
    <n v="0"/>
    <n v="0"/>
    <n v="0"/>
    <n v="0"/>
    <n v="0"/>
    <n v="0"/>
  </r>
  <r>
    <x v="0"/>
    <x v="6"/>
    <s v="OP-S-076"/>
    <x v="224"/>
    <d v="2025-12-02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24"/>
    <d v="2025-12-02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24"/>
    <d v="2025-12-02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6"/>
    <s v="OP-S-076"/>
    <x v="224"/>
    <d v="2025-12-02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24"/>
    <d v="2025-12-0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25"/>
    <d v="2025-12-03T00:00:00"/>
    <n v="22"/>
    <x v="0"/>
    <n v="40"/>
    <n v="0"/>
    <n v="0"/>
    <n v="1"/>
    <n v="0"/>
    <n v="1"/>
    <n v="0"/>
    <n v="0"/>
    <n v="0"/>
    <n v="0"/>
    <n v="0"/>
    <n v="0"/>
    <s v="https://www.clickideacore.com/ClickHTML5/Visit.aspx?ID=//52DAEwASwAzADcAMwA1ADAANwA5ADkASQBEAEUAQQA4=&amp;Tipo=2&amp;ST=1&amp;nLang=0"/>
    <n v="0"/>
    <n v="0"/>
    <n v="2"/>
    <n v="0"/>
    <n v="0"/>
    <n v="0"/>
    <n v="0"/>
    <n v="0"/>
  </r>
  <r>
    <x v="4"/>
    <x v="8"/>
    <s v="OP-DYR-005"/>
    <x v="225"/>
    <d v="2025-12-03T00:00:00"/>
    <n v="17"/>
    <x v="0"/>
    <n v="20"/>
    <n v="0"/>
    <n v="0"/>
    <n v="0"/>
    <n v="1"/>
    <n v="0"/>
    <n v="0"/>
    <n v="0"/>
    <n v="0"/>
    <n v="0"/>
    <n v="0"/>
    <n v="0"/>
    <s v="https://www.clickideacore.com/ClickHTML5/Visit.aspx?ID=//56DAEwASwAzADcAMwA0ADkAMgAyADYASQBEAEUAQQA1=&amp;Tipo=2&amp;ST=1&amp;nLang=0"/>
    <n v="0"/>
    <n v="0"/>
    <n v="0"/>
    <n v="0"/>
    <n v="0"/>
    <n v="0"/>
    <n v="0"/>
    <n v="0"/>
  </r>
  <r>
    <x v="2"/>
    <x v="2"/>
    <s v="OP-DYR-005"/>
    <x v="225"/>
    <d v="2025-12-03T00:00:00"/>
    <n v="17"/>
    <x v="0"/>
    <n v="33"/>
    <n v="0"/>
    <n v="0"/>
    <n v="1"/>
    <n v="0"/>
    <n v="0"/>
    <n v="0"/>
    <n v="0"/>
    <n v="0"/>
    <n v="0"/>
    <n v="0"/>
    <n v="0"/>
    <s v="https://www.clickideacore.com/ClickHTML5/Visit.aspx?ID=//56DAEwASwAzADcAMwA0ADkAMgAyADYASQBEAEUAQQA1=&amp;Tipo=2&amp;ST=1&amp;nLang=0"/>
    <n v="0"/>
    <n v="2"/>
    <n v="0"/>
    <n v="0"/>
    <n v="0"/>
    <n v="0"/>
    <n v="0"/>
    <n v="0"/>
  </r>
  <r>
    <x v="5"/>
    <x v="4"/>
    <s v="OP-S-005"/>
    <x v="225"/>
    <d v="2025-12-03T00:00:00"/>
    <n v="35"/>
    <x v="0"/>
    <n v="42"/>
    <n v="0"/>
    <n v="0"/>
    <n v="1"/>
    <n v="0"/>
    <n v="0"/>
    <n v="0"/>
    <n v="0"/>
    <n v="0"/>
    <n v="0"/>
    <n v="0"/>
    <n v="0"/>
    <s v="https://www.clickideacore.com/ClickHTML5/Visit.aspx?ID=//56DAEwASwAzADcAMwA0ADcAMwAzADEASQBEAEUAQQA7=&amp;Tipo=2&amp;ST=1&amp;nLang=0"/>
    <n v="0"/>
    <n v="0"/>
    <n v="5"/>
    <n v="0"/>
    <n v="0"/>
    <n v="0"/>
    <n v="0"/>
    <n v="0"/>
  </r>
  <r>
    <x v="0"/>
    <x v="6"/>
    <s v="OP-S-100"/>
    <x v="225"/>
    <d v="2025-12-03T00:00:00"/>
    <n v="49"/>
    <x v="0"/>
    <n v="49"/>
    <n v="0"/>
    <n v="1"/>
    <n v="1"/>
    <n v="0"/>
    <n v="0"/>
    <n v="0"/>
    <n v="0"/>
    <n v="0"/>
    <n v="0"/>
    <n v="0"/>
    <n v="0"/>
    <s v="https://www.clickideacore.com/ClickHTML5/Visit.aspx?ID=//51DAEwASwAzADcAMwA0ADkAMAA0ADQASQBEAEUAQQA4=&amp;Tipo=2&amp;ST=1&amp;nLang=0"/>
    <n v="0"/>
    <n v="16"/>
    <n v="0"/>
    <n v="0"/>
    <n v="0"/>
    <n v="0"/>
    <n v="0"/>
    <n v="0"/>
  </r>
  <r>
    <x v="17"/>
    <x v="6"/>
    <s v="OP-S-100"/>
    <x v="225"/>
    <d v="2025-12-03T00:00:00"/>
    <n v="49"/>
    <x v="0"/>
    <n v="49"/>
    <n v="0"/>
    <n v="1"/>
    <n v="1"/>
    <n v="0"/>
    <n v="0"/>
    <n v="0"/>
    <n v="0"/>
    <n v="0"/>
    <n v="0"/>
    <n v="0"/>
    <n v="0"/>
    <s v="https://www.clickideacore.com/ClickHTML5/Visit.aspx?ID=//51DAEwASwAzADcAMwA0ADkAMAA0ADQASQBEAEUAQQA4=&amp;Tipo=2&amp;ST=1&amp;nLang=0"/>
    <n v="0"/>
    <n v="16"/>
    <n v="0"/>
    <n v="0"/>
    <n v="0"/>
    <n v="0"/>
    <n v="0"/>
    <n v="0"/>
  </r>
  <r>
    <x v="3"/>
    <x v="3"/>
    <s v="OP-S-076"/>
    <x v="225"/>
    <d v="2025-12-0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25"/>
    <d v="2025-12-0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25"/>
    <d v="2025-12-0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25"/>
    <d v="2025-12-03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25"/>
    <d v="2025-12-0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26"/>
    <d v="2025-12-04T00:00:00"/>
    <n v="19"/>
    <x v="0"/>
    <n v="19"/>
    <n v="0"/>
    <n v="0"/>
    <n v="1"/>
    <n v="0"/>
    <n v="0"/>
    <n v="0"/>
    <n v="0"/>
    <n v="0"/>
    <n v="0"/>
    <n v="0"/>
    <n v="0"/>
    <s v="https://www.clickideacore.com/ClickHTML5/Visit.aspx?ID=//55DAEwASwAzADcAMwA3ADMAOQA5ADUASQBEAEUAQQAB=&amp;Tipo=2&amp;ST=1&amp;nLang=0"/>
    <n v="0"/>
    <n v="42"/>
    <n v="0"/>
    <n v="0"/>
    <n v="0"/>
    <n v="0"/>
    <n v="0"/>
    <n v="0"/>
  </r>
  <r>
    <x v="4"/>
    <x v="8"/>
    <s v="OP-DYR-005"/>
    <x v="226"/>
    <d v="2025-12-04T00:00:00"/>
    <n v="98"/>
    <x v="0"/>
    <n v="16"/>
    <n v="0"/>
    <n v="0"/>
    <n v="0"/>
    <n v="1"/>
    <n v="0"/>
    <n v="0"/>
    <n v="0"/>
    <n v="0"/>
    <n v="1"/>
    <n v="0"/>
    <n v="0"/>
    <s v="https://www.clickideacore.com/ClickHTML5/Visit.aspx?ID=//54DAEwASwAzADcAMwA3ADIANgA1ADcASQBEAEUAQQAE=&amp;Tipo=2&amp;ST=1&amp;nLang=0"/>
    <n v="0"/>
    <n v="44"/>
    <n v="0"/>
    <n v="0"/>
    <n v="0"/>
    <n v="0"/>
    <n v="0"/>
    <n v="0"/>
  </r>
  <r>
    <x v="3"/>
    <x v="3"/>
    <s v="OP-S-076"/>
    <x v="226"/>
    <d v="2025-12-04T00:00:00"/>
    <n v="33"/>
    <x v="0"/>
    <n v="45"/>
    <n v="0"/>
    <n v="0"/>
    <n v="1"/>
    <n v="0"/>
    <n v="0"/>
    <n v="0"/>
    <n v="0"/>
    <n v="0"/>
    <n v="0"/>
    <n v="0"/>
    <n v="0"/>
    <s v="https://www.clickideacore.com/ClickHTML5/Visit.aspx?ID=//5EDAEwASwAzADcAMwA2ADkANAAyADAASQBEAEUAQQA6=&amp;Tipo=2&amp;ST=1&amp;nLang=0"/>
    <n v="0"/>
    <n v="20"/>
    <n v="0"/>
    <n v="0"/>
    <n v="0"/>
    <n v="0"/>
    <n v="0"/>
    <n v="0"/>
  </r>
  <r>
    <x v="10"/>
    <x v="6"/>
    <s v="OP-DYR-011"/>
    <x v="226"/>
    <d v="2025-12-04T00:00:00"/>
    <n v="19"/>
    <x v="0"/>
    <n v="36"/>
    <n v="0"/>
    <n v="0"/>
    <n v="1"/>
    <n v="0"/>
    <n v="0"/>
    <n v="0"/>
    <n v="0"/>
    <n v="0"/>
    <n v="0"/>
    <n v="0"/>
    <n v="0"/>
    <s v="https://www.clickideacore.com/ClickHTML5/Visit.aspx?ID=//55DAEwASwAzADcAMwA2ADcAMwA3ADcASQBEAEUAQQAB=&amp;Tipo=2&amp;ST=1&amp;nLang=0"/>
    <n v="0"/>
    <n v="0"/>
    <n v="0"/>
    <n v="0"/>
    <n v="0"/>
    <n v="0"/>
    <n v="0"/>
    <n v="0"/>
  </r>
  <r>
    <x v="5"/>
    <x v="4"/>
    <s v="OP-DYR-011"/>
    <x v="226"/>
    <d v="2025-12-04T00:00:00"/>
    <n v="19"/>
    <x v="0"/>
    <n v="4"/>
    <n v="0"/>
    <n v="0"/>
    <n v="0"/>
    <n v="0"/>
    <n v="0"/>
    <n v="0"/>
    <n v="0"/>
    <n v="0"/>
    <n v="0"/>
    <n v="0"/>
    <n v="0"/>
    <s v="https://www.clickideacore.com/ClickHTML5/Visit.aspx?ID=//55DAEwASwAzADcAMwA2ADcAMwA3ADcASQBEAEUAQQAB=&amp;Tipo=2&amp;ST=1&amp;nLang=0"/>
    <n v="0"/>
    <n v="40"/>
    <n v="0"/>
    <n v="0"/>
    <n v="0"/>
    <n v="0"/>
    <n v="0"/>
    <n v="0"/>
  </r>
  <r>
    <x v="19"/>
    <x v="6"/>
    <s v="OP-DYR-011"/>
    <x v="226"/>
    <d v="2025-12-04T00:00:00"/>
    <n v="19"/>
    <x v="0"/>
    <n v="37"/>
    <n v="0"/>
    <n v="1"/>
    <n v="1"/>
    <n v="0"/>
    <n v="0"/>
    <n v="0"/>
    <n v="0"/>
    <n v="0"/>
    <n v="0"/>
    <n v="0"/>
    <n v="0"/>
    <s v="https://www.clickideacore.com/ClickHTML5/Visit.aspx?ID=//55DAEwASwAzADcAMwA2ADcAMwA3ADcASQBEAEUAQQAB=&amp;Tipo=2&amp;ST=1&amp;nLang=0"/>
    <n v="0"/>
    <n v="22"/>
    <n v="15"/>
    <n v="0"/>
    <n v="0"/>
    <n v="0"/>
    <n v="0"/>
    <n v="0"/>
  </r>
  <r>
    <x v="0"/>
    <x v="0"/>
    <s v="OP-S-100"/>
    <x v="226"/>
    <d v="2025-12-04T00:00:00"/>
    <n v="22"/>
    <x v="0"/>
    <n v="41"/>
    <n v="0"/>
    <n v="1"/>
    <n v="1"/>
    <n v="0"/>
    <n v="0"/>
    <n v="0"/>
    <n v="0"/>
    <n v="0"/>
    <n v="0"/>
    <n v="0"/>
    <n v="0"/>
    <s v="https://www.clickideacore.com/ClickHTML5/Visit.aspx?ID=//52DAEwASwAzADcAMwA3ADMANAA5ADgASQBEAEUAQQA1=&amp;Tipo=2&amp;ST=1&amp;nLang=0"/>
    <n v="0"/>
    <n v="43"/>
    <n v="15"/>
    <n v="0"/>
    <n v="0"/>
    <n v="0"/>
    <n v="0"/>
    <n v="0"/>
  </r>
  <r>
    <x v="2"/>
    <x v="2"/>
    <s v="OP-DYR-005"/>
    <x v="226"/>
    <d v="2025-12-04T00:00:00"/>
    <n v="98"/>
    <x v="0"/>
    <n v="5"/>
    <n v="0"/>
    <n v="0"/>
    <n v="0"/>
    <n v="0"/>
    <n v="0"/>
    <n v="0"/>
    <n v="0"/>
    <n v="0"/>
    <n v="2"/>
    <n v="0"/>
    <n v="0"/>
    <s v="https://www.clickideacore.com/ClickHTML5/Visit.aspx?ID=//54DAEwASwAzADcAMwA3ADIANgA1ADcASQBEAEUAQQAE=&amp;Tipo=2&amp;ST=1&amp;nLang=0"/>
    <n v="0"/>
    <n v="14"/>
    <n v="0"/>
    <n v="0"/>
    <n v="0"/>
    <n v="0"/>
    <n v="0"/>
    <n v="0"/>
  </r>
  <r>
    <x v="17"/>
    <x v="6"/>
    <s v="OP-DYR-00001"/>
    <x v="226"/>
    <d v="2025-12-04T00:00:00"/>
    <n v="44"/>
    <x v="0"/>
    <n v="37"/>
    <n v="0"/>
    <n v="1"/>
    <n v="1"/>
    <n v="0"/>
    <n v="0"/>
    <n v="0"/>
    <n v="0"/>
    <n v="0"/>
    <n v="0"/>
    <n v="0"/>
    <n v="0"/>
    <s v="https://www.clickideacore.com/ClickHTML5/Visit.aspx?ID=//57DAEwASwAzADcAMwA3ADQANgAwADEASQBEAEUAQQA7=&amp;Tipo=2&amp;ST=1&amp;nLang=0"/>
    <n v="0"/>
    <n v="22"/>
    <n v="15"/>
    <n v="0"/>
    <n v="0"/>
    <n v="0"/>
    <n v="0"/>
    <n v="0"/>
  </r>
  <r>
    <x v="9"/>
    <x v="7"/>
    <s v="OP-S-0010"/>
    <x v="226"/>
    <d v="2025-12-0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27"/>
    <d v="2025-12-05T00:00:00"/>
    <n v="22"/>
    <x v="0"/>
    <n v="18"/>
    <n v="0"/>
    <n v="0"/>
    <n v="1"/>
    <n v="0"/>
    <n v="0"/>
    <n v="0"/>
    <n v="0"/>
    <n v="0"/>
    <n v="0"/>
    <n v="0"/>
    <n v="0"/>
    <s v="https://www.clickideacore.com/ClickHTML5/Visit.aspx?ID=//56DAEwASwAzADcAMwA5ADYANwA0ADQASQBEAEUAQQA1=&amp;Tipo=2&amp;ST=1&amp;nLang=0"/>
    <n v="0"/>
    <n v="60"/>
    <n v="0"/>
    <n v="0"/>
    <n v="0"/>
    <n v="0"/>
    <n v="0"/>
    <n v="0"/>
  </r>
  <r>
    <x v="2"/>
    <x v="8"/>
    <s v="OP-S-010"/>
    <x v="227"/>
    <d v="2025-12-05T00:00:00"/>
    <n v="58"/>
    <x v="0"/>
    <n v="18"/>
    <n v="0"/>
    <n v="0"/>
    <n v="0"/>
    <n v="1"/>
    <n v="0"/>
    <n v="0"/>
    <n v="0"/>
    <n v="0"/>
    <n v="0"/>
    <n v="0"/>
    <n v="0"/>
    <s v="https://www.clickideacore.com/ClickHTML5/Visit.aspx?ID=//5ADAEwASwAzADcAMwA4ADIANwA4ADEASQBEAEUAQQAB=&amp;Tipo=2&amp;ST=1&amp;nLang=0"/>
    <n v="0"/>
    <n v="44"/>
    <n v="0"/>
    <n v="0"/>
    <n v="0"/>
    <n v="0"/>
    <n v="0"/>
    <n v="0"/>
  </r>
  <r>
    <x v="3"/>
    <x v="3"/>
    <s v="OP-S-076"/>
    <x v="227"/>
    <d v="2025-12-05T00:00:00"/>
    <n v="53"/>
    <x v="0"/>
    <n v="16"/>
    <n v="0"/>
    <n v="1"/>
    <n v="1"/>
    <n v="0"/>
    <n v="0"/>
    <n v="0"/>
    <n v="0"/>
    <n v="0"/>
    <n v="1"/>
    <n v="0"/>
    <n v="0"/>
    <s v="https://www.clickideacore.com/ClickHTML5/Visit.aspx?ID=//5BDAEwASwAzADcAMwA5ADMANQAzADkASQBEAEUAQQA6=&amp;Tipo=2&amp;ST=1&amp;nLang=0"/>
    <n v="0"/>
    <n v="78"/>
    <n v="0"/>
    <n v="0"/>
    <n v="0"/>
    <n v="0"/>
    <n v="0"/>
    <n v="0"/>
  </r>
  <r>
    <x v="10"/>
    <x v="6"/>
    <s v="OP-DYR-011"/>
    <x v="227"/>
    <d v="2025-12-05T00:00:00"/>
    <n v="27"/>
    <x v="0"/>
    <n v="36"/>
    <n v="0"/>
    <n v="1"/>
    <n v="1"/>
    <n v="0"/>
    <n v="0"/>
    <n v="0"/>
    <n v="0"/>
    <n v="0"/>
    <n v="0"/>
    <n v="0"/>
    <n v="0"/>
    <s v="https://www.clickideacore.com/ClickHTML5/Visit.aspx?ID=//53DAEwASwAzADcAMwA5ADUANgA5ADgASQBEAEUAQQA7=&amp;Tipo=2&amp;ST=1&amp;nLang=0"/>
    <n v="0"/>
    <n v="64"/>
    <n v="0"/>
    <n v="0"/>
    <n v="0"/>
    <n v="0"/>
    <n v="0"/>
    <n v="0"/>
  </r>
  <r>
    <x v="19"/>
    <x v="6"/>
    <s v="OP-DYR-011"/>
    <x v="227"/>
    <d v="2025-12-05T00:00:00"/>
    <n v="27"/>
    <x v="0"/>
    <n v="36"/>
    <n v="0"/>
    <n v="1"/>
    <n v="1"/>
    <n v="0"/>
    <n v="0"/>
    <n v="0"/>
    <n v="0"/>
    <n v="0"/>
    <n v="0"/>
    <n v="0"/>
    <n v="0"/>
    <s v="https://www.clickideacore.com/ClickHTML5/Visit.aspx?ID=//53DAEwASwAzADcAMwA5ADUANgA5ADgASQBEAEUAQQA7=&amp;Tipo=2&amp;ST=1&amp;nLang=0"/>
    <n v="0"/>
    <n v="64"/>
    <n v="0"/>
    <n v="0"/>
    <n v="0"/>
    <n v="0"/>
    <n v="0"/>
    <n v="0"/>
  </r>
  <r>
    <x v="0"/>
    <x v="0"/>
    <s v="OP-S-010"/>
    <x v="227"/>
    <d v="2025-12-05T00:00:00"/>
    <n v="58"/>
    <x v="0"/>
    <n v="28"/>
    <n v="0"/>
    <n v="1"/>
    <n v="1"/>
    <n v="0"/>
    <n v="0"/>
    <n v="0"/>
    <n v="0"/>
    <n v="0"/>
    <n v="0"/>
    <n v="0"/>
    <n v="0"/>
    <s v="https://www.clickideacore.com/ClickHTML5/Visit.aspx?ID=//5ADAEwASwAzADcAMwA4ADIANwA4ADEASQBEAEUAQQAB=&amp;Tipo=2&amp;ST=1&amp;nLang=0"/>
    <n v="0"/>
    <n v="51"/>
    <n v="2"/>
    <n v="0"/>
    <n v="0"/>
    <n v="0"/>
    <n v="0"/>
    <n v="0"/>
  </r>
  <r>
    <x v="17"/>
    <x v="2"/>
    <s v="OP-S-010"/>
    <x v="227"/>
    <d v="2025-12-05T00:00:00"/>
    <n v="58"/>
    <x v="0"/>
    <n v="0"/>
    <n v="0"/>
    <n v="0"/>
    <n v="0"/>
    <n v="0"/>
    <n v="0"/>
    <n v="0"/>
    <n v="0"/>
    <n v="0"/>
    <n v="0"/>
    <n v="0"/>
    <n v="0"/>
    <s v="https://www.clickideacore.com/ClickHTML5/Visit.aspx?ID=//5ADAEwASwAzADcAMwA4ADIANwA4ADEASQBEAEUAQQAB=&amp;Tipo=2&amp;ST=1&amp;nLang=0"/>
    <n v="0"/>
    <n v="16"/>
    <n v="3"/>
    <n v="0"/>
    <n v="0"/>
    <n v="0"/>
    <n v="0"/>
    <n v="0"/>
  </r>
  <r>
    <x v="5"/>
    <x v="4"/>
    <s v="OP-S-010"/>
    <x v="227"/>
    <d v="2025-12-05T00:00:00"/>
    <n v="58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MwA4ADIANwA4ADEASQBEAEUAQQAB=&amp;Tipo=2&amp;ST=1&amp;nLang=0"/>
    <n v="0"/>
    <n v="62"/>
    <n v="0"/>
    <n v="0"/>
    <n v="0"/>
    <n v="0"/>
    <n v="0"/>
    <n v="0"/>
  </r>
  <r>
    <x v="4"/>
    <x v="6"/>
    <s v="OP-S-076"/>
    <x v="227"/>
    <d v="2025-12-05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27"/>
    <d v="2025-12-0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28"/>
    <d v="2025-12-06T00:00:00"/>
    <n v="33"/>
    <x v="0"/>
    <n v="0"/>
    <n v="0"/>
    <n v="0"/>
    <n v="0"/>
    <n v="0"/>
    <n v="0"/>
    <n v="0"/>
    <n v="1"/>
    <n v="0"/>
    <n v="2"/>
    <n v="1"/>
    <n v="0"/>
    <s v="https://www.clickideacore.com/ClickHTML5/Visit.aspx?ID=//54DAEwASwAzADcANAAwADgANQA1ADgASQBEAEUAQQA7=&amp;Tipo=2&amp;ST=1&amp;nLang=0"/>
    <n v="0"/>
    <n v="0"/>
    <n v="0"/>
    <n v="0"/>
    <n v="0"/>
    <n v="0"/>
    <n v="0"/>
    <n v="0"/>
  </r>
  <r>
    <x v="4"/>
    <x v="8"/>
    <s v="OP-DYR-005"/>
    <x v="228"/>
    <d v="2025-12-06T00:00:00"/>
    <n v="23"/>
    <x v="0"/>
    <n v="0"/>
    <n v="0"/>
    <n v="0"/>
    <n v="0"/>
    <n v="0"/>
    <n v="0"/>
    <n v="0"/>
    <n v="1"/>
    <n v="0"/>
    <n v="8"/>
    <n v="1"/>
    <n v="0"/>
    <s v="https://www.clickideacore.com/ClickHTML5/Visit.aspx?ID=//57DAEwASwAzADcANAAwADkAMgAyADQASQBEAEUAQQAB=&amp;Tipo=2&amp;ST=1&amp;nLang=0"/>
    <n v="16"/>
    <n v="0"/>
    <n v="0"/>
    <n v="0"/>
    <n v="0"/>
    <n v="0"/>
    <n v="1"/>
    <n v="0"/>
  </r>
  <r>
    <x v="3"/>
    <x v="3"/>
    <s v="OP-S-076"/>
    <x v="228"/>
    <d v="2025-12-06T00:00:00"/>
    <n v="48"/>
    <x v="0"/>
    <n v="0"/>
    <n v="0"/>
    <n v="0"/>
    <n v="0"/>
    <n v="0"/>
    <n v="0"/>
    <n v="0"/>
    <n v="1"/>
    <n v="0"/>
    <n v="1"/>
    <n v="1"/>
    <n v="0"/>
    <s v="https://www.clickideacore.com/ClickHTML5/Visit.aspx?ID=//56DAEwASwAzADcANAAwADgAOAA4ADcASQBEAEUAQQA8=&amp;Tipo=2&amp;ST=1&amp;nLang=0"/>
    <n v="0"/>
    <n v="0"/>
    <n v="0"/>
    <n v="0"/>
    <n v="0"/>
    <n v="0"/>
    <n v="0"/>
    <n v="0"/>
  </r>
  <r>
    <x v="10"/>
    <x v="6"/>
    <s v="OP-DYR-011"/>
    <x v="228"/>
    <d v="2025-12-06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BDAEwASwAzADcANAAwADgAMwA2ADkASQBEAEUAQQA3=&amp;Tipo=2&amp;ST=1&amp;nLang=0"/>
    <n v="21"/>
    <n v="0"/>
    <n v="0"/>
    <n v="0"/>
    <n v="0"/>
    <n v="0"/>
    <n v="0"/>
    <n v="0"/>
  </r>
  <r>
    <x v="19"/>
    <x v="6"/>
    <s v="OP-DYR-011"/>
    <x v="228"/>
    <d v="2025-12-06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BDAEwASwAzADcANAAwADgAMwA2ADkASQBEAEUAQQA3=&amp;Tipo=2&amp;ST=1&amp;nLang=0"/>
    <n v="21"/>
    <n v="0"/>
    <n v="0"/>
    <n v="0"/>
    <n v="0"/>
    <n v="0"/>
    <n v="0"/>
    <n v="0"/>
  </r>
  <r>
    <x v="0"/>
    <x v="0"/>
    <s v="OP-S-100"/>
    <x v="228"/>
    <d v="2025-12-06T00:00:00"/>
    <n v="41"/>
    <x v="0"/>
    <n v="0"/>
    <n v="0"/>
    <n v="0"/>
    <n v="0"/>
    <n v="0"/>
    <n v="0"/>
    <n v="0"/>
    <n v="1"/>
    <n v="0"/>
    <n v="2"/>
    <n v="1"/>
    <n v="0"/>
    <s v="https://www.clickideacore.com/ClickHTML5/Visit.aspx?ID=//54DAEwASwAzADcANAAwADkANAA2ADIASQBEAEUAQQA8=&amp;Tipo=2&amp;ST=1&amp;nLang=0"/>
    <n v="20"/>
    <n v="0"/>
    <n v="0"/>
    <n v="0"/>
    <n v="0"/>
    <n v="0"/>
    <n v="0"/>
    <n v="0"/>
  </r>
  <r>
    <x v="5"/>
    <x v="4"/>
    <s v="OP-S-0010"/>
    <x v="228"/>
    <d v="2025-12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228"/>
    <d v="2025-12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228"/>
    <d v="2025-12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28"/>
    <d v="2025-12-06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29"/>
    <d v="2025-12-07T00:00:00"/>
    <n v="25"/>
    <x v="0"/>
    <n v="0"/>
    <n v="0"/>
    <n v="0"/>
    <n v="0"/>
    <n v="0"/>
    <n v="0"/>
    <n v="0"/>
    <n v="0"/>
    <n v="1"/>
    <n v="8"/>
    <n v="0"/>
    <n v="1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4"/>
    <x v="8"/>
    <s v="OP-DYR-005"/>
    <x v="229"/>
    <d v="2025-12-07T00:00:00"/>
    <n v="21"/>
    <x v="0"/>
    <n v="0"/>
    <n v="0"/>
    <n v="0"/>
    <n v="0"/>
    <n v="0"/>
    <n v="0"/>
    <n v="0"/>
    <n v="0"/>
    <n v="1"/>
    <n v="11"/>
    <n v="0"/>
    <n v="1"/>
    <s v="https://www.clickideacore.com/ClickHTML5/Visit.aspx?ID=//5ADAEwASwAzADcANAAyADYAOAAzADkASQBEAEUAQQAE=&amp;Tipo=2&amp;ST=1&amp;nLang=0"/>
    <n v="16"/>
    <n v="0"/>
    <n v="0"/>
    <n v="0"/>
    <n v="0"/>
    <n v="0"/>
    <n v="0"/>
    <n v="1"/>
  </r>
  <r>
    <x v="3"/>
    <x v="3"/>
    <s v="OP-S-076"/>
    <x v="229"/>
    <d v="2025-12-07T00:00:00"/>
    <n v="40"/>
    <x v="0"/>
    <n v="0"/>
    <n v="0"/>
    <n v="0"/>
    <n v="0"/>
    <n v="0"/>
    <n v="0"/>
    <n v="0"/>
    <n v="0"/>
    <n v="1"/>
    <n v="5"/>
    <n v="0"/>
    <n v="1"/>
    <s v="https://www.clickideacore.com/ClickHTML5/Visit.aspx?ID=//59DAEwASwAzADcANAAxADYAMwA5ADIASQBEAEUAQQA4=&amp;Tipo=2&amp;ST=1&amp;nLang=0"/>
    <n v="0"/>
    <n v="0"/>
    <n v="0"/>
    <n v="0"/>
    <n v="0"/>
    <n v="0"/>
    <n v="0"/>
    <n v="0"/>
  </r>
  <r>
    <x v="10"/>
    <x v="6"/>
    <s v="OP-DYR-011"/>
    <x v="229"/>
    <d v="2025-12-07T00:00:00"/>
    <n v="17"/>
    <x v="0"/>
    <n v="0"/>
    <n v="0"/>
    <n v="0"/>
    <n v="0"/>
    <n v="0"/>
    <n v="0"/>
    <n v="0"/>
    <n v="0"/>
    <n v="1"/>
    <n v="7"/>
    <n v="0"/>
    <n v="1"/>
    <s v="https://www.clickideacore.com/ClickHTML5/Visit.aspx?ID=//53DAEwASwAzADcANAAxADYAMQA3ADYASQBEAEUAQQA9=&amp;Tipo=2&amp;ST=1&amp;nLang=0"/>
    <n v="20"/>
    <n v="0"/>
    <n v="0"/>
    <n v="0"/>
    <n v="0"/>
    <n v="0"/>
    <n v="0"/>
    <n v="0"/>
  </r>
  <r>
    <x v="19"/>
    <x v="6"/>
    <s v="OP-DYR-011"/>
    <x v="229"/>
    <d v="2025-12-07T00:00:00"/>
    <n v="17"/>
    <x v="0"/>
    <n v="0"/>
    <n v="0"/>
    <n v="0"/>
    <n v="0"/>
    <n v="0"/>
    <n v="0"/>
    <n v="0"/>
    <n v="0"/>
    <n v="1"/>
    <n v="7"/>
    <n v="0"/>
    <n v="1"/>
    <s v="https://www.clickideacore.com/ClickHTML5/Visit.aspx?ID=//53DAEwASwAzADcANAAxADYAMQA3ADYASQBEAEUAQQA9=&amp;Tipo=2&amp;ST=1&amp;nLang=0"/>
    <n v="20"/>
    <n v="0"/>
    <n v="0"/>
    <n v="0"/>
    <n v="0"/>
    <n v="0"/>
    <n v="0"/>
    <n v="0"/>
  </r>
  <r>
    <x v="0"/>
    <x v="0"/>
    <s v="OP-S-100"/>
    <x v="229"/>
    <d v="2025-12-07T00:00:00"/>
    <n v="43"/>
    <x v="0"/>
    <n v="0"/>
    <n v="0"/>
    <n v="0"/>
    <n v="0"/>
    <n v="0"/>
    <n v="0"/>
    <n v="0"/>
    <n v="0"/>
    <n v="1"/>
    <n v="6"/>
    <n v="0"/>
    <n v="1"/>
    <s v="https://www.clickideacore.com/ClickHTML5/Visit.aspx?ID=//52DAEwASwAzADcANAAxADYANAAzADgASQBEAEUAQQA4=&amp;Tipo=2&amp;ST=1&amp;nLang=0"/>
    <n v="20"/>
    <n v="0"/>
    <n v="0"/>
    <n v="0"/>
    <n v="0"/>
    <n v="0"/>
    <n v="0"/>
    <n v="0"/>
  </r>
  <r>
    <x v="5"/>
    <x v="4"/>
    <s v="OP-S-0010"/>
    <x v="229"/>
    <d v="2025-12-0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229"/>
    <d v="2025-12-0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229"/>
    <d v="2025-12-0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29"/>
    <d v="2025-12-0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30"/>
    <d v="2025-12-08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4"/>
    <x v="8"/>
    <s v="OP-DYR-005"/>
    <x v="230"/>
    <d v="2025-12-0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NAAyADYAOAAzADkASQBEAEUAQQAE=&amp;Tipo=2&amp;ST=1&amp;nLang=0"/>
    <n v="0"/>
    <n v="0"/>
    <n v="0"/>
    <n v="0"/>
    <n v="0"/>
    <n v="0"/>
    <n v="0"/>
    <n v="0"/>
  </r>
  <r>
    <x v="3"/>
    <x v="3"/>
    <s v="OP-S-076"/>
    <x v="230"/>
    <d v="2025-12-08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cANAAxADYAMwA5ADIASQBEAEUAQQA4=&amp;Tipo=2&amp;ST=1&amp;nLang=0"/>
    <n v="0"/>
    <n v="0"/>
    <n v="0"/>
    <n v="0"/>
    <n v="0"/>
    <n v="0"/>
    <n v="0"/>
    <n v="0"/>
  </r>
  <r>
    <x v="10"/>
    <x v="6"/>
    <s v="OP-DYR-011"/>
    <x v="230"/>
    <d v="2025-12-08T00:00:00"/>
    <n v="1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cANAAxADYAMQA3ADYASQBEAEUAQQA9=&amp;Tipo=2&amp;ST=1&amp;nLang=0"/>
    <n v="0"/>
    <n v="0"/>
    <n v="0"/>
    <n v="0"/>
    <n v="0"/>
    <n v="0"/>
    <n v="0"/>
    <n v="0"/>
  </r>
  <r>
    <x v="0"/>
    <x v="0"/>
    <s v="OP-S-100"/>
    <x v="230"/>
    <d v="2025-12-08T00:00:00"/>
    <n v="43"/>
    <x v="5"/>
    <n v="0"/>
    <n v="0"/>
    <n v="0"/>
    <n v="0"/>
    <n v="0"/>
    <n v="0"/>
    <n v="0"/>
    <n v="0"/>
    <n v="0"/>
    <n v="0"/>
    <n v="0"/>
    <n v="0"/>
    <s v="https://www.clickideacore.com/ClickHTML5/Visit.aspx?ID=//52DAEwASwAzADcANAAxADYANAAzADgASQBEAEUAQQA4=&amp;Tipo=2&amp;ST=1&amp;nLang=0"/>
    <n v="0"/>
    <n v="0"/>
    <n v="0"/>
    <n v="0"/>
    <n v="0"/>
    <n v="0"/>
    <n v="0"/>
    <n v="0"/>
  </r>
  <r>
    <x v="5"/>
    <x v="4"/>
    <s v="OP-S-0010"/>
    <x v="230"/>
    <d v="2025-12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230"/>
    <d v="2025-12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9"/>
    <x v="6"/>
    <s v="OP-S-0010"/>
    <x v="230"/>
    <d v="2025-12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230"/>
    <d v="2025-12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30"/>
    <d v="2025-12-0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5"/>
    <x v="231"/>
    <d v="2025-12-09T00:00:00"/>
    <n v="15"/>
    <x v="0"/>
    <n v="14"/>
    <n v="0"/>
    <n v="0"/>
    <n v="1"/>
    <n v="0"/>
    <n v="0"/>
    <n v="0"/>
    <n v="0"/>
    <n v="0"/>
    <n v="0"/>
    <n v="0"/>
    <n v="0"/>
    <s v="https://www.clickideacore.com/ClickHTML5/Visit.aspx?ID=//59DAEwASwAzADcANAA0ADYAMQA3ADIASQBEAEUAQQAD=&amp;Tipo=2&amp;ST=1&amp;nLang=0"/>
    <n v="0"/>
    <n v="40"/>
    <n v="0"/>
    <n v="0"/>
    <n v="0"/>
    <n v="0"/>
    <n v="0"/>
    <n v="0"/>
  </r>
  <r>
    <x v="9"/>
    <x v="28"/>
    <s v="OP-DYR-005"/>
    <x v="231"/>
    <d v="2025-12-09T00:00:00"/>
    <n v="15"/>
    <x v="0"/>
    <n v="14"/>
    <n v="0"/>
    <n v="0"/>
    <n v="1"/>
    <n v="0"/>
    <n v="0"/>
    <n v="0"/>
    <n v="0"/>
    <n v="0"/>
    <n v="0"/>
    <n v="0"/>
    <n v="0"/>
    <s v="https://www.clickideacore.com/ClickHTML5/Visit.aspx?ID=//59DAEwASwAzADcANAA0ADYAMQA3ADIASQBEAEUAQQAD=&amp;Tipo=2&amp;ST=1&amp;nLang=0"/>
    <n v="0"/>
    <n v="40"/>
    <n v="0"/>
    <n v="0"/>
    <n v="0"/>
    <n v="0"/>
    <n v="0"/>
    <n v="0"/>
  </r>
  <r>
    <x v="4"/>
    <x v="8"/>
    <s v="OP-DYR-005"/>
    <x v="231"/>
    <d v="2025-12-09T00:00:00"/>
    <n v="15"/>
    <x v="0"/>
    <n v="15"/>
    <n v="0"/>
    <n v="0"/>
    <n v="0"/>
    <n v="1"/>
    <n v="0"/>
    <n v="0"/>
    <n v="0"/>
    <n v="0"/>
    <n v="0"/>
    <n v="0"/>
    <n v="0"/>
    <s v="https://www.clickideacore.com/ClickHTML5/Visit.aspx?ID=//59DAEwASwAzADcANAA0ADYAMQA3ADIASQBEAEUAQQAD=&amp;Tipo=2&amp;ST=1&amp;nLang=0"/>
    <n v="0"/>
    <n v="10"/>
    <n v="1"/>
    <n v="0"/>
    <n v="0"/>
    <n v="0"/>
    <n v="0"/>
    <n v="0"/>
  </r>
  <r>
    <x v="3"/>
    <x v="3"/>
    <s v="OP-S-076"/>
    <x v="231"/>
    <d v="2025-12-09T00:00:00"/>
    <n v="42"/>
    <x v="0"/>
    <n v="16"/>
    <n v="0"/>
    <n v="0"/>
    <n v="1"/>
    <n v="0"/>
    <n v="0"/>
    <n v="0"/>
    <n v="0"/>
    <n v="0"/>
    <n v="0"/>
    <n v="0"/>
    <n v="0"/>
    <s v="https://www.clickideacore.com/ClickHTML5/Visit.aspx?ID=//57DAEwASwAzADcANAA0ADIANwAzADcASQBEAEUAQQA7=&amp;Tipo=2&amp;ST=1&amp;nLang=0"/>
    <n v="0"/>
    <n v="28"/>
    <n v="5"/>
    <n v="0"/>
    <n v="0"/>
    <n v="0"/>
    <n v="0"/>
    <n v="0"/>
  </r>
  <r>
    <x v="5"/>
    <x v="4"/>
    <s v="OP-S-005"/>
    <x v="231"/>
    <d v="2025-12-09T00:00:00"/>
    <n v="36"/>
    <x v="0"/>
    <n v="36"/>
    <n v="0"/>
    <n v="1"/>
    <n v="1"/>
    <n v="0"/>
    <n v="0"/>
    <n v="0"/>
    <n v="0"/>
    <n v="0"/>
    <n v="0"/>
    <n v="0"/>
    <n v="0"/>
    <s v="https://www.clickideacore.com/ClickHTML5/Visit.aspx?ID=//5ADAEwASwAzADcANAA0ADcANQA0ADMASQBEAEUAQQAA=&amp;Tipo=2&amp;ST=1&amp;nLang=0"/>
    <n v="0"/>
    <n v="62"/>
    <n v="0"/>
    <n v="0"/>
    <n v="0"/>
    <n v="0"/>
    <n v="0"/>
    <n v="0"/>
  </r>
  <r>
    <x v="0"/>
    <x v="0"/>
    <s v="OP-S-100"/>
    <x v="231"/>
    <d v="2025-12-09T00:00:00"/>
    <n v="27"/>
    <x v="0"/>
    <n v="28"/>
    <n v="0"/>
    <n v="1"/>
    <n v="1"/>
    <n v="0"/>
    <n v="0"/>
    <n v="0"/>
    <n v="0"/>
    <n v="0"/>
    <n v="0"/>
    <n v="0"/>
    <n v="0"/>
    <s v="https://www.clickideacore.com/ClickHTML5/Visit.aspx?ID=//51DAEwASwAzADcANAA0ADgAMQA4ADQASQBEAEUAQQA8=&amp;Tipo=2&amp;ST=1&amp;nLang=0"/>
    <n v="0"/>
    <n v="22"/>
    <n v="0"/>
    <n v="0"/>
    <n v="0"/>
    <n v="0"/>
    <n v="0"/>
    <n v="0"/>
  </r>
  <r>
    <x v="10"/>
    <x v="17"/>
    <s v="OP-DYR-011"/>
    <x v="231"/>
    <d v="2025-12-09T00:00:00"/>
    <n v="49"/>
    <x v="0"/>
    <n v="24"/>
    <n v="0"/>
    <n v="1"/>
    <n v="1"/>
    <n v="0"/>
    <n v="0"/>
    <n v="0"/>
    <n v="0"/>
    <n v="0"/>
    <n v="0"/>
    <n v="0"/>
    <n v="0"/>
    <s v="https://www.clickideacore.com/ClickHTML5/Visit.aspx?ID=//59DAEwASwAzADcANAA0ADYAMQA1ADkASQBEAEUAQQA2=&amp;Tipo=2&amp;ST=1&amp;nLang=0"/>
    <n v="0"/>
    <n v="50"/>
    <n v="0"/>
    <n v="0"/>
    <n v="0"/>
    <n v="0"/>
    <n v="0"/>
    <n v="0"/>
  </r>
  <r>
    <x v="19"/>
    <x v="6"/>
    <s v="OP-DYR-011"/>
    <x v="231"/>
    <d v="2025-12-09T00:00:00"/>
    <n v="49"/>
    <x v="0"/>
    <n v="24"/>
    <n v="0"/>
    <n v="1"/>
    <n v="1"/>
    <n v="0"/>
    <n v="0"/>
    <n v="0"/>
    <n v="0"/>
    <n v="0"/>
    <n v="0"/>
    <n v="0"/>
    <n v="0"/>
    <s v="https://www.clickideacore.com/ClickHTML5/Visit.aspx?ID=//59DAEwASwAzADcANAA0ADYAMQA1ADkASQBEAEUAQQA2=&amp;Tipo=2&amp;ST=1&amp;nLang=0"/>
    <n v="0"/>
    <n v="50"/>
    <n v="0"/>
    <n v="0"/>
    <n v="0"/>
    <n v="0"/>
    <n v="0"/>
    <n v="0"/>
  </r>
  <r>
    <x v="2"/>
    <x v="2"/>
    <s v="OP-DYR-005"/>
    <x v="231"/>
    <d v="2025-12-09T00:00:00"/>
    <n v="15"/>
    <x v="0"/>
    <n v="32"/>
    <n v="0"/>
    <n v="1"/>
    <n v="1"/>
    <n v="0"/>
    <n v="0"/>
    <n v="0"/>
    <n v="0"/>
    <n v="0"/>
    <n v="0"/>
    <n v="0"/>
    <n v="0"/>
    <s v="https://www.clickideacore.com/ClickHTML5/Visit.aspx?ID=//59DAEwASwAzADcANAA0ADYAMQA3ADIASQBEAEUAQQAD=&amp;Tipo=2&amp;ST=1&amp;nLang=0"/>
    <n v="0"/>
    <n v="41"/>
    <n v="0"/>
    <n v="0"/>
    <n v="0"/>
    <n v="0"/>
    <n v="0"/>
    <n v="0"/>
  </r>
  <r>
    <x v="9"/>
    <x v="29"/>
    <s v="OP-DYR-005"/>
    <x v="231"/>
    <d v="2025-12-09T00:00:00"/>
    <n v="15"/>
    <x v="0"/>
    <n v="32"/>
    <n v="0"/>
    <n v="1"/>
    <n v="1"/>
    <n v="0"/>
    <n v="0"/>
    <n v="0"/>
    <n v="0"/>
    <n v="0"/>
    <n v="0"/>
    <n v="0"/>
    <n v="0"/>
    <s v="https://www.clickideacore.com/ClickHTML5/Visit.aspx?ID=//59DAEwASwAzADcANAA0ADYAMQA3ADIASQBEAEUAQQAD=&amp;Tipo=2&amp;ST=1&amp;nLang=0"/>
    <n v="0"/>
    <n v="41"/>
    <n v="0"/>
    <n v="0"/>
    <n v="0"/>
    <n v="0"/>
    <n v="0"/>
    <n v="0"/>
  </r>
  <r>
    <x v="17"/>
    <x v="6"/>
    <s v="OP-S-0010"/>
    <x v="231"/>
    <d v="2025-12-09T00:00:00"/>
    <n v="0"/>
    <x v="1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31"/>
    <d v="2025-12-0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DYR-005"/>
    <x v="232"/>
    <d v="2025-12-10T00:00:00"/>
    <n v="20"/>
    <x v="0"/>
    <n v="28"/>
    <n v="0"/>
    <n v="0"/>
    <n v="1"/>
    <n v="0"/>
    <n v="0"/>
    <n v="0"/>
    <n v="0"/>
    <n v="0"/>
    <n v="0"/>
    <n v="0"/>
    <n v="0"/>
    <s v="https://www.clickideacore.com/ClickHTML5/Visit.aspx?ID=//50DAEwASwAzADcANAA3ADEAMwAwADQASQBEAEUAQQA1=&amp;Tipo=2&amp;ST=1&amp;nLang=0"/>
    <n v="0"/>
    <n v="60"/>
    <n v="0"/>
    <n v="0"/>
    <n v="0"/>
    <n v="0"/>
    <n v="0"/>
    <n v="0"/>
  </r>
  <r>
    <x v="17"/>
    <x v="6"/>
    <s v="OP-DYR-00001"/>
    <x v="232"/>
    <d v="2025-12-10T00:00:00"/>
    <n v="47"/>
    <x v="0"/>
    <n v="44"/>
    <n v="0"/>
    <n v="0"/>
    <n v="0"/>
    <n v="1"/>
    <n v="1"/>
    <n v="0"/>
    <n v="0"/>
    <n v="0"/>
    <n v="1"/>
    <n v="0"/>
    <n v="0"/>
    <s v="https://www.clickideacore.com/ClickHTML5/Visit.aspx?ID=//58DAEwASwAzADcANAA2ADYAMwAzADgASQBEAEUAQQAB=&amp;Tipo=2&amp;ST=1&amp;nLang=0"/>
    <n v="0"/>
    <n v="13"/>
    <n v="0"/>
    <n v="0"/>
    <n v="0"/>
    <n v="0"/>
    <n v="0"/>
    <n v="0"/>
  </r>
  <r>
    <x v="3"/>
    <x v="6"/>
    <s v="OP-DYR-00001"/>
    <x v="232"/>
    <d v="2025-12-10T00:00:00"/>
    <n v="47"/>
    <x v="0"/>
    <n v="44"/>
    <n v="0"/>
    <n v="0"/>
    <n v="0"/>
    <n v="1"/>
    <n v="1"/>
    <n v="0"/>
    <n v="0"/>
    <n v="0"/>
    <n v="1"/>
    <n v="0"/>
    <n v="0"/>
    <s v="https://www.clickideacore.com/ClickHTML5/Visit.aspx?ID=//58DAEwASwAzADcANAA2ADYAMwAzADgASQBEAEUAQQAB=&amp;Tipo=2&amp;ST=1&amp;nLang=0"/>
    <n v="0"/>
    <n v="13"/>
    <n v="0"/>
    <n v="0"/>
    <n v="0"/>
    <n v="0"/>
    <n v="0"/>
    <n v="0"/>
  </r>
  <r>
    <x v="10"/>
    <x v="29"/>
    <s v="OP-DYR-011"/>
    <x v="232"/>
    <d v="2025-12-10T00:00:00"/>
    <n v="25"/>
    <x v="0"/>
    <n v="48"/>
    <n v="0"/>
    <n v="1"/>
    <n v="1"/>
    <n v="0"/>
    <n v="0"/>
    <n v="0"/>
    <n v="0"/>
    <n v="0"/>
    <n v="0"/>
    <n v="0"/>
    <n v="0"/>
    <s v="https://www.clickideacore.com/ClickHTML5/Visit.aspx?ID=//55DAEwASwAzADcANAA2ADcAOQA3ADUASQBEAEUAQQAB=&amp;Tipo=2&amp;ST=1&amp;nLang=0"/>
    <n v="0"/>
    <n v="13"/>
    <n v="0"/>
    <n v="0"/>
    <n v="0"/>
    <n v="0"/>
    <n v="0"/>
    <n v="0"/>
  </r>
  <r>
    <x v="1"/>
    <x v="1"/>
    <s v="OP-DYR-004"/>
    <x v="232"/>
    <d v="2025-12-10T00:00:00"/>
    <n v="33"/>
    <x v="0"/>
    <n v="60"/>
    <n v="0"/>
    <n v="0"/>
    <n v="1"/>
    <n v="0"/>
    <n v="0"/>
    <n v="1"/>
    <n v="0"/>
    <n v="0"/>
    <n v="0"/>
    <n v="0"/>
    <n v="0"/>
    <s v="https://www.clickideacore.com/ClickHTML5/Visit.aspx?ID=//5BDAEwASwAzADcANAA3ADIAMQA4ADMASQBEAEUAQQA0=&amp;Tipo=2&amp;ST=1&amp;nLang=0"/>
    <n v="0"/>
    <n v="20"/>
    <n v="0"/>
    <n v="0"/>
    <n v="0"/>
    <n v="0"/>
    <n v="0"/>
    <n v="0"/>
  </r>
  <r>
    <x v="5"/>
    <x v="4"/>
    <s v="OP-S-005"/>
    <x v="232"/>
    <d v="2025-12-10T00:00:00"/>
    <n v="42"/>
    <x v="0"/>
    <n v="44"/>
    <n v="0"/>
    <n v="1"/>
    <n v="1"/>
    <n v="0"/>
    <n v="0"/>
    <n v="0"/>
    <n v="0"/>
    <n v="0"/>
    <n v="0"/>
    <n v="0"/>
    <n v="0"/>
    <s v="https://www.clickideacore.com/ClickHTML5/Visit.aspx?ID=//53DAEwASwAzADcANAA3ADEAMwA2ADYASQBEAEUAQQAD=&amp;Tipo=2&amp;ST=1&amp;nLang=0"/>
    <n v="0"/>
    <n v="32"/>
    <n v="0"/>
    <n v="0"/>
    <n v="0"/>
    <n v="0"/>
    <n v="0"/>
    <n v="0"/>
  </r>
  <r>
    <x v="11"/>
    <x v="17"/>
    <s v="OP-SDYR-001"/>
    <x v="232"/>
    <d v="2025-12-10T00:00:00"/>
    <n v="33"/>
    <x v="0"/>
    <n v="27"/>
    <n v="0"/>
    <n v="0"/>
    <n v="1"/>
    <n v="0"/>
    <n v="0"/>
    <n v="0"/>
    <n v="0"/>
    <n v="0"/>
    <n v="0"/>
    <n v="0"/>
    <n v="0"/>
    <s v="https://www.clickideacore.com/ClickHTML5/Visit.aspx?ID=//54DAEwASwAzADcANAA2ADgAMwAzADkASQBEAEUAQQA9=&amp;Tipo=2&amp;ST=1&amp;nLang=0"/>
    <n v="0"/>
    <n v="0"/>
    <n v="0"/>
    <n v="0"/>
    <n v="0"/>
    <n v="0"/>
    <n v="0"/>
    <n v="0"/>
  </r>
  <r>
    <x v="0"/>
    <x v="0"/>
    <s v="OP-S-076"/>
    <x v="232"/>
    <d v="2025-12-1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32"/>
    <d v="2025-12-1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32"/>
    <d v="2025-12-1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076"/>
    <x v="232"/>
    <d v="2025-12-1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32"/>
    <d v="2025-12-10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DYR-005"/>
    <x v="233"/>
    <d v="2025-12-11T00:00:00"/>
    <n v="18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cANAA5ADIANwA0ADkASQBEAEUAQQA6=&amp;Tipo=2&amp;ST=1&amp;nLang=0"/>
    <n v="0"/>
    <n v="14"/>
    <n v="0"/>
    <n v="0"/>
    <n v="0"/>
    <n v="0"/>
    <n v="0"/>
    <n v="0"/>
  </r>
  <r>
    <x v="17"/>
    <x v="3"/>
    <s v="OP-DYR-00001"/>
    <x v="233"/>
    <d v="2025-12-11T00:00:00"/>
    <n v="45"/>
    <x v="0"/>
    <n v="25"/>
    <n v="0"/>
    <n v="1"/>
    <n v="0"/>
    <n v="1"/>
    <n v="1"/>
    <n v="0"/>
    <n v="0"/>
    <n v="0"/>
    <n v="0"/>
    <n v="0"/>
    <n v="0"/>
    <s v="https://www.clickideacore.com/ClickHTML5/Visit.aspx?ID=//5EDAEwASwAzADcANAA5ADMAMgA1ADQASQBEAEUAQQA8=&amp;Tipo=2&amp;ST=1&amp;nLang=0"/>
    <n v="0"/>
    <n v="25"/>
    <n v="0"/>
    <n v="0"/>
    <n v="0"/>
    <n v="0"/>
    <n v="0"/>
    <n v="0"/>
  </r>
  <r>
    <x v="2"/>
    <x v="2"/>
    <s v="OP-DYR-005"/>
    <x v="233"/>
    <d v="2025-12-11T00:00:00"/>
    <n v="18"/>
    <x v="0"/>
    <n v="52"/>
    <n v="0"/>
    <n v="0"/>
    <n v="1"/>
    <n v="0"/>
    <n v="0"/>
    <n v="0"/>
    <n v="0"/>
    <n v="0"/>
    <n v="0"/>
    <n v="0"/>
    <n v="0"/>
    <s v="https://www.clickideacore.com/ClickHTML5/Visit.aspx?ID=//54DAEwASwAzADcANAA5ADIANwA0ADkASQBEAEUAQQA6=&amp;Tipo=2&amp;ST=1&amp;nLang=0"/>
    <n v="0"/>
    <n v="0"/>
    <n v="0"/>
    <n v="0"/>
    <n v="0"/>
    <n v="0"/>
    <n v="0"/>
    <n v="0"/>
  </r>
  <r>
    <x v="0"/>
    <x v="6"/>
    <s v="OP-S-100"/>
    <x v="233"/>
    <d v="2025-12-11T00:00:00"/>
    <n v="3225"/>
    <x v="0"/>
    <n v="36"/>
    <n v="0"/>
    <n v="1"/>
    <n v="1"/>
    <n v="0"/>
    <n v="0"/>
    <n v="0"/>
    <n v="0"/>
    <n v="0"/>
    <n v="0"/>
    <n v="0"/>
    <n v="0"/>
    <s v="https://www.clickideacore.com/ClickHTML5/Visit.aspx?ID=//5FDAEwASwAzADcANAA5ADQAOQA4ADcASQBEAEUAQQA0=&amp;Tipo=2&amp;ST=1&amp;nLang=0"/>
    <n v="0"/>
    <n v="8"/>
    <n v="0"/>
    <n v="0"/>
    <n v="0"/>
    <n v="0"/>
    <n v="0"/>
    <n v="0"/>
  </r>
  <r>
    <x v="9"/>
    <x v="0"/>
    <s v="OP-S-100"/>
    <x v="233"/>
    <d v="2025-12-11T00:00:00"/>
    <n v="3225"/>
    <x v="0"/>
    <n v="48"/>
    <n v="0"/>
    <n v="1"/>
    <n v="1"/>
    <n v="0"/>
    <n v="0"/>
    <n v="0"/>
    <n v="0"/>
    <n v="0"/>
    <n v="0"/>
    <n v="0"/>
    <n v="0"/>
    <s v="https://www.clickideacore.com/ClickHTML5/Visit.aspx?ID=//5FDAEwASwAzADcANAA5ADQAOQA4ADcASQBEAEUAQQA0=&amp;Tipo=2&amp;ST=1&amp;nLang=0"/>
    <n v="0"/>
    <n v="8"/>
    <n v="0"/>
    <n v="0"/>
    <n v="0"/>
    <n v="0"/>
    <n v="0"/>
    <n v="0"/>
  </r>
  <r>
    <x v="5"/>
    <x v="6"/>
    <s v="OP-S-005"/>
    <x v="233"/>
    <d v="2025-12-11T00:00:00"/>
    <n v="51"/>
    <x v="0"/>
    <n v="40"/>
    <n v="0"/>
    <n v="0"/>
    <n v="1"/>
    <n v="0"/>
    <n v="0"/>
    <n v="0"/>
    <n v="0"/>
    <n v="0"/>
    <n v="0"/>
    <n v="0"/>
    <n v="0"/>
    <s v="https://www.clickideacore.com/ClickHTML5/Visit.aspx?ID=//5EDAEwASwAzADcANAA4ADkANAAxADYASQBEAEUAQQA5=&amp;Tipo=2&amp;ST=1&amp;nLang=0"/>
    <n v="0"/>
    <n v="78"/>
    <n v="0"/>
    <n v="0"/>
    <n v="0"/>
    <n v="0"/>
    <n v="0"/>
    <n v="0"/>
  </r>
  <r>
    <x v="3"/>
    <x v="6"/>
    <s v="OP-S-005"/>
    <x v="233"/>
    <d v="2025-12-11T00:00:00"/>
    <n v="51"/>
    <x v="0"/>
    <n v="40"/>
    <n v="0"/>
    <n v="0"/>
    <n v="1"/>
    <n v="0"/>
    <n v="0"/>
    <n v="0"/>
    <n v="0"/>
    <n v="0"/>
    <n v="0"/>
    <n v="0"/>
    <n v="0"/>
    <s v="https://www.clickideacore.com/ClickHTML5/Visit.aspx?ID=//5EDAEwASwAzADcANAA4ADkANAAxADYASQBEAEUAQQA5=&amp;Tipo=2&amp;ST=1&amp;nLang=0"/>
    <n v="0"/>
    <n v="78"/>
    <n v="0"/>
    <n v="0"/>
    <n v="0"/>
    <n v="0"/>
    <n v="0"/>
    <n v="0"/>
  </r>
  <r>
    <x v="11"/>
    <x v="6"/>
    <s v="OP-SDYR-001"/>
    <x v="233"/>
    <d v="2025-12-11T00:00:00"/>
    <n v="22"/>
    <x v="0"/>
    <n v="26"/>
    <n v="0"/>
    <n v="0"/>
    <n v="1"/>
    <n v="0"/>
    <n v="0"/>
    <n v="0"/>
    <n v="0"/>
    <n v="0"/>
    <n v="0"/>
    <n v="0"/>
    <n v="0"/>
    <s v="https://www.clickideacore.com/ClickHTML5/Visit.aspx?ID=//5CDAEwASwAzADcANAA5ADAANAA2ADYASQBEAEUAQQA1=&amp;Tipo=2&amp;ST=1&amp;nLang=0"/>
    <n v="0"/>
    <n v="12"/>
    <n v="0"/>
    <n v="0"/>
    <n v="0"/>
    <n v="0"/>
    <n v="0"/>
    <n v="0"/>
  </r>
  <r>
    <x v="9"/>
    <x v="17"/>
    <s v="OP-SDYR-001"/>
    <x v="233"/>
    <d v="2025-12-11T00:00:00"/>
    <n v="22"/>
    <x v="0"/>
    <n v="26"/>
    <n v="0"/>
    <n v="0"/>
    <n v="1"/>
    <n v="0"/>
    <n v="0"/>
    <n v="0"/>
    <n v="0"/>
    <n v="0"/>
    <n v="0"/>
    <n v="0"/>
    <n v="0"/>
    <s v="https://www.clickideacore.com/ClickHTML5/Visit.aspx?ID=//5CDAEwASwAzADcANAA5ADAANAA2ADYASQBEAEUAQQA1=&amp;Tipo=2&amp;ST=1&amp;nLang=0"/>
    <n v="0"/>
    <n v="20"/>
    <n v="0"/>
    <n v="0"/>
    <n v="0"/>
    <n v="0"/>
    <n v="0"/>
    <n v="0"/>
  </r>
  <r>
    <x v="10"/>
    <x v="30"/>
    <s v="OP-DYR-011"/>
    <x v="233"/>
    <d v="2025-12-11T00:00:00"/>
    <n v="124"/>
    <x v="0"/>
    <n v="43"/>
    <n v="0"/>
    <n v="0"/>
    <n v="1"/>
    <n v="0"/>
    <n v="0"/>
    <n v="0"/>
    <n v="0"/>
    <n v="0"/>
    <n v="0"/>
    <n v="0"/>
    <n v="0"/>
    <s v="https://www.clickideacore.com/ClickHTML5/Visit.aspx?ID=//5BDAEwASwAzADcANAA5ADAAMQA4ADIASQBEAEUAQQAF=&amp;Tipo=2&amp;ST=1&amp;nLang=0"/>
    <n v="0"/>
    <n v="0"/>
    <n v="0"/>
    <n v="0"/>
    <n v="0"/>
    <n v="0"/>
    <n v="0"/>
    <n v="0"/>
  </r>
  <r>
    <x v="1"/>
    <x v="1"/>
    <s v="OP-DYR-004"/>
    <x v="233"/>
    <d v="2025-12-11T00:00:00"/>
    <n v="39"/>
    <x v="0"/>
    <n v="0"/>
    <n v="0"/>
    <n v="0"/>
    <n v="0"/>
    <n v="0"/>
    <n v="0"/>
    <n v="0"/>
    <n v="0"/>
    <n v="0"/>
    <n v="0"/>
    <n v="0"/>
    <n v="0"/>
    <s v="https://www.clickideacore.com/ClickHTML5/Visit.aspx?ID=//57DAEwASwAzADcANAA5ADEAMgA4ADIASQBEAEUAQQA8=&amp;Tipo=2&amp;ST=1&amp;nLang=0"/>
    <n v="0"/>
    <n v="80"/>
    <n v="0"/>
    <n v="0"/>
    <n v="0"/>
    <n v="0"/>
    <n v="0"/>
    <n v="0"/>
  </r>
  <r>
    <x v="9"/>
    <x v="29"/>
    <s v="OP-S-076"/>
    <x v="233"/>
    <d v="2025-12-11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4"/>
    <s v="OP-S-076"/>
    <x v="233"/>
    <d v="2025-12-11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33"/>
    <d v="2025-12-1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33"/>
    <d v="2025-12-11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34"/>
    <d v="2025-12-12T00:00:00"/>
    <n v="22"/>
    <x v="0"/>
    <n v="18"/>
    <n v="0"/>
    <n v="0"/>
    <n v="1"/>
    <n v="0"/>
    <n v="0"/>
    <n v="0"/>
    <n v="0"/>
    <n v="0"/>
    <n v="0"/>
    <n v="0"/>
    <n v="0"/>
    <s v="https://www.clickideacore.com/ClickHTML5/Visit.aspx?ID=//50DAEwASwAzADcANQAxADUAOQA0ADEASQBEAEUAQQA1=&amp;Tipo=2&amp;ST=1&amp;nLang=0"/>
    <n v="0"/>
    <n v="70"/>
    <n v="0"/>
    <n v="0"/>
    <n v="0"/>
    <n v="0"/>
    <n v="0"/>
    <n v="0"/>
  </r>
  <r>
    <x v="17"/>
    <x v="3"/>
    <s v="OP-DYR-00001"/>
    <x v="234"/>
    <d v="2025-12-12T00:00:00"/>
    <n v="34"/>
    <x v="0"/>
    <n v="18"/>
    <n v="0"/>
    <n v="0"/>
    <n v="0"/>
    <n v="1"/>
    <n v="0"/>
    <n v="0"/>
    <n v="0"/>
    <n v="0"/>
    <n v="0"/>
    <n v="0"/>
    <n v="0"/>
    <s v="https://www.clickideacore.com/ClickHTML5/Visit.aspx?ID=//55DAEwASwAzADcANQAxADIAMwA4ADIASQBEAEUAQQA4=&amp;Tipo=2&amp;ST=1&amp;nLang=0"/>
    <n v="0"/>
    <n v="56"/>
    <n v="0"/>
    <n v="0"/>
    <n v="0"/>
    <n v="0"/>
    <n v="0"/>
    <n v="0"/>
  </r>
  <r>
    <x v="2"/>
    <x v="2"/>
    <s v="OP-S-200"/>
    <x v="234"/>
    <d v="2025-12-12T00:00:00"/>
    <n v="24"/>
    <x v="0"/>
    <n v="16"/>
    <n v="0"/>
    <n v="0"/>
    <n v="1"/>
    <n v="0"/>
    <n v="0"/>
    <n v="0"/>
    <n v="0"/>
    <n v="0"/>
    <n v="0"/>
    <n v="0"/>
    <n v="0"/>
    <s v="https://www.clickideacore.com/ClickHTML5/Visit.aspx?ID=//50DAEwASwAzADcANQAxADEAOAAyADQASQBEAEUAQQA0=&amp;Tipo=2&amp;ST=1&amp;nLang=0"/>
    <n v="0"/>
    <n v="48"/>
    <n v="0"/>
    <n v="0"/>
    <n v="0"/>
    <n v="0"/>
    <n v="0"/>
    <n v="0"/>
  </r>
  <r>
    <x v="0"/>
    <x v="0"/>
    <s v="OP-S-100"/>
    <x v="234"/>
    <d v="2025-12-12T00:00:00"/>
    <n v="71"/>
    <x v="0"/>
    <n v="36"/>
    <n v="0"/>
    <n v="1"/>
    <n v="1"/>
    <n v="0"/>
    <n v="0"/>
    <n v="0"/>
    <n v="0"/>
    <n v="0"/>
    <n v="0"/>
    <n v="0"/>
    <n v="0"/>
    <s v="https://www.clickideacore.com/ClickHTML5/Visit.aspx?ID=//52DAEwASwAzADcANQAxADYAOQAzADIASQBEAEUAQQAB=&amp;Tipo=2&amp;ST=1&amp;nLang=0"/>
    <n v="0"/>
    <n v="0"/>
    <n v="0"/>
    <n v="0"/>
    <n v="0"/>
    <n v="0"/>
    <n v="0"/>
    <n v="0"/>
  </r>
  <r>
    <x v="5"/>
    <x v="4"/>
    <s v="OP-S-005"/>
    <x v="234"/>
    <d v="2025-12-12T00:00:00"/>
    <n v="77"/>
    <x v="0"/>
    <n v="28"/>
    <n v="0"/>
    <n v="1"/>
    <n v="1"/>
    <n v="0"/>
    <n v="0"/>
    <n v="0"/>
    <n v="0"/>
    <n v="0"/>
    <n v="0"/>
    <n v="0"/>
    <n v="0"/>
    <s v="https://www.clickideacore.com/ClickHTML5/Visit.aspx?ID=//54DAEwASwAzADcANQAxADcAMwA1ADcASQBEAEUAQQA2=&amp;Tipo=2&amp;ST=1&amp;nLang=0"/>
    <n v="0"/>
    <n v="42"/>
    <n v="1"/>
    <n v="0"/>
    <n v="0"/>
    <n v="0"/>
    <n v="0"/>
    <n v="0"/>
  </r>
  <r>
    <x v="11"/>
    <x v="17"/>
    <s v="OP-SDYR-001"/>
    <x v="234"/>
    <d v="2025-12-12T00:00:00"/>
    <n v="88"/>
    <x v="0"/>
    <n v="45"/>
    <n v="0"/>
    <n v="0"/>
    <n v="0"/>
    <n v="1"/>
    <n v="0"/>
    <n v="0"/>
    <n v="0"/>
    <n v="0"/>
    <n v="0"/>
    <n v="0"/>
    <n v="0"/>
    <s v="https://www.clickideacore.com/ClickHTML5/Visit.aspx?ID=//57DAEwASwAzADcANQAxADcAOQAxADgASQBEAEUAQQAD=&amp;Tipo=2&amp;ST=1&amp;nLang=0"/>
    <n v="0"/>
    <n v="8"/>
    <n v="0"/>
    <n v="0"/>
    <n v="0"/>
    <n v="0"/>
    <n v="0"/>
    <n v="0"/>
  </r>
  <r>
    <x v="3"/>
    <x v="6"/>
    <s v="OP-S-076"/>
    <x v="234"/>
    <d v="2025-12-12T00:00:00"/>
    <n v="24"/>
    <x v="0"/>
    <n v="0"/>
    <n v="0"/>
    <n v="0"/>
    <n v="0"/>
    <n v="0"/>
    <n v="0"/>
    <n v="0"/>
    <n v="0"/>
    <n v="0"/>
    <n v="0"/>
    <n v="0"/>
    <n v="0"/>
    <s v="https://www.clickideacore.com/ClickHTML5/Visit.aspx?ID=//5CDAEwASwAzADcANQAwADgANwAwADkASQBEAEUAQQA1=&amp;Tipo=2&amp;ST=1&amp;nLang=0"/>
    <n v="0"/>
    <n v="44"/>
    <n v="0"/>
    <n v="0"/>
    <n v="0"/>
    <n v="0"/>
    <n v="0"/>
    <n v="0"/>
  </r>
  <r>
    <x v="19"/>
    <x v="6"/>
    <s v="OP-S-076"/>
    <x v="234"/>
    <d v="2025-12-12T00:00:00"/>
    <n v="24"/>
    <x v="0"/>
    <n v="0"/>
    <n v="0"/>
    <n v="0"/>
    <n v="0"/>
    <n v="0"/>
    <n v="0"/>
    <n v="0"/>
    <n v="0"/>
    <n v="0"/>
    <n v="0"/>
    <n v="0"/>
    <n v="0"/>
    <s v="https://www.clickideacore.com/ClickHTML5/Visit.aspx?ID=//5CDAEwASwAzADcANQAwADgANwAwADkASQBEAEUAQQA1=&amp;Tipo=2&amp;ST=1&amp;nLang=0"/>
    <n v="0"/>
    <n v="44"/>
    <n v="0"/>
    <n v="0"/>
    <n v="0"/>
    <n v="0"/>
    <n v="0"/>
    <n v="0"/>
  </r>
  <r>
    <x v="9"/>
    <x v="29"/>
    <s v="OP-S-076"/>
    <x v="234"/>
    <d v="2025-12-12T00:00:00"/>
    <n v="24"/>
    <x v="0"/>
    <n v="0"/>
    <n v="0"/>
    <n v="0"/>
    <n v="0"/>
    <n v="0"/>
    <n v="0"/>
    <n v="0"/>
    <n v="0"/>
    <n v="0"/>
    <n v="0"/>
    <n v="0"/>
    <n v="0"/>
    <s v="https://www.clickideacore.com/ClickHTML5/Visit.aspx?ID=//5CDAEwASwAzADcANQAwADgANwAwADkASQBEAEUAQQA1=&amp;Tipo=2&amp;ST=1&amp;nLang=0"/>
    <n v="0"/>
    <n v="76"/>
    <n v="5"/>
    <n v="0"/>
    <n v="0"/>
    <n v="0"/>
    <n v="0"/>
    <n v="0"/>
  </r>
  <r>
    <x v="4"/>
    <x v="8"/>
    <s v="OP-DYR-005"/>
    <x v="234"/>
    <d v="2025-12-12T00:00:00"/>
    <n v="15"/>
    <x v="0"/>
    <n v="54"/>
    <n v="0"/>
    <n v="0"/>
    <n v="0"/>
    <n v="0"/>
    <n v="0"/>
    <n v="0"/>
    <n v="0"/>
    <n v="0"/>
    <n v="0"/>
    <n v="0"/>
    <n v="0"/>
    <s v="https://www.clickideacore.com/ClickHTML5/Visit.aspx?ID=//53DAEwASwAzADcANQA2ADIANwA0ADQASQBEAEUAQQAF=&amp;Tipo=2&amp;ST=1&amp;nLang=0"/>
    <n v="0"/>
    <n v="54"/>
    <n v="5"/>
    <n v="0"/>
    <n v="0"/>
    <n v="0"/>
    <n v="0"/>
    <n v="0"/>
  </r>
  <r>
    <x v="10"/>
    <x v="6"/>
    <s v="OP-S-076"/>
    <x v="234"/>
    <d v="2025-12-12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34"/>
    <d v="2025-12-1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2"/>
    <x v="4"/>
    <s v="OP-S-005"/>
    <x v="235"/>
    <d v="2025-12-13T00:00:00"/>
    <n v="87"/>
    <x v="0"/>
    <n v="0"/>
    <n v="0"/>
    <n v="0"/>
    <n v="0"/>
    <n v="0"/>
    <n v="0"/>
    <n v="0"/>
    <n v="1"/>
    <n v="0"/>
    <n v="6"/>
    <n v="1"/>
    <n v="0"/>
    <s v="https://www.clickideacore.com/ClickHTML5/Visit.aspx?ID=//56DAEwASwAzADcANQAzADEANAA3ADkASQBEAEUAQQA4=&amp;Tipo=2&amp;ST=1&amp;nLang=0"/>
    <n v="0"/>
    <n v="0"/>
    <n v="0"/>
    <n v="0"/>
    <n v="0"/>
    <n v="0"/>
    <n v="0"/>
    <n v="0"/>
  </r>
  <r>
    <x v="17"/>
    <x v="3"/>
    <s v="OP-DYR-00001"/>
    <x v="235"/>
    <d v="2025-12-13T00:00:00"/>
    <n v="179"/>
    <x v="0"/>
    <n v="0"/>
    <n v="0"/>
    <n v="0"/>
    <n v="0"/>
    <n v="0"/>
    <n v="0"/>
    <n v="0"/>
    <n v="1"/>
    <n v="0"/>
    <n v="10"/>
    <n v="1"/>
    <n v="0"/>
    <s v="https://www.clickideacore.com/ClickHTML5/Visit.aspx?ID=//5EDAEwASwAzADcANQAyADkAMAAwADEASQBEAEUAQQA2=&amp;Tipo=2&amp;ST=1&amp;nLang=0"/>
    <n v="0"/>
    <n v="0"/>
    <n v="0"/>
    <n v="0"/>
    <n v="0"/>
    <n v="0"/>
    <n v="1"/>
    <n v="0"/>
  </r>
  <r>
    <x v="2"/>
    <x v="2"/>
    <s v="OP-S-200"/>
    <x v="235"/>
    <d v="2025-12-13T00:00:00"/>
    <n v="38"/>
    <x v="0"/>
    <n v="0"/>
    <n v="0"/>
    <n v="0"/>
    <n v="0"/>
    <n v="0"/>
    <n v="0"/>
    <n v="0"/>
    <n v="1"/>
    <n v="0"/>
    <n v="6"/>
    <n v="1"/>
    <n v="0"/>
    <s v="https://www.clickideacore.com/ClickHTML5/Visit.aspx?ID=//5DDAEwASwAzADcANQAzADIAMAAyADkASQBEAEUAQQA9=&amp;Tipo=2&amp;ST=1&amp;nLang=0"/>
    <n v="28"/>
    <n v="0"/>
    <n v="0"/>
    <n v="0"/>
    <n v="0"/>
    <n v="0"/>
    <n v="1"/>
    <n v="0"/>
  </r>
  <r>
    <x v="0"/>
    <x v="0"/>
    <s v="OP-S-100"/>
    <x v="235"/>
    <d v="2025-12-13T00:00:00"/>
    <n v="32"/>
    <x v="0"/>
    <n v="0"/>
    <n v="0"/>
    <n v="0"/>
    <n v="0"/>
    <n v="0"/>
    <n v="0"/>
    <n v="0"/>
    <n v="1"/>
    <n v="0"/>
    <n v="0"/>
    <n v="1"/>
    <n v="0"/>
    <s v="https://www.clickideacore.com/ClickHTML5/Visit.aspx?ID=//54DAEwASwAzADcANQAzADAAOAA3ADIASQBEAEUAQQAE=&amp;Tipo=2&amp;ST=1&amp;nLang=0"/>
    <n v="0"/>
    <n v="0"/>
    <n v="0"/>
    <n v="0"/>
    <n v="0"/>
    <n v="0"/>
    <n v="0"/>
    <n v="0"/>
  </r>
  <r>
    <x v="13"/>
    <x v="22"/>
    <s v="OP-DYR-00001"/>
    <x v="235"/>
    <d v="2025-12-13T00:00:00"/>
    <n v="179"/>
    <x v="0"/>
    <n v="0"/>
    <n v="0"/>
    <n v="0"/>
    <n v="0"/>
    <n v="0"/>
    <n v="0"/>
    <n v="0"/>
    <n v="1"/>
    <n v="0"/>
    <n v="4"/>
    <n v="1"/>
    <n v="0"/>
    <s v="https://www.clickideacore.com/ClickHTML5/Visit.aspx?ID=//5EDAEwASwAzADcANQAyADkAMAAwADEASQBEAEUAQQA2=&amp;Tipo=2&amp;ST=1&amp;nLang=0"/>
    <n v="0"/>
    <n v="0"/>
    <n v="0"/>
    <n v="0"/>
    <n v="0"/>
    <n v="0"/>
    <n v="0"/>
    <n v="0"/>
  </r>
  <r>
    <x v="11"/>
    <x v="17"/>
    <s v="OP-SDYR-001"/>
    <x v="235"/>
    <d v="2025-12-13T00:00:00"/>
    <n v="16"/>
    <x v="0"/>
    <n v="0"/>
    <n v="0"/>
    <n v="0"/>
    <n v="0"/>
    <n v="0"/>
    <n v="0"/>
    <n v="0"/>
    <n v="1"/>
    <n v="0"/>
    <n v="0"/>
    <n v="1"/>
    <n v="0"/>
    <s v="https://www.clickideacore.com/ClickHTML5/Visit.aspx?ID=//54DAEwASwAzADcANQAzADAAMgA4ADgASQBEAEUAQQA0=&amp;Tipo=2&amp;ST=1&amp;nLang=0"/>
    <n v="0"/>
    <n v="0"/>
    <n v="0"/>
    <n v="0"/>
    <n v="0"/>
    <n v="0"/>
    <n v="0"/>
    <n v="0"/>
  </r>
  <r>
    <x v="10"/>
    <x v="6"/>
    <s v="OP-DYR-011"/>
    <x v="235"/>
    <d v="2025-12-13T00:00:00"/>
    <n v="54"/>
    <x v="0"/>
    <n v="0"/>
    <n v="0"/>
    <n v="0"/>
    <n v="0"/>
    <n v="0"/>
    <n v="0"/>
    <n v="0"/>
    <n v="1"/>
    <n v="0"/>
    <n v="3"/>
    <n v="1"/>
    <n v="0"/>
    <s v="https://www.clickideacore.com/ClickHTML5/Visit.aspx?ID=//58DAEwASwAzADcANQAzADAAOQAwADUASQBEAEUAQQA9=&amp;Tipo=2&amp;ST=1&amp;nLang=0"/>
    <n v="0"/>
    <n v="0"/>
    <n v="0"/>
    <n v="0"/>
    <n v="0"/>
    <n v="0"/>
    <n v="0"/>
    <n v="0"/>
  </r>
  <r>
    <x v="19"/>
    <x v="6"/>
    <s v="OP-DYR-011"/>
    <x v="235"/>
    <d v="2025-12-13T00:00:00"/>
    <n v="54"/>
    <x v="0"/>
    <n v="0"/>
    <n v="0"/>
    <n v="0"/>
    <n v="0"/>
    <n v="0"/>
    <n v="0"/>
    <n v="0"/>
    <n v="1"/>
    <n v="0"/>
    <n v="3"/>
    <n v="1"/>
    <n v="0"/>
    <s v="https://www.clickideacore.com/ClickHTML5/Visit.aspx?ID=//58DAEwASwAzADcANQAzADAAOQAwADUASQBEAEUAQQA9=&amp;Tipo=2&amp;ST=1&amp;nLang=0"/>
    <n v="0"/>
    <n v="0"/>
    <n v="0"/>
    <n v="0"/>
    <n v="0"/>
    <n v="0"/>
    <n v="0"/>
    <n v="0"/>
  </r>
  <r>
    <x v="5"/>
    <x v="6"/>
    <s v="OP-S-0010"/>
    <x v="235"/>
    <d v="2025-12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35"/>
    <d v="2025-12-1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35"/>
    <d v="2025-12-13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4"/>
    <x v="8"/>
    <s v="OP-DYR-005"/>
    <x v="235"/>
    <d v="2025-12-13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NAAyADYAOAAzADkASQBEAEUAQQAE=&amp;Tipo=2&amp;ST=1&amp;nLang=0"/>
    <n v="0"/>
    <n v="0"/>
    <n v="0"/>
    <n v="0"/>
    <n v="0"/>
    <n v="0"/>
    <n v="0"/>
    <n v="0"/>
  </r>
  <r>
    <x v="9"/>
    <x v="29"/>
    <s v="OP-S-076"/>
    <x v="235"/>
    <d v="2025-12-13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cANAAxADYAMwA5ADIASQBEAEUAQQA4=&amp;Tipo=2&amp;ST=1&amp;nLang=0"/>
    <n v="0"/>
    <n v="0"/>
    <n v="0"/>
    <n v="0"/>
    <n v="0"/>
    <n v="0"/>
    <n v="0"/>
    <n v="0"/>
  </r>
  <r>
    <x v="3"/>
    <x v="6"/>
    <s v="OP-S-076"/>
    <x v="235"/>
    <d v="2025-12-13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cANAAxADYAMwA5ADIASQBEAEUAQQA4=&amp;Tipo=2&amp;ST=1&amp;nLang=0"/>
    <n v="0"/>
    <n v="0"/>
    <n v="0"/>
    <n v="0"/>
    <n v="0"/>
    <n v="0"/>
    <n v="0"/>
    <n v="0"/>
  </r>
  <r>
    <x v="12"/>
    <x v="4"/>
    <s v="OP-S-005"/>
    <x v="236"/>
    <d v="2025-12-14T00:00:00"/>
    <n v="68"/>
    <x v="0"/>
    <n v="0"/>
    <n v="0"/>
    <n v="0"/>
    <n v="0"/>
    <n v="0"/>
    <n v="0"/>
    <n v="0"/>
    <n v="0"/>
    <n v="1"/>
    <n v="5"/>
    <n v="0"/>
    <n v="1"/>
    <s v="https://www.clickideacore.com/ClickHTML5/Visit.aspx?ID=//57DAEwASwAzADcANQAzADgAMgA5ADkASQBEAEUAQQAB=&amp;Tipo=2&amp;ST=1&amp;nLang=0"/>
    <n v="0"/>
    <n v="0"/>
    <n v="0"/>
    <n v="0"/>
    <n v="0"/>
    <n v="0"/>
    <n v="0"/>
    <n v="0"/>
  </r>
  <r>
    <x v="20"/>
    <x v="3"/>
    <s v="OP-S-200"/>
    <x v="236"/>
    <d v="2025-12-14T00:00:00"/>
    <n v="19"/>
    <x v="0"/>
    <n v="0"/>
    <n v="0"/>
    <n v="0"/>
    <n v="0"/>
    <n v="0"/>
    <n v="0"/>
    <n v="0"/>
    <n v="0"/>
    <n v="1"/>
    <n v="8"/>
    <n v="0"/>
    <n v="1"/>
    <s v="https://www.clickideacore.com/ClickHTML5/Visit.aspx?ID=//5ADAEwASwAzADcANQAzADkAMgAyADQASQBEAEUAQQA2=&amp;Tipo=2&amp;ST=1&amp;nLang=0"/>
    <n v="16"/>
    <n v="0"/>
    <n v="0"/>
    <n v="0"/>
    <n v="0"/>
    <n v="0"/>
    <n v="0"/>
    <n v="1"/>
  </r>
  <r>
    <x v="9"/>
    <x v="29"/>
    <s v="OP-S-200"/>
    <x v="236"/>
    <d v="2025-12-14T00:00:00"/>
    <n v="19"/>
    <x v="0"/>
    <n v="0"/>
    <n v="0"/>
    <n v="0"/>
    <n v="0"/>
    <n v="0"/>
    <n v="0"/>
    <n v="0"/>
    <n v="0"/>
    <n v="1"/>
    <n v="4"/>
    <n v="0"/>
    <n v="1"/>
    <s v="https://www.clickideacore.com/ClickHTML5/Visit.aspx?ID=//5ADAEwASwAzADcANQAzADkAMgAyADQASQBEAEUAQQA2=&amp;Tipo=2&amp;ST=1&amp;nLang=0"/>
    <n v="16"/>
    <n v="0"/>
    <n v="0"/>
    <n v="0"/>
    <n v="0"/>
    <n v="0"/>
    <n v="0"/>
    <n v="1"/>
  </r>
  <r>
    <x v="2"/>
    <x v="2"/>
    <s v="OP-S-200"/>
    <x v="236"/>
    <d v="2025-12-14T00:00:00"/>
    <n v="19"/>
    <x v="0"/>
    <n v="0"/>
    <n v="0"/>
    <n v="0"/>
    <n v="0"/>
    <n v="0"/>
    <n v="0"/>
    <n v="0"/>
    <n v="0"/>
    <n v="1"/>
    <n v="3"/>
    <n v="0"/>
    <n v="1"/>
    <s v="https://www.clickideacore.com/ClickHTML5/Visit.aspx?ID=//5ADAEwASwAzADcANQAzADkAMgAyADQASQBEAEUAQQA2=&amp;Tipo=2&amp;ST=1&amp;nLang=0"/>
    <n v="16"/>
    <n v="0"/>
    <n v="0"/>
    <n v="0"/>
    <n v="0"/>
    <n v="0"/>
    <n v="0"/>
    <n v="0"/>
  </r>
  <r>
    <x v="0"/>
    <x v="0"/>
    <s v="OP-S-100"/>
    <x v="236"/>
    <d v="2025-12-14T00:00:00"/>
    <n v="54"/>
    <x v="0"/>
    <n v="0"/>
    <n v="0"/>
    <n v="0"/>
    <n v="0"/>
    <n v="0"/>
    <n v="0"/>
    <n v="0"/>
    <n v="0"/>
    <n v="1"/>
    <n v="0"/>
    <n v="0"/>
    <n v="1"/>
    <s v="https://www.clickideacore.com/ClickHTML5/Visit.aspx?ID=//5FDAEwASwAzADcANQAzADgANAAyADgASQBEAEUAQQAF=&amp;Tipo=2&amp;ST=1&amp;nLang=0"/>
    <n v="0"/>
    <n v="0"/>
    <n v="0"/>
    <n v="0"/>
    <n v="0"/>
    <n v="0"/>
    <n v="0"/>
    <n v="0"/>
  </r>
  <r>
    <x v="13"/>
    <x v="22"/>
    <s v="OP-S-200"/>
    <x v="236"/>
    <d v="2025-12-14T00:00:00"/>
    <n v="19"/>
    <x v="0"/>
    <n v="0"/>
    <n v="0"/>
    <n v="0"/>
    <n v="0"/>
    <n v="0"/>
    <n v="0"/>
    <n v="0"/>
    <n v="0"/>
    <n v="1"/>
    <n v="2"/>
    <n v="0"/>
    <n v="1"/>
    <s v="https://www.clickideacore.com/ClickHTML5/Visit.aspx?ID=//5ADAEwASwAzADcANQAzADkAMgAyADQASQBEAEUAQQA2=&amp;Tipo=2&amp;ST=1&amp;nLang=0"/>
    <n v="0"/>
    <n v="0"/>
    <n v="0"/>
    <n v="0"/>
    <n v="0"/>
    <n v="0"/>
    <n v="0"/>
    <n v="0"/>
  </r>
  <r>
    <x v="11"/>
    <x v="17"/>
    <s v="OP-SDYR-001"/>
    <x v="236"/>
    <d v="2025-12-14T00:00:00"/>
    <n v="22"/>
    <x v="0"/>
    <n v="0"/>
    <n v="0"/>
    <n v="0"/>
    <n v="0"/>
    <n v="0"/>
    <n v="0"/>
    <n v="0"/>
    <n v="0"/>
    <n v="1"/>
    <n v="0"/>
    <n v="0"/>
    <n v="1"/>
    <s v="https://www.clickideacore.com/ClickHTML5/Visit.aspx?ID=//52DAEwASwAzADcANQAzADgAMQAzADgASQBEAEUAQQA8=&amp;Tipo=2&amp;ST=1&amp;nLang=0"/>
    <n v="0"/>
    <n v="0"/>
    <n v="0"/>
    <n v="0"/>
    <n v="0"/>
    <n v="0"/>
    <n v="0"/>
    <n v="0"/>
  </r>
  <r>
    <x v="10"/>
    <x v="6"/>
    <s v="OP-DYR-011"/>
    <x v="236"/>
    <d v="2025-12-14T00:00:00"/>
    <n v="40"/>
    <x v="0"/>
    <n v="0"/>
    <n v="0"/>
    <n v="0"/>
    <n v="0"/>
    <n v="0"/>
    <n v="0"/>
    <n v="0"/>
    <n v="0"/>
    <n v="1"/>
    <n v="3"/>
    <n v="0"/>
    <n v="1"/>
    <s v="https://www.clickideacore.com/ClickHTML5/Visit.aspx?ID=//5EDAEwASwAzADcANQAzADgANAAyADAASQBEAEUAQQAF=&amp;Tipo=2&amp;ST=1&amp;nLang=0"/>
    <n v="0"/>
    <n v="0"/>
    <n v="0"/>
    <n v="0"/>
    <n v="0"/>
    <n v="0"/>
    <n v="0"/>
    <n v="0"/>
  </r>
  <r>
    <x v="19"/>
    <x v="6"/>
    <s v="OP-DYR-011"/>
    <x v="236"/>
    <d v="2025-12-14T00:00:00"/>
    <n v="40"/>
    <x v="0"/>
    <n v="0"/>
    <n v="0"/>
    <n v="0"/>
    <n v="0"/>
    <n v="0"/>
    <n v="0"/>
    <n v="0"/>
    <n v="0"/>
    <n v="1"/>
    <n v="3"/>
    <n v="0"/>
    <n v="1"/>
    <s v="https://www.clickideacore.com/ClickHTML5/Visit.aspx?ID=//5EDAEwASwAzADcANQAzADgANAAyADAASQBEAEUAQQAF=&amp;Tipo=2&amp;ST=1&amp;nLang=0"/>
    <n v="0"/>
    <n v="0"/>
    <n v="0"/>
    <n v="0"/>
    <n v="0"/>
    <n v="0"/>
    <n v="0"/>
    <n v="0"/>
  </r>
  <r>
    <x v="5"/>
    <x v="6"/>
    <s v="OP-S-0010"/>
    <x v="236"/>
    <d v="2025-12-1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6"/>
    <s v="OP-S-0010"/>
    <x v="236"/>
    <d v="2025-12-14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36"/>
    <d v="2025-12-1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1"/>
    <s v="OP-DYR-004"/>
    <x v="236"/>
    <d v="2025-12-14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4"/>
    <x v="8"/>
    <s v="OP-DYR-005"/>
    <x v="236"/>
    <d v="2025-12-1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NAAyADYAOAAzADkASQBEAEUAQQAE=&amp;Tipo=2&amp;ST=1&amp;nLang=0"/>
    <n v="0"/>
    <n v="0"/>
    <n v="0"/>
    <n v="0"/>
    <n v="0"/>
    <n v="0"/>
    <n v="0"/>
    <n v="0"/>
  </r>
  <r>
    <x v="3"/>
    <x v="6"/>
    <s v="OP-S-076"/>
    <x v="236"/>
    <d v="2025-12-14T00:00:00"/>
    <n v="40"/>
    <x v="5"/>
    <n v="0"/>
    <n v="0"/>
    <n v="0"/>
    <n v="0"/>
    <n v="0"/>
    <n v="0"/>
    <n v="0"/>
    <n v="0"/>
    <n v="0"/>
    <n v="0"/>
    <n v="0"/>
    <n v="0"/>
    <s v="https://www.clickideacore.com/ClickHTML5/Visit.aspx?ID=//59DAEwASwAzADcANAAxADYAMwA5ADIASQBEAEUAQQA4=&amp;Tipo=2&amp;ST=1&amp;nLang=0"/>
    <n v="0"/>
    <n v="0"/>
    <n v="0"/>
    <n v="0"/>
    <n v="0"/>
    <n v="0"/>
    <n v="0"/>
    <n v="0"/>
  </r>
  <r>
    <x v="9"/>
    <x v="7"/>
    <s v="OP-S-0010"/>
    <x v="236"/>
    <d v="2025-12-1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4"/>
    <x v="8"/>
    <s v="OP-S-100"/>
    <x v="237"/>
    <d v="2025-12-15T00:00:00"/>
    <n v="23"/>
    <x v="0"/>
    <n v="0"/>
    <n v="0"/>
    <n v="0"/>
    <n v="0"/>
    <n v="0"/>
    <n v="0"/>
    <n v="0"/>
    <n v="0"/>
    <n v="0"/>
    <n v="0"/>
    <n v="0"/>
    <n v="0"/>
    <s v="https://www.clickideacore.com/ClickHTML5/Visit.aspx?ID=//59DAEwASwAzADcANQA2ADAANAA3ADEASQBEAEUAQQAB=&amp;Tipo=2&amp;ST=1&amp;nLang=0"/>
    <n v="0"/>
    <n v="20"/>
    <n v="0"/>
    <n v="0"/>
    <n v="0"/>
    <n v="0"/>
    <n v="0"/>
    <n v="0"/>
  </r>
  <r>
    <x v="2"/>
    <x v="2"/>
    <s v="OP-S-200"/>
    <x v="237"/>
    <d v="2025-12-15T00:00:00"/>
    <n v="28"/>
    <x v="0"/>
    <n v="0"/>
    <n v="0"/>
    <n v="0"/>
    <n v="0"/>
    <n v="0"/>
    <n v="0"/>
    <n v="0"/>
    <n v="0"/>
    <n v="0"/>
    <n v="0"/>
    <n v="0"/>
    <n v="0"/>
    <s v="https://www.clickideacore.com/ClickHTML5/Visit.aspx?ID=//5ADAEwASwAzADcANQA1ADkAOQA3ADQASQBEAEUAQQA9=&amp;Tipo=2&amp;ST=1&amp;nLang=0"/>
    <n v="0"/>
    <n v="19"/>
    <n v="0"/>
    <n v="0"/>
    <n v="0"/>
    <n v="0"/>
    <n v="0"/>
    <n v="0"/>
  </r>
  <r>
    <x v="0"/>
    <x v="29"/>
    <s v="OP-S-200"/>
    <x v="237"/>
    <d v="2025-12-15T00:00:00"/>
    <n v="28"/>
    <x v="0"/>
    <n v="0"/>
    <n v="0"/>
    <n v="0"/>
    <n v="0"/>
    <n v="0"/>
    <n v="0"/>
    <n v="0"/>
    <n v="0"/>
    <n v="0"/>
    <n v="0"/>
    <n v="0"/>
    <n v="0"/>
    <s v="https://www.clickideacore.com/ClickHTML5/Visit.aspx?ID=//5ADAEwASwAzADcANQA1ADkAOQA3ADQASQBEAEUAQQA9=&amp;Tipo=2&amp;ST=1&amp;nLang=0"/>
    <n v="0"/>
    <n v="16"/>
    <n v="0"/>
    <n v="0"/>
    <n v="0"/>
    <n v="0"/>
    <n v="0"/>
    <n v="0"/>
  </r>
  <r>
    <x v="11"/>
    <x v="17"/>
    <s v="OP-S-200"/>
    <x v="237"/>
    <d v="2025-12-15T00:00:00"/>
    <n v="28"/>
    <x v="0"/>
    <n v="0"/>
    <n v="0"/>
    <n v="0"/>
    <n v="0"/>
    <n v="0"/>
    <n v="0"/>
    <n v="0"/>
    <n v="0"/>
    <n v="0"/>
    <n v="0"/>
    <n v="0"/>
    <n v="0"/>
    <s v="https://www.clickideacore.com/ClickHTML5/Visit.aspx?ID=//5ADAEwASwAzADcANQA1ADkAOQA3ADQASQBEAEUAQQA9=&amp;Tipo=2&amp;ST=1&amp;nLang=0"/>
    <n v="0"/>
    <n v="44"/>
    <n v="0"/>
    <n v="0"/>
    <n v="0"/>
    <n v="0"/>
    <n v="0"/>
    <n v="0"/>
  </r>
  <r>
    <x v="1"/>
    <x v="1"/>
    <s v="OP-S-200"/>
    <x v="237"/>
    <d v="2025-12-15T00:00:00"/>
    <n v="28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NQA1ADkAOQA3ADQASQBEAEUAQQA9=&amp;Tipo=2&amp;ST=1&amp;nLang=0"/>
    <n v="0"/>
    <n v="0"/>
    <n v="0"/>
    <n v="0"/>
    <n v="0"/>
    <n v="0"/>
    <n v="0"/>
    <n v="0"/>
  </r>
  <r>
    <x v="10"/>
    <x v="6"/>
    <s v="OP-S-076"/>
    <x v="237"/>
    <d v="2025-12-15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37"/>
    <d v="2025-12-15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3"/>
    <s v="OP-S-076"/>
    <x v="237"/>
    <d v="2025-12-15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76"/>
    <x v="237"/>
    <d v="2025-12-15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6"/>
    <s v="OP-S-076"/>
    <x v="237"/>
    <d v="2025-12-15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37"/>
    <d v="2025-12-15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76"/>
    <x v="238"/>
    <d v="2025-12-16T00:00:00"/>
    <n v="33"/>
    <x v="0"/>
    <n v="23"/>
    <n v="0"/>
    <n v="0"/>
    <n v="1"/>
    <n v="0"/>
    <n v="1"/>
    <n v="0"/>
    <n v="0"/>
    <n v="0"/>
    <n v="0"/>
    <n v="0"/>
    <n v="0"/>
    <s v="https://www.clickideacore.com/ClickHTML5/Visit.aspx?ID=//58DAEwASwAzADcANQA4ADEAMwAzADUASQBEAEUAQQA3=&amp;Tipo=2&amp;ST=1&amp;nLang=0"/>
    <n v="0"/>
    <n v="30"/>
    <n v="0"/>
    <n v="0"/>
    <n v="0"/>
    <n v="0"/>
    <n v="0"/>
    <n v="0"/>
  </r>
  <r>
    <x v="10"/>
    <x v="6"/>
    <s v="OP-DYR-011"/>
    <x v="238"/>
    <d v="2025-12-16T00:00:00"/>
    <n v="34"/>
    <x v="0"/>
    <n v="34"/>
    <n v="0"/>
    <n v="1"/>
    <n v="0"/>
    <n v="1"/>
    <n v="0"/>
    <n v="0"/>
    <n v="0"/>
    <n v="0"/>
    <n v="0"/>
    <n v="0"/>
    <n v="0"/>
    <s v="https://www.clickideacore.com/ClickHTML5/Visit.aspx?ID=//5DDAEwASwAzADcANQA4ADIAMAA4ADMASQBEAEUAQQA2=&amp;Tipo=2&amp;ST=1&amp;nLang=0"/>
    <n v="0"/>
    <n v="2"/>
    <n v="0"/>
    <n v="0"/>
    <n v="0"/>
    <n v="0"/>
    <n v="0"/>
    <n v="0"/>
  </r>
  <r>
    <x v="19"/>
    <x v="6"/>
    <s v="OP-DYR-011"/>
    <x v="238"/>
    <d v="2025-12-16T00:00:00"/>
    <n v="34"/>
    <x v="0"/>
    <n v="34"/>
    <n v="0"/>
    <n v="1"/>
    <n v="0"/>
    <n v="1"/>
    <n v="0"/>
    <n v="0"/>
    <n v="0"/>
    <n v="0"/>
    <n v="0"/>
    <n v="0"/>
    <n v="0"/>
    <s v="https://www.clickideacore.com/ClickHTML5/Visit.aspx?ID=//5DDAEwASwAzADcANQA4ADIAMAA4ADMASQBEAEUAQQA2=&amp;Tipo=2&amp;ST=1&amp;nLang=0"/>
    <n v="0"/>
    <n v="2"/>
    <n v="0"/>
    <n v="0"/>
    <n v="0"/>
    <n v="0"/>
    <n v="0"/>
    <n v="0"/>
  </r>
  <r>
    <x v="0"/>
    <x v="29"/>
    <s v="OP-S-100"/>
    <x v="238"/>
    <d v="2025-12-16T00:00:00"/>
    <n v="33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cANQA4ADEANgA0ADcASQBEAEUAQQAA=&amp;Tipo=2&amp;ST=1&amp;nLang=0"/>
    <n v="0"/>
    <n v="0"/>
    <n v="0"/>
    <n v="0"/>
    <n v="0"/>
    <n v="0"/>
    <n v="0"/>
    <n v="0"/>
  </r>
  <r>
    <x v="5"/>
    <x v="4"/>
    <s v="OP-S-005"/>
    <x v="238"/>
    <d v="2025-12-16T00:00:00"/>
    <n v="100"/>
    <x v="0"/>
    <n v="42"/>
    <n v="0"/>
    <n v="1"/>
    <n v="1"/>
    <n v="0"/>
    <n v="0"/>
    <n v="0"/>
    <n v="0"/>
    <n v="0"/>
    <n v="0"/>
    <n v="0"/>
    <n v="0"/>
    <s v="https://www.clickideacore.com/ClickHTML5/Visit.aspx?ID=//5ADAEwASwAzADcANQA4ADIANAA2ADcASQBEAEUAQQA2=&amp;Tipo=2&amp;ST=1&amp;nLang=0"/>
    <n v="0"/>
    <n v="28"/>
    <n v="0"/>
    <n v="0"/>
    <n v="0"/>
    <n v="0"/>
    <n v="0"/>
    <n v="0"/>
  </r>
  <r>
    <x v="4"/>
    <x v="8"/>
    <s v="OP-DYR-005"/>
    <x v="238"/>
    <d v="2025-12-16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8DAEwASwAzADcANQA4ADIANAA4ADMASQBEAEUAQQAE=&amp;Tipo=2&amp;ST=1&amp;nLang=0"/>
    <n v="0"/>
    <n v="41"/>
    <n v="0"/>
    <n v="0"/>
    <n v="0"/>
    <n v="0"/>
    <n v="0"/>
    <n v="0"/>
  </r>
  <r>
    <x v="11"/>
    <x v="17"/>
    <s v="OP-SDYR-001"/>
    <x v="238"/>
    <d v="2025-12-16T00:00:00"/>
    <n v="26"/>
    <x v="0"/>
    <n v="24"/>
    <n v="0"/>
    <n v="0"/>
    <n v="1"/>
    <n v="0"/>
    <n v="0"/>
    <n v="0"/>
    <n v="0"/>
    <n v="0"/>
    <n v="0"/>
    <n v="0"/>
    <n v="0"/>
    <s v="https://www.clickideacore.com/ClickHTML5/Visit.aspx?ID=//5BDAEwASwAzADcANQA3ADgANwA0ADAASQBEAEUAQQAE=&amp;Tipo=2&amp;ST=1&amp;nLang=0"/>
    <n v="0"/>
    <n v="0"/>
    <n v="0"/>
    <n v="0"/>
    <n v="0"/>
    <n v="0"/>
    <n v="0"/>
    <n v="0"/>
  </r>
  <r>
    <x v="17"/>
    <x v="31"/>
    <s v="OP-DYR-00001"/>
    <x v="238"/>
    <d v="2025-12-16T00:00:00"/>
    <n v="39"/>
    <x v="0"/>
    <n v="26"/>
    <n v="0"/>
    <n v="0"/>
    <n v="1"/>
    <n v="0"/>
    <n v="1"/>
    <n v="0"/>
    <n v="0"/>
    <n v="0"/>
    <n v="0"/>
    <n v="0"/>
    <n v="0"/>
    <s v="https://www.clickideacore.com/ClickHTML5/Visit.aspx?ID=//59DAEwASwAzADcANQA3ADkANAAxADcASQBEAEUAQQA1=&amp;Tipo=2&amp;ST=1&amp;nLang=0"/>
    <n v="0"/>
    <n v="0"/>
    <n v="0"/>
    <n v="0"/>
    <n v="0"/>
    <n v="0"/>
    <n v="0"/>
    <n v="0"/>
  </r>
  <r>
    <x v="21"/>
    <x v="19"/>
    <s v="OP-DYR-00001"/>
    <x v="238"/>
    <d v="2025-12-16T00:00:00"/>
    <n v="39"/>
    <x v="0"/>
    <n v="3"/>
    <n v="0"/>
    <n v="0"/>
    <n v="0"/>
    <n v="0"/>
    <n v="0"/>
    <n v="0"/>
    <n v="0"/>
    <n v="0"/>
    <n v="0"/>
    <n v="0"/>
    <n v="0"/>
    <s v="https://www.clickideacore.com/ClickHTML5/Visit.aspx?ID=//59DAEwASwAzADcANQA3ADkANAAxADcASQBEAEUAQQA1=&amp;Tipo=2&amp;ST=1&amp;nLang=0"/>
    <n v="0"/>
    <n v="6"/>
    <n v="5"/>
    <n v="0"/>
    <n v="0"/>
    <n v="0"/>
    <n v="0"/>
    <n v="0"/>
  </r>
  <r>
    <x v="9"/>
    <x v="32"/>
    <s v="OP-DYR-00001"/>
    <x v="237"/>
    <d v="2025-12-15T00:00:00"/>
    <n v="39"/>
    <x v="4"/>
    <n v="0"/>
    <n v="0"/>
    <n v="0"/>
    <n v="0"/>
    <n v="0"/>
    <n v="0"/>
    <n v="0"/>
    <n v="0"/>
    <n v="0"/>
    <n v="0"/>
    <n v="0"/>
    <n v="0"/>
    <s v="https://www.clickideacore.com/ClickHTML5/Visit.aspx?ID=//59DAEwASwAzADcANQA3ADkANAAxADcASQBEAEUAQQA1=&amp;Tipo=2&amp;ST=1&amp;nLang=0"/>
    <n v="0"/>
    <n v="0"/>
    <n v="0"/>
    <n v="0"/>
    <n v="0"/>
    <n v="0"/>
    <n v="0"/>
    <n v="0"/>
  </r>
  <r>
    <x v="9"/>
    <x v="32"/>
    <s v="OP-DYR-00001"/>
    <x v="238"/>
    <d v="2025-12-16T00:00:00"/>
    <n v="39"/>
    <x v="0"/>
    <n v="3"/>
    <n v="0"/>
    <n v="0"/>
    <n v="0"/>
    <n v="0"/>
    <n v="0"/>
    <n v="0"/>
    <n v="0"/>
    <n v="0"/>
    <n v="0"/>
    <n v="0"/>
    <n v="0"/>
    <s v="https://www.clickideacore.com/ClickHTML5/Visit.aspx?ID=//59DAEwASwAzADcANQA3ADkANAAxADcASQBEAEUAQQA1=&amp;Tipo=2&amp;ST=1&amp;nLang=0"/>
    <n v="0"/>
    <n v="6"/>
    <n v="5"/>
    <n v="0"/>
    <n v="0"/>
    <n v="0"/>
    <n v="0"/>
    <n v="0"/>
  </r>
  <r>
    <x v="1"/>
    <x v="1"/>
    <s v="OP-S-076"/>
    <x v="238"/>
    <d v="2025-12-16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076"/>
    <x v="238"/>
    <d v="2025-12-16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38"/>
    <d v="2025-12-16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76"/>
    <x v="239"/>
    <d v="2025-12-17T00:00:00"/>
    <n v="31"/>
    <x v="0"/>
    <n v="43"/>
    <n v="0"/>
    <n v="0"/>
    <n v="1"/>
    <n v="0"/>
    <n v="0"/>
    <n v="0"/>
    <n v="0"/>
    <n v="0"/>
    <n v="0"/>
    <n v="0"/>
    <n v="0"/>
    <s v="https://www.clickideacore.com/ClickHTML5/Visit.aspx?ID=//50DAEwASwAzADcANgAwADEANwA4ADAASQBEAEUAQQA1=&amp;Tipo=2&amp;ST=1&amp;nLang=0"/>
    <n v="0"/>
    <n v="20"/>
    <n v="0"/>
    <n v="0"/>
    <n v="0"/>
    <n v="0"/>
    <n v="0"/>
    <n v="0"/>
  </r>
  <r>
    <x v="17"/>
    <x v="6"/>
    <s v="OP-DYR-00001"/>
    <x v="239"/>
    <d v="2025-12-17T00:00:00"/>
    <n v="124"/>
    <x v="0"/>
    <n v="10"/>
    <n v="0"/>
    <n v="1"/>
    <n v="1"/>
    <n v="1"/>
    <n v="0"/>
    <n v="0"/>
    <n v="0"/>
    <n v="0"/>
    <n v="0"/>
    <n v="0"/>
    <n v="0"/>
    <s v="https://www.clickideacore.com/ClickHTML5/Visit.aspx?ID=//58DAEwASwAzADcANgAwADAAMgA3ADYASQBEAEUAQQAD=&amp;Tipo=2&amp;ST=1&amp;nLang=0"/>
    <n v="0"/>
    <n v="45"/>
    <n v="0"/>
    <n v="0"/>
    <n v="0"/>
    <n v="0"/>
    <n v="0"/>
    <n v="0"/>
  </r>
  <r>
    <x v="19"/>
    <x v="6"/>
    <s v="OP-DYR-00001"/>
    <x v="239"/>
    <d v="2025-12-17T00:00:00"/>
    <n v="124"/>
    <x v="0"/>
    <n v="10"/>
    <n v="0"/>
    <n v="1"/>
    <n v="1"/>
    <n v="1"/>
    <n v="0"/>
    <n v="0"/>
    <n v="0"/>
    <n v="0"/>
    <n v="0"/>
    <n v="0"/>
    <n v="0"/>
    <s v="https://www.clickideacore.com/ClickHTML5/Visit.aspx?ID=//58DAEwASwAzADcANgAwADAAMgA3ADYASQBEAEUAQQAD=&amp;Tipo=2&amp;ST=1&amp;nLang=0"/>
    <n v="0"/>
    <n v="45"/>
    <n v="0"/>
    <n v="0"/>
    <n v="0"/>
    <n v="0"/>
    <n v="0"/>
    <n v="0"/>
  </r>
  <r>
    <x v="9"/>
    <x v="32"/>
    <s v="OP-DYR-00001"/>
    <x v="239"/>
    <d v="2025-12-17T00:00:00"/>
    <n v="124"/>
    <x v="0"/>
    <n v="10"/>
    <n v="0"/>
    <n v="1"/>
    <n v="1"/>
    <n v="1"/>
    <n v="0"/>
    <n v="0"/>
    <n v="0"/>
    <n v="0"/>
    <n v="0"/>
    <n v="0"/>
    <n v="0"/>
    <s v="https://www.clickideacore.com/ClickHTML5/Visit.aspx?ID=//58DAEwASwAzADcANgAwADAAMgA3ADYASQBEAEUAQQAD=&amp;Tipo=2&amp;ST=1&amp;nLang=0"/>
    <n v="0"/>
    <n v="45"/>
    <n v="0"/>
    <n v="0"/>
    <n v="0"/>
    <n v="0"/>
    <n v="0"/>
    <n v="0"/>
  </r>
  <r>
    <x v="0"/>
    <x v="29"/>
    <s v="OP-S-100"/>
    <x v="239"/>
    <d v="2025-12-17T00:00:00"/>
    <n v="25"/>
    <x v="0"/>
    <n v="24"/>
    <n v="0"/>
    <n v="1"/>
    <n v="1"/>
    <n v="0"/>
    <n v="0"/>
    <n v="0"/>
    <n v="0"/>
    <n v="0"/>
    <n v="0"/>
    <n v="0"/>
    <n v="0"/>
    <s v="https://www.clickideacore.com/ClickHTML5/Visit.aspx?ID=//5DDAEwASwAzADcANgAwADQAMQA4ADUASQBEAEUAQQA7=&amp;Tipo=2&amp;ST=1&amp;nLang=0"/>
    <n v="0"/>
    <n v="0"/>
    <n v="0"/>
    <n v="0"/>
    <n v="0"/>
    <n v="0"/>
    <n v="0"/>
    <n v="0"/>
  </r>
  <r>
    <x v="1"/>
    <x v="1"/>
    <s v="OP-DYR-004"/>
    <x v="239"/>
    <d v="2025-12-17T00:00:00"/>
    <n v="31"/>
    <x v="0"/>
    <n v="58"/>
    <n v="0"/>
    <n v="0"/>
    <n v="1"/>
    <n v="0"/>
    <n v="0"/>
    <n v="0"/>
    <n v="0"/>
    <n v="0"/>
    <n v="0"/>
    <n v="0"/>
    <n v="0"/>
    <s v="https://www.clickideacore.com/ClickHTML5/Visit.aspx?ID=//57DAEwASwAzADcANgAwADIAMAA5ADcASQBEAEUAQQA3=&amp;Tipo=2&amp;ST=1&amp;nLang=0"/>
    <n v="0"/>
    <n v="0"/>
    <n v="0"/>
    <n v="0"/>
    <n v="0"/>
    <n v="0"/>
    <n v="0"/>
    <n v="0"/>
  </r>
  <r>
    <x v="5"/>
    <x v="4"/>
    <s v="OP-S-005"/>
    <x v="239"/>
    <d v="2025-12-17T00:00:00"/>
    <n v="112"/>
    <x v="0"/>
    <n v="49"/>
    <n v="0"/>
    <n v="0"/>
    <n v="1"/>
    <n v="0"/>
    <n v="0"/>
    <n v="0"/>
    <n v="0"/>
    <n v="0"/>
    <n v="0"/>
    <n v="0"/>
    <n v="0"/>
    <s v="https://www.clickideacore.com/ClickHTML5/Visit.aspx?ID=//56DAEwASwAzADcANgAwADIAMAA2ADEASQBEAEUAQQAB=&amp;Tipo=2&amp;ST=1&amp;nLang=0"/>
    <n v="0"/>
    <n v="20"/>
    <n v="0"/>
    <n v="0"/>
    <n v="0"/>
    <n v="0"/>
    <n v="0"/>
    <n v="0"/>
  </r>
  <r>
    <x v="2"/>
    <x v="2"/>
    <s v="OP-S-200"/>
    <x v="239"/>
    <d v="2025-12-17T00:00:00"/>
    <n v="23"/>
    <x v="0"/>
    <n v="26"/>
    <n v="0"/>
    <n v="0"/>
    <n v="1"/>
    <n v="0"/>
    <n v="0"/>
    <n v="0"/>
    <n v="0"/>
    <n v="0"/>
    <n v="0"/>
    <n v="0"/>
    <n v="0"/>
    <s v="https://www.clickideacore.com/ClickHTML5/Visit.aspx?ID=//57DAEwASwAzADcANQA5ADcAMQAyADYASQBEAEUAQQAB=&amp;Tipo=2&amp;ST=1&amp;nLang=0"/>
    <n v="0"/>
    <n v="10"/>
    <n v="0"/>
    <n v="0"/>
    <n v="0"/>
    <n v="0"/>
    <n v="0"/>
    <n v="0"/>
  </r>
  <r>
    <x v="4"/>
    <x v="8"/>
    <s v="OP-S-076"/>
    <x v="239"/>
    <d v="2025-12-17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39"/>
    <d v="2025-12-17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1"/>
    <x v="17"/>
    <s v="OP-S-0010"/>
    <x v="239"/>
    <d v="2025-12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39"/>
    <d v="2025-12-17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3"/>
    <s v="OP-S-076"/>
    <x v="240"/>
    <d v="2025-12-18T00:00:00"/>
    <n v="38"/>
    <x v="0"/>
    <n v="30"/>
    <n v="0"/>
    <n v="0"/>
    <n v="1"/>
    <n v="0"/>
    <n v="0"/>
    <n v="0"/>
    <n v="0"/>
    <n v="0"/>
    <n v="0"/>
    <n v="0"/>
    <n v="0"/>
    <s v="https://www.clickideacore.com/ClickHTML5/Visit.aspx?ID=//53DAEwASwAzADcANgAyADIAMAAzADkASQBEAEUAQQAD=&amp;Tipo=2&amp;ST=1&amp;nLang=0"/>
    <n v="0"/>
    <n v="4"/>
    <n v="0"/>
    <n v="0"/>
    <n v="0"/>
    <n v="0"/>
    <n v="0"/>
    <n v="0"/>
  </r>
  <r>
    <x v="10"/>
    <x v="6"/>
    <s v="OP-DYR-011"/>
    <x v="240"/>
    <d v="2025-12-18T00:00:00"/>
    <n v="28"/>
    <x v="0"/>
    <n v="60"/>
    <n v="0"/>
    <n v="0"/>
    <n v="0"/>
    <n v="1"/>
    <n v="0"/>
    <n v="0"/>
    <n v="0"/>
    <n v="0"/>
    <n v="0"/>
    <n v="0"/>
    <n v="0"/>
    <s v="https://www.clickideacore.com/ClickHTML5/Visit.aspx?ID=//55DAEwASwAzADcANgAyADIANQA1ADgASQBEAEUAQQA9=&amp;Tipo=2&amp;ST=1&amp;nLang=0"/>
    <n v="0"/>
    <n v="0"/>
    <n v="0"/>
    <n v="0"/>
    <n v="0"/>
    <n v="0"/>
    <n v="0"/>
    <n v="0"/>
  </r>
  <r>
    <x v="19"/>
    <x v="6"/>
    <s v="OP-DYR-011"/>
    <x v="240"/>
    <d v="2025-12-18T00:00:00"/>
    <n v="28"/>
    <x v="0"/>
    <n v="60"/>
    <n v="0"/>
    <n v="0"/>
    <n v="0"/>
    <n v="1"/>
    <n v="0"/>
    <n v="0"/>
    <n v="0"/>
    <n v="0"/>
    <n v="0"/>
    <n v="0"/>
    <n v="0"/>
    <s v="https://www.clickideacore.com/ClickHTML5/Visit.aspx?ID=//55DAEwASwAzADcANgAyADIANQA1ADgASQBEAEUAQQA9=&amp;Tipo=2&amp;ST=1&amp;nLang=0"/>
    <n v="0"/>
    <n v="0"/>
    <n v="0"/>
    <n v="0"/>
    <n v="0"/>
    <n v="0"/>
    <n v="0"/>
    <n v="0"/>
  </r>
  <r>
    <x v="0"/>
    <x v="29"/>
    <s v="OP-S-100"/>
    <x v="240"/>
    <d v="2025-12-18T00:00:00"/>
    <n v="27"/>
    <x v="0"/>
    <n v="32"/>
    <n v="0"/>
    <n v="1"/>
    <n v="1"/>
    <n v="0"/>
    <n v="0"/>
    <n v="0"/>
    <n v="0"/>
    <n v="0"/>
    <n v="0"/>
    <n v="0"/>
    <n v="0"/>
    <s v="https://www.clickideacore.com/ClickHTML5/Visit.aspx?ID=//5CDAEwASwAzADcANgAyADUAOAAyADgASQBEAEUAQQA3=&amp;Tipo=2&amp;ST=1&amp;nLang=0"/>
    <n v="0"/>
    <n v="0"/>
    <n v="0"/>
    <n v="0"/>
    <n v="0"/>
    <n v="0"/>
    <n v="0"/>
    <n v="0"/>
  </r>
  <r>
    <x v="1"/>
    <x v="1"/>
    <s v="OP-DYR-004"/>
    <x v="240"/>
    <d v="2025-12-18T00:00:00"/>
    <n v="35"/>
    <x v="0"/>
    <n v="49"/>
    <n v="0"/>
    <n v="0"/>
    <n v="1"/>
    <n v="0"/>
    <n v="0"/>
    <n v="0"/>
    <n v="0"/>
    <n v="0"/>
    <n v="0"/>
    <n v="0"/>
    <n v="0"/>
    <s v="https://www.clickideacore.com/ClickHTML5/Visit.aspx?ID=//57DAEwASwAzADcANgAxADgANwAyADIASQBEAEUAQQAC=&amp;Tipo=2&amp;ST=1&amp;nLang=0"/>
    <n v="0"/>
    <n v="38"/>
    <n v="0"/>
    <n v="0"/>
    <n v="0"/>
    <n v="0"/>
    <n v="0"/>
    <n v="0"/>
  </r>
  <r>
    <x v="4"/>
    <x v="8"/>
    <s v="OP-DYR-005"/>
    <x v="240"/>
    <d v="2025-12-18T00:00:00"/>
    <n v="19"/>
    <x v="0"/>
    <n v="53"/>
    <n v="0"/>
    <n v="0"/>
    <n v="1"/>
    <n v="0"/>
    <n v="0"/>
    <n v="0"/>
    <n v="0"/>
    <n v="0"/>
    <n v="0"/>
    <n v="0"/>
    <n v="0"/>
    <s v="https://www.clickideacore.com/ClickHTML5/Visit.aspx?ID=//53DAEwASwAzADcANgAyADUAOAA1ADAASQBEAEUAQQAD=&amp;Tipo=2&amp;ST=1&amp;nLang=0"/>
    <n v="0"/>
    <n v="0"/>
    <n v="0"/>
    <n v="0"/>
    <n v="0"/>
    <n v="0"/>
    <n v="0"/>
    <n v="0"/>
  </r>
  <r>
    <x v="11"/>
    <x v="17"/>
    <s v="OP-SDYR-001"/>
    <x v="240"/>
    <d v="2025-12-18T00:00:00"/>
    <n v="17"/>
    <x v="0"/>
    <n v="22"/>
    <n v="0"/>
    <n v="0"/>
    <n v="1"/>
    <n v="0"/>
    <n v="0"/>
    <n v="0"/>
    <n v="0"/>
    <n v="0"/>
    <n v="0"/>
    <n v="0"/>
    <n v="0"/>
    <s v="https://www.clickideacore.com/ClickHTML5/Visit.aspx?ID=//53DAEwASwAzADcANgAyADQANAA2ADMASQBEAEUAQQAB=&amp;Tipo=2&amp;ST=1&amp;nLang=0"/>
    <n v="0"/>
    <n v="0"/>
    <n v="0"/>
    <n v="0"/>
    <n v="0"/>
    <n v="0"/>
    <n v="0"/>
    <n v="0"/>
  </r>
  <r>
    <x v="2"/>
    <x v="2"/>
    <s v="OP-DYR-005"/>
    <x v="240"/>
    <d v="2025-12-18T00:00:00"/>
    <n v="19"/>
    <x v="0"/>
    <n v="16"/>
    <n v="0"/>
    <n v="0"/>
    <n v="1"/>
    <n v="0"/>
    <n v="0"/>
    <n v="0"/>
    <n v="0"/>
    <n v="0"/>
    <n v="0"/>
    <n v="0"/>
    <n v="0"/>
    <s v="https://www.clickideacore.com/ClickHTML5/Visit.aspx?ID=//53DAEwASwAzADcANgAyADUAOAA1ADAASQBEAEUAQQAD=&amp;Tipo=2&amp;ST=1&amp;nLang=0"/>
    <n v="0"/>
    <n v="36"/>
    <n v="0"/>
    <n v="0"/>
    <n v="0"/>
    <n v="0"/>
    <n v="0"/>
    <n v="0"/>
  </r>
  <r>
    <x v="5"/>
    <x v="4"/>
    <s v="OP-S-005"/>
    <x v="240"/>
    <d v="2025-12-18T00:00:00"/>
    <n v="38"/>
    <x v="0"/>
    <n v="18"/>
    <n v="0"/>
    <n v="0"/>
    <n v="0"/>
    <n v="0"/>
    <n v="1"/>
    <n v="0"/>
    <n v="0"/>
    <n v="0"/>
    <n v="0"/>
    <n v="0"/>
    <n v="0"/>
    <s v="https://www.clickideacore.com/ClickHTML5/Visit.aspx?ID=//5BDAEwASwAzADcANgAyADEAMgAzADIASQBEAEUAQQA6=&amp;Tipo=2&amp;ST=1&amp;nLang=0"/>
    <n v="0"/>
    <n v="0"/>
    <n v="0"/>
    <n v="0"/>
    <n v="0"/>
    <n v="0"/>
    <n v="0"/>
    <n v="0"/>
  </r>
  <r>
    <x v="9"/>
    <x v="32"/>
    <s v="OP-S-076"/>
    <x v="240"/>
    <d v="2025-12-18T00:00:00"/>
    <n v="21"/>
    <x v="1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6"/>
    <s v="OP-S-0010"/>
    <x v="240"/>
    <d v="2025-12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40"/>
    <d v="2025-12-18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7"/>
    <x v="4"/>
    <s v="OP-DYR-00001"/>
    <x v="241"/>
    <d v="2025-12-19T00:00:00"/>
    <n v="38"/>
    <x v="0"/>
    <n v="18"/>
    <n v="0"/>
    <n v="1"/>
    <n v="1"/>
    <n v="0"/>
    <n v="0"/>
    <n v="0"/>
    <n v="0"/>
    <n v="0"/>
    <n v="0"/>
    <n v="0"/>
    <n v="0"/>
    <s v="https://www.clickideacore.com/ClickHTML5/Visit.aspx?ID=//5EDAEwASwAzADcANgA0ADYAMAAwADcASQBEAEUAQQA2=&amp;Tipo=2&amp;ST=1&amp;nLang=0"/>
    <n v="0"/>
    <n v="40"/>
    <n v="0"/>
    <n v="0"/>
    <n v="0"/>
    <n v="0"/>
    <n v="0"/>
    <n v="0"/>
  </r>
  <r>
    <x v="10"/>
    <x v="6"/>
    <s v="OP-DYR-011"/>
    <x v="241"/>
    <d v="2025-12-19T00:00:00"/>
    <n v="21"/>
    <x v="0"/>
    <n v="36"/>
    <n v="0"/>
    <n v="0"/>
    <n v="0"/>
    <n v="1"/>
    <n v="0"/>
    <n v="1"/>
    <n v="0"/>
    <n v="0"/>
    <n v="0"/>
    <n v="0"/>
    <n v="0"/>
    <s v="https://www.clickideacore.com/ClickHTML5/Visit.aspx?ID=//56DAEwASwAzADcANgA0ADMAMAAxADIASQBEAEUAQQA1=&amp;Tipo=2&amp;ST=1&amp;nLang=0"/>
    <n v="0"/>
    <n v="84"/>
    <n v="6"/>
    <n v="0"/>
    <n v="0"/>
    <n v="0"/>
    <n v="0"/>
    <n v="0"/>
  </r>
  <r>
    <x v="19"/>
    <x v="6"/>
    <s v="OP-DYR-011"/>
    <x v="241"/>
    <d v="2025-12-19T00:00:00"/>
    <n v="21"/>
    <x v="0"/>
    <n v="9"/>
    <n v="0"/>
    <n v="0"/>
    <n v="0"/>
    <n v="1"/>
    <n v="0"/>
    <n v="1"/>
    <n v="0"/>
    <n v="0"/>
    <n v="0"/>
    <n v="0"/>
    <n v="0"/>
    <s v="https://www.clickideacore.com/ClickHTML5/Visit.aspx?ID=//56DAEwASwAzADcANgA0ADMAMAAxADIASQBEAEUAQQA1=&amp;Tipo=2&amp;ST=1&amp;nLang=0"/>
    <n v="0"/>
    <n v="42"/>
    <n v="3"/>
    <n v="0"/>
    <n v="0"/>
    <n v="0"/>
    <n v="0"/>
    <n v="0"/>
  </r>
  <r>
    <x v="0"/>
    <x v="29"/>
    <s v="OP-DYR-004"/>
    <x v="241"/>
    <d v="2025-12-19T00:00:00"/>
    <n v="22"/>
    <x v="0"/>
    <n v="16"/>
    <n v="0"/>
    <n v="1"/>
    <n v="1"/>
    <n v="0"/>
    <n v="0"/>
    <n v="0"/>
    <n v="0"/>
    <n v="0"/>
    <n v="0"/>
    <n v="0"/>
    <n v="0"/>
    <s v="https://www.clickideacore.com/ClickHTML5/Visit.aspx?ID=//52DAEwASwAzADcANgA0ADgAMAAzADIASQBEAEUAQQAE=&amp;Tipo=2&amp;ST=1&amp;nLang=0"/>
    <n v="0"/>
    <n v="25"/>
    <n v="0"/>
    <n v="0"/>
    <n v="0"/>
    <n v="0"/>
    <n v="0"/>
    <n v="0"/>
  </r>
  <r>
    <x v="1"/>
    <x v="1"/>
    <s v="OP-DYR-004"/>
    <x v="241"/>
    <d v="2025-12-19T00:00:00"/>
    <n v="22"/>
    <x v="0"/>
    <n v="37"/>
    <n v="0"/>
    <n v="0"/>
    <n v="1"/>
    <n v="0"/>
    <n v="0"/>
    <n v="0"/>
    <n v="0"/>
    <n v="0"/>
    <n v="0"/>
    <n v="0"/>
    <n v="0"/>
    <s v="https://www.clickideacore.com/ClickHTML5/Visit.aspx?ID=//52DAEwASwAzADcANgA0ADgAMAAzADIASQBEAEUAQQAE=&amp;Tipo=2&amp;ST=1&amp;nLang=0"/>
    <n v="0"/>
    <n v="40"/>
    <n v="0"/>
    <n v="0"/>
    <n v="0"/>
    <n v="0"/>
    <n v="0"/>
    <n v="0"/>
  </r>
  <r>
    <x v="4"/>
    <x v="8"/>
    <s v="OP-DYR-005"/>
    <x v="241"/>
    <d v="2025-12-19T00:00:00"/>
    <n v="29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cANgA0ADgAMgAwADkASQBEAEUAQQA3=&amp;Tipo=2&amp;ST=1&amp;nLang=0"/>
    <n v="0"/>
    <n v="22"/>
    <n v="12"/>
    <n v="0"/>
    <n v="0"/>
    <n v="0"/>
    <n v="0"/>
    <n v="0"/>
  </r>
  <r>
    <x v="11"/>
    <x v="17"/>
    <s v="OP-SDYR-001"/>
    <x v="241"/>
    <d v="2025-12-19T00:00:00"/>
    <n v="22"/>
    <x v="0"/>
    <n v="12"/>
    <n v="0"/>
    <n v="0"/>
    <n v="1"/>
    <n v="0"/>
    <n v="0"/>
    <n v="0"/>
    <n v="0"/>
    <n v="0"/>
    <n v="0"/>
    <n v="0"/>
    <n v="0"/>
    <s v="https://www.clickideacore.com/ClickHTML5/Visit.aspx?ID=//54DAEwASwAzADcANgA0ADQAOAAxADMASQBEAEUAQQAE=&amp;Tipo=2&amp;ST=1&amp;nLang=0"/>
    <n v="0"/>
    <n v="0"/>
    <n v="0"/>
    <n v="0"/>
    <n v="0"/>
    <n v="0"/>
    <n v="0"/>
    <n v="0"/>
  </r>
  <r>
    <x v="2"/>
    <x v="2"/>
    <s v="OP-S-200"/>
    <x v="241"/>
    <d v="2025-12-19T00:00:00"/>
    <n v="21"/>
    <x v="0"/>
    <n v="68"/>
    <n v="0"/>
    <n v="1"/>
    <n v="1"/>
    <n v="0"/>
    <n v="0"/>
    <n v="0"/>
    <n v="0"/>
    <n v="0"/>
    <n v="0"/>
    <n v="0"/>
    <n v="0"/>
    <s v="https://www.clickideacore.com/ClickHTML5/Visit.aspx?ID=//5FDAEwASwAzADcANgA0ADcAOQA5ADEASQBEAEUAQQAF=&amp;Tipo=2&amp;ST=1&amp;nLang=0"/>
    <n v="0"/>
    <n v="0"/>
    <n v="1"/>
    <n v="0"/>
    <n v="0"/>
    <n v="0"/>
    <n v="0"/>
    <n v="0"/>
  </r>
  <r>
    <x v="5"/>
    <x v="6"/>
    <s v="OP-DYR-005"/>
    <x v="241"/>
    <d v="2025-12-19T00:00:00"/>
    <n v="29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NgA0ADgAMgAwADkASQBEAEUAQQA3=&amp;Tipo=2&amp;ST=1&amp;nLang=0"/>
    <n v="0"/>
    <n v="42"/>
    <n v="3"/>
    <n v="0"/>
    <n v="0"/>
    <n v="0"/>
    <n v="0"/>
    <n v="0"/>
  </r>
  <r>
    <x v="3"/>
    <x v="6"/>
    <s v="OP-S-076"/>
    <x v="241"/>
    <d v="2025-12-19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41"/>
    <d v="2025-12-19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2"/>
    <s v="OP-S-076"/>
    <x v="241"/>
    <d v="2025-12-19T00:00:00"/>
    <n v="21"/>
    <x v="1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41"/>
    <d v="2025-12-19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3"/>
    <x v="3"/>
    <s v="OP-S-062"/>
    <x v="242"/>
    <d v="2025-12-20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FDAEwASwAzADcANgA1ADgAMwA1ADEASQBEAEUAQQA8=&amp;Tipo=2&amp;ST=1&amp;nLang=0"/>
    <n v="0"/>
    <n v="0"/>
    <n v="0"/>
    <n v="0"/>
    <n v="0"/>
    <n v="0"/>
    <n v="0"/>
    <n v="0"/>
  </r>
  <r>
    <x v="9"/>
    <x v="33"/>
    <s v="OP-DYR-011"/>
    <x v="241"/>
    <d v="2025-12-19T00:00:00"/>
    <n v="42"/>
    <x v="1"/>
    <n v="0"/>
    <n v="0"/>
    <n v="0"/>
    <n v="0"/>
    <n v="0"/>
    <n v="0"/>
    <n v="0"/>
    <n v="0"/>
    <n v="0"/>
    <n v="0"/>
    <n v="0"/>
    <n v="0"/>
    <s v="https://www.clickideacore.com/ClickHTML5/Visit.aspx?ID=//5BDAEwASwAzADcANgA1ADkANQAxADMASQBEAEUAQQAA=&amp;Tipo=2&amp;ST=1&amp;nLang=0"/>
    <n v="0"/>
    <n v="0"/>
    <n v="0"/>
    <n v="0"/>
    <n v="0"/>
    <n v="0"/>
    <n v="0"/>
    <n v="0"/>
  </r>
  <r>
    <x v="10"/>
    <x v="33"/>
    <s v="OP-DYR-011"/>
    <x v="242"/>
    <d v="2025-12-20T00:00:00"/>
    <n v="42"/>
    <x v="0"/>
    <n v="0"/>
    <n v="0"/>
    <n v="0"/>
    <n v="0"/>
    <n v="0"/>
    <n v="0"/>
    <n v="0"/>
    <n v="1"/>
    <n v="0"/>
    <n v="8"/>
    <n v="1"/>
    <n v="0"/>
    <s v="https://www.clickideacore.com/ClickHTML5/Visit.aspx?ID=//5BDAEwASwAzADcANgA1ADkANQAxADMASQBEAEUAQQAA=&amp;Tipo=2&amp;ST=1&amp;nLang=0"/>
    <n v="16"/>
    <n v="0"/>
    <n v="0"/>
    <n v="0"/>
    <n v="0"/>
    <n v="0"/>
    <n v="1"/>
    <n v="0"/>
  </r>
  <r>
    <x v="0"/>
    <x v="29"/>
    <s v="OP-S-100"/>
    <x v="242"/>
    <d v="2025-12-20T00:00:00"/>
    <n v="38"/>
    <x v="0"/>
    <n v="0"/>
    <n v="0"/>
    <n v="0"/>
    <n v="0"/>
    <n v="0"/>
    <n v="0"/>
    <n v="0"/>
    <n v="1"/>
    <n v="0"/>
    <n v="0"/>
    <n v="1"/>
    <n v="0"/>
    <s v="https://www.clickideacore.com/ClickHTML5/Visit.aspx?ID=//53DAEwASwAzADcANgA0ADgANQAyADcASQBEAEUAQQAF=&amp;Tipo=2&amp;ST=1&amp;nLang=0"/>
    <n v="12"/>
    <n v="0"/>
    <n v="0"/>
    <n v="0"/>
    <n v="0"/>
    <n v="0"/>
    <n v="0"/>
    <n v="0"/>
  </r>
  <r>
    <x v="1"/>
    <x v="1"/>
    <s v="OP-DYR-004"/>
    <x v="242"/>
    <d v="2025-12-20T00:00:00"/>
    <n v="24"/>
    <x v="0"/>
    <n v="0"/>
    <n v="0"/>
    <n v="0"/>
    <n v="0"/>
    <n v="0"/>
    <n v="0"/>
    <n v="0"/>
    <n v="1"/>
    <n v="0"/>
    <n v="2"/>
    <n v="1"/>
    <n v="0"/>
    <s v="https://www.clickideacore.com/ClickHTML5/Visit.aspx?ID=//55DAEwASwAzADcANgA1ADkAMgAxADEASQBEAEUAQQA4=&amp;Tipo=2&amp;ST=1&amp;nLang=0"/>
    <n v="12"/>
    <n v="0"/>
    <n v="0"/>
    <n v="0"/>
    <n v="0"/>
    <n v="0"/>
    <n v="0"/>
    <n v="0"/>
  </r>
  <r>
    <x v="4"/>
    <x v="8"/>
    <s v="OP-S-200"/>
    <x v="242"/>
    <d v="2025-12-20T00:00:00"/>
    <n v="15"/>
    <x v="0"/>
    <n v="0"/>
    <n v="0"/>
    <n v="0"/>
    <n v="0"/>
    <n v="0"/>
    <n v="0"/>
    <n v="0"/>
    <n v="1"/>
    <n v="0"/>
    <n v="2"/>
    <n v="1"/>
    <n v="0"/>
    <s v="https://www.clickideacore.com/ClickHTML5/Visit.aspx?ID=//53DAEwASwAzADcANgA1ADkAMQA0ADIASQBEAEUAQQA0=&amp;Tipo=2&amp;ST=1&amp;nLang=0"/>
    <n v="13"/>
    <n v="0"/>
    <n v="0"/>
    <n v="0"/>
    <n v="0"/>
    <n v="0"/>
    <n v="0"/>
    <n v="0"/>
  </r>
  <r>
    <x v="11"/>
    <x v="17"/>
    <s v="OP-SDYR-001"/>
    <x v="242"/>
    <d v="2025-12-20T00:00:00"/>
    <n v="22"/>
    <x v="0"/>
    <n v="0"/>
    <n v="0"/>
    <n v="0"/>
    <n v="0"/>
    <n v="0"/>
    <n v="0"/>
    <n v="0"/>
    <n v="1"/>
    <n v="0"/>
    <n v="0"/>
    <n v="1"/>
    <n v="0"/>
    <s v="https://www.clickideacore.com/ClickHTML5/Visit.aspx?ID=//57DAEwASwAzADcANgA1ADgAMQA2ADgASQBEAEUAQQA7=&amp;Tipo=2&amp;ST=1&amp;nLang=0"/>
    <n v="0"/>
    <n v="0"/>
    <n v="0"/>
    <n v="0"/>
    <n v="0"/>
    <n v="0"/>
    <n v="0"/>
    <n v="0"/>
  </r>
  <r>
    <x v="2"/>
    <x v="2"/>
    <s v="OP-S-200"/>
    <x v="242"/>
    <d v="2025-12-20T00:00:00"/>
    <n v="15"/>
    <x v="0"/>
    <n v="0"/>
    <n v="0"/>
    <n v="0"/>
    <n v="0"/>
    <n v="0"/>
    <n v="0"/>
    <n v="0"/>
    <n v="1"/>
    <n v="0"/>
    <n v="1"/>
    <n v="1"/>
    <n v="0"/>
    <s v="https://www.clickideacore.com/ClickHTML5/Visit.aspx?ID=//53DAEwASwAzADcANgA1ADkAMQA0ADIASQBEAEUAQQA0=&amp;Tipo=2&amp;ST=1&amp;nLang=0"/>
    <n v="6"/>
    <n v="0"/>
    <n v="0"/>
    <n v="0"/>
    <n v="0"/>
    <n v="0"/>
    <n v="0"/>
    <n v="0"/>
  </r>
  <r>
    <x v="17"/>
    <x v="7"/>
    <s v="OP-S-0010"/>
    <x v="242"/>
    <d v="2025-12-2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DYR-004"/>
    <x v="242"/>
    <d v="2025-12-20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19"/>
    <x v="6"/>
    <s v="OP-DYR-011"/>
    <x v="242"/>
    <d v="2025-12-20T00:00:00"/>
    <n v="1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cANAAxADYAMQA3ADYASQBEAEUAQQA9=&amp;Tipo=2&amp;ST=1&amp;nLang=0"/>
    <n v="0"/>
    <n v="0"/>
    <n v="0"/>
    <n v="0"/>
    <n v="0"/>
    <n v="0"/>
    <n v="0"/>
    <n v="0"/>
  </r>
  <r>
    <x v="9"/>
    <x v="7"/>
    <s v="OP-S-0010"/>
    <x v="242"/>
    <d v="2025-12-20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010"/>
    <x v="242"/>
    <d v="2025-12-20T00:00:00"/>
    <n v="0"/>
    <x v="2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3"/>
    <x v="3"/>
    <s v="OP-S-062"/>
    <x v="243"/>
    <d v="2025-12-21T00:00:00"/>
    <n v="82"/>
    <x v="0"/>
    <n v="0"/>
    <n v="0"/>
    <n v="0"/>
    <n v="0"/>
    <n v="0"/>
    <n v="0"/>
    <n v="0"/>
    <n v="0"/>
    <n v="1"/>
    <n v="6"/>
    <n v="0"/>
    <n v="1"/>
    <s v="https://www.clickideacore.com/ClickHTML5/Visit.aspx?ID=//56DAEwASwAzADcANgA2ADcAMQAwADYASQBEAEUAQQA4=&amp;Tipo=2&amp;ST=1&amp;nLang=0"/>
    <n v="0"/>
    <n v="0"/>
    <n v="0"/>
    <n v="0"/>
    <n v="0"/>
    <n v="0"/>
    <n v="0"/>
    <n v="0"/>
  </r>
  <r>
    <x v="10"/>
    <x v="33"/>
    <s v="OP-DYR-011"/>
    <x v="243"/>
    <d v="2025-12-21T00:00:00"/>
    <n v="42"/>
    <x v="0"/>
    <n v="0"/>
    <n v="0"/>
    <n v="0"/>
    <n v="0"/>
    <n v="0"/>
    <n v="0"/>
    <n v="0"/>
    <n v="0"/>
    <n v="1"/>
    <n v="7"/>
    <n v="0"/>
    <n v="1"/>
    <s v="https://www.clickideacore.com/ClickHTML5/Visit.aspx?ID=//51DAEwASwAzADcANgA2ADYAMgA3ADUASQBEAEUAQQA7=&amp;Tipo=2&amp;ST=1&amp;nLang=0"/>
    <n v="16"/>
    <n v="0"/>
    <n v="0"/>
    <n v="0"/>
    <n v="0"/>
    <n v="0"/>
    <n v="0"/>
    <n v="1"/>
  </r>
  <r>
    <x v="0"/>
    <x v="29"/>
    <s v="OP-S-100"/>
    <x v="243"/>
    <d v="2025-12-21T00:00:00"/>
    <n v="51"/>
    <x v="0"/>
    <n v="0"/>
    <n v="0"/>
    <n v="0"/>
    <n v="0"/>
    <n v="0"/>
    <n v="0"/>
    <n v="0"/>
    <n v="0"/>
    <n v="1"/>
    <n v="1"/>
    <n v="0"/>
    <n v="1"/>
    <s v="https://www.clickideacore.com/ClickHTML5/Visit.aspx?ID=//5DDAEwASwAzADcANgA2ADYANAAxADAASQBEAEUAQQA5=&amp;Tipo=2&amp;ST=1&amp;nLang=0"/>
    <n v="16"/>
    <n v="0"/>
    <n v="0"/>
    <n v="0"/>
    <n v="0"/>
    <n v="0"/>
    <n v="0"/>
    <n v="0"/>
  </r>
  <r>
    <x v="1"/>
    <x v="1"/>
    <s v="OP-DYR-004"/>
    <x v="243"/>
    <d v="2025-12-21T00:00:00"/>
    <n v="34"/>
    <x v="0"/>
    <n v="0"/>
    <n v="0"/>
    <n v="0"/>
    <n v="1"/>
    <n v="0"/>
    <n v="0"/>
    <n v="0"/>
    <n v="0"/>
    <n v="1"/>
    <n v="3"/>
    <n v="0"/>
    <n v="1"/>
    <s v="https://www.clickideacore.com/ClickHTML5/Visit.aspx?ID=//51DAEwASwAzADcANgA2ADUANQAzADUASQBEAEUAQQAA=&amp;Tipo=2&amp;ST=1&amp;nLang=0"/>
    <n v="0"/>
    <n v="0"/>
    <n v="0"/>
    <n v="0"/>
    <n v="0"/>
    <n v="0"/>
    <n v="0"/>
    <n v="0"/>
  </r>
  <r>
    <x v="4"/>
    <x v="8"/>
    <s v="OP-DYR-005"/>
    <x v="243"/>
    <d v="2025-12-21T00:00:00"/>
    <n v="21"/>
    <x v="0"/>
    <n v="0"/>
    <n v="0"/>
    <n v="0"/>
    <n v="1"/>
    <n v="0"/>
    <n v="0"/>
    <n v="0"/>
    <n v="0"/>
    <n v="1"/>
    <n v="3"/>
    <n v="0"/>
    <n v="1"/>
    <s v="https://www.clickideacore.com/ClickHTML5/Visit.aspx?ID=//54DAEwASwAzADcANgA2ADAAOAA4ADMASQBEAEUAQQA9=&amp;Tipo=2&amp;ST=1&amp;nLang=0"/>
    <n v="0"/>
    <n v="0"/>
    <n v="0"/>
    <n v="0"/>
    <n v="0"/>
    <n v="0"/>
    <n v="0"/>
    <n v="0"/>
  </r>
  <r>
    <x v="11"/>
    <x v="17"/>
    <s v="OP-SDYR-001"/>
    <x v="243"/>
    <d v="2025-12-21T00:00:00"/>
    <n v="27"/>
    <x v="0"/>
    <n v="0"/>
    <n v="0"/>
    <n v="0"/>
    <n v="0"/>
    <n v="0"/>
    <n v="0"/>
    <n v="0"/>
    <n v="0"/>
    <n v="1"/>
    <n v="0"/>
    <n v="0"/>
    <n v="1"/>
    <s v="https://www.clickideacore.com/ClickHTML5/Visit.aspx?ID=//52DAEwASwAzADcANgA2ADUAOAAyADAASQBEAEUAQQA3=&amp;Tipo=2&amp;ST=1&amp;nLang=0"/>
    <n v="0"/>
    <n v="0"/>
    <n v="0"/>
    <n v="0"/>
    <n v="0"/>
    <n v="0"/>
    <n v="0"/>
    <n v="0"/>
  </r>
  <r>
    <x v="2"/>
    <x v="2"/>
    <s v="OP-S-200"/>
    <x v="243"/>
    <d v="2025-12-21T00:00:00"/>
    <n v="33"/>
    <x v="0"/>
    <n v="0"/>
    <n v="0"/>
    <n v="0"/>
    <n v="1"/>
    <n v="0"/>
    <n v="0"/>
    <n v="0"/>
    <n v="0"/>
    <n v="1"/>
    <n v="3"/>
    <n v="0"/>
    <n v="1"/>
    <s v="https://www.clickideacore.com/ClickHTML5/Visit.aspx?ID=//5CDAEwASwAzADcANgA2ADYAMgA4ADAASQBEAEUAQQA6=&amp;Tipo=2&amp;ST=1&amp;nLang=0"/>
    <n v="8"/>
    <n v="0"/>
    <n v="0"/>
    <n v="0"/>
    <n v="0"/>
    <n v="0"/>
    <n v="0"/>
    <n v="0"/>
  </r>
  <r>
    <x v="17"/>
    <x v="7"/>
    <s v="OP-S-0010"/>
    <x v="243"/>
    <d v="2025-12-2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DYR-004"/>
    <x v="243"/>
    <d v="2025-12-21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19"/>
    <x v="6"/>
    <s v="OP-DYR-011"/>
    <x v="243"/>
    <d v="2025-12-21T00:00:00"/>
    <n v="17"/>
    <x v="5"/>
    <n v="0"/>
    <n v="0"/>
    <n v="0"/>
    <n v="0"/>
    <n v="0"/>
    <n v="0"/>
    <n v="0"/>
    <n v="0"/>
    <n v="0"/>
    <n v="0"/>
    <n v="0"/>
    <n v="0"/>
    <s v="https://www.clickideacore.com/ClickHTML5/Visit.aspx?ID=//53DAEwASwAzADcANAAxADYAMQA3ADYASQBEAEUAQQA9=&amp;Tipo=2&amp;ST=1&amp;nLang=0"/>
    <n v="0"/>
    <n v="0"/>
    <n v="0"/>
    <n v="0"/>
    <n v="0"/>
    <n v="0"/>
    <n v="0"/>
    <n v="0"/>
  </r>
  <r>
    <x v="3"/>
    <x v="6"/>
    <s v="OP-DYR-011"/>
    <x v="243"/>
    <d v="2025-12-21T00:00:00"/>
    <n v="17"/>
    <x v="2"/>
    <n v="0"/>
    <n v="0"/>
    <n v="0"/>
    <n v="0"/>
    <n v="0"/>
    <n v="0"/>
    <n v="0"/>
    <n v="0"/>
    <n v="0"/>
    <n v="0"/>
    <n v="0"/>
    <n v="0"/>
    <s v="https://www.clickideacore.com/ClickHTML5/Visit.aspx?ID=//53DAEwASwAzADcANAAxADYAMQA3ADYASQBEAEUAQQA9=&amp;Tipo=2&amp;ST=1&amp;nLang=0"/>
    <n v="0"/>
    <n v="0"/>
    <n v="0"/>
    <n v="0"/>
    <n v="0"/>
    <n v="0"/>
    <n v="0"/>
    <n v="0"/>
  </r>
  <r>
    <x v="9"/>
    <x v="7"/>
    <s v="OP-S-0010"/>
    <x v="243"/>
    <d v="2025-12-2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76"/>
    <x v="237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38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39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40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41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42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43"/>
    <d v="2025-12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DYR-005"/>
    <x v="244"/>
    <d v="2025-12-22T00:00:00"/>
    <n v="15"/>
    <x v="0"/>
    <n v="10"/>
    <n v="0"/>
    <n v="0"/>
    <n v="0"/>
    <n v="0"/>
    <n v="0"/>
    <n v="0"/>
    <n v="0"/>
    <n v="0"/>
    <n v="0"/>
    <n v="0"/>
    <n v="0"/>
    <s v="https://www.clickideacore.com/ClickHTML5/Visit.aspx?ID=//5DDAEwASwAzADcANgA4ADEAOQA0ADUASQBEAEUAQQA1=&amp;Tipo=2&amp;ST=1&amp;nLang=0"/>
    <n v="0"/>
    <n v="0"/>
    <n v="0"/>
    <n v="0"/>
    <n v="0"/>
    <n v="0"/>
    <n v="0"/>
    <n v="0"/>
  </r>
  <r>
    <x v="4"/>
    <x v="8"/>
    <s v="OP-DYR-005"/>
    <x v="244"/>
    <d v="2025-12-22T00:00:00"/>
    <n v="15"/>
    <x v="0"/>
    <n v="15"/>
    <n v="0"/>
    <n v="0"/>
    <n v="0"/>
    <n v="0"/>
    <n v="0"/>
    <n v="0"/>
    <n v="0"/>
    <n v="0"/>
    <n v="0"/>
    <n v="0"/>
    <n v="0"/>
    <s v="https://www.clickideacore.com/ClickHTML5/Visit.aspx?ID=//5DDAEwASwAzADcANgA4ADEAOQA0ADUASQBEAEUAQQA1=&amp;Tipo=2&amp;ST=1&amp;nLang=0"/>
    <n v="0"/>
    <n v="0"/>
    <n v="0"/>
    <n v="0"/>
    <n v="0"/>
    <n v="0"/>
    <n v="0"/>
    <n v="0"/>
  </r>
  <r>
    <x v="10"/>
    <x v="6"/>
    <s v="OP-DYR-011"/>
    <x v="244"/>
    <d v="2025-12-22T00:00:00"/>
    <n v="18"/>
    <x v="0"/>
    <n v="5"/>
    <n v="0"/>
    <n v="0"/>
    <n v="0"/>
    <n v="0"/>
    <n v="1"/>
    <n v="0"/>
    <n v="0"/>
    <n v="0"/>
    <n v="0"/>
    <n v="0"/>
    <n v="0"/>
    <s v="https://www.clickideacore.com/ClickHTML5/Visit.aspx?ID=//53DAEwASwAzADcANgA4ADAANwA3ADEASQBEAEUAQQAC=&amp;Tipo=2&amp;ST=1&amp;nLang=0"/>
    <n v="0"/>
    <n v="0"/>
    <n v="0"/>
    <n v="0"/>
    <n v="0"/>
    <n v="0"/>
    <n v="0"/>
    <n v="0"/>
  </r>
  <r>
    <x v="19"/>
    <x v="6"/>
    <s v="OP-DYR-011"/>
    <x v="244"/>
    <d v="2025-12-22T00:00:00"/>
    <n v="18"/>
    <x v="0"/>
    <n v="5"/>
    <n v="0"/>
    <n v="0"/>
    <n v="0"/>
    <n v="0"/>
    <n v="1"/>
    <n v="0"/>
    <n v="0"/>
    <n v="0"/>
    <n v="0"/>
    <n v="0"/>
    <n v="0"/>
    <s v="https://www.clickideacore.com/ClickHTML5/Visit.aspx?ID=//53DAEwASwAzADcANgA4ADAANwA3ADEASQBEAEUAQQAC=&amp;Tipo=2&amp;ST=1&amp;nLang=0"/>
    <n v="0"/>
    <n v="0"/>
    <n v="0"/>
    <n v="0"/>
    <n v="0"/>
    <n v="0"/>
    <n v="0"/>
    <n v="0"/>
  </r>
  <r>
    <x v="2"/>
    <x v="2"/>
    <s v="OP-DYR-011"/>
    <x v="244"/>
    <d v="2025-12-22T00:00:00"/>
    <n v="18"/>
    <x v="0"/>
    <n v="19"/>
    <n v="0"/>
    <n v="0"/>
    <n v="0"/>
    <n v="0"/>
    <n v="0"/>
    <n v="0"/>
    <n v="0"/>
    <n v="0"/>
    <n v="0"/>
    <n v="0"/>
    <n v="0"/>
    <s v="https://www.clickideacore.com/ClickHTML5/Visit.aspx?ID=//53DAEwASwAzADcANgA4ADAANwA3ADEASQBEAEUAQQAC=&amp;Tipo=2&amp;ST=1&amp;nLang=0"/>
    <n v="0"/>
    <n v="34"/>
    <n v="0"/>
    <n v="0"/>
    <n v="0"/>
    <n v="0"/>
    <n v="0"/>
    <n v="0"/>
  </r>
  <r>
    <x v="17"/>
    <x v="1"/>
    <s v="OP-DYR-00001"/>
    <x v="244"/>
    <d v="2025-12-22T00:00:00"/>
    <n v="164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NgA4ADQANwA5ADcASQBEAEUAQQAF=&amp;Tipo=2&amp;ST=1&amp;nLang=0"/>
    <n v="0"/>
    <n v="62"/>
    <n v="0"/>
    <n v="0"/>
    <n v="0"/>
    <n v="0"/>
    <n v="0"/>
    <n v="0"/>
  </r>
  <r>
    <x v="9"/>
    <x v="0"/>
    <s v="OP-S-076"/>
    <x v="244"/>
    <d v="2025-12-2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6"/>
    <s v="OP-S-076"/>
    <x v="244"/>
    <d v="2025-12-2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44"/>
    <d v="2025-12-22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44"/>
    <d v="2025-12-2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29"/>
    <s v="OP-S-100"/>
    <x v="244"/>
    <d v="2025-12-22T00:00:00"/>
    <n v="18"/>
    <x v="4"/>
    <n v="1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1"/>
    <x v="17"/>
    <s v="OP-S-076"/>
    <x v="244"/>
    <d v="2025-12-22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44"/>
    <d v="2025-12-22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2"/>
    <x v="1"/>
    <s v="OP-S-DYR-009"/>
    <x v="245"/>
    <d v="2025-12-23T00:00:00"/>
    <n v="153"/>
    <x v="0"/>
    <n v="25"/>
    <n v="0"/>
    <n v="0"/>
    <n v="1"/>
    <n v="0"/>
    <n v="0"/>
    <n v="0"/>
    <n v="0"/>
    <n v="0"/>
    <n v="0"/>
    <n v="0"/>
    <n v="0"/>
    <s v="https://www.clickideacore.com/ClickHTML5/Visit.aspx?ID=//55DAEwASwAzADcANwAwADIAMAA4ADgASQBEAEUAQQA3=&amp;Tipo=2&amp;ST=1&amp;nLang=0"/>
    <n v="0"/>
    <n v="0"/>
    <n v="0"/>
    <n v="0"/>
    <n v="0"/>
    <n v="0"/>
    <n v="0"/>
    <n v="0"/>
  </r>
  <r>
    <x v="5"/>
    <x v="4"/>
    <s v="OP-S-DYR-009"/>
    <x v="245"/>
    <d v="2025-12-23T00:00:00"/>
    <n v="153"/>
    <x v="0"/>
    <n v="15"/>
    <n v="0"/>
    <n v="0"/>
    <n v="0"/>
    <n v="1"/>
    <n v="0"/>
    <n v="0"/>
    <n v="0"/>
    <n v="0"/>
    <n v="0"/>
    <n v="0"/>
    <n v="0"/>
    <s v="https://www.clickideacore.com/ClickHTML5/Visit.aspx?ID=//55DAEwASwAzADcANwAwADIAMAA4ADgASQBEAEUAQQA3=&amp;Tipo=2&amp;ST=1&amp;nLang=0"/>
    <n v="0"/>
    <n v="6"/>
    <n v="4"/>
    <n v="0"/>
    <n v="0"/>
    <n v="0"/>
    <n v="0"/>
    <n v="0"/>
  </r>
  <r>
    <x v="0"/>
    <x v="29"/>
    <s v="OP-S-100"/>
    <x v="245"/>
    <d v="2025-12-23T00:00:00"/>
    <n v="89"/>
    <x v="0"/>
    <n v="26"/>
    <n v="0"/>
    <n v="0"/>
    <n v="1"/>
    <n v="0"/>
    <n v="0"/>
    <n v="0"/>
    <n v="0"/>
    <n v="0"/>
    <n v="0"/>
    <n v="0"/>
    <n v="0"/>
    <s v="https://www.clickideacore.com/ClickHTML5/Visit.aspx?ID=//57DAEwASwAzADcANwAwADQAOQA2ADUASQBEAEUAQQAD=&amp;Tipo=2&amp;ST=1&amp;nLang=0"/>
    <n v="0"/>
    <n v="0"/>
    <n v="0"/>
    <n v="0"/>
    <n v="0"/>
    <n v="0"/>
    <n v="0"/>
    <n v="0"/>
  </r>
  <r>
    <x v="4"/>
    <x v="8"/>
    <s v="OP-DYR-005"/>
    <x v="245"/>
    <d v="2025-12-23T00:00:00"/>
    <n v="30"/>
    <x v="0"/>
    <n v="56"/>
    <n v="0"/>
    <n v="1"/>
    <n v="1"/>
    <n v="0"/>
    <n v="0"/>
    <n v="1"/>
    <n v="0"/>
    <n v="0"/>
    <n v="0"/>
    <n v="0"/>
    <n v="0"/>
    <s v="https://www.clickideacore.com/ClickHTML5/Visit.aspx?ID=//5ADAEwASwAzADcANwAwADkANgAxADkASQBEAEUAQQA1=&amp;Tipo=2&amp;ST=1&amp;nLang=0"/>
    <n v="0"/>
    <n v="0"/>
    <n v="0"/>
    <n v="0"/>
    <n v="0"/>
    <n v="0"/>
    <n v="0"/>
    <n v="0"/>
  </r>
  <r>
    <x v="2"/>
    <x v="2"/>
    <s v="OP-DYR-005"/>
    <x v="245"/>
    <d v="2025-12-23T00:00:00"/>
    <n v="30"/>
    <x v="0"/>
    <n v="28"/>
    <n v="0"/>
    <n v="0"/>
    <n v="1"/>
    <n v="0"/>
    <n v="0"/>
    <n v="0"/>
    <n v="0"/>
    <n v="0"/>
    <n v="0"/>
    <n v="0"/>
    <n v="0"/>
    <s v="https://www.clickideacore.com/ClickHTML5/Visit.aspx?ID=//5ADAEwASwAzADcANwAwADkANgAxADkASQBEAEUAQQA1=&amp;Tipo=2&amp;ST=1&amp;nLang=0"/>
    <n v="0"/>
    <n v="0"/>
    <n v="0"/>
    <n v="0"/>
    <n v="0"/>
    <n v="0"/>
    <n v="0"/>
    <n v="0"/>
  </r>
  <r>
    <x v="11"/>
    <x v="17"/>
    <s v="OP-SDYR-001"/>
    <x v="245"/>
    <d v="2025-12-23T00:00:00"/>
    <n v="17"/>
    <x v="0"/>
    <n v="28"/>
    <n v="0"/>
    <n v="0"/>
    <n v="1"/>
    <n v="0"/>
    <n v="0"/>
    <n v="0"/>
    <n v="0"/>
    <n v="0"/>
    <n v="0"/>
    <n v="0"/>
    <n v="0"/>
    <s v="https://www.clickideacore.com/ClickHTML5/Visit.aspx?ID=//53DAEwASwAzADcANwAwADcAMQAzADgASQBEAEUAQQAD=&amp;Tipo=2&amp;ST=1&amp;nLang=0"/>
    <n v="0"/>
    <n v="0"/>
    <n v="0"/>
    <n v="0"/>
    <n v="0"/>
    <n v="0"/>
    <n v="0"/>
    <n v="0"/>
  </r>
  <r>
    <x v="10"/>
    <x v="3"/>
    <s v="OP-DYR-011"/>
    <x v="245"/>
    <d v="2025-12-23T00:00:00"/>
    <n v="30"/>
    <x v="0"/>
    <n v="35"/>
    <n v="0"/>
    <n v="0"/>
    <n v="1"/>
    <n v="0"/>
    <n v="0"/>
    <n v="0"/>
    <n v="0"/>
    <n v="0"/>
    <n v="0"/>
    <n v="0"/>
    <n v="0"/>
    <s v="https://www.clickideacore.com/ClickHTML5/Visit.aspx?ID=//53DAEwASwAzADcANwAwADEANwAxADUASQBEAEUAQQA2=&amp;Tipo=2&amp;ST=1&amp;nLang=0"/>
    <n v="0"/>
    <n v="0"/>
    <n v="0"/>
    <n v="0"/>
    <n v="0"/>
    <n v="0"/>
    <n v="0"/>
    <n v="0"/>
  </r>
  <r>
    <x v="19"/>
    <x v="6"/>
    <s v="OP-DYR-011"/>
    <x v="245"/>
    <d v="2025-12-23T00:00:00"/>
    <n v="30"/>
    <x v="0"/>
    <n v="35"/>
    <n v="0"/>
    <n v="0"/>
    <n v="1"/>
    <n v="0"/>
    <n v="0"/>
    <n v="0"/>
    <n v="0"/>
    <n v="0"/>
    <n v="0"/>
    <n v="0"/>
    <n v="0"/>
    <s v="https://www.clickideacore.com/ClickHTML5/Visit.aspx?ID=//53DAEwASwAzADcANwAwADEANwAxADUASQBEAEUAQQA2=&amp;Tipo=2&amp;ST=1&amp;nLang=0"/>
    <n v="0"/>
    <n v="0"/>
    <n v="0"/>
    <n v="0"/>
    <n v="0"/>
    <n v="0"/>
    <n v="0"/>
    <n v="0"/>
  </r>
  <r>
    <x v="17"/>
    <x v="6"/>
    <s v="OP-S-100"/>
    <x v="245"/>
    <d v="2025-12-23T00:00:00"/>
    <n v="18"/>
    <x v="1"/>
    <n v="1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7"/>
    <s v="OP-S-076"/>
    <x v="245"/>
    <d v="2025-12-2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45"/>
    <d v="2025-12-2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6"/>
    <s v="OP-S-076"/>
    <x v="245"/>
    <d v="2025-12-2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45"/>
    <d v="2025-12-23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45"/>
    <d v="2025-12-23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2"/>
    <x v="1"/>
    <s v="OP-S-DYR-009"/>
    <x v="246"/>
    <d v="2025-12-24T00:00:00"/>
    <n v="31"/>
    <x v="0"/>
    <n v="28"/>
    <n v="0"/>
    <n v="0"/>
    <n v="1"/>
    <n v="0"/>
    <n v="0"/>
    <n v="0"/>
    <n v="0"/>
    <n v="0"/>
    <n v="0"/>
    <n v="0"/>
    <n v="0"/>
    <s v="https://www.clickideacore.com/ClickHTML5/Visit.aspx?ID=//50DAEwASwAzADcANwAyADIANAA0ADEASQBEAEUAQQA0=&amp;Tipo=2&amp;ST=1&amp;nLang=0"/>
    <n v="0"/>
    <n v="0"/>
    <n v="0"/>
    <n v="0"/>
    <n v="0"/>
    <n v="0"/>
    <n v="0"/>
    <n v="0"/>
  </r>
  <r>
    <x v="4"/>
    <x v="8"/>
    <s v="OP-DYR-005"/>
    <x v="246"/>
    <d v="2025-12-24T00:00:00"/>
    <n v="21"/>
    <x v="0"/>
    <n v="26"/>
    <n v="0"/>
    <n v="0"/>
    <n v="0"/>
    <n v="1"/>
    <n v="0"/>
    <n v="0"/>
    <n v="0"/>
    <n v="0"/>
    <n v="0"/>
    <n v="0"/>
    <n v="0"/>
    <s v="https://www.clickideacore.com/ClickHTML5/Visit.aspx?ID=//53DAEwASwAzADcANwA4ADQANwA2ADAASQBEAEUAQQA8=&amp;Tipo=2&amp;ST=1&amp;nLang=0"/>
    <n v="0"/>
    <n v="0"/>
    <n v="0"/>
    <n v="0"/>
    <n v="0"/>
    <n v="0"/>
    <n v="0"/>
    <n v="0"/>
  </r>
  <r>
    <x v="0"/>
    <x v="29"/>
    <s v="OP-S-100"/>
    <x v="246"/>
    <d v="2025-12-24T00:00:00"/>
    <n v="28"/>
    <x v="0"/>
    <n v="54"/>
    <n v="0"/>
    <n v="0"/>
    <n v="0"/>
    <n v="1"/>
    <n v="0"/>
    <n v="0"/>
    <n v="0"/>
    <n v="0"/>
    <n v="0"/>
    <n v="0"/>
    <n v="0"/>
    <s v="https://www.clickideacore.com/ClickHTML5/Visit.aspx?ID=//5FDAEwASwAzADcANwAyADIAMwAwADUASQBEAEUAQQA1=&amp;Tipo=2&amp;ST=1&amp;nLang=0"/>
    <n v="0"/>
    <n v="0"/>
    <n v="0"/>
    <n v="0"/>
    <n v="0"/>
    <n v="0"/>
    <n v="0"/>
    <n v="0"/>
  </r>
  <r>
    <x v="17"/>
    <x v="6"/>
    <s v="OP-DYR-00001"/>
    <x v="246"/>
    <d v="2025-12-24T00:00:00"/>
    <n v="56"/>
    <x v="0"/>
    <n v="45"/>
    <n v="0"/>
    <n v="0"/>
    <n v="1"/>
    <n v="0"/>
    <n v="0"/>
    <n v="0"/>
    <n v="0"/>
    <n v="0"/>
    <n v="0"/>
    <n v="0"/>
    <n v="0"/>
    <s v="https://www.clickideacore.com/ClickHTML5/Visit.aspx?ID=//50DAEwASwAzADcANwAyADIAOAAzADkASQBEAEUAQQAB=&amp;Tipo=2&amp;ST=1&amp;nLang=0"/>
    <n v="0"/>
    <n v="0"/>
    <n v="0"/>
    <n v="0"/>
    <n v="0"/>
    <n v="0"/>
    <n v="0"/>
    <n v="0"/>
  </r>
  <r>
    <x v="19"/>
    <x v="6"/>
    <s v="OP-DYR-00001"/>
    <x v="246"/>
    <d v="2025-12-24T00:00:00"/>
    <n v="56"/>
    <x v="0"/>
    <n v="45"/>
    <n v="0"/>
    <n v="0"/>
    <n v="1"/>
    <n v="0"/>
    <n v="0"/>
    <n v="0"/>
    <n v="0"/>
    <n v="0"/>
    <n v="0"/>
    <n v="0"/>
    <n v="0"/>
    <s v="https://www.clickideacore.com/ClickHTML5/Visit.aspx?ID=//50DAEwASwAzADcANwAyADIAOAAzADkASQBEAEUAQQAB=&amp;Tipo=2&amp;ST=1&amp;nLang=0"/>
    <n v="0"/>
    <n v="0"/>
    <n v="0"/>
    <n v="0"/>
    <n v="0"/>
    <n v="0"/>
    <n v="0"/>
    <n v="0"/>
  </r>
  <r>
    <x v="10"/>
    <x v="3"/>
    <s v="OP-DYR-011"/>
    <x v="246"/>
    <d v="2025-12-24T00:00:00"/>
    <n v="47"/>
    <x v="0"/>
    <n v="46"/>
    <n v="0"/>
    <n v="1"/>
    <n v="1"/>
    <n v="0"/>
    <n v="0"/>
    <n v="0"/>
    <n v="0"/>
    <n v="0"/>
    <n v="0"/>
    <n v="0"/>
    <n v="0"/>
    <s v="https://www.clickideacore.com/ClickHTML5/Visit.aspx?ID=//52DAEwASwAzADcANwAyADQAMwAwADAASQBEAEUAQQA4=&amp;Tipo=2&amp;ST=1&amp;nLang=0"/>
    <n v="0"/>
    <n v="18"/>
    <n v="0"/>
    <n v="0"/>
    <n v="0"/>
    <n v="0"/>
    <n v="0"/>
    <n v="0"/>
  </r>
  <r>
    <x v="9"/>
    <x v="32"/>
    <s v="OP-DYR-011"/>
    <x v="246"/>
    <d v="2025-12-24T00:00:00"/>
    <n v="47"/>
    <x v="0"/>
    <n v="46"/>
    <n v="0"/>
    <n v="1"/>
    <n v="1"/>
    <n v="0"/>
    <n v="0"/>
    <n v="0"/>
    <n v="0"/>
    <n v="0"/>
    <n v="0"/>
    <n v="0"/>
    <n v="0"/>
    <s v="https://www.clickideacore.com/ClickHTML5/Visit.aspx?ID=//52DAEwASwAzADcANwAyADQAMwAwADAASQBEAEUAQQA4=&amp;Tipo=2&amp;ST=1&amp;nLang=0"/>
    <n v="0"/>
    <n v="18"/>
    <n v="0"/>
    <n v="0"/>
    <n v="0"/>
    <n v="0"/>
    <n v="0"/>
    <n v="0"/>
  </r>
  <r>
    <x v="11"/>
    <x v="17"/>
    <s v="OP-SDYR-001"/>
    <x v="246"/>
    <d v="2025-12-24T00:00:00"/>
    <n v="76"/>
    <x v="0"/>
    <n v="64"/>
    <n v="0"/>
    <n v="0"/>
    <n v="1"/>
    <n v="0"/>
    <n v="0"/>
    <n v="0"/>
    <n v="0"/>
    <n v="0"/>
    <n v="0"/>
    <n v="0"/>
    <n v="0"/>
    <s v="https://www.clickideacore.com/ClickHTML5/Visit.aspx?ID=//58DAEwASwAzADcANwAyADMAMQAxADEASQBEAEUAQQA8=&amp;Tipo=2&amp;ST=1&amp;nLang=0"/>
    <n v="0"/>
    <n v="0"/>
    <n v="0"/>
    <n v="0"/>
    <n v="0"/>
    <n v="0"/>
    <n v="0"/>
    <n v="0"/>
  </r>
  <r>
    <x v="2"/>
    <x v="2"/>
    <s v="OP-S-100"/>
    <x v="246"/>
    <d v="2025-12-24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5"/>
    <x v="4"/>
    <s v="OP-S-100"/>
    <x v="246"/>
    <d v="2025-12-24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0"/>
    <s v="OP-S-076"/>
    <x v="246"/>
    <d v="2025-12-2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46"/>
    <d v="2025-12-2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6"/>
    <s v="OP-S-076"/>
    <x v="246"/>
    <d v="2025-12-2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46"/>
    <d v="2025-12-24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46"/>
    <d v="2025-12-24T00:00:00"/>
    <n v="0"/>
    <x v="4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2"/>
    <x v="1"/>
    <s v="OP-S-100"/>
    <x v="247"/>
    <d v="2025-12-25T00:00:00"/>
    <n v="48"/>
    <x v="0"/>
    <n v="0"/>
    <n v="0"/>
    <n v="0"/>
    <n v="0"/>
    <n v="0"/>
    <n v="1"/>
    <n v="0"/>
    <n v="0"/>
    <n v="1"/>
    <n v="1"/>
    <n v="0"/>
    <n v="1"/>
    <s v="https://www.clickideacore.com/ClickHTML5/Visit.aspx?ID=//50DAEwASwAzADcANwAyADgAMgA0ADQASQBEAEUAQQA7=&amp;Tipo=2&amp;ST=1&amp;nLang=0"/>
    <n v="0"/>
    <n v="0"/>
    <n v="0"/>
    <n v="0"/>
    <n v="0"/>
    <n v="0"/>
    <n v="0"/>
    <n v="0"/>
  </r>
  <r>
    <x v="19"/>
    <x v="6"/>
    <s v="OP-S-100"/>
    <x v="247"/>
    <d v="2025-12-25T00:00:00"/>
    <n v="48"/>
    <x v="0"/>
    <n v="0"/>
    <n v="0"/>
    <n v="0"/>
    <n v="0"/>
    <n v="0"/>
    <n v="1"/>
    <n v="0"/>
    <n v="0"/>
    <n v="1"/>
    <n v="1"/>
    <n v="0"/>
    <n v="1"/>
    <s v="https://www.clickideacore.com/ClickHTML5/Visit.aspx?ID=//50DAEwASwAzADcANwAyADgAMgA0ADQASQBEAEUAQQA7=&amp;Tipo=2&amp;ST=1&amp;nLang=0"/>
    <n v="0"/>
    <n v="0"/>
    <n v="0"/>
    <n v="0"/>
    <n v="0"/>
    <n v="0"/>
    <n v="0"/>
    <n v="0"/>
  </r>
  <r>
    <x v="5"/>
    <x v="4"/>
    <s v="OP-S-005"/>
    <x v="247"/>
    <d v="2025-12-25T00:00:00"/>
    <n v="175"/>
    <x v="0"/>
    <n v="0"/>
    <n v="0"/>
    <n v="0"/>
    <n v="0"/>
    <n v="0"/>
    <n v="0"/>
    <n v="0"/>
    <n v="0"/>
    <n v="0"/>
    <n v="0"/>
    <n v="0"/>
    <n v="1"/>
    <s v="https://www.clickideacore.com/ClickHTML5/Visit.aspx?ID=//58DAEwASwAzADcANwAyADkANwA4ADgASQBEAEUAQQAD=&amp;Tipo=2&amp;ST=1&amp;nLang=0"/>
    <n v="0"/>
    <n v="0"/>
    <n v="0"/>
    <n v="0"/>
    <n v="0"/>
    <n v="0"/>
    <n v="0"/>
    <n v="1"/>
  </r>
  <r>
    <x v="0"/>
    <x v="29"/>
    <s v="OP-S-100"/>
    <x v="247"/>
    <d v="2025-12-25T00:00:00"/>
    <n v="48"/>
    <x v="0"/>
    <n v="0"/>
    <n v="0"/>
    <n v="0"/>
    <n v="0"/>
    <n v="0"/>
    <n v="1"/>
    <n v="0"/>
    <n v="0"/>
    <n v="1"/>
    <n v="1"/>
    <n v="0"/>
    <n v="1"/>
    <s v="https://www.clickideacore.com/ClickHTML5/Visit.aspx?ID=//50DAEwASwAzADcANwAyADgAMgA0ADQASQBEAEUAQQA7=&amp;Tipo=2&amp;ST=1&amp;nLang=0"/>
    <n v="0"/>
    <n v="0"/>
    <n v="0"/>
    <n v="0"/>
    <n v="0"/>
    <n v="0"/>
    <n v="0"/>
    <n v="0"/>
  </r>
  <r>
    <x v="17"/>
    <x v="31"/>
    <s v="OP-DYR-00001"/>
    <x v="247"/>
    <d v="2025-12-25T00:00:00"/>
    <n v="55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NwAyADgAOAAzADUASQBEAEUAQQAB=&amp;Tipo=2&amp;ST=1&amp;nLang=0"/>
    <n v="0"/>
    <n v="0"/>
    <n v="0"/>
    <n v="0"/>
    <n v="0"/>
    <n v="0"/>
    <n v="0"/>
    <n v="0"/>
  </r>
  <r>
    <x v="13"/>
    <x v="6"/>
    <s v="OP-DYR-00001"/>
    <x v="247"/>
    <d v="2025-12-25T00:00:00"/>
    <n v="55"/>
    <x v="0"/>
    <n v="0"/>
    <n v="0"/>
    <n v="0"/>
    <n v="0"/>
    <n v="0"/>
    <n v="0"/>
    <n v="0"/>
    <n v="0"/>
    <n v="1"/>
    <n v="2"/>
    <n v="0"/>
    <n v="1"/>
    <s v="https://www.clickideacore.com/ClickHTML5/Visit.aspx?ID=//5ADAEwASwAzADcANwAyADgAOAAzADUASQBEAEUAQQAB=&amp;Tipo=2&amp;ST=1&amp;nLang=0"/>
    <n v="0"/>
    <n v="0"/>
    <n v="0"/>
    <n v="0"/>
    <n v="0"/>
    <n v="0"/>
    <n v="0"/>
    <n v="0"/>
  </r>
  <r>
    <x v="20"/>
    <x v="6"/>
    <s v="OP-DYR-00001"/>
    <x v="247"/>
    <d v="2025-12-25T00:00:00"/>
    <n v="55"/>
    <x v="0"/>
    <n v="0"/>
    <n v="0"/>
    <n v="0"/>
    <n v="0"/>
    <n v="0"/>
    <n v="0"/>
    <n v="0"/>
    <n v="0"/>
    <n v="1"/>
    <n v="2"/>
    <n v="0"/>
    <n v="1"/>
    <s v="https://www.clickideacore.com/ClickHTML5/Visit.aspx?ID=//5ADAEwASwAzADcANwAyADgAOAAzADUASQBEAEUAQQAB=&amp;Tipo=2&amp;ST=1&amp;nLang=0"/>
    <n v="0"/>
    <n v="0"/>
    <n v="0"/>
    <n v="0"/>
    <n v="0"/>
    <n v="0"/>
    <n v="0"/>
    <n v="0"/>
  </r>
  <r>
    <x v="11"/>
    <x v="17"/>
    <s v="OP-DYR-00001"/>
    <x v="247"/>
    <d v="2025-12-25T00:00:00"/>
    <n v="55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NwAyADgAOAAzADUASQBEAEUAQQAB=&amp;Tipo=2&amp;ST=1&amp;nLang=0"/>
    <n v="0"/>
    <n v="0"/>
    <n v="0"/>
    <n v="0"/>
    <n v="0"/>
    <n v="0"/>
    <n v="0"/>
    <n v="0"/>
  </r>
  <r>
    <x v="2"/>
    <x v="2"/>
    <s v="OP-DYR-00001"/>
    <x v="247"/>
    <d v="2025-12-25T00:00:00"/>
    <n v="55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NwAyADgAOAAzADUASQBEAEUAQQAB=&amp;Tipo=2&amp;ST=1&amp;nLang=0"/>
    <n v="0"/>
    <n v="0"/>
    <n v="0"/>
    <n v="0"/>
    <n v="0"/>
    <n v="0"/>
    <n v="0"/>
    <n v="0"/>
  </r>
  <r>
    <x v="4"/>
    <x v="8"/>
    <s v="OP-S-0010"/>
    <x v="247"/>
    <d v="2025-12-25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3"/>
    <s v="OP-DYR-004"/>
    <x v="247"/>
    <d v="2025-12-25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9"/>
    <x v="0"/>
    <s v="OP-S-0010"/>
    <x v="247"/>
    <d v="2025-12-25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47"/>
    <d v="2025-12-25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6"/>
    <s v="OP-S-076"/>
    <x v="247"/>
    <d v="2025-12-2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47"/>
    <d v="2025-12-25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2"/>
    <x v="1"/>
    <s v="OP-S-DYR-009"/>
    <x v="248"/>
    <d v="2025-12-26T00:00:00"/>
    <n v="38"/>
    <x v="0"/>
    <n v="18"/>
    <n v="0"/>
    <n v="0"/>
    <n v="1"/>
    <n v="0"/>
    <n v="0"/>
    <n v="0"/>
    <n v="0"/>
    <n v="0"/>
    <n v="0"/>
    <n v="0"/>
    <n v="0"/>
    <s v="https://www.clickideacore.com/ClickHTML5/Visit.aspx?ID=//5EDAEwASwAzADcANwA0ADMAMgA4ADAASQBEAEUAQQA0=&amp;Tipo=2&amp;ST=1&amp;nLang=0"/>
    <n v="0"/>
    <n v="0"/>
    <n v="0"/>
    <n v="0"/>
    <n v="0"/>
    <n v="0"/>
    <n v="0"/>
    <n v="0"/>
  </r>
  <r>
    <x v="5"/>
    <x v="4"/>
    <s v="OP-S-DYR-009"/>
    <x v="248"/>
    <d v="2025-12-26T00:00:00"/>
    <n v="38"/>
    <x v="0"/>
    <n v="20"/>
    <n v="0"/>
    <n v="0"/>
    <n v="0"/>
    <n v="1"/>
    <n v="0"/>
    <n v="0"/>
    <n v="0"/>
    <n v="0"/>
    <n v="0"/>
    <n v="0"/>
    <n v="0"/>
    <s v="https://www.clickideacore.com/ClickHTML5/Visit.aspx?ID=//5EDAEwASwAzADcANwA0ADMAMgA4ADAASQBEAEUAQQA0=&amp;Tipo=2&amp;ST=1&amp;nLang=0"/>
    <n v="0"/>
    <n v="9"/>
    <n v="0"/>
    <n v="0"/>
    <n v="0"/>
    <n v="0"/>
    <n v="0"/>
    <n v="0"/>
  </r>
  <r>
    <x v="0"/>
    <x v="29"/>
    <s v="OP-S-100"/>
    <x v="248"/>
    <d v="2025-12-26T00:00:00"/>
    <n v="24"/>
    <x v="0"/>
    <n v="16"/>
    <n v="0"/>
    <n v="0"/>
    <n v="1"/>
    <n v="0"/>
    <n v="0"/>
    <n v="0"/>
    <n v="0"/>
    <n v="0"/>
    <n v="0"/>
    <n v="0"/>
    <n v="0"/>
    <s v="https://www.clickideacore.com/ClickHTML5/Visit.aspx?ID=//55DAEwASwAzADcANwA0ADIANQA1ADkASQBEAEUAQQAC=&amp;Tipo=2&amp;ST=1&amp;nLang=0"/>
    <n v="0"/>
    <n v="0"/>
    <n v="0"/>
    <n v="0"/>
    <n v="0"/>
    <n v="0"/>
    <n v="0"/>
    <n v="0"/>
  </r>
  <r>
    <x v="17"/>
    <x v="31"/>
    <s v="OP-DYR-00001"/>
    <x v="248"/>
    <d v="2025-12-26T00:00:00"/>
    <n v="70"/>
    <x v="0"/>
    <n v="40"/>
    <n v="0"/>
    <n v="0"/>
    <n v="1"/>
    <n v="0"/>
    <n v="0"/>
    <n v="0"/>
    <n v="0"/>
    <n v="0"/>
    <n v="0"/>
    <n v="0"/>
    <n v="0"/>
    <s v="https://www.clickideacore.com/ClickHTML5/Visit.aspx?ID=//56DAEwASwAzADcANwA0ADQAMAAyADkASQBEAEUAQQA0=&amp;Tipo=2&amp;ST=1&amp;nLang=0"/>
    <n v="0"/>
    <n v="0"/>
    <n v="0"/>
    <n v="0"/>
    <n v="0"/>
    <n v="0"/>
    <n v="0"/>
    <n v="0"/>
  </r>
  <r>
    <x v="2"/>
    <x v="2"/>
    <s v="OP-S-200"/>
    <x v="248"/>
    <d v="2025-12-26T00:00:00"/>
    <n v="18"/>
    <x v="0"/>
    <n v="35"/>
    <n v="0"/>
    <n v="0"/>
    <n v="1"/>
    <n v="0"/>
    <n v="1"/>
    <n v="0"/>
    <n v="0"/>
    <n v="0"/>
    <n v="0"/>
    <n v="0"/>
    <n v="0"/>
    <s v="https://www.clickideacore.com/ClickHTML5/Visit.aspx?ID=//54DAEwASwAzADcANwA0ADUANwA1ADYASQBEAEUAQQAC=&amp;Tipo=2&amp;ST=1&amp;nLang=0"/>
    <n v="0"/>
    <n v="0"/>
    <n v="2"/>
    <n v="0"/>
    <n v="0"/>
    <n v="0"/>
    <n v="0"/>
    <n v="0"/>
  </r>
  <r>
    <x v="11"/>
    <x v="17"/>
    <s v="OP-SDYR-001"/>
    <x v="248"/>
    <d v="2025-12-26T00:00:00"/>
    <n v="24"/>
    <x v="0"/>
    <n v="28"/>
    <n v="0"/>
    <n v="0"/>
    <n v="1"/>
    <n v="0"/>
    <n v="0"/>
    <n v="0"/>
    <n v="0"/>
    <n v="0"/>
    <n v="0"/>
    <n v="0"/>
    <n v="0"/>
    <s v="https://www.clickideacore.com/ClickHTML5/Visit.aspx?ID=//5CDAEwASwAzADcANwA0ADIAMQA3ADEASQBEAEUAQQA2=&amp;Tipo=2&amp;ST=1&amp;nLang=0"/>
    <n v="0"/>
    <n v="0"/>
    <n v="0"/>
    <n v="0"/>
    <n v="0"/>
    <n v="0"/>
    <n v="0"/>
    <n v="0"/>
  </r>
  <r>
    <x v="10"/>
    <x v="3"/>
    <s v="OP-DYR-011"/>
    <x v="248"/>
    <d v="2025-12-26T00:00:00"/>
    <n v="28"/>
    <x v="0"/>
    <n v="17"/>
    <n v="0"/>
    <n v="0"/>
    <n v="1"/>
    <n v="0"/>
    <n v="1"/>
    <n v="0"/>
    <n v="0"/>
    <n v="0"/>
    <n v="0"/>
    <n v="0"/>
    <n v="0"/>
    <s v="https://www.clickideacore.com/ClickHTML5/Visit.aspx?ID=//57DAEwASwAzADcANwA0ADAAOQA3ADIASQBEAEUAQQA2=&amp;Tipo=2&amp;ST=1&amp;nLang=0"/>
    <n v="0"/>
    <n v="0"/>
    <n v="1"/>
    <n v="0"/>
    <n v="0"/>
    <n v="0"/>
    <n v="0"/>
    <n v="0"/>
  </r>
  <r>
    <x v="4"/>
    <x v="8"/>
    <s v="OP-S-100"/>
    <x v="248"/>
    <d v="2025-12-26T00:00:00"/>
    <n v="18"/>
    <x v="0"/>
    <n v="20"/>
    <n v="0"/>
    <n v="0"/>
    <n v="0"/>
    <n v="0"/>
    <n v="0"/>
    <n v="0"/>
    <n v="0"/>
    <n v="0"/>
    <n v="2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9"/>
    <x v="6"/>
    <s v="OP-S-100"/>
    <x v="248"/>
    <d v="2025-12-26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"/>
    <x v="6"/>
    <s v="OP-S-076"/>
    <x v="248"/>
    <d v="2025-12-2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010"/>
    <x v="248"/>
    <d v="2025-12-26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48"/>
    <d v="2025-12-26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248"/>
    <d v="2025-12-26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2"/>
    <x v="6"/>
    <s v="OP-DYR-00001"/>
    <x v="249"/>
    <d v="2025-12-27T00:00:00"/>
    <n v="47"/>
    <x v="0"/>
    <n v="0"/>
    <n v="0"/>
    <n v="0"/>
    <n v="0"/>
    <n v="0"/>
    <n v="0"/>
    <n v="0"/>
    <n v="1"/>
    <n v="0"/>
    <n v="0"/>
    <n v="1"/>
    <n v="0"/>
    <s v="https://www.clickideacore.com/ClickHTML5/Visit.aspx?ID=//5CDAEwASwAzADcANwA1ADcAOQA0ADMASQBEAEUAQQA9=&amp;Tipo=2&amp;ST=1&amp;nLang=0"/>
    <n v="0"/>
    <n v="0"/>
    <n v="0"/>
    <n v="0"/>
    <n v="0"/>
    <n v="0"/>
    <n v="0"/>
    <n v="0"/>
  </r>
  <r>
    <x v="19"/>
    <x v="6"/>
    <s v="OP-DYR-00001"/>
    <x v="249"/>
    <d v="2025-12-27T00:00:00"/>
    <n v="47"/>
    <x v="0"/>
    <n v="0"/>
    <n v="0"/>
    <n v="0"/>
    <n v="0"/>
    <n v="0"/>
    <n v="0"/>
    <n v="0"/>
    <n v="1"/>
    <n v="0"/>
    <n v="0"/>
    <n v="1"/>
    <n v="0"/>
    <s v="https://www.clickideacore.com/ClickHTML5/Visit.aspx?ID=//5CDAEwASwAzADcANwA1ADcAOQA0ADMASQBEAEUAQQA9=&amp;Tipo=2&amp;ST=1&amp;nLang=0"/>
    <n v="0"/>
    <n v="0"/>
    <n v="0"/>
    <n v="0"/>
    <n v="0"/>
    <n v="0"/>
    <n v="0"/>
    <n v="0"/>
  </r>
  <r>
    <x v="5"/>
    <x v="4"/>
    <s v="OP-S-005"/>
    <x v="249"/>
    <d v="2025-12-27T00:00:00"/>
    <n v="63"/>
    <x v="0"/>
    <n v="0"/>
    <n v="0"/>
    <n v="0"/>
    <n v="0"/>
    <n v="0"/>
    <n v="0"/>
    <n v="0"/>
    <n v="1"/>
    <n v="0"/>
    <n v="6"/>
    <n v="1"/>
    <n v="0"/>
    <s v="https://www.clickideacore.com/ClickHTML5/Visit.aspx?ID=//56DAEwASwAzADcANwA1ADgANQAyADUASQBEAEUAQQAA=&amp;Tipo=2&amp;ST=1&amp;nLang=0"/>
    <n v="16"/>
    <n v="0"/>
    <n v="0"/>
    <n v="0"/>
    <n v="0"/>
    <n v="0"/>
    <n v="1"/>
    <n v="0"/>
  </r>
  <r>
    <x v="0"/>
    <x v="29"/>
    <s v="OP-S-100"/>
    <x v="249"/>
    <d v="2025-12-27T00:00:00"/>
    <n v="61"/>
    <x v="0"/>
    <n v="0"/>
    <n v="0"/>
    <n v="0"/>
    <n v="0"/>
    <n v="0"/>
    <n v="0"/>
    <n v="0"/>
    <n v="1"/>
    <n v="0"/>
    <n v="2"/>
    <n v="1"/>
    <n v="0"/>
    <s v="https://www.clickideacore.com/ClickHTML5/Visit.aspx?ID=//5ADAEwASwAzADcANwA1ADgANwAxADcASQBEAEUAQQA6=&amp;Tipo=2&amp;ST=1&amp;nLang=0"/>
    <n v="12"/>
    <n v="0"/>
    <n v="0"/>
    <n v="0"/>
    <n v="0"/>
    <n v="0"/>
    <n v="0"/>
    <n v="0"/>
  </r>
  <r>
    <x v="17"/>
    <x v="31"/>
    <s v="OP-DYR-00001"/>
    <x v="249"/>
    <d v="2025-12-27T00:00:00"/>
    <n v="47"/>
    <x v="0"/>
    <n v="0"/>
    <n v="0"/>
    <n v="0"/>
    <n v="0"/>
    <n v="0"/>
    <n v="0"/>
    <n v="0"/>
    <n v="1"/>
    <n v="0"/>
    <n v="0"/>
    <n v="1"/>
    <n v="0"/>
    <s v="https://www.clickideacore.com/ClickHTML5/Visit.aspx?ID=//5CDAEwASwAzADcANwA1ADcAOQA0ADMASQBEAEUAQQA9=&amp;Tipo=2&amp;ST=1&amp;nLang=0"/>
    <n v="0"/>
    <n v="0"/>
    <n v="0"/>
    <n v="0"/>
    <n v="0"/>
    <n v="0"/>
    <n v="0"/>
    <n v="0"/>
  </r>
  <r>
    <x v="13"/>
    <x v="22"/>
    <s v="OP-DYR-00001"/>
    <x v="249"/>
    <d v="2025-12-27T00:00:00"/>
    <n v="47"/>
    <x v="0"/>
    <n v="0"/>
    <n v="0"/>
    <n v="0"/>
    <n v="0"/>
    <n v="0"/>
    <n v="0"/>
    <n v="0"/>
    <n v="1"/>
    <n v="0"/>
    <n v="0"/>
    <n v="1"/>
    <n v="0"/>
    <s v="https://www.clickideacore.com/ClickHTML5/Visit.aspx?ID=//5CDAEwASwAzADcANwA1ADcAOQA0ADMASQBEAEUAQQA9=&amp;Tipo=2&amp;ST=1&amp;nLang=0"/>
    <n v="0"/>
    <n v="0"/>
    <n v="0"/>
    <n v="0"/>
    <n v="0"/>
    <n v="0"/>
    <n v="0"/>
    <n v="0"/>
  </r>
  <r>
    <x v="11"/>
    <x v="17"/>
    <s v="OP-SDYR-001"/>
    <x v="249"/>
    <d v="2025-12-27T00:00:00"/>
    <n v="28"/>
    <x v="0"/>
    <n v="0"/>
    <n v="0"/>
    <n v="0"/>
    <n v="0"/>
    <n v="0"/>
    <n v="0"/>
    <n v="0"/>
    <n v="1"/>
    <n v="0"/>
    <n v="2"/>
    <n v="1"/>
    <n v="0"/>
    <s v="https://www.clickideacore.com/ClickHTML5/Visit.aspx?ID=//50DAEwASwAzADcANwA1ADcAMwAxADEASQBEAEUAQQA0=&amp;Tipo=2&amp;ST=1&amp;nLang=0"/>
    <n v="14"/>
    <n v="0"/>
    <n v="0"/>
    <n v="0"/>
    <n v="0"/>
    <n v="0"/>
    <n v="0"/>
    <n v="0"/>
  </r>
  <r>
    <x v="2"/>
    <x v="2"/>
    <s v="OP-S-200"/>
    <x v="249"/>
    <d v="2025-12-27T00:00:00"/>
    <n v="18"/>
    <x v="0"/>
    <n v="0"/>
    <n v="0"/>
    <n v="0"/>
    <n v="0"/>
    <n v="0"/>
    <n v="0"/>
    <n v="0"/>
    <n v="1"/>
    <n v="0"/>
    <n v="0"/>
    <n v="1"/>
    <n v="0"/>
    <s v="https://www.clickideacore.com/ClickHTML5/Visit.aspx?ID=//55DAEwASwAzADcANwA1ADgAMQAyADMASQBEAEUAQQA2=&amp;Tipo=2&amp;ST=1&amp;nLang=0"/>
    <n v="18"/>
    <n v="0"/>
    <n v="0"/>
    <n v="0"/>
    <n v="0"/>
    <n v="0"/>
    <n v="0"/>
    <n v="0"/>
  </r>
  <r>
    <x v="4"/>
    <x v="8"/>
    <s v="OP-S-0010"/>
    <x v="249"/>
    <d v="2025-12-27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3"/>
    <s v="OP-DYR-004"/>
    <x v="249"/>
    <d v="2025-12-27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9"/>
    <x v="0"/>
    <s v="OP-S-0010"/>
    <x v="249"/>
    <d v="2025-12-27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49"/>
    <d v="2025-12-27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6"/>
    <s v="OP-S-076"/>
    <x v="249"/>
    <d v="2025-12-2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49"/>
    <d v="2025-12-27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2"/>
    <x v="6"/>
    <s v="OP-S-100"/>
    <x v="250"/>
    <d v="2025-12-28T00:00:00"/>
    <n v="22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NwA2ADQANgAwADUASQBEAEUAQQA7=&amp;Tipo=2&amp;ST=1&amp;nLang=0"/>
    <n v="0"/>
    <n v="0"/>
    <n v="0"/>
    <n v="0"/>
    <n v="0"/>
    <n v="0"/>
    <n v="0"/>
    <n v="0"/>
  </r>
  <r>
    <x v="19"/>
    <x v="6"/>
    <s v="OP-S-100"/>
    <x v="250"/>
    <d v="2025-12-28T00:00:00"/>
    <n v="22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NwA2ADQANgAwADUASQBEAEUAQQA7=&amp;Tipo=2&amp;ST=1&amp;nLang=0"/>
    <n v="0"/>
    <n v="0"/>
    <n v="0"/>
    <n v="0"/>
    <n v="0"/>
    <n v="0"/>
    <n v="0"/>
    <n v="0"/>
  </r>
  <r>
    <x v="5"/>
    <x v="4"/>
    <s v="OP-S-005"/>
    <x v="250"/>
    <d v="2025-12-28T00:00:00"/>
    <n v="43"/>
    <x v="0"/>
    <n v="0"/>
    <n v="0"/>
    <n v="0"/>
    <n v="0"/>
    <n v="0"/>
    <n v="0"/>
    <n v="0"/>
    <n v="0"/>
    <n v="1"/>
    <n v="4"/>
    <n v="0"/>
    <n v="1"/>
    <s v="https://www.clickideacore.com/ClickHTML5/Visit.aspx?ID=//5BDAEwASwAzADcANwA2ADUANAAyADAASQBEAEUAQQA8=&amp;Tipo=2&amp;ST=1&amp;nLang=0"/>
    <n v="15"/>
    <n v="0"/>
    <n v="0"/>
    <n v="0"/>
    <n v="0"/>
    <n v="0"/>
    <n v="0"/>
    <n v="1"/>
  </r>
  <r>
    <x v="0"/>
    <x v="29"/>
    <s v="OP-S-100"/>
    <x v="250"/>
    <d v="2025-12-28T00:00:00"/>
    <n v="22"/>
    <x v="0"/>
    <n v="0"/>
    <n v="0"/>
    <n v="0"/>
    <n v="0"/>
    <n v="0"/>
    <n v="0"/>
    <n v="0"/>
    <n v="0"/>
    <n v="1"/>
    <n v="1"/>
    <n v="0"/>
    <n v="1"/>
    <s v="https://www.clickideacore.com/ClickHTML5/Visit.aspx?ID=//5DDAEwASwAzADcANwA2ADQANgAwADUASQBEAEUAQQA7=&amp;Tipo=2&amp;ST=1&amp;nLang=0"/>
    <n v="16"/>
    <n v="0"/>
    <n v="0"/>
    <n v="0"/>
    <n v="0"/>
    <n v="0"/>
    <n v="0"/>
    <n v="0"/>
  </r>
  <r>
    <x v="17"/>
    <x v="31"/>
    <s v="OP-DYR-00001"/>
    <x v="250"/>
    <d v="2025-12-28T00:00:00"/>
    <n v="57"/>
    <x v="0"/>
    <n v="0"/>
    <n v="0"/>
    <n v="0"/>
    <n v="0"/>
    <n v="0"/>
    <n v="0"/>
    <n v="0"/>
    <n v="0"/>
    <n v="1"/>
    <n v="1"/>
    <n v="0"/>
    <n v="1"/>
    <s v="https://www.clickideacore.com/ClickHTML5/Visit.aspx?ID=//57DAEwASwAzADcANwA2ADQAOAAzADIASQBEAEUAQQAA=&amp;Tipo=2&amp;ST=1&amp;nLang=0"/>
    <n v="20"/>
    <n v="0"/>
    <n v="0"/>
    <n v="0"/>
    <n v="0"/>
    <n v="0"/>
    <n v="0"/>
    <n v="0"/>
  </r>
  <r>
    <x v="13"/>
    <x v="22"/>
    <s v="OP-DYR-00001"/>
    <x v="250"/>
    <d v="2025-12-28T00:00:00"/>
    <n v="57"/>
    <x v="0"/>
    <n v="0"/>
    <n v="0"/>
    <n v="0"/>
    <n v="0"/>
    <n v="0"/>
    <n v="0"/>
    <n v="0"/>
    <n v="0"/>
    <n v="1"/>
    <n v="1"/>
    <n v="0"/>
    <n v="1"/>
    <s v="https://www.clickideacore.com/ClickHTML5/Visit.aspx?ID=//57DAEwASwAzADcANwA2ADQAOAAzADIASQBEAEUAQQAA=&amp;Tipo=2&amp;ST=1&amp;nLang=0"/>
    <n v="20"/>
    <n v="0"/>
    <n v="0"/>
    <n v="0"/>
    <n v="0"/>
    <n v="0"/>
    <n v="0"/>
    <n v="0"/>
  </r>
  <r>
    <x v="11"/>
    <x v="17"/>
    <s v="OP-SDYR-001"/>
    <x v="250"/>
    <d v="2025-12-28T00:00:00"/>
    <n v="24"/>
    <x v="0"/>
    <n v="0"/>
    <n v="0"/>
    <n v="0"/>
    <n v="0"/>
    <n v="0"/>
    <n v="0"/>
    <n v="0"/>
    <n v="0"/>
    <n v="1"/>
    <n v="0"/>
    <n v="0"/>
    <n v="1"/>
    <s v="https://www.clickideacore.com/ClickHTML5/Visit.aspx?ID=//5DDAEwASwAzADcANwA2ADQAMgA4ADAASQBEAEUAQQA7=&amp;Tipo=2&amp;ST=1&amp;nLang=0"/>
    <n v="18"/>
    <n v="0"/>
    <n v="0"/>
    <n v="0"/>
    <n v="0"/>
    <n v="0"/>
    <n v="0"/>
    <n v="0"/>
  </r>
  <r>
    <x v="2"/>
    <x v="2"/>
    <s v="OP-S-200"/>
    <x v="250"/>
    <d v="2025-12-28T00:00:00"/>
    <n v="14"/>
    <x v="0"/>
    <n v="0"/>
    <n v="0"/>
    <n v="0"/>
    <n v="0"/>
    <n v="0"/>
    <n v="0"/>
    <n v="0"/>
    <n v="0"/>
    <n v="1"/>
    <n v="0"/>
    <n v="0"/>
    <n v="1"/>
    <s v="https://www.clickideacore.com/ClickHTML5/Visit.aspx?ID=//5EDAEwASwAzADcANwA2ADQAOQA5ADEASQBEAEUAQQAE=&amp;Tipo=2&amp;ST=1&amp;nLang=0"/>
    <n v="15"/>
    <n v="0"/>
    <n v="0"/>
    <n v="0"/>
    <n v="0"/>
    <n v="0"/>
    <n v="0"/>
    <n v="0"/>
  </r>
  <r>
    <x v="4"/>
    <x v="8"/>
    <s v="OP-S-0010"/>
    <x v="250"/>
    <d v="2025-12-28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0"/>
    <x v="3"/>
    <s v="OP-DYR-004"/>
    <x v="250"/>
    <d v="2025-12-28T00:00:00"/>
    <n v="25"/>
    <x v="5"/>
    <n v="0"/>
    <n v="0"/>
    <n v="0"/>
    <n v="0"/>
    <n v="0"/>
    <n v="0"/>
    <n v="0"/>
    <n v="0"/>
    <n v="0"/>
    <n v="0"/>
    <n v="0"/>
    <n v="0"/>
    <s v="https://www.clickideacore.com/ClickHTML5/Visit.aspx?ID=//58DAEwASwAzADcANAAxADYAOQA2ADkASQBEAEUAQQA6=&amp;Tipo=2&amp;ST=1&amp;nLang=0"/>
    <n v="0"/>
    <n v="0"/>
    <n v="0"/>
    <n v="0"/>
    <n v="0"/>
    <n v="0"/>
    <n v="0"/>
    <n v="0"/>
  </r>
  <r>
    <x v="9"/>
    <x v="0"/>
    <s v="OP-S-0010"/>
    <x v="250"/>
    <d v="2025-12-28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0"/>
    <d v="2025-12-28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6"/>
    <s v="OP-S-076"/>
    <x v="250"/>
    <d v="2025-12-2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0"/>
    <d v="2025-12-28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29"/>
    <s v="OP-S-100"/>
    <x v="251"/>
    <d v="2025-12-29T00:00:00"/>
    <n v="44"/>
    <x v="0"/>
    <n v="7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1"/>
    <n v="0"/>
    <n v="0"/>
    <n v="0"/>
    <n v="0"/>
    <n v="0"/>
  </r>
  <r>
    <x v="2"/>
    <x v="2"/>
    <s v="OP-S-100"/>
    <x v="251"/>
    <d v="2025-12-29T00:00:00"/>
    <n v="18"/>
    <x v="0"/>
    <n v="6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5"/>
    <x v="4"/>
    <s v="OP-S-005"/>
    <x v="251"/>
    <d v="2025-12-29T00:00:00"/>
    <n v="37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1"/>
    <x v="17"/>
    <s v="OP-SDYR-001"/>
    <x v="251"/>
    <d v="2025-12-29T00:00:00"/>
    <n v="22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7"/>
    <x v="1"/>
    <s v="OP-DYR-00001"/>
    <x v="251"/>
    <d v="2025-12-29T00:00:00"/>
    <n v="63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4"/>
    <x v="6"/>
    <s v="OP-DYR-005"/>
    <x v="251"/>
    <d v="2025-12-29T00:00:00"/>
    <n v="18"/>
    <x v="0"/>
    <n v="0"/>
    <n v="0"/>
    <n v="0"/>
    <n v="0"/>
    <n v="0"/>
    <n v="0"/>
    <n v="0"/>
    <n v="0"/>
    <n v="0"/>
    <n v="2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2"/>
    <x v="6"/>
    <s v="OP-DYR-005"/>
    <x v="251"/>
    <d v="2025-12-29T00:00:00"/>
    <n v="18"/>
    <x v="0"/>
    <n v="0"/>
    <n v="0"/>
    <n v="0"/>
    <n v="0"/>
    <n v="0"/>
    <n v="0"/>
    <n v="0"/>
    <n v="0"/>
    <n v="0"/>
    <n v="2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DYR-005"/>
    <x v="251"/>
    <d v="2025-12-29T00:00:00"/>
    <n v="18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0"/>
    <x v="6"/>
    <s v="OP-DYR-005"/>
    <x v="251"/>
    <d v="2025-12-29T00:00:00"/>
    <n v="18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9"/>
    <x v="6"/>
    <s v="OP-S-100"/>
    <x v="251"/>
    <d v="2025-12-29T00:00:00"/>
    <n v="18"/>
    <x v="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"/>
    <x v="6"/>
    <s v="OP-S-076"/>
    <x v="251"/>
    <d v="2025-12-2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010"/>
    <x v="251"/>
    <d v="2025-12-29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251"/>
    <d v="2025-12-29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3"/>
    <s v="OP-S-0010"/>
    <x v="251"/>
    <d v="2025-12-29T00:00:00"/>
    <n v="0"/>
    <x v="1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251"/>
    <d v="2025-12-29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52"/>
    <d v="2025-12-30T00:00:00"/>
    <n v="18"/>
    <x v="0"/>
    <n v="24"/>
    <n v="0"/>
    <n v="1"/>
    <n v="1"/>
    <n v="0"/>
    <n v="0"/>
    <n v="1"/>
    <n v="0"/>
    <n v="0"/>
    <n v="0"/>
    <n v="0"/>
    <n v="0"/>
    <s v="https://www.clickideacore.com/ClickHTML5/Visit.aspx?ID=//5FDAEwASwAzADcANwA5ADcANQA1ADIASQBEAEUAQQA3=&amp;Tipo=2&amp;ST=1&amp;nLang=0"/>
    <n v="0"/>
    <n v="0"/>
    <n v="0"/>
    <n v="0"/>
    <n v="0"/>
    <n v="0"/>
    <n v="0"/>
    <n v="0"/>
  </r>
  <r>
    <x v="12"/>
    <x v="34"/>
    <s v="OP-DYR-005"/>
    <x v="252"/>
    <d v="2025-12-30T00:00:00"/>
    <n v="18"/>
    <x v="0"/>
    <n v="20"/>
    <n v="0"/>
    <n v="0"/>
    <n v="0"/>
    <n v="1"/>
    <n v="1"/>
    <n v="0"/>
    <n v="0"/>
    <n v="0"/>
    <n v="0"/>
    <n v="0"/>
    <n v="0"/>
    <s v="https://www.clickideacore.com/ClickHTML5/Visit.aspx?ID=//5FDAEwASwAzADcANwA5ADcANQA1ADIASQBEAEUAQQA3=&amp;Tipo=2&amp;ST=1&amp;nLang=0"/>
    <n v="0"/>
    <n v="10"/>
    <n v="0"/>
    <n v="0"/>
    <n v="0"/>
    <n v="0"/>
    <n v="0"/>
    <n v="0"/>
  </r>
  <r>
    <x v="19"/>
    <x v="6"/>
    <s v="OP-DYR-005"/>
    <x v="252"/>
    <d v="2025-12-30T00:00:00"/>
    <n v="18"/>
    <x v="0"/>
    <n v="20"/>
    <n v="0"/>
    <n v="0"/>
    <n v="0"/>
    <n v="1"/>
    <n v="1"/>
    <n v="0"/>
    <n v="0"/>
    <n v="0"/>
    <n v="0"/>
    <n v="0"/>
    <n v="0"/>
    <s v="https://www.clickideacore.com/ClickHTML5/Visit.aspx?ID=//5FDAEwASwAzADcANwA5ADcANQA1ADIASQBEAEUAQQA3=&amp;Tipo=2&amp;ST=1&amp;nLang=0"/>
    <n v="0"/>
    <n v="10"/>
    <n v="0"/>
    <n v="0"/>
    <n v="0"/>
    <n v="0"/>
    <n v="0"/>
    <n v="0"/>
  </r>
  <r>
    <x v="2"/>
    <x v="2"/>
    <s v="OP-DYR-005"/>
    <x v="252"/>
    <d v="2025-12-30T00:00:00"/>
    <n v="18"/>
    <x v="0"/>
    <n v="18"/>
    <n v="0"/>
    <n v="0"/>
    <n v="1"/>
    <n v="0"/>
    <n v="0"/>
    <n v="0"/>
    <n v="0"/>
    <n v="0"/>
    <n v="0"/>
    <n v="0"/>
    <n v="0"/>
    <s v="https://www.clickideacore.com/ClickHTML5/Visit.aspx?ID=//5FDAEwASwAzADcANwA5ADcANQA1ADIASQBEAEUAQQA3=&amp;Tipo=2&amp;ST=1&amp;nLang=0"/>
    <n v="0"/>
    <n v="35"/>
    <n v="0"/>
    <n v="0"/>
    <n v="0"/>
    <n v="0"/>
    <n v="0"/>
    <n v="0"/>
  </r>
  <r>
    <x v="0"/>
    <x v="29"/>
    <s v="OP-S-100"/>
    <x v="252"/>
    <d v="2025-12-30T00:00:00"/>
    <n v="44"/>
    <x v="0"/>
    <n v="36"/>
    <n v="0"/>
    <n v="0"/>
    <n v="1"/>
    <n v="0"/>
    <n v="0"/>
    <n v="0"/>
    <n v="0"/>
    <n v="0"/>
    <n v="0"/>
    <n v="0"/>
    <n v="0"/>
    <s v="https://www.clickideacore.com/ClickHTML5/Visit.aspx?ID=//57DAEwASwAzADcANwA5ADkAMQAwADYASQBEAEUAQQAA=&amp;Tipo=2&amp;ST=1&amp;nLang=0"/>
    <n v="0"/>
    <n v="23"/>
    <n v="0"/>
    <n v="0"/>
    <n v="0"/>
    <n v="0"/>
    <n v="0"/>
    <n v="0"/>
  </r>
  <r>
    <x v="5"/>
    <x v="4"/>
    <s v="OP-S-005"/>
    <x v="252"/>
    <d v="2025-12-30T00:00:00"/>
    <n v="37"/>
    <x v="0"/>
    <n v="80"/>
    <n v="0"/>
    <n v="1"/>
    <n v="1"/>
    <n v="0"/>
    <n v="0"/>
    <n v="0"/>
    <n v="0"/>
    <n v="0"/>
    <n v="0"/>
    <n v="0"/>
    <n v="0"/>
    <s v="https://www.clickideacore.com/ClickHTML5/Visit.aspx?ID=//53DAEwASwAzADcAOAAwADAAOAA2ADkASQBEAEUAQQA4=&amp;Tipo=2&amp;ST=1&amp;nLang=0"/>
    <n v="0"/>
    <n v="0"/>
    <n v="0"/>
    <n v="0"/>
    <n v="0"/>
    <n v="0"/>
    <n v="0"/>
    <n v="0"/>
  </r>
  <r>
    <x v="11"/>
    <x v="17"/>
    <s v="OP-SDYR-001"/>
    <x v="252"/>
    <d v="2025-12-30T00:00:00"/>
    <n v="22"/>
    <x v="0"/>
    <n v="39"/>
    <n v="0"/>
    <n v="0"/>
    <n v="1"/>
    <n v="0"/>
    <n v="0"/>
    <n v="0"/>
    <n v="0"/>
    <n v="0"/>
    <n v="0"/>
    <n v="0"/>
    <n v="0"/>
    <s v="https://www.clickideacore.com/ClickHTML5/Visit.aspx?ID=//5EDAEwASwAzADcANwA5ADQAOQAwADkASQBEAEUAQQA1=&amp;Tipo=2&amp;ST=1&amp;nLang=0"/>
    <n v="0"/>
    <n v="22"/>
    <n v="0"/>
    <n v="0"/>
    <n v="0"/>
    <n v="0"/>
    <n v="0"/>
    <n v="0"/>
  </r>
  <r>
    <x v="17"/>
    <x v="1"/>
    <s v="OP-DYR-00001"/>
    <x v="252"/>
    <d v="2025-12-30T00:00:00"/>
    <n v="63"/>
    <x v="0"/>
    <n v="27"/>
    <n v="0"/>
    <n v="0"/>
    <n v="1"/>
    <n v="0"/>
    <n v="0"/>
    <n v="0"/>
    <n v="0"/>
    <n v="0"/>
    <n v="0"/>
    <n v="0"/>
    <n v="0"/>
    <s v="https://www.clickideacore.com/ClickHTML5/Visit.aspx?ID=//5CDAEwASwAzADcANwA5ADYANgA1ADEASQBEAEUAQQA0=&amp;Tipo=2&amp;ST=1&amp;nLang=0"/>
    <n v="0"/>
    <n v="10"/>
    <n v="1"/>
    <n v="0"/>
    <n v="0"/>
    <n v="0"/>
    <n v="0"/>
    <n v="0"/>
  </r>
  <r>
    <x v="10"/>
    <x v="3"/>
    <s v="OP-DYR-005"/>
    <x v="252"/>
    <d v="2025-12-30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"/>
    <x v="6"/>
    <s v="OP-S-076"/>
    <x v="252"/>
    <d v="2025-12-3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010"/>
    <x v="252"/>
    <d v="2025-12-30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2"/>
    <d v="2025-12-30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252"/>
    <d v="2025-12-30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11"/>
    <x v="253"/>
    <d v="2025-12-31T00:00:00"/>
    <n v="32"/>
    <x v="0"/>
    <n v="28"/>
    <n v="0"/>
    <n v="1"/>
    <n v="1"/>
    <n v="0"/>
    <n v="0"/>
    <n v="0"/>
    <n v="0"/>
    <n v="0"/>
    <n v="0"/>
    <n v="0"/>
    <n v="0"/>
    <s v="https://www.clickideacore.com/ClickHTML5/Visit.aspx?ID=//56DAEwASwAzADcAOAAxADAAOQA2ADUASQBEAEUAQQA2=&amp;Tipo=2&amp;ST=1&amp;nLang=0"/>
    <n v="0"/>
    <n v="17"/>
    <n v="0"/>
    <n v="0"/>
    <n v="0"/>
    <n v="0"/>
    <n v="0"/>
    <n v="0"/>
  </r>
  <r>
    <x v="12"/>
    <x v="6"/>
    <s v="OP-DYR-011"/>
    <x v="253"/>
    <d v="2025-12-31T00:00:00"/>
    <n v="32"/>
    <x v="0"/>
    <n v="11"/>
    <n v="0"/>
    <n v="0"/>
    <n v="0"/>
    <n v="1"/>
    <n v="0"/>
    <n v="0"/>
    <n v="0"/>
    <n v="0"/>
    <n v="0"/>
    <n v="0"/>
    <n v="0"/>
    <s v="https://www.clickideacore.com/ClickHTML5/Visit.aspx?ID=//56DAEwASwAzADcAOAAxADAAOQA2ADUASQBEAEUAQQA2=&amp;Tipo=2&amp;ST=1&amp;nLang=0"/>
    <n v="0"/>
    <n v="0"/>
    <n v="0"/>
    <n v="0"/>
    <n v="0"/>
    <n v="0"/>
    <n v="0"/>
    <n v="0"/>
  </r>
  <r>
    <x v="19"/>
    <x v="6"/>
    <s v="OP-DYR-011"/>
    <x v="253"/>
    <d v="2025-12-31T00:00:00"/>
    <n v="32"/>
    <x v="0"/>
    <n v="11"/>
    <n v="0"/>
    <n v="0"/>
    <n v="0"/>
    <n v="1"/>
    <n v="0"/>
    <n v="0"/>
    <n v="0"/>
    <n v="0"/>
    <n v="0"/>
    <n v="0"/>
    <n v="0"/>
    <s v="https://www.clickideacore.com/ClickHTML5/Visit.aspx?ID=//56DAEwASwAzADcAOAAxADAAOQA2ADUASQBEAEUAQQA2=&amp;Tipo=2&amp;ST=1&amp;nLang=0"/>
    <n v="0"/>
    <n v="0"/>
    <n v="0"/>
    <n v="0"/>
    <n v="0"/>
    <n v="0"/>
    <n v="0"/>
    <n v="0"/>
  </r>
  <r>
    <x v="2"/>
    <x v="2"/>
    <s v="OP-S-200"/>
    <x v="253"/>
    <d v="2025-12-31T00:00:00"/>
    <n v="37"/>
    <x v="0"/>
    <n v="24"/>
    <n v="0"/>
    <n v="1"/>
    <n v="1"/>
    <n v="0"/>
    <n v="0"/>
    <n v="0"/>
    <n v="0"/>
    <n v="0"/>
    <n v="0"/>
    <n v="0"/>
    <n v="0"/>
    <s v="https://www.clickideacore.com/ClickHTML5/Visit.aspx?ID=//5FDAEwASwAzADcAOAAxADEAMQA5ADQASQBEAEUAQQA1=&amp;Tipo=2&amp;ST=1&amp;nLang=0"/>
    <n v="0"/>
    <n v="17"/>
    <n v="0"/>
    <n v="0"/>
    <n v="0"/>
    <n v="0"/>
    <n v="0"/>
    <n v="0"/>
  </r>
  <r>
    <x v="0"/>
    <x v="29"/>
    <s v="OP-S-100"/>
    <x v="253"/>
    <d v="2025-12-31T00:00:00"/>
    <n v="3325"/>
    <x v="0"/>
    <n v="42"/>
    <n v="0"/>
    <n v="1"/>
    <n v="1"/>
    <n v="0"/>
    <n v="0"/>
    <n v="0"/>
    <n v="0"/>
    <n v="0"/>
    <n v="0"/>
    <n v="0"/>
    <n v="0"/>
    <s v="https://www.clickideacore.com/ClickHTML5/Visit.aspx?ID=//57DAEwASwAzADcAOAAxADEAMwA1ADMASQBEAEUAQQAD=&amp;Tipo=2&amp;ST=1&amp;nLang=0"/>
    <n v="0"/>
    <n v="0"/>
    <n v="0"/>
    <n v="0"/>
    <n v="0"/>
    <n v="0"/>
    <n v="0"/>
    <n v="0"/>
  </r>
  <r>
    <x v="10"/>
    <x v="3"/>
    <s v="OP-DYR-011"/>
    <x v="253"/>
    <d v="2025-12-31T00:00:00"/>
    <n v="32"/>
    <x v="0"/>
    <n v="41"/>
    <n v="0"/>
    <n v="1"/>
    <n v="1"/>
    <n v="0"/>
    <n v="0"/>
    <n v="0"/>
    <n v="0"/>
    <n v="0"/>
    <n v="0"/>
    <n v="0"/>
    <n v="0"/>
    <s v="https://www.clickideacore.com/ClickHTML5/Visit.aspx?ID=//56DAEwASwAzADcAOAAxADAAOQA2ADUASQBEAEUAQQA2=&amp;Tipo=2&amp;ST=1&amp;nLang=0"/>
    <n v="0"/>
    <n v="0"/>
    <n v="0"/>
    <n v="0"/>
    <n v="0"/>
    <n v="0"/>
    <n v="0"/>
    <n v="0"/>
  </r>
  <r>
    <x v="11"/>
    <x v="17"/>
    <s v="OP-SDYR-001"/>
    <x v="253"/>
    <d v="2025-12-31T00:00:00"/>
    <n v="64"/>
    <x v="0"/>
    <n v="22"/>
    <n v="0"/>
    <n v="1"/>
    <n v="0"/>
    <n v="1"/>
    <n v="0"/>
    <n v="0"/>
    <n v="0"/>
    <n v="0"/>
    <n v="0"/>
    <n v="0"/>
    <n v="0"/>
    <s v="https://www.clickideacore.com/ClickHTML5/Visit.aspx?ID=//54DAEwASwAzADcAOAAxADEAMAAwADgASQBEAEUAQQA5=&amp;Tipo=2&amp;ST=1&amp;nLang=0"/>
    <n v="0"/>
    <n v="0"/>
    <n v="0"/>
    <n v="0"/>
    <n v="0"/>
    <n v="0"/>
    <n v="0"/>
    <n v="0"/>
  </r>
  <r>
    <x v="17"/>
    <x v="6"/>
    <s v="OP-SDYR-001"/>
    <x v="253"/>
    <d v="2025-12-31T00:00:00"/>
    <n v="64"/>
    <x v="0"/>
    <n v="15"/>
    <n v="0"/>
    <n v="1"/>
    <n v="1"/>
    <n v="0"/>
    <n v="0"/>
    <n v="0"/>
    <n v="0"/>
    <n v="0"/>
    <n v="0"/>
    <n v="0"/>
    <n v="0"/>
    <s v="https://www.clickideacore.com/ClickHTML5/Visit.aspx?ID=//54DAEwASwAzADcAOAAxADEAMAAwADgASQBEAEUAQQA5=&amp;Tipo=2&amp;ST=1&amp;nLang=0"/>
    <n v="0"/>
    <n v="0"/>
    <n v="0"/>
    <n v="0"/>
    <n v="0"/>
    <n v="0"/>
    <n v="0"/>
    <n v="0"/>
  </r>
  <r>
    <x v="5"/>
    <x v="4"/>
    <s v="OP-DYR-005"/>
    <x v="253"/>
    <d v="2025-12-31T00:00:00"/>
    <n v="18"/>
    <x v="1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1"/>
    <s v="OP-DYR-005"/>
    <x v="253"/>
    <d v="2025-12-31T00:00:00"/>
    <n v="18"/>
    <x v="1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"/>
    <x v="6"/>
    <s v="OP-S-076"/>
    <x v="253"/>
    <d v="2025-12-3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010"/>
    <x v="253"/>
    <d v="2025-12-31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3"/>
    <d v="2025-12-31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253"/>
    <d v="2025-12-31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54"/>
    <d v="2026-01-01T00:00:00"/>
    <n v="24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OAAxADYANAA2ADUASQBEAEUAQQA0=&amp;Tipo=2&amp;ST=1&amp;nLang=0"/>
    <n v="0"/>
    <n v="0"/>
    <n v="0"/>
    <n v="0"/>
    <n v="0"/>
    <n v="0"/>
    <n v="0"/>
    <n v="0"/>
  </r>
  <r>
    <x v="12"/>
    <x v="4"/>
    <s v="OP-DYR-005"/>
    <x v="254"/>
    <d v="2026-01-01T00:00:00"/>
    <n v="24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OAAxADYANAA2ADUASQBEAEUAQQA0=&amp;Tipo=2&amp;ST=1&amp;nLang=0"/>
    <n v="0"/>
    <n v="0"/>
    <n v="0"/>
    <n v="0"/>
    <n v="0"/>
    <n v="0"/>
    <n v="0"/>
    <n v="1"/>
  </r>
  <r>
    <x v="2"/>
    <x v="2"/>
    <s v="OP-DYR-005"/>
    <x v="254"/>
    <d v="2026-01-01T00:00:00"/>
    <n v="24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OAAxADYANAA2ADUASQBEAEUAQQA0=&amp;Tipo=2&amp;ST=1&amp;nLang=0"/>
    <n v="0"/>
    <n v="0"/>
    <n v="0"/>
    <n v="0"/>
    <n v="0"/>
    <n v="0"/>
    <n v="0"/>
    <n v="0"/>
  </r>
  <r>
    <x v="0"/>
    <x v="29"/>
    <s v="OP-DYR-005"/>
    <x v="254"/>
    <d v="2026-01-01T00:00:00"/>
    <n v="24"/>
    <x v="0"/>
    <n v="0"/>
    <n v="0"/>
    <n v="0"/>
    <n v="0"/>
    <n v="0"/>
    <n v="0"/>
    <n v="0"/>
    <n v="0"/>
    <n v="1"/>
    <n v="2"/>
    <n v="0"/>
    <n v="1"/>
    <s v="https://www.clickideacore.com/ClickHTML5/Visit.aspx?ID=//5DDAEwASwAzADcAOAAxADYANAA2ADUASQBEAEUAQQA0=&amp;Tipo=2&amp;ST=1&amp;nLang=0"/>
    <n v="0"/>
    <n v="0"/>
    <n v="0"/>
    <n v="0"/>
    <n v="0"/>
    <n v="0"/>
    <n v="0"/>
    <n v="0"/>
  </r>
  <r>
    <x v="10"/>
    <x v="3"/>
    <s v="OP-DYR-011"/>
    <x v="254"/>
    <d v="2026-01-01T00:00:00"/>
    <n v="63"/>
    <x v="0"/>
    <n v="0"/>
    <n v="0"/>
    <n v="0"/>
    <n v="0"/>
    <n v="0"/>
    <n v="0"/>
    <n v="0"/>
    <n v="0"/>
    <n v="1"/>
    <n v="3"/>
    <n v="0"/>
    <n v="1"/>
    <s v="https://www.clickideacore.com/ClickHTML5/Visit.aspx?ID=//5EDAEwASwAzADcAOAAxADYAMAA3ADYASQBEAEUAQQA2=&amp;Tipo=2&amp;ST=1&amp;nLang=0"/>
    <n v="0"/>
    <n v="0"/>
    <n v="0"/>
    <n v="0"/>
    <n v="0"/>
    <n v="0"/>
    <n v="0"/>
    <n v="0"/>
  </r>
  <r>
    <x v="11"/>
    <x v="17"/>
    <s v="OP-SDYR-001"/>
    <x v="254"/>
    <d v="2026-01-01T00:00:00"/>
    <n v="30"/>
    <x v="0"/>
    <n v="0"/>
    <n v="0"/>
    <n v="0"/>
    <n v="0"/>
    <n v="0"/>
    <n v="0"/>
    <n v="0"/>
    <n v="0"/>
    <n v="1"/>
    <n v="2"/>
    <n v="0"/>
    <n v="1"/>
    <s v="https://www.clickideacore.com/ClickHTML5/Visit.aspx?ID=//5BDAEwASwAzADcAOAAxADYANQA1ADIASQBEAEUAQQAF=&amp;Tipo=2&amp;ST=1&amp;nLang=0"/>
    <n v="0"/>
    <n v="0"/>
    <n v="0"/>
    <n v="0"/>
    <n v="0"/>
    <n v="0"/>
    <n v="0"/>
    <n v="0"/>
  </r>
  <r>
    <x v="17"/>
    <x v="1"/>
    <s v="OP-DYR-00001"/>
    <x v="254"/>
    <d v="2026-01-01T00:00:00"/>
    <n v="73"/>
    <x v="0"/>
    <n v="0"/>
    <n v="0"/>
    <n v="0"/>
    <n v="0"/>
    <n v="0"/>
    <n v="0"/>
    <n v="0"/>
    <n v="0"/>
    <n v="1"/>
    <n v="3"/>
    <n v="0"/>
    <n v="1"/>
    <s v="https://www.clickideacore.com/ClickHTML5/Visit.aspx?ID=//5BDAEwASwAzADcAOAAxADYANAAwADgASQBEAEUAQQA2=&amp;Tipo=2&amp;ST=1&amp;nLang=0"/>
    <n v="0"/>
    <n v="0"/>
    <n v="0"/>
    <n v="0"/>
    <n v="0"/>
    <n v="0"/>
    <n v="0"/>
    <n v="0"/>
  </r>
  <r>
    <x v="19"/>
    <x v="6"/>
    <s v="OP-DYR-00001"/>
    <x v="254"/>
    <d v="2026-01-01T00:00:00"/>
    <n v="73"/>
    <x v="0"/>
    <n v="0"/>
    <n v="0"/>
    <n v="0"/>
    <n v="0"/>
    <n v="0"/>
    <n v="0"/>
    <n v="0"/>
    <n v="0"/>
    <n v="1"/>
    <n v="2"/>
    <n v="0"/>
    <n v="1"/>
    <s v="https://www.clickideacore.com/ClickHTML5/Visit.aspx?ID=//5BDAEwASwAzADcAOAAxADYANAAwADgASQBEAEUAQQA2=&amp;Tipo=2&amp;ST=1&amp;nLang=0"/>
    <n v="0"/>
    <n v="0"/>
    <n v="0"/>
    <n v="0"/>
    <n v="0"/>
    <n v="0"/>
    <n v="0"/>
    <n v="0"/>
  </r>
  <r>
    <x v="5"/>
    <x v="6"/>
    <s v="OP-S-0010"/>
    <x v="254"/>
    <d v="2026-01-01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254"/>
    <d v="2026-01-01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4"/>
    <d v="2026-01-01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6"/>
    <s v="OP-S-076"/>
    <x v="254"/>
    <d v="2026-01-0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4"/>
    <d v="2026-01-01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33"/>
    <s v="OP-DYR-005"/>
    <x v="255"/>
    <d v="2026-01-02T00:00:00"/>
    <n v="29"/>
    <x v="0"/>
    <n v="27"/>
    <n v="0"/>
    <n v="0"/>
    <n v="1"/>
    <n v="0"/>
    <n v="1"/>
    <n v="0"/>
    <n v="0"/>
    <n v="0"/>
    <n v="1"/>
    <n v="0"/>
    <n v="0"/>
    <s v="https://www.clickideacore.com/ClickHTML5/Visit.aspx?ID=//59DAEwASwAzADcAOAAzADIAMAAwADcASQBEAEUAQQA6=&amp;Tipo=2&amp;ST=1&amp;nLang=0"/>
    <n v="0"/>
    <n v="6"/>
    <n v="0"/>
    <n v="0"/>
    <n v="0"/>
    <n v="0"/>
    <n v="0"/>
    <n v="0"/>
  </r>
  <r>
    <x v="12"/>
    <x v="4"/>
    <s v="OP-DYR-005"/>
    <x v="255"/>
    <d v="2026-01-02T00:00:00"/>
    <n v="29"/>
    <x v="0"/>
    <n v="19"/>
    <n v="0"/>
    <n v="0"/>
    <n v="0"/>
    <n v="1"/>
    <n v="1"/>
    <n v="0"/>
    <n v="0"/>
    <n v="0"/>
    <n v="0"/>
    <n v="0"/>
    <n v="0"/>
    <s v="https://www.clickideacore.com/ClickHTML5/Visit.aspx?ID=//59DAEwASwAzADcAOAAzADIAMAAwADcASQBEAEUAQQA6=&amp;Tipo=2&amp;ST=1&amp;nLang=0"/>
    <n v="0"/>
    <n v="10"/>
    <n v="0"/>
    <n v="0"/>
    <n v="0"/>
    <n v="0"/>
    <n v="0"/>
    <n v="0"/>
  </r>
  <r>
    <x v="6"/>
    <x v="1"/>
    <s v="OP-S-045"/>
    <x v="255"/>
    <d v="2026-01-02T00:00:00"/>
    <n v="62"/>
    <x v="0"/>
    <n v="23"/>
    <n v="0"/>
    <n v="0"/>
    <n v="1"/>
    <n v="0"/>
    <n v="0"/>
    <n v="0"/>
    <n v="0"/>
    <n v="0"/>
    <n v="0"/>
    <n v="0"/>
    <n v="0"/>
    <s v="https://www.clickideacore.com/ClickHTML5/Visit.aspx?ID=//5EDAEwASwAzADcAOAAyADYAOQAxADIASQBEAEUAQQA9=&amp;Tipo=2&amp;ST=1&amp;nLang=0"/>
    <n v="0"/>
    <n v="0"/>
    <n v="0"/>
    <n v="0"/>
    <n v="0"/>
    <n v="0"/>
    <n v="0"/>
    <n v="0"/>
  </r>
  <r>
    <x v="13"/>
    <x v="34"/>
    <s v="OP-S-045"/>
    <x v="255"/>
    <d v="2026-01-02T00:00:00"/>
    <n v="62"/>
    <x v="0"/>
    <n v="40"/>
    <n v="0"/>
    <n v="0"/>
    <n v="1"/>
    <n v="0"/>
    <n v="0"/>
    <n v="0"/>
    <n v="0"/>
    <n v="0"/>
    <n v="1"/>
    <n v="0"/>
    <n v="0"/>
    <s v="https://www.clickideacore.com/ClickHTML5/Visit.aspx?ID=//5EDAEwASwAzADcAOAAyADYAOQAxADIASQBEAEUAQQA9=&amp;Tipo=2&amp;ST=1&amp;nLang=0"/>
    <n v="0"/>
    <n v="0"/>
    <n v="0"/>
    <n v="0"/>
    <n v="0"/>
    <n v="0"/>
    <n v="0"/>
    <n v="0"/>
  </r>
  <r>
    <x v="10"/>
    <x v="3"/>
    <s v="OP-DYR-011"/>
    <x v="255"/>
    <d v="2026-01-02T00:00:00"/>
    <n v="29"/>
    <x v="0"/>
    <n v="32"/>
    <n v="0"/>
    <n v="0"/>
    <n v="1"/>
    <n v="0"/>
    <n v="0"/>
    <n v="1"/>
    <n v="0"/>
    <n v="0"/>
    <n v="0"/>
    <n v="0"/>
    <n v="0"/>
    <s v="https://www.clickideacore.com/ClickHTML5/Visit.aspx?ID=//59DAEwASwAzADcAOAAyADcANgA4ADMASQBEAEUAQQA0=&amp;Tipo=2&amp;ST=1&amp;nLang=0"/>
    <n v="0"/>
    <n v="22"/>
    <n v="0"/>
    <n v="0"/>
    <n v="0"/>
    <n v="0"/>
    <n v="0"/>
    <n v="0"/>
  </r>
  <r>
    <x v="11"/>
    <x v="17"/>
    <s v="OP-SDYR-001"/>
    <x v="255"/>
    <d v="2026-01-02T00:00:00"/>
    <n v="21"/>
    <x v="0"/>
    <n v="32"/>
    <n v="0"/>
    <n v="0"/>
    <n v="1"/>
    <n v="0"/>
    <n v="0"/>
    <n v="0"/>
    <n v="0"/>
    <n v="0"/>
    <n v="0"/>
    <n v="0"/>
    <n v="0"/>
    <s v="https://www.clickideacore.com/ClickHTML5/Visit.aspx?ID=//50DAEwASwAzADcAOAAyADcANQAwADkASQBEAEUAQQA1=&amp;Tipo=2&amp;ST=1&amp;nLang=0"/>
    <n v="0"/>
    <n v="27"/>
    <n v="0"/>
    <n v="0"/>
    <n v="0"/>
    <n v="0"/>
    <n v="0"/>
    <n v="0"/>
  </r>
  <r>
    <x v="17"/>
    <x v="31"/>
    <s v="OP-DYR-00001"/>
    <x v="255"/>
    <d v="2026-01-02T00:00:00"/>
    <n v="52"/>
    <x v="0"/>
    <n v="18"/>
    <n v="0"/>
    <n v="0"/>
    <n v="1"/>
    <n v="0"/>
    <n v="1"/>
    <n v="0"/>
    <n v="0"/>
    <n v="0"/>
    <n v="0"/>
    <n v="0"/>
    <n v="0"/>
    <s v="https://www.clickideacore.com/ClickHTML5/Visit.aspx?ID=//53DAEwASwAzADcAOAAzADEAMQA1ADQASQBEAEUAQQA0=&amp;Tipo=2&amp;ST=1&amp;nLang=0"/>
    <n v="0"/>
    <n v="14"/>
    <n v="0"/>
    <n v="0"/>
    <n v="0"/>
    <n v="0"/>
    <n v="0"/>
    <n v="0"/>
  </r>
  <r>
    <x v="5"/>
    <x v="6"/>
    <s v="OP-DYR-005"/>
    <x v="255"/>
    <d v="2026-01-02T00:00:00"/>
    <n v="18"/>
    <x v="12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0"/>
    <x v="29"/>
    <s v="OP-DYR-005"/>
    <x v="255"/>
    <d v="2026-01-02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9"/>
    <x v="6"/>
    <s v="OP-DYR-005"/>
    <x v="255"/>
    <d v="2026-01-02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2"/>
    <x v="2"/>
    <s v="OP-S-076"/>
    <x v="255"/>
    <d v="2026-01-0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6"/>
    <s v="OP-S-076"/>
    <x v="255"/>
    <d v="2026-01-0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010"/>
    <x v="255"/>
    <d v="2026-01-02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5"/>
    <d v="2026-01-02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3"/>
    <x v="6"/>
    <s v="OP-S-076"/>
    <x v="255"/>
    <d v="2026-01-02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33"/>
    <s v="OP-DYR-005"/>
    <x v="256"/>
    <d v="2026-01-03T00:00:00"/>
    <n v="20"/>
    <x v="0"/>
    <n v="0"/>
    <n v="0"/>
    <n v="0"/>
    <n v="0"/>
    <n v="0"/>
    <n v="0"/>
    <n v="0"/>
    <n v="1"/>
    <n v="0"/>
    <n v="0"/>
    <n v="1"/>
    <n v="0"/>
    <s v="https://www.clickideacore.com/ClickHTML5/Visit.aspx?ID=//50DAEwASwAzADcAOAA0ADEAMAA5ADMASQBEAEUAQQAB=&amp;Tipo=2&amp;ST=1&amp;nLang=0"/>
    <n v="0"/>
    <n v="0"/>
    <n v="0"/>
    <n v="0"/>
    <n v="0"/>
    <n v="0"/>
    <n v="0"/>
    <n v="0"/>
  </r>
  <r>
    <x v="12"/>
    <x v="6"/>
    <s v="OP-DYR-005"/>
    <x v="256"/>
    <d v="2026-01-03T00:00:00"/>
    <n v="20"/>
    <x v="0"/>
    <n v="0"/>
    <n v="0"/>
    <n v="0"/>
    <n v="0"/>
    <n v="0"/>
    <n v="0"/>
    <n v="0"/>
    <n v="1"/>
    <n v="0"/>
    <n v="6"/>
    <n v="1"/>
    <n v="0"/>
    <s v="https://www.clickideacore.com/ClickHTML5/Visit.aspx?ID=//50DAEwASwAzADcAOAA0ADEAMAA5ADMASQBEAEUAQQAB=&amp;Tipo=2&amp;ST=1&amp;nLang=0"/>
    <n v="16"/>
    <n v="0"/>
    <n v="0"/>
    <n v="0"/>
    <n v="0"/>
    <n v="0"/>
    <n v="1"/>
    <n v="0"/>
  </r>
  <r>
    <x v="19"/>
    <x v="6"/>
    <s v="OP-DYR-005"/>
    <x v="256"/>
    <d v="2026-01-03T00:00:00"/>
    <n v="20"/>
    <x v="0"/>
    <n v="0"/>
    <n v="0"/>
    <n v="0"/>
    <n v="0"/>
    <n v="0"/>
    <n v="0"/>
    <n v="0"/>
    <n v="1"/>
    <n v="0"/>
    <n v="6"/>
    <n v="1"/>
    <n v="0"/>
    <s v="https://www.clickideacore.com/ClickHTML5/Visit.aspx?ID=//50DAEwASwAzADcAOAA0ADEAMAA5ADMASQBEAEUAQQAB=&amp;Tipo=2&amp;ST=1&amp;nLang=0"/>
    <n v="16"/>
    <n v="0"/>
    <n v="0"/>
    <n v="0"/>
    <n v="0"/>
    <n v="0"/>
    <n v="1"/>
    <n v="0"/>
  </r>
  <r>
    <x v="20"/>
    <x v="1"/>
    <s v="OP-S-009"/>
    <x v="256"/>
    <d v="2026-01-03T00:00:00"/>
    <n v="42"/>
    <x v="0"/>
    <n v="0"/>
    <n v="0"/>
    <n v="0"/>
    <n v="0"/>
    <n v="0"/>
    <n v="0"/>
    <n v="0"/>
    <n v="1"/>
    <n v="0"/>
    <n v="2"/>
    <n v="1"/>
    <n v="0"/>
    <s v="https://www.clickideacore.com/ClickHTML5/Visit.aspx?ID=//56DAEwASwAzADcAOAAzADkANgA0ADQASQBEAEUAQQAF=&amp;Tipo=2&amp;ST=1&amp;nLang=0"/>
    <n v="12"/>
    <n v="0"/>
    <n v="0"/>
    <n v="0"/>
    <n v="0"/>
    <n v="0"/>
    <n v="0"/>
    <n v="0"/>
  </r>
  <r>
    <x v="13"/>
    <x v="34"/>
    <s v="OP-S-009"/>
    <x v="256"/>
    <d v="2026-01-03T00:00:00"/>
    <n v="42"/>
    <x v="0"/>
    <n v="0"/>
    <n v="0"/>
    <n v="0"/>
    <n v="0"/>
    <n v="0"/>
    <n v="0"/>
    <n v="0"/>
    <n v="1"/>
    <n v="0"/>
    <n v="3"/>
    <n v="1"/>
    <n v="0"/>
    <s v="https://www.clickideacore.com/ClickHTML5/Visit.aspx?ID=//56DAEwASwAzADcAOAAzADkANgA0ADQASQBEAEUAQQAF=&amp;Tipo=2&amp;ST=1&amp;nLang=0"/>
    <n v="21"/>
    <n v="0"/>
    <n v="0"/>
    <n v="0"/>
    <n v="0"/>
    <n v="0"/>
    <n v="0"/>
    <n v="0"/>
  </r>
  <r>
    <x v="10"/>
    <x v="3"/>
    <s v="OP-DYR-011"/>
    <x v="256"/>
    <d v="2026-01-03T00:00:00"/>
    <n v="66"/>
    <x v="0"/>
    <n v="0"/>
    <n v="0"/>
    <n v="0"/>
    <n v="0"/>
    <n v="0"/>
    <n v="0"/>
    <n v="0"/>
    <n v="1"/>
    <n v="0"/>
    <n v="0"/>
    <n v="1"/>
    <n v="0"/>
    <s v="https://www.clickideacore.com/ClickHTML5/Visit.aspx?ID=//55DAEwASwAzADcAOAAzADkANgA2ADkASQBEAEUAQQAA=&amp;Tipo=2&amp;ST=1&amp;nLang=0"/>
    <n v="20"/>
    <n v="0"/>
    <n v="0"/>
    <n v="0"/>
    <n v="0"/>
    <n v="0"/>
    <n v="0"/>
    <n v="0"/>
  </r>
  <r>
    <x v="11"/>
    <x v="17"/>
    <s v="OP-SDYR-001"/>
    <x v="256"/>
    <d v="2026-01-03T00:00:00"/>
    <n v="16"/>
    <x v="0"/>
    <n v="0"/>
    <n v="0"/>
    <n v="0"/>
    <n v="0"/>
    <n v="0"/>
    <n v="0"/>
    <n v="0"/>
    <n v="1"/>
    <n v="0"/>
    <n v="0"/>
    <n v="1"/>
    <n v="0"/>
    <s v="https://www.clickideacore.com/ClickHTML5/Visit.aspx?ID=//57DAEwASwAzADcAOAAzADkAMwA0ADMASQBEAEUAQQA6=&amp;Tipo=2&amp;ST=1&amp;nLang=0"/>
    <n v="0"/>
    <n v="0"/>
    <n v="0"/>
    <n v="0"/>
    <n v="0"/>
    <n v="0"/>
    <n v="0"/>
    <n v="0"/>
  </r>
  <r>
    <x v="17"/>
    <x v="31"/>
    <s v="OP-DYR-00001"/>
    <x v="256"/>
    <d v="2026-01-03T00:00:00"/>
    <n v="47"/>
    <x v="0"/>
    <n v="0"/>
    <n v="0"/>
    <n v="0"/>
    <n v="0"/>
    <n v="0"/>
    <n v="0"/>
    <n v="0"/>
    <n v="1"/>
    <n v="0"/>
    <n v="0"/>
    <n v="1"/>
    <n v="0"/>
    <s v="https://www.clickideacore.com/ClickHTML5/Visit.aspx?ID=//5DDAEwASwAzADcAOAAzADkAOAAwADgASQBEAEUAQQAD=&amp;Tipo=2&amp;ST=1&amp;nLang=0"/>
    <n v="0"/>
    <n v="0"/>
    <n v="0"/>
    <n v="0"/>
    <n v="0"/>
    <n v="0"/>
    <n v="0"/>
    <n v="0"/>
  </r>
  <r>
    <x v="9"/>
    <x v="8"/>
    <s v="OP-S-0010"/>
    <x v="256"/>
    <d v="2026-01-0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0"/>
    <x v="29"/>
    <s v="OP-S-0010"/>
    <x v="256"/>
    <d v="2026-01-0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256"/>
    <d v="2026-01-0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56"/>
    <d v="2026-01-03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256"/>
    <d v="2026-01-03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6"/>
    <d v="2026-01-03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1"/>
    <x v="6"/>
    <s v="OP-S-076"/>
    <x v="256"/>
    <d v="2026-01-0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6"/>
    <d v="2026-01-03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33"/>
    <s v="OP-DYR-005"/>
    <x v="257"/>
    <d v="2026-01-04T00:00:00"/>
    <n v="24"/>
    <x v="0"/>
    <n v="0"/>
    <n v="0"/>
    <n v="0"/>
    <n v="0"/>
    <n v="0"/>
    <n v="0"/>
    <n v="0"/>
    <n v="0"/>
    <n v="1"/>
    <n v="2"/>
    <n v="0"/>
    <n v="1"/>
    <s v="https://www.clickideacore.com/ClickHTML5/Visit.aspx?ID=//51DAEwASwAzADcAOAA0ADUANQAzADkASQBEAEUAQQAD=&amp;Tipo=2&amp;ST=1&amp;nLang=0"/>
    <n v="0"/>
    <n v="0"/>
    <n v="0"/>
    <n v="0"/>
    <n v="0"/>
    <n v="0"/>
    <n v="0"/>
    <n v="0"/>
  </r>
  <r>
    <x v="12"/>
    <x v="6"/>
    <s v="OP-DYR-005"/>
    <x v="257"/>
    <d v="2026-01-04T00:00:00"/>
    <n v="24"/>
    <x v="0"/>
    <n v="0"/>
    <n v="0"/>
    <n v="0"/>
    <n v="0"/>
    <n v="0"/>
    <n v="0"/>
    <n v="0"/>
    <n v="0"/>
    <n v="1"/>
    <n v="4"/>
    <n v="0"/>
    <n v="1"/>
    <s v="https://www.clickideacore.com/ClickHTML5/Visit.aspx?ID=//51DAEwASwAzADcAOAA0ADUANQAzADkASQBEAEUAQQAD=&amp;Tipo=2&amp;ST=1&amp;nLang=0"/>
    <n v="15"/>
    <n v="0"/>
    <n v="0"/>
    <n v="0"/>
    <n v="0"/>
    <n v="0"/>
    <n v="0"/>
    <n v="1"/>
  </r>
  <r>
    <x v="19"/>
    <x v="6"/>
    <s v="OP-DYR-005"/>
    <x v="257"/>
    <d v="2026-01-04T00:00:00"/>
    <n v="24"/>
    <x v="0"/>
    <n v="0"/>
    <n v="0"/>
    <n v="0"/>
    <n v="0"/>
    <n v="0"/>
    <n v="0"/>
    <n v="0"/>
    <n v="0"/>
    <n v="1"/>
    <n v="4"/>
    <n v="0"/>
    <n v="1"/>
    <s v="https://www.clickideacore.com/ClickHTML5/Visit.aspx?ID=//51DAEwASwAzADcAOAA0ADUANQAzADkASQBEAEUAQQAD=&amp;Tipo=2&amp;ST=1&amp;nLang=0"/>
    <n v="15"/>
    <n v="0"/>
    <n v="0"/>
    <n v="0"/>
    <n v="0"/>
    <n v="0"/>
    <n v="0"/>
    <n v="1"/>
  </r>
  <r>
    <x v="20"/>
    <x v="1"/>
    <s v="OP-S-009"/>
    <x v="257"/>
    <d v="2026-01-04T00:00:00"/>
    <n v="42"/>
    <x v="0"/>
    <n v="0"/>
    <n v="0"/>
    <n v="0"/>
    <n v="0"/>
    <n v="0"/>
    <n v="0"/>
    <n v="0"/>
    <n v="0"/>
    <n v="1"/>
    <n v="2"/>
    <n v="0"/>
    <n v="1"/>
    <s v="https://www.clickideacore.com/ClickHTML5/Visit.aspx?ID=//56DAEwASwAzADcAOAAzADkANgA0ADQASQBEAEUAQQAF=&amp;Tipo=2&amp;ST=1&amp;nLang=0"/>
    <n v="16"/>
    <n v="0"/>
    <n v="0"/>
    <n v="0"/>
    <n v="0"/>
    <n v="0"/>
    <n v="0"/>
    <n v="0"/>
  </r>
  <r>
    <x v="13"/>
    <x v="34"/>
    <s v="OP-S-009"/>
    <x v="257"/>
    <d v="2026-01-04T00:00:00"/>
    <n v="42"/>
    <x v="0"/>
    <n v="0"/>
    <n v="0"/>
    <n v="0"/>
    <n v="0"/>
    <n v="0"/>
    <n v="0"/>
    <n v="0"/>
    <n v="0"/>
    <n v="1"/>
    <n v="2"/>
    <n v="0"/>
    <n v="1"/>
    <s v="https://www.clickideacore.com/ClickHTML5/Visit.aspx?ID=//56DAEwASwAzADcAOAAzADkANgA0ADQASQBEAEUAQQAF=&amp;Tipo=2&amp;ST=1&amp;nLang=0"/>
    <n v="0"/>
    <n v="0"/>
    <n v="0"/>
    <n v="0"/>
    <n v="0"/>
    <n v="0"/>
    <n v="0"/>
    <n v="0"/>
  </r>
  <r>
    <x v="10"/>
    <x v="3"/>
    <s v="OP-DYR-011"/>
    <x v="257"/>
    <d v="2026-01-04T00:00:00"/>
    <n v="16"/>
    <x v="0"/>
    <n v="0"/>
    <n v="0"/>
    <n v="0"/>
    <n v="0"/>
    <n v="0"/>
    <n v="0"/>
    <n v="0"/>
    <n v="0"/>
    <n v="1"/>
    <n v="0"/>
    <n v="0"/>
    <n v="1"/>
    <s v="https://www.clickideacore.com/ClickHTML5/Visit.aspx?ID=//5CDAEwASwAzADcAOAA0ADYAMAAzADAASQBEAEUAQQA0=&amp;Tipo=2&amp;ST=1&amp;nLang=0"/>
    <n v="0"/>
    <n v="0"/>
    <n v="0"/>
    <n v="0"/>
    <n v="0"/>
    <n v="0"/>
    <n v="0"/>
    <n v="0"/>
  </r>
  <r>
    <x v="11"/>
    <x v="17"/>
    <s v="OP-SDYR-001"/>
    <x v="257"/>
    <d v="2026-01-04T00:00:00"/>
    <n v="16"/>
    <x v="0"/>
    <n v="0"/>
    <n v="0"/>
    <n v="0"/>
    <n v="0"/>
    <n v="0"/>
    <n v="0"/>
    <n v="0"/>
    <n v="0"/>
    <n v="1"/>
    <n v="0"/>
    <n v="0"/>
    <n v="1"/>
    <s v="https://www.clickideacore.com/ClickHTML5/Visit.aspx?ID=//5BDAEwASwAzADcAOAA0ADUAMQA3ADkASQBEAEUAQQA8=&amp;Tipo=2&amp;ST=1&amp;nLang=0"/>
    <n v="0"/>
    <n v="0"/>
    <n v="0"/>
    <n v="0"/>
    <n v="0"/>
    <n v="0"/>
    <n v="0"/>
    <n v="0"/>
  </r>
  <r>
    <x v="17"/>
    <x v="31"/>
    <s v="OP-DYR-00001"/>
    <x v="257"/>
    <d v="2026-01-04T00:00:00"/>
    <n v="78"/>
    <x v="0"/>
    <n v="0"/>
    <n v="0"/>
    <n v="0"/>
    <n v="0"/>
    <n v="0"/>
    <n v="0"/>
    <n v="0"/>
    <n v="0"/>
    <n v="1"/>
    <n v="0"/>
    <n v="0"/>
    <n v="1"/>
    <s v="https://www.clickideacore.com/ClickHTML5/Visit.aspx?ID=//5CDAEwASwAzADcAOAA0ADUAOQA2ADYASQBEAEUAQQA8=&amp;Tipo=2&amp;ST=1&amp;nLang=0"/>
    <n v="0"/>
    <n v="0"/>
    <n v="0"/>
    <n v="0"/>
    <n v="0"/>
    <n v="0"/>
    <n v="0"/>
    <n v="0"/>
  </r>
  <r>
    <x v="0"/>
    <x v="29"/>
    <s v="OP-S-0010"/>
    <x v="257"/>
    <d v="2026-01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2"/>
    <x v="2"/>
    <s v="OP-S-0010"/>
    <x v="257"/>
    <d v="2026-01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5"/>
    <x v="4"/>
    <s v="OP-S-0010"/>
    <x v="257"/>
    <d v="2026-01-04T00:00:00"/>
    <n v="0"/>
    <x v="5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0"/>
    <s v="OP-S-0010"/>
    <x v="257"/>
    <d v="2026-01-04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7"/>
    <s v="OP-S-0010"/>
    <x v="257"/>
    <d v="2026-01-04T00:00:00"/>
    <n v="0"/>
    <x v="3"/>
    <n v="0"/>
    <n v="0"/>
    <n v="0"/>
    <n v="0"/>
    <n v="0"/>
    <n v="0"/>
    <n v="0"/>
    <n v="0"/>
    <n v="0"/>
    <n v="0"/>
    <n v="0"/>
    <n v="0"/>
    <s v="https://www.clickideacore.com/ClickHTML5/Visit.aspx?ID=//57DAEwASwAzADQAMgA0ADYAOQA2ADQASQBEAEUAQQA7=&amp;Tipo=2&amp;ST=1&amp;nLang=0"/>
    <n v="0"/>
    <n v="0"/>
    <n v="0"/>
    <n v="0"/>
    <n v="0"/>
    <n v="0"/>
    <n v="0"/>
    <n v="0"/>
  </r>
  <r>
    <x v="9"/>
    <x v="8"/>
    <s v="OP-S-076"/>
    <x v="257"/>
    <d v="2026-01-0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6"/>
    <s v="OP-S-076"/>
    <x v="257"/>
    <d v="2026-01-0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7"/>
    <d v="2026-01-04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4"/>
    <s v="OP-DYR-005"/>
    <x v="258"/>
    <d v="2026-01-05T00:00:00"/>
    <n v="16"/>
    <x v="0"/>
    <n v="5"/>
    <n v="0"/>
    <n v="0"/>
    <n v="0"/>
    <n v="0"/>
    <n v="0"/>
    <n v="0"/>
    <n v="0"/>
    <n v="0"/>
    <n v="0"/>
    <n v="0"/>
    <n v="0"/>
    <s v="https://www.clickideacore.com/ClickHTML5/Visit.aspx?ID=//57DAEwASwAzADcAOAA2ADQANAA2ADkASQBEAEUAQQA3=&amp;Tipo=2&amp;ST=1&amp;nLang=0"/>
    <n v="0"/>
    <n v="10"/>
    <n v="2"/>
    <n v="0"/>
    <n v="0"/>
    <n v="0"/>
    <n v="0"/>
    <n v="0"/>
  </r>
  <r>
    <x v="17"/>
    <x v="29"/>
    <s v="OP-DYR-00001"/>
    <x v="258"/>
    <d v="2026-01-05T00:00:00"/>
    <n v="76"/>
    <x v="0"/>
    <n v="4"/>
    <n v="0"/>
    <n v="0"/>
    <n v="0"/>
    <n v="0"/>
    <n v="1"/>
    <n v="0"/>
    <n v="0"/>
    <n v="0"/>
    <n v="0"/>
    <n v="0"/>
    <n v="0"/>
    <s v="https://www.clickideacore.com/ClickHTML5/Visit.aspx?ID=//5DDAEwASwAzADcAOAA2ADQAMAAzADIASQBEAEUAQQAD=&amp;Tipo=2&amp;ST=1&amp;nLang=0"/>
    <n v="0"/>
    <n v="0"/>
    <n v="0"/>
    <n v="0"/>
    <n v="0"/>
    <n v="0"/>
    <n v="0"/>
    <n v="0"/>
  </r>
  <r>
    <x v="2"/>
    <x v="2"/>
    <s v="OP-DYR-00001"/>
    <x v="258"/>
    <d v="2026-01-05T00:00:00"/>
    <n v="76"/>
    <x v="0"/>
    <n v="2"/>
    <n v="0"/>
    <n v="0"/>
    <n v="0"/>
    <n v="0"/>
    <n v="1"/>
    <n v="0"/>
    <n v="0"/>
    <n v="0"/>
    <n v="0"/>
    <n v="0"/>
    <n v="0"/>
    <s v="https://www.clickideacore.com/ClickHTML5/Visit.aspx?ID=//5DDAEwASwAzADcAOAA2ADQAMAAzADIASQBEAEUAQQAD=&amp;Tipo=2&amp;ST=1&amp;nLang=0"/>
    <n v="0"/>
    <n v="2"/>
    <n v="0"/>
    <n v="0"/>
    <n v="0"/>
    <n v="0"/>
    <n v="0"/>
    <n v="0"/>
  </r>
  <r>
    <x v="1"/>
    <x v="1"/>
    <s v="OP-DYR-004"/>
    <x v="258"/>
    <d v="2026-01-05T00:00:00"/>
    <n v="43"/>
    <x v="0"/>
    <n v="1"/>
    <n v="0"/>
    <n v="0"/>
    <n v="0"/>
    <n v="0"/>
    <n v="0"/>
    <n v="0"/>
    <n v="0"/>
    <n v="0"/>
    <n v="0"/>
    <n v="0"/>
    <n v="0"/>
    <s v="https://www.clickideacore.com/ClickHTML5/Visit.aspx?ID=//54DAEwASwAzADcAOAA2ADQANAA1ADQASQBEAEUAQQA3=&amp;Tipo=2&amp;ST=1&amp;nLang=0"/>
    <n v="0"/>
    <n v="12"/>
    <n v="0"/>
    <n v="0"/>
    <n v="0"/>
    <n v="0"/>
    <n v="0"/>
    <n v="0"/>
  </r>
  <r>
    <x v="11"/>
    <x v="6"/>
    <s v="OP-S-100"/>
    <x v="258"/>
    <d v="2026-01-05T00:00:00"/>
    <n v="29"/>
    <x v="0"/>
    <n v="0"/>
    <n v="0"/>
    <n v="0"/>
    <n v="0"/>
    <n v="0"/>
    <n v="0"/>
    <n v="0"/>
    <n v="0"/>
    <n v="0"/>
    <n v="3"/>
    <n v="0"/>
    <n v="0"/>
    <s v="https://www.clickideacore.com/ClickHTML5/Visit.aspx?ID=//5FDAEwASwAzADcAOAA2ADAAMQA2ADIASQBEAEUAQQA4=&amp;Tipo=2&amp;ST=1&amp;nLang=0"/>
    <n v="0"/>
    <n v="0"/>
    <n v="0"/>
    <n v="0"/>
    <n v="0"/>
    <n v="0"/>
    <n v="0"/>
    <n v="0"/>
  </r>
  <r>
    <x v="0"/>
    <x v="0"/>
    <s v="OP-S-100"/>
    <x v="258"/>
    <d v="2026-01-05T00:00:00"/>
    <n v="29"/>
    <x v="0"/>
    <n v="0"/>
    <n v="0"/>
    <n v="0"/>
    <n v="0"/>
    <n v="0"/>
    <n v="0"/>
    <n v="0"/>
    <n v="0"/>
    <n v="0"/>
    <n v="3"/>
    <n v="0"/>
    <n v="0"/>
    <s v="https://www.clickideacore.com/ClickHTML5/Visit.aspx?ID=//5FDAEwASwAzADcAOAA2ADAAMQA2ADIASQBEAEUAQQA4=&amp;Tipo=2&amp;ST=1&amp;nLang=0"/>
    <n v="0"/>
    <n v="0"/>
    <n v="0"/>
    <n v="0"/>
    <n v="0"/>
    <n v="0"/>
    <n v="0"/>
    <n v="0"/>
  </r>
  <r>
    <x v="5"/>
    <x v="6"/>
    <s v="OP-DYR-005"/>
    <x v="258"/>
    <d v="2026-01-05T00:00:00"/>
    <n v="18"/>
    <x v="1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9"/>
    <x v="17"/>
    <s v="OP-DYR-005"/>
    <x v="258"/>
    <d v="2026-01-05T00:00:00"/>
    <n v="18"/>
    <x v="1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0"/>
    <x v="3"/>
    <s v="OP-DYR-005"/>
    <x v="258"/>
    <d v="2026-01-05T00:00:00"/>
    <n v="18"/>
    <x v="14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58"/>
    <d v="2026-01-0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8"/>
    <d v="2026-01-05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11"/>
    <x v="259"/>
    <d v="2026-01-06T00:00:00"/>
    <n v="23"/>
    <x v="0"/>
    <n v="22"/>
    <n v="0"/>
    <n v="0"/>
    <n v="0"/>
    <n v="1"/>
    <n v="0"/>
    <n v="0"/>
    <n v="0"/>
    <n v="0"/>
    <n v="0"/>
    <n v="0"/>
    <n v="0"/>
    <s v="https://www.clickideacore.com/ClickHTML5/Visit.aspx?ID=//53DAEwASwAzADcAOAA3ADgANAA3ADcASQBEAEUAQQA7=&amp;Tipo=2&amp;ST=1&amp;nLang=0"/>
    <n v="0"/>
    <n v="0"/>
    <n v="0"/>
    <n v="0"/>
    <n v="0"/>
    <n v="0"/>
    <n v="0"/>
    <n v="0"/>
  </r>
  <r>
    <x v="5"/>
    <x v="4"/>
    <s v="OP-S-005"/>
    <x v="259"/>
    <d v="2026-01-06T00:00:00"/>
    <n v="49"/>
    <x v="0"/>
    <n v="22"/>
    <n v="0"/>
    <n v="0"/>
    <n v="0"/>
    <n v="1"/>
    <n v="0"/>
    <n v="0"/>
    <n v="0"/>
    <n v="0"/>
    <n v="3"/>
    <n v="0"/>
    <n v="0"/>
    <s v="https://www.clickideacore.com/ClickHTML5/Visit.aspx?ID=//55DAEwASwAzADcAOAA3ADkANgAzADgASQBEAEUAQQAB=&amp;Tipo=2&amp;ST=1&amp;nLang=0"/>
    <n v="0"/>
    <n v="0"/>
    <n v="0"/>
    <n v="0"/>
    <n v="0"/>
    <n v="0"/>
    <n v="0"/>
    <n v="0"/>
  </r>
  <r>
    <x v="4"/>
    <x v="1"/>
    <s v="OP-DYR-005"/>
    <x v="259"/>
    <d v="2026-01-06T00:00:00"/>
    <n v="16"/>
    <x v="0"/>
    <n v="50"/>
    <n v="0"/>
    <n v="0"/>
    <n v="1"/>
    <n v="0"/>
    <n v="0"/>
    <n v="0"/>
    <n v="0"/>
    <n v="0"/>
    <n v="0"/>
    <n v="0"/>
    <n v="0"/>
    <s v="https://www.clickideacore.com/ClickHTML5/Visit.aspx?ID=//50DAEwASwAzADcAOAA4ADMAMwAyADkASQBEAEUAQQA5=&amp;Tipo=2&amp;ST=1&amp;nLang=0"/>
    <n v="0"/>
    <n v="0"/>
    <n v="0"/>
    <n v="0"/>
    <n v="0"/>
    <n v="0"/>
    <n v="0"/>
    <n v="0"/>
  </r>
  <r>
    <x v="0"/>
    <x v="0"/>
    <s v="OP-S-100"/>
    <x v="259"/>
    <d v="2026-01-06T00:00:00"/>
    <n v="34"/>
    <x v="0"/>
    <n v="38"/>
    <n v="0"/>
    <n v="0"/>
    <n v="1"/>
    <n v="0"/>
    <n v="1"/>
    <n v="0"/>
    <n v="0"/>
    <n v="0"/>
    <n v="0"/>
    <n v="0"/>
    <n v="0"/>
    <s v="https://www.clickideacore.com/ClickHTML5/Visit.aspx?ID=//5ADAEwASwAzADcAOAA3ADkANQA3ADIASQBEAEUAQQA1=&amp;Tipo=2&amp;ST=1&amp;nLang=0"/>
    <n v="0"/>
    <n v="8"/>
    <n v="0"/>
    <n v="0"/>
    <n v="0"/>
    <n v="0"/>
    <n v="0"/>
    <n v="0"/>
  </r>
  <r>
    <x v="11"/>
    <x v="17"/>
    <s v="OP-SDYR-001"/>
    <x v="259"/>
    <d v="2026-01-06T00:00:00"/>
    <n v="50"/>
    <x v="0"/>
    <n v="48"/>
    <n v="0"/>
    <n v="0"/>
    <n v="1"/>
    <n v="0"/>
    <n v="1"/>
    <n v="0"/>
    <n v="0"/>
    <n v="0"/>
    <n v="0"/>
    <n v="0"/>
    <n v="0"/>
    <s v="https://www.clickideacore.com/ClickHTML5/Visit.aspx?ID=//50DAEwASwAzADcAOAA3ADYAMAAwADIASQBEAEUAQQAA=&amp;Tipo=2&amp;ST=1&amp;nLang=0"/>
    <n v="0"/>
    <n v="0"/>
    <n v="0"/>
    <n v="0"/>
    <n v="0"/>
    <n v="0"/>
    <n v="0"/>
    <n v="0"/>
  </r>
  <r>
    <x v="17"/>
    <x v="29"/>
    <s v="OP-DYR-00001"/>
    <x v="259"/>
    <d v="2026-01-06T00:00:00"/>
    <n v="143"/>
    <x v="0"/>
    <n v="30"/>
    <n v="0"/>
    <n v="0"/>
    <n v="1"/>
    <n v="0"/>
    <n v="1"/>
    <n v="0"/>
    <n v="0"/>
    <n v="0"/>
    <n v="0"/>
    <n v="0"/>
    <n v="0"/>
    <s v="https://www.clickideacore.com/ClickHTML5/Visit.aspx?ID=//57DAEwASwAzADcAOAA3ADcAMwAwADgASQBEAEUAQQAA=&amp;Tipo=2&amp;ST=1&amp;nLang=0"/>
    <n v="0"/>
    <n v="0"/>
    <n v="0"/>
    <n v="0"/>
    <n v="0"/>
    <n v="0"/>
    <n v="0"/>
    <n v="0"/>
  </r>
  <r>
    <x v="1"/>
    <x v="6"/>
    <s v="OP-DYR-005"/>
    <x v="259"/>
    <d v="2026-01-06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9"/>
    <x v="6"/>
    <s v="OP-DYR-005"/>
    <x v="259"/>
    <d v="2026-01-06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2"/>
    <x v="2"/>
    <s v="OP-DYR-005"/>
    <x v="259"/>
    <d v="2026-01-06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59"/>
    <d v="2026-01-0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59"/>
    <d v="2026-01-06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11"/>
    <x v="260"/>
    <d v="2026-01-07T00:00:00"/>
    <n v="27"/>
    <x v="0"/>
    <n v="46"/>
    <n v="0"/>
    <n v="0"/>
    <n v="1"/>
    <n v="0"/>
    <n v="0"/>
    <n v="0"/>
    <n v="0"/>
    <n v="0"/>
    <n v="0"/>
    <n v="0"/>
    <n v="0"/>
    <s v="https://www.clickideacore.com/ClickHTML5/Visit.aspx?ID=//5EDAEwASwAzADcAOAA5ADgAMgA5ADMASQBEAEUAQQA9=&amp;Tipo=2&amp;ST=1&amp;nLang=0"/>
    <n v="0"/>
    <n v="10"/>
    <n v="0"/>
    <n v="0"/>
    <n v="0"/>
    <n v="0"/>
    <n v="0"/>
    <n v="0"/>
  </r>
  <r>
    <x v="1"/>
    <x v="1"/>
    <s v="OP-DYR-004"/>
    <x v="260"/>
    <d v="2026-01-07T00:00:00"/>
    <n v="42"/>
    <x v="0"/>
    <n v="19"/>
    <n v="0"/>
    <n v="0"/>
    <n v="0"/>
    <n v="1"/>
    <n v="0"/>
    <n v="1"/>
    <n v="0"/>
    <n v="0"/>
    <n v="0"/>
    <n v="0"/>
    <n v="0"/>
    <s v="https://www.clickideacore.com/ClickHTML5/Visit.aspx?ID=//53DAEwASwAzADcAOQAwADMANwAzADcASQBEAEUAQQA1=&amp;Tipo=2&amp;ST=1&amp;nLang=0"/>
    <n v="0"/>
    <n v="10"/>
    <n v="0"/>
    <n v="0"/>
    <n v="0"/>
    <n v="0"/>
    <n v="0"/>
    <n v="0"/>
  </r>
  <r>
    <x v="5"/>
    <x v="4"/>
    <s v="OP-S-200"/>
    <x v="260"/>
    <d v="2026-01-07T00:00:00"/>
    <n v="15"/>
    <x v="0"/>
    <n v="24"/>
    <n v="0"/>
    <n v="0"/>
    <n v="1"/>
    <n v="0"/>
    <n v="0"/>
    <n v="0"/>
    <n v="0"/>
    <n v="0"/>
    <n v="0"/>
    <n v="0"/>
    <n v="0"/>
    <s v="https://www.clickideacore.com/ClickHTML5/Visit.aspx?ID=//51DAEwASwAzADcAOQAwADUAMQAwADQASQBEAEUAQQA8=&amp;Tipo=2&amp;ST=1&amp;nLang=0"/>
    <n v="0"/>
    <n v="11"/>
    <n v="0"/>
    <n v="0"/>
    <n v="0"/>
    <n v="0"/>
    <n v="0"/>
    <n v="0"/>
  </r>
  <r>
    <x v="2"/>
    <x v="2"/>
    <s v="OP-S-200"/>
    <x v="260"/>
    <d v="2026-01-07T00:00:00"/>
    <n v="15"/>
    <x v="0"/>
    <n v="68"/>
    <n v="0"/>
    <n v="0"/>
    <n v="1"/>
    <n v="0"/>
    <n v="0"/>
    <n v="0"/>
    <n v="0"/>
    <n v="0"/>
    <n v="0"/>
    <n v="0"/>
    <n v="0"/>
    <s v="https://www.clickideacore.com/ClickHTML5/Visit.aspx?ID=//51DAEwASwAzADcAOQAwADUAMQAwADQASQBEAEUAQQA8=&amp;Tipo=2&amp;ST=1&amp;nLang=0"/>
    <n v="0"/>
    <n v="10"/>
    <n v="0"/>
    <n v="0"/>
    <n v="0"/>
    <n v="0"/>
    <n v="0"/>
    <n v="0"/>
  </r>
  <r>
    <x v="4"/>
    <x v="6"/>
    <s v="OP-DYR-005"/>
    <x v="260"/>
    <d v="2026-01-07T00:00:00"/>
    <n v="44"/>
    <x v="0"/>
    <n v="40"/>
    <n v="0"/>
    <n v="0"/>
    <n v="1"/>
    <n v="0"/>
    <n v="0"/>
    <n v="0"/>
    <n v="0"/>
    <n v="0"/>
    <n v="0"/>
    <n v="0"/>
    <n v="0"/>
    <s v="https://www.clickideacore.com/ClickHTML5/Visit.aspx?ID=//56DAEwASwAzADcAOQAwADUAOAAxADAASQBEAEUAQQA2=&amp;Tipo=2&amp;ST=1&amp;nLang=0"/>
    <n v="0"/>
    <n v="42"/>
    <n v="0"/>
    <n v="0"/>
    <n v="0"/>
    <n v="0"/>
    <n v="0"/>
    <n v="0"/>
  </r>
  <r>
    <x v="19"/>
    <x v="6"/>
    <s v="OP-DYR-005"/>
    <x v="260"/>
    <d v="2026-01-07T00:00:00"/>
    <n v="44"/>
    <x v="0"/>
    <n v="40"/>
    <n v="0"/>
    <n v="0"/>
    <n v="1"/>
    <n v="0"/>
    <n v="0"/>
    <n v="0"/>
    <n v="0"/>
    <n v="0"/>
    <n v="0"/>
    <n v="0"/>
    <n v="0"/>
    <s v="https://www.clickideacore.com/ClickHTML5/Visit.aspx?ID=//56DAEwASwAzADcAOQAwADUAOAAxADAASQBEAEUAQQA2=&amp;Tipo=2&amp;ST=1&amp;nLang=0"/>
    <n v="0"/>
    <n v="42"/>
    <n v="0"/>
    <n v="0"/>
    <n v="0"/>
    <n v="0"/>
    <n v="0"/>
    <n v="0"/>
  </r>
  <r>
    <x v="17"/>
    <x v="29"/>
    <s v="OP-DYR-00001"/>
    <x v="260"/>
    <d v="2026-01-07T00:00:00"/>
    <n v="273"/>
    <x v="0"/>
    <n v="33"/>
    <n v="0"/>
    <n v="0"/>
    <n v="0"/>
    <n v="1"/>
    <n v="0"/>
    <n v="0"/>
    <n v="0"/>
    <n v="0"/>
    <n v="0"/>
    <n v="0"/>
    <n v="0"/>
    <s v="https://www.clickideacore.com/ClickHTML5/Visit.aspx?ID=//55DAEwASwAzADcAOQAwADEAMAAzADEASQBEAEUAQQA4=&amp;Tipo=2&amp;ST=1&amp;nLang=0"/>
    <n v="0"/>
    <n v="10"/>
    <n v="0"/>
    <n v="0"/>
    <n v="0"/>
    <n v="0"/>
    <n v="0"/>
    <n v="0"/>
  </r>
  <r>
    <x v="0"/>
    <x v="0"/>
    <s v="OP-DYR-005"/>
    <x v="260"/>
    <d v="2026-01-07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1"/>
    <x v="17"/>
    <s v="OP-DYR-005"/>
    <x v="260"/>
    <d v="2026-01-07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60"/>
    <d v="2026-01-0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60"/>
    <d v="2026-01-07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11"/>
    <x v="261"/>
    <d v="2026-01-08T00:00:00"/>
    <n v="28"/>
    <x v="0"/>
    <n v="16"/>
    <n v="0"/>
    <n v="0"/>
    <n v="1"/>
    <n v="0"/>
    <n v="0"/>
    <n v="0"/>
    <n v="0"/>
    <n v="0"/>
    <n v="0"/>
    <n v="0"/>
    <n v="0"/>
    <s v="https://www.clickideacore.com/ClickHTML5/Visit.aspx?ID=//50DAEwASwAzADcAOQAxADcANQA1ADMASQBEAEUAQQA4=&amp;Tipo=2&amp;ST=1&amp;nLang=0"/>
    <n v="0"/>
    <n v="26"/>
    <n v="0"/>
    <n v="0"/>
    <n v="0"/>
    <n v="0"/>
    <n v="0"/>
    <n v="0"/>
  </r>
  <r>
    <x v="1"/>
    <x v="1"/>
    <s v="OP-DYR-004"/>
    <x v="261"/>
    <d v="2026-01-08T00:00:00"/>
    <n v="18"/>
    <x v="0"/>
    <n v="18"/>
    <n v="0"/>
    <n v="0"/>
    <n v="0"/>
    <n v="1"/>
    <n v="0"/>
    <n v="0"/>
    <n v="0"/>
    <n v="0"/>
    <n v="0"/>
    <n v="0"/>
    <n v="0"/>
    <s v="https://www.clickideacore.com/ClickHTML5/Visit.aspx?ID=//52DAEwASwAzADcAOQAyADQANAA4ADYASQBEAEUAQQA3=&amp;Tipo=2&amp;ST=1&amp;nLang=0"/>
    <n v="0"/>
    <n v="29"/>
    <n v="0"/>
    <n v="0"/>
    <n v="0"/>
    <n v="0"/>
    <n v="0"/>
    <n v="0"/>
  </r>
  <r>
    <x v="9"/>
    <x v="35"/>
    <s v="OP-DYR-004"/>
    <x v="261"/>
    <d v="2026-01-08T00:00:00"/>
    <n v="18"/>
    <x v="0"/>
    <n v="18"/>
    <n v="0"/>
    <n v="0"/>
    <n v="0"/>
    <n v="1"/>
    <n v="0"/>
    <n v="0"/>
    <n v="0"/>
    <n v="0"/>
    <n v="0"/>
    <n v="0"/>
    <n v="0"/>
    <s v="https://www.clickideacore.com/ClickHTML5/Visit.aspx?ID=//52DAEwASwAzADcAOQAyADQANAA4ADYASQBEAEUAQQA3=&amp;Tipo=2&amp;ST=1&amp;nLang=0"/>
    <n v="0"/>
    <n v="29"/>
    <n v="0"/>
    <n v="0"/>
    <n v="0"/>
    <n v="0"/>
    <n v="0"/>
    <n v="0"/>
  </r>
  <r>
    <x v="4"/>
    <x v="31"/>
    <s v="OP-DYR-005"/>
    <x v="261"/>
    <d v="2026-01-08T00:00:00"/>
    <n v="29"/>
    <x v="0"/>
    <n v="39"/>
    <n v="0"/>
    <n v="0"/>
    <n v="1"/>
    <n v="0"/>
    <n v="0"/>
    <n v="0"/>
    <n v="0"/>
    <n v="0"/>
    <n v="0"/>
    <n v="0"/>
    <n v="0"/>
    <s v="https://www.clickideacore.com/ClickHTML5/Visit.aspx?ID=//55DAEwASwAzADcAOQA3ADEAOAAyADUASQBEAEUAQQA7=&amp;Tipo=2&amp;ST=1&amp;nLang=0"/>
    <n v="0"/>
    <n v="30"/>
    <n v="0"/>
    <n v="0"/>
    <n v="0"/>
    <n v="0"/>
    <n v="0"/>
    <n v="0"/>
  </r>
  <r>
    <x v="19"/>
    <x v="6"/>
    <s v="OP-DYR-005"/>
    <x v="261"/>
    <d v="2026-01-08T00:00:00"/>
    <n v="29"/>
    <x v="0"/>
    <n v="39"/>
    <n v="0"/>
    <n v="0"/>
    <n v="1"/>
    <n v="0"/>
    <n v="0"/>
    <n v="0"/>
    <n v="0"/>
    <n v="0"/>
    <n v="0"/>
    <n v="0"/>
    <n v="0"/>
    <s v="https://www.clickideacore.com/ClickHTML5/Visit.aspx?ID=//55DAEwASwAzADcAOQA3ADEAOAAyADUASQBEAEUAQQA7=&amp;Tipo=2&amp;ST=1&amp;nLang=0"/>
    <n v="0"/>
    <n v="30"/>
    <n v="0"/>
    <n v="0"/>
    <n v="0"/>
    <n v="0"/>
    <n v="0"/>
    <n v="0"/>
  </r>
  <r>
    <x v="2"/>
    <x v="2"/>
    <s v="OP-DYR-005"/>
    <x v="261"/>
    <d v="2026-01-08T00:00:00"/>
    <n v="29"/>
    <x v="0"/>
    <n v="43"/>
    <n v="0"/>
    <n v="0"/>
    <n v="1"/>
    <n v="0"/>
    <n v="0"/>
    <n v="0"/>
    <n v="0"/>
    <n v="0"/>
    <n v="0"/>
    <n v="0"/>
    <n v="0"/>
    <s v="https://www.clickideacore.com/ClickHTML5/Visit.aspx?ID=//55DAEwASwAzADcAOQA3ADEAOAAyADUASQBEAEUAQQA7=&amp;Tipo=2&amp;ST=1&amp;nLang=0"/>
    <n v="0"/>
    <n v="28"/>
    <n v="7"/>
    <n v="0"/>
    <n v="0"/>
    <n v="0"/>
    <n v="0"/>
    <n v="0"/>
  </r>
  <r>
    <x v="0"/>
    <x v="0"/>
    <s v="OP-S-100"/>
    <x v="261"/>
    <d v="2026-01-08T00:00:00"/>
    <n v="34"/>
    <x v="0"/>
    <n v="40"/>
    <n v="0"/>
    <n v="1"/>
    <n v="1"/>
    <n v="0"/>
    <n v="0"/>
    <n v="0"/>
    <n v="0"/>
    <n v="0"/>
    <n v="0"/>
    <n v="0"/>
    <n v="0"/>
    <s v="https://www.clickideacore.com/ClickHTML5/Visit.aspx?ID=//5BDAEwASwAzADcAOQAyADMAOQAwADAASQBEAEUAQQAD=&amp;Tipo=2&amp;ST=1&amp;nLang=0"/>
    <n v="0"/>
    <n v="53"/>
    <n v="0"/>
    <n v="0"/>
    <n v="0"/>
    <n v="0"/>
    <n v="0"/>
    <n v="0"/>
  </r>
  <r>
    <x v="22"/>
    <x v="6"/>
    <s v="OP-S-100"/>
    <x v="261"/>
    <d v="2026-01-08T00:00:00"/>
    <n v="34"/>
    <x v="0"/>
    <n v="40"/>
    <n v="0"/>
    <n v="1"/>
    <n v="1"/>
    <n v="0"/>
    <n v="0"/>
    <n v="0"/>
    <n v="0"/>
    <n v="0"/>
    <n v="0"/>
    <n v="0"/>
    <n v="0"/>
    <s v="https://www.clickideacore.com/ClickHTML5/Visit.aspx?ID=//5BDAEwASwAzADcAOQAyADMAOQAwADAASQBEAEUAQQAD=&amp;Tipo=2&amp;ST=1&amp;nLang=0"/>
    <n v="0"/>
    <n v="53"/>
    <n v="0"/>
    <n v="0"/>
    <n v="0"/>
    <n v="0"/>
    <n v="0"/>
    <n v="0"/>
  </r>
  <r>
    <x v="11"/>
    <x v="17"/>
    <s v="OP-SDYR-001"/>
    <x v="261"/>
    <d v="2026-01-08T00:00:00"/>
    <n v="33"/>
    <x v="0"/>
    <n v="25"/>
    <n v="0"/>
    <n v="1"/>
    <n v="1"/>
    <n v="0"/>
    <n v="0"/>
    <n v="0"/>
    <n v="0"/>
    <n v="0"/>
    <n v="0"/>
    <n v="0"/>
    <n v="0"/>
    <s v="https://www.clickideacore.com/ClickHTML5/Visit.aspx?ID=//5FDAEwASwAzADcAOQAyADQAOAA4ADEASQBEAEUAQQA7=&amp;Tipo=2&amp;ST=1&amp;nLang=0"/>
    <n v="0"/>
    <n v="4"/>
    <n v="9"/>
    <n v="0"/>
    <n v="0"/>
    <n v="0"/>
    <n v="0"/>
    <n v="0"/>
  </r>
  <r>
    <x v="17"/>
    <x v="4"/>
    <s v="OP-DYR-00001"/>
    <x v="261"/>
    <d v="2026-01-08T00:00:00"/>
    <n v="50"/>
    <x v="0"/>
    <n v="21"/>
    <n v="0"/>
    <n v="1"/>
    <n v="1"/>
    <n v="0"/>
    <n v="0"/>
    <n v="0"/>
    <n v="0"/>
    <n v="0"/>
    <n v="0"/>
    <n v="0"/>
    <n v="0"/>
    <s v="https://www.clickideacore.com/ClickHTML5/Visit.aspx?ID=//52DAEwASwAzADcAOQAyADEANQAxADQASQBEAEUAQQAD=&amp;Tipo=2&amp;ST=1&amp;nLang=0"/>
    <n v="0"/>
    <n v="33"/>
    <n v="0"/>
    <n v="0"/>
    <n v="0"/>
    <n v="0"/>
    <n v="0"/>
    <n v="0"/>
  </r>
  <r>
    <x v="5"/>
    <x v="29"/>
    <s v="OP-DYR-005"/>
    <x v="261"/>
    <d v="2026-01-08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61"/>
    <d v="2026-01-0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61"/>
    <d v="2026-01-08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31"/>
    <s v="OP-S-005"/>
    <x v="262"/>
    <d v="2026-01-09T00:00:00"/>
    <n v="43"/>
    <x v="0"/>
    <n v="38"/>
    <n v="0"/>
    <n v="1"/>
    <n v="1"/>
    <n v="0"/>
    <n v="1"/>
    <n v="0"/>
    <n v="0"/>
    <n v="0"/>
    <n v="0"/>
    <n v="0"/>
    <n v="0"/>
    <s v="https://www.clickideacore.com/ClickHTML5/Visit.aspx?ID=//5EDAEwASwAzADcAOQA0ADQAMgA0ADIASQBEAEUAQQA3=&amp;Tipo=2&amp;ST=1&amp;nLang=0"/>
    <n v="0"/>
    <n v="11"/>
    <n v="0"/>
    <n v="0"/>
    <n v="0"/>
    <n v="0"/>
    <n v="0"/>
    <n v="0"/>
  </r>
  <r>
    <x v="1"/>
    <x v="6"/>
    <s v="OP-DYR-004"/>
    <x v="262"/>
    <d v="2026-01-09T00:00:00"/>
    <n v="25"/>
    <x v="0"/>
    <n v="29"/>
    <n v="0"/>
    <n v="0"/>
    <n v="0"/>
    <n v="1"/>
    <n v="0"/>
    <n v="0"/>
    <n v="0"/>
    <n v="0"/>
    <n v="0"/>
    <n v="0"/>
    <n v="0"/>
    <s v="https://www.clickideacore.com/ClickHTML5/Visit.aspx?ID=//55DAEwASwAzADcAOQA0ADYAMAAxADYASQBEAEUAQQAD=&amp;Tipo=2&amp;ST=1&amp;nLang=0"/>
    <n v="0"/>
    <n v="11"/>
    <n v="0"/>
    <n v="0"/>
    <n v="0"/>
    <n v="0"/>
    <n v="0"/>
    <n v="0"/>
  </r>
  <r>
    <x v="9"/>
    <x v="35"/>
    <s v="OP-DYR-004"/>
    <x v="262"/>
    <d v="2026-01-09T00:00:00"/>
    <n v="25"/>
    <x v="0"/>
    <n v="30"/>
    <n v="0"/>
    <n v="0"/>
    <n v="0"/>
    <n v="1"/>
    <n v="0"/>
    <n v="0"/>
    <n v="0"/>
    <n v="0"/>
    <n v="0"/>
    <n v="0"/>
    <n v="0"/>
    <s v="https://www.clickideacore.com/ClickHTML5/Visit.aspx?ID=//55DAEwASwAzADcAOQA0ADYAMAAxADYASQBEAEUAQQAD=&amp;Tipo=2&amp;ST=1&amp;nLang=0"/>
    <n v="0"/>
    <n v="23"/>
    <n v="1"/>
    <n v="0"/>
    <n v="0"/>
    <n v="0"/>
    <n v="0"/>
    <n v="0"/>
  </r>
  <r>
    <x v="19"/>
    <x v="6"/>
    <s v="OP-DYR-00001"/>
    <x v="262"/>
    <d v="2026-01-09T00:00:00"/>
    <n v="119"/>
    <x v="0"/>
    <n v="37"/>
    <n v="0"/>
    <n v="0"/>
    <n v="1"/>
    <n v="0"/>
    <n v="0"/>
    <n v="0"/>
    <n v="0"/>
    <n v="0"/>
    <n v="0"/>
    <n v="0"/>
    <n v="0"/>
    <s v="https://www.clickideacore.com/ClickHTML5/Visit.aspx?ID=//54DAEwASwAzADcAOQA0ADAAMgA1ADIASQBEAEUAQQAF=&amp;Tipo=2&amp;ST=1&amp;nLang=0"/>
    <n v="0"/>
    <n v="12"/>
    <n v="1"/>
    <n v="0"/>
    <n v="0"/>
    <n v="0"/>
    <n v="0"/>
    <n v="0"/>
  </r>
  <r>
    <x v="13"/>
    <x v="6"/>
    <s v="OP-DYR-00001"/>
    <x v="262"/>
    <d v="2026-01-09T00:00:00"/>
    <n v="119"/>
    <x v="0"/>
    <n v="24"/>
    <n v="0"/>
    <n v="0"/>
    <n v="1"/>
    <n v="0"/>
    <n v="0"/>
    <n v="0"/>
    <n v="0"/>
    <n v="0"/>
    <n v="0"/>
    <n v="0"/>
    <n v="0"/>
    <s v="https://www.clickideacore.com/ClickHTML5/Visit.aspx?ID=//54DAEwASwAzADcAOQA0ADAAMgA1ADIASQBEAEUAQQAF=&amp;Tipo=2&amp;ST=1&amp;nLang=0"/>
    <n v="0"/>
    <n v="0"/>
    <n v="0"/>
    <n v="0"/>
    <n v="0"/>
    <n v="0"/>
    <n v="0"/>
    <n v="0"/>
  </r>
  <r>
    <x v="2"/>
    <x v="2"/>
    <s v="OP-DYR-00001"/>
    <x v="262"/>
    <d v="2026-01-09T00:00:00"/>
    <n v="119"/>
    <x v="0"/>
    <n v="46"/>
    <n v="0"/>
    <n v="0"/>
    <n v="1"/>
    <n v="0"/>
    <n v="1"/>
    <n v="0"/>
    <n v="0"/>
    <n v="0"/>
    <n v="0"/>
    <n v="0"/>
    <n v="0"/>
    <s v="https://www.clickideacore.com/ClickHTML5/Visit.aspx?ID=//54DAEwASwAzADcAOQA0ADAAMgA1ADIASQBEAEUAQQAF=&amp;Tipo=2&amp;ST=1&amp;nLang=0"/>
    <n v="0"/>
    <n v="0"/>
    <n v="0"/>
    <n v="0"/>
    <n v="0"/>
    <n v="0"/>
    <n v="0"/>
    <n v="0"/>
  </r>
  <r>
    <x v="0"/>
    <x v="0"/>
    <s v="OP-S-100"/>
    <x v="262"/>
    <d v="2026-01-09T00:00:00"/>
    <n v="32"/>
    <x v="0"/>
    <n v="39"/>
    <n v="0"/>
    <n v="0"/>
    <n v="1"/>
    <n v="0"/>
    <n v="0"/>
    <n v="0"/>
    <n v="0"/>
    <n v="0"/>
    <n v="0"/>
    <n v="0"/>
    <n v="0"/>
    <s v="https://www.clickideacore.com/ClickHTML5/Visit.aspx?ID=//51DAEwASwAzADcAOQA0ADEANQA4ADAASQBEAEUAQQAE=&amp;Tipo=2&amp;ST=1&amp;nLang=0"/>
    <n v="0"/>
    <n v="0"/>
    <n v="0"/>
    <n v="0"/>
    <n v="0"/>
    <n v="0"/>
    <n v="0"/>
    <n v="0"/>
  </r>
  <r>
    <x v="11"/>
    <x v="17"/>
    <s v="OP-SDYR-001"/>
    <x v="262"/>
    <d v="2026-01-09T00:00:00"/>
    <n v="75"/>
    <x v="0"/>
    <n v="28"/>
    <n v="0"/>
    <n v="0"/>
    <n v="1"/>
    <n v="0"/>
    <n v="0"/>
    <n v="0"/>
    <n v="0"/>
    <n v="0"/>
    <n v="0"/>
    <n v="0"/>
    <n v="0"/>
    <s v="https://www.clickideacore.com/ClickHTML5/Visit.aspx?ID=//59DAEwASwAzADcAOQA0ADEANAAyADUASQBEAEUAQQA3=&amp;Tipo=2&amp;ST=1&amp;nLang=0"/>
    <n v="0"/>
    <n v="20"/>
    <n v="0"/>
    <n v="0"/>
    <n v="0"/>
    <n v="0"/>
    <n v="0"/>
    <n v="0"/>
  </r>
  <r>
    <x v="17"/>
    <x v="29"/>
    <s v="OP-DYR-00001"/>
    <x v="262"/>
    <d v="2026-01-09T00:00:00"/>
    <n v="119"/>
    <x v="0"/>
    <n v="25"/>
    <n v="0"/>
    <n v="0"/>
    <n v="1"/>
    <n v="0"/>
    <n v="1"/>
    <n v="0"/>
    <n v="0"/>
    <n v="0"/>
    <n v="0"/>
    <n v="0"/>
    <n v="0"/>
    <s v="https://www.clickideacore.com/ClickHTML5/Visit.aspx?ID=//54DAEwASwAzADcAOQA0ADAAMgA1ADIASQBEAEUAQQAF=&amp;Tipo=2&amp;ST=1&amp;nLang=0"/>
    <n v="0"/>
    <n v="0"/>
    <n v="0"/>
    <n v="0"/>
    <n v="0"/>
    <n v="0"/>
    <n v="0"/>
    <n v="0"/>
  </r>
  <r>
    <x v="9"/>
    <x v="1"/>
    <s v="OP-DYR-005"/>
    <x v="262"/>
    <d v="2026-01-09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10"/>
    <x v="3"/>
    <s v="OP-DYR-005"/>
    <x v="262"/>
    <d v="2026-01-09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4"/>
    <x v="6"/>
    <s v="OP-DYR-005"/>
    <x v="262"/>
    <d v="2026-01-09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4"/>
    <s v="OP-DYR-005"/>
    <x v="262"/>
    <d v="2026-01-09T00:00:00"/>
    <n v="18"/>
    <x v="1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62"/>
    <d v="2026-01-0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62"/>
    <d v="2026-01-09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11"/>
    <x v="263"/>
    <d v="2026-01-10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CDAEwASwAzADcAOQA1ADYAMAAxADMASQBEAEUAQQA8=&amp;Tipo=2&amp;ST=1&amp;nLang=0"/>
    <n v="0"/>
    <n v="0"/>
    <n v="0"/>
    <n v="0"/>
    <n v="0"/>
    <n v="0"/>
    <n v="0"/>
    <n v="0"/>
  </r>
  <r>
    <x v="1"/>
    <x v="6"/>
    <s v="OP-DYR-004"/>
    <x v="263"/>
    <d v="2026-01-10T00:00:00"/>
    <n v="33"/>
    <x v="0"/>
    <n v="0"/>
    <n v="0"/>
    <n v="0"/>
    <n v="0"/>
    <n v="0"/>
    <n v="0"/>
    <n v="0"/>
    <n v="1"/>
    <n v="0"/>
    <n v="6"/>
    <n v="1"/>
    <n v="0"/>
    <s v="https://www.clickideacore.com/ClickHTML5/Visit.aspx?ID=//51DAEwASwAzADcAOQA1ADgAMQA4ADUASQBEAEUAQQA2=&amp;Tipo=2&amp;ST=1&amp;nLang=0"/>
    <n v="0"/>
    <n v="0"/>
    <n v="0"/>
    <n v="0"/>
    <n v="0"/>
    <n v="0"/>
    <n v="1"/>
    <n v="0"/>
  </r>
  <r>
    <x v="19"/>
    <x v="6"/>
    <s v="OP-DYR-004"/>
    <x v="263"/>
    <d v="2026-01-10T00:00:00"/>
    <n v="33"/>
    <x v="0"/>
    <n v="0"/>
    <n v="0"/>
    <n v="0"/>
    <n v="0"/>
    <n v="0"/>
    <n v="0"/>
    <n v="0"/>
    <n v="1"/>
    <n v="0"/>
    <n v="6"/>
    <n v="1"/>
    <n v="0"/>
    <s v="https://www.clickideacore.com/ClickHTML5/Visit.aspx?ID=//51DAEwASwAzADcAOQA1ADgAMQA4ADUASQBEAEUAQQA2=&amp;Tipo=2&amp;ST=1&amp;nLang=0"/>
    <n v="0"/>
    <n v="0"/>
    <n v="0"/>
    <n v="0"/>
    <n v="0"/>
    <n v="0"/>
    <n v="1"/>
    <n v="0"/>
  </r>
  <r>
    <x v="5"/>
    <x v="4"/>
    <s v="OP-DYR-00001"/>
    <x v="263"/>
    <d v="2026-01-10T00:00:00"/>
    <n v="192"/>
    <x v="0"/>
    <n v="0"/>
    <n v="0"/>
    <n v="0"/>
    <n v="0"/>
    <n v="0"/>
    <n v="0"/>
    <n v="0"/>
    <n v="1"/>
    <n v="0"/>
    <n v="0"/>
    <n v="1"/>
    <n v="0"/>
    <s v="https://www.clickideacore.com/ClickHTML5/Visit.aspx?ID=//5FDAEwASwAzADcAOQA1ADcANgA4ADcASQBEAEUAQQA6=&amp;Tipo=2&amp;ST=1&amp;nLang=0"/>
    <n v="0"/>
    <n v="0"/>
    <n v="0"/>
    <n v="0"/>
    <n v="0"/>
    <n v="0"/>
    <n v="0"/>
    <n v="0"/>
  </r>
  <r>
    <x v="2"/>
    <x v="2"/>
    <s v="OP-S-200"/>
    <x v="263"/>
    <d v="2026-01-10T00:00:00"/>
    <n v="29"/>
    <x v="0"/>
    <n v="0"/>
    <n v="0"/>
    <n v="0"/>
    <n v="0"/>
    <n v="0"/>
    <n v="0"/>
    <n v="0"/>
    <n v="1"/>
    <n v="0"/>
    <n v="0"/>
    <n v="1"/>
    <n v="0"/>
    <s v="https://www.clickideacore.com/ClickHTML5/Visit.aspx?ID=//55DAEwASwAzADcAOQA1ADcAOAA0ADAASQBEAEUAQQA4=&amp;Tipo=2&amp;ST=1&amp;nLang=0"/>
    <n v="0"/>
    <n v="0"/>
    <n v="0"/>
    <n v="0"/>
    <n v="0"/>
    <n v="0"/>
    <n v="0"/>
    <n v="0"/>
  </r>
  <r>
    <x v="0"/>
    <x v="0"/>
    <s v="OP-S-100"/>
    <x v="263"/>
    <d v="2026-01-10T00:00:00"/>
    <n v="33"/>
    <x v="0"/>
    <n v="0"/>
    <n v="0"/>
    <n v="0"/>
    <n v="0"/>
    <n v="0"/>
    <n v="0"/>
    <n v="0"/>
    <n v="1"/>
    <n v="0"/>
    <n v="0"/>
    <n v="1"/>
    <n v="0"/>
    <s v="https://www.clickideacore.com/ClickHTML5/Visit.aspx?ID=//50DAEwASwAzADcAOQA1ADcAMAAzADIASQBEAEUAQQAA=&amp;Tipo=2&amp;ST=1&amp;nLang=0"/>
    <n v="0"/>
    <n v="0"/>
    <n v="0"/>
    <n v="0"/>
    <n v="0"/>
    <n v="0"/>
    <n v="0"/>
    <n v="0"/>
  </r>
  <r>
    <x v="11"/>
    <x v="17"/>
    <s v="OP-SDYR-001"/>
    <x v="263"/>
    <d v="2026-01-10T00:00:00"/>
    <n v="30"/>
    <x v="0"/>
    <n v="0"/>
    <n v="0"/>
    <n v="0"/>
    <n v="0"/>
    <n v="0"/>
    <n v="0"/>
    <n v="0"/>
    <n v="1"/>
    <n v="0"/>
    <n v="0"/>
    <n v="1"/>
    <n v="0"/>
    <s v="https://www.clickideacore.com/ClickHTML5/Visit.aspx?ID=//5BDAEwASwAzADcAOQA1ADYAOAA2ADkASQBEAEUAQQAD=&amp;Tipo=2&amp;ST=1&amp;nLang=0"/>
    <n v="0"/>
    <n v="0"/>
    <n v="0"/>
    <n v="0"/>
    <n v="0"/>
    <n v="0"/>
    <n v="0"/>
    <n v="0"/>
  </r>
  <r>
    <x v="17"/>
    <x v="29"/>
    <s v="OP-DYR-00001"/>
    <x v="263"/>
    <d v="2026-01-10T00:00:00"/>
    <n v="192"/>
    <x v="0"/>
    <n v="0"/>
    <n v="0"/>
    <n v="0"/>
    <n v="0"/>
    <n v="0"/>
    <n v="0"/>
    <n v="0"/>
    <n v="1"/>
    <n v="0"/>
    <n v="1"/>
    <n v="1"/>
    <n v="0"/>
    <s v="https://www.clickideacore.com/ClickHTML5/Visit.aspx?ID=//5FDAEwASwAzADcAOQA1ADcANgA4ADcASQBEAEUAQQA6=&amp;Tipo=2&amp;ST=1&amp;nLang=0"/>
    <n v="0"/>
    <n v="0"/>
    <n v="0"/>
    <n v="0"/>
    <n v="0"/>
    <n v="0"/>
    <n v="0"/>
    <n v="0"/>
  </r>
  <r>
    <x v="4"/>
    <x v="1"/>
    <s v="OP-DYR-005"/>
    <x v="263"/>
    <d v="2026-01-10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35"/>
    <s v="OP-DYR-005"/>
    <x v="263"/>
    <d v="2026-01-10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63"/>
    <d v="2026-01-1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63"/>
    <d v="2026-01-10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11"/>
    <x v="264"/>
    <d v="2026-01-11T00:00:00"/>
    <n v="29"/>
    <x v="0"/>
    <n v="0"/>
    <n v="0"/>
    <n v="0"/>
    <n v="0"/>
    <n v="0"/>
    <n v="0"/>
    <n v="0"/>
    <n v="0"/>
    <n v="1"/>
    <n v="2"/>
    <n v="0"/>
    <n v="1"/>
    <s v="https://www.clickideacore.com/ClickHTML5/Visit.aspx?ID=//54DAEwASwAzADcAOQA2ADMANQA1ADgASQBEAEUAQQA1=&amp;Tipo=2&amp;ST=1&amp;nLang=0"/>
    <n v="0"/>
    <n v="0"/>
    <n v="0"/>
    <n v="0"/>
    <n v="0"/>
    <n v="0"/>
    <n v="0"/>
    <n v="0"/>
  </r>
  <r>
    <x v="1"/>
    <x v="6"/>
    <s v="OP-DYR-004"/>
    <x v="264"/>
    <d v="2026-01-11T00:00:00"/>
    <n v="34"/>
    <x v="0"/>
    <n v="0"/>
    <n v="0"/>
    <n v="0"/>
    <n v="0"/>
    <n v="0"/>
    <n v="0"/>
    <n v="0"/>
    <n v="0"/>
    <n v="1"/>
    <n v="4"/>
    <n v="0"/>
    <n v="1"/>
    <s v="https://www.clickideacore.com/ClickHTML5/Visit.aspx?ID=//5CDAEwASwAzADcAOQA2ADIAMwA5ADgASQBEAEUAQQA6=&amp;Tipo=2&amp;ST=1&amp;nLang=0"/>
    <n v="0"/>
    <n v="0"/>
    <n v="0"/>
    <n v="0"/>
    <n v="0"/>
    <n v="0"/>
    <n v="0"/>
    <n v="1"/>
  </r>
  <r>
    <x v="19"/>
    <x v="6"/>
    <s v="OP-DYR-004"/>
    <x v="264"/>
    <d v="2026-01-11T00:00:00"/>
    <n v="34"/>
    <x v="0"/>
    <n v="0"/>
    <n v="0"/>
    <n v="0"/>
    <n v="0"/>
    <n v="0"/>
    <n v="0"/>
    <n v="0"/>
    <n v="0"/>
    <n v="1"/>
    <n v="4"/>
    <n v="0"/>
    <n v="1"/>
    <s v="https://www.clickideacore.com/ClickHTML5/Visit.aspx?ID=//5CDAEwASwAzADcAOQA2ADIAMwA5ADgASQBEAEUAQQA6=&amp;Tipo=2&amp;ST=1&amp;nLang=0"/>
    <n v="0"/>
    <n v="0"/>
    <n v="0"/>
    <n v="0"/>
    <n v="0"/>
    <n v="0"/>
    <n v="0"/>
    <n v="1"/>
  </r>
  <r>
    <x v="5"/>
    <x v="4"/>
    <s v="OP-DYR-00001"/>
    <x v="264"/>
    <d v="2026-01-11T00:00:00"/>
    <n v="47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OQA2ADQANAA0ADQASQBEAEUAQQAD=&amp;Tipo=2&amp;ST=1&amp;nLang=0"/>
    <n v="0"/>
    <n v="0"/>
    <n v="0"/>
    <n v="0"/>
    <n v="0"/>
    <n v="0"/>
    <n v="0"/>
    <n v="0"/>
  </r>
  <r>
    <x v="2"/>
    <x v="2"/>
    <s v="OP-S-200"/>
    <x v="264"/>
    <d v="2026-01-11T00:00:00"/>
    <n v="17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OQA2ADMAMQA3ADMASQBEAEUAQQAB=&amp;Tipo=2&amp;ST=1&amp;nLang=0"/>
    <n v="0"/>
    <n v="0"/>
    <n v="0"/>
    <n v="0"/>
    <n v="0"/>
    <n v="0"/>
    <n v="0"/>
    <n v="0"/>
  </r>
  <r>
    <x v="0"/>
    <x v="0"/>
    <s v="OP-S-100"/>
    <x v="264"/>
    <d v="2026-01-11T00:00:00"/>
    <n v="38"/>
    <x v="0"/>
    <n v="0"/>
    <n v="0"/>
    <n v="0"/>
    <n v="0"/>
    <n v="0"/>
    <n v="0"/>
    <n v="0"/>
    <n v="0"/>
    <n v="1"/>
    <n v="2"/>
    <n v="0"/>
    <n v="1"/>
    <s v="https://www.clickideacore.com/ClickHTML5/Visit.aspx?ID=//59DAEwASwAzADcAOQA2ADQAMgA1ADQASQBEAEUAQQA5=&amp;Tipo=2&amp;ST=1&amp;nLang=0"/>
    <n v="0"/>
    <n v="0"/>
    <n v="0"/>
    <n v="0"/>
    <n v="0"/>
    <n v="0"/>
    <n v="0"/>
    <n v="0"/>
  </r>
  <r>
    <x v="11"/>
    <x v="17"/>
    <s v="OP-SDYR-001"/>
    <x v="264"/>
    <d v="2026-01-11T00:00:00"/>
    <n v="18"/>
    <x v="0"/>
    <n v="0"/>
    <n v="0"/>
    <n v="0"/>
    <n v="0"/>
    <n v="0"/>
    <n v="0"/>
    <n v="0"/>
    <n v="0"/>
    <n v="1"/>
    <n v="0"/>
    <n v="0"/>
    <n v="1"/>
    <s v="https://www.clickideacore.com/ClickHTML5/Visit.aspx?ID=//56DAEwASwAzADcAOQA2ADQAMAAxADkASQBEAEUAQQAA=&amp;Tipo=2&amp;ST=1&amp;nLang=0"/>
    <n v="0"/>
    <n v="0"/>
    <n v="0"/>
    <n v="0"/>
    <n v="0"/>
    <n v="0"/>
    <n v="0"/>
    <n v="0"/>
  </r>
  <r>
    <x v="17"/>
    <x v="29"/>
    <s v="OP-DYR-00001"/>
    <x v="264"/>
    <d v="2026-01-11T00:00:00"/>
    <n v="47"/>
    <x v="0"/>
    <n v="0"/>
    <n v="0"/>
    <n v="0"/>
    <n v="0"/>
    <n v="0"/>
    <n v="0"/>
    <n v="0"/>
    <n v="0"/>
    <n v="1"/>
    <n v="0"/>
    <n v="0"/>
    <n v="1"/>
    <s v="https://www.clickideacore.com/ClickHTML5/Visit.aspx?ID=//5ADAEwASwAzADcAOQA2ADQANAA0ADQASQBEAEUAQQAD=&amp;Tipo=2&amp;ST=1&amp;nLang=0"/>
    <n v="0"/>
    <n v="0"/>
    <n v="0"/>
    <n v="0"/>
    <n v="0"/>
    <n v="0"/>
    <n v="0"/>
    <n v="0"/>
  </r>
  <r>
    <x v="4"/>
    <x v="1"/>
    <s v="OP-DYR-005"/>
    <x v="264"/>
    <d v="2026-01-11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35"/>
    <s v="OP-DYR-005"/>
    <x v="264"/>
    <d v="2026-01-11T00:00:00"/>
    <n v="18"/>
    <x v="5"/>
    <n v="0"/>
    <n v="0"/>
    <n v="0"/>
    <n v="0"/>
    <n v="0"/>
    <n v="0"/>
    <n v="0"/>
    <n v="0"/>
    <n v="0"/>
    <n v="0"/>
    <n v="0"/>
    <n v="0"/>
    <s v="https://www.clickideacore.com/ClickHTML5/Visit.aspx?ID=//57DAEwASwAzADcANgA4ADUAOQA1ADUASQBEAEUAQQAA=&amp;Tipo=2&amp;ST=1&amp;nLang=0"/>
    <n v="0"/>
    <n v="0"/>
    <n v="0"/>
    <n v="0"/>
    <n v="0"/>
    <n v="0"/>
    <n v="0"/>
    <n v="0"/>
  </r>
  <r>
    <x v="9"/>
    <x v="8"/>
    <s v="OP-S-076"/>
    <x v="264"/>
    <d v="2026-01-1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6"/>
    <s v="OP-S-076"/>
    <x v="264"/>
    <d v="2026-01-11T00:00:00"/>
    <n v="21"/>
    <x v="2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DYR-011"/>
    <x v="265"/>
    <d v="2026-01-12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3DAEwASwAzADcAOQA3ADEANAA2ADYASQBEAEUAQQAA=&amp;Tipo=2&amp;ST=1&amp;nLang=0"/>
    <n v="0"/>
    <n v="44"/>
    <n v="0"/>
    <n v="0"/>
    <n v="0"/>
    <n v="0"/>
    <n v="0"/>
    <n v="0"/>
  </r>
  <r>
    <x v="19"/>
    <x v="6"/>
    <s v="OP-DYR-011"/>
    <x v="265"/>
    <d v="2026-01-12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3DAEwASwAzADcAOQA3ADEANAA2ADYASQBEAEUAQQAA=&amp;Tipo=2&amp;ST=1&amp;nLang=0"/>
    <n v="0"/>
    <n v="44"/>
    <n v="0"/>
    <n v="0"/>
    <n v="0"/>
    <n v="0"/>
    <n v="0"/>
    <n v="0"/>
  </r>
  <r>
    <x v="4"/>
    <x v="35"/>
    <s v="OP-DYR-005"/>
    <x v="265"/>
    <d v="2026-01-12T00:00:00"/>
    <n v="18"/>
    <x v="0"/>
    <n v="0"/>
    <n v="0"/>
    <n v="0"/>
    <n v="0"/>
    <n v="0"/>
    <n v="0"/>
    <n v="0"/>
    <n v="0"/>
    <n v="0"/>
    <n v="0"/>
    <n v="0"/>
    <n v="0"/>
    <s v="https://www.clickideacore.com/ClickHTML5/Visit.aspx?ID=//5FDAEwASwAzADcAOQA3ADEAOAAzADAASQBEAEUAQQA1=&amp;Tipo=2&amp;ST=1&amp;nLang=0"/>
    <n v="0"/>
    <n v="44"/>
    <n v="0"/>
    <n v="0"/>
    <n v="0"/>
    <n v="0"/>
    <n v="0"/>
    <n v="0"/>
  </r>
  <r>
    <x v="5"/>
    <x v="4"/>
    <s v="OP-S-200"/>
    <x v="265"/>
    <d v="2026-01-12T00:00:00"/>
    <n v="18"/>
    <x v="0"/>
    <n v="0"/>
    <n v="0"/>
    <n v="0"/>
    <n v="0"/>
    <n v="0"/>
    <n v="0"/>
    <n v="0"/>
    <n v="0"/>
    <n v="0"/>
    <n v="0"/>
    <n v="0"/>
    <n v="0"/>
    <s v="https://www.clickideacore.com/ClickHTML5/Visit.aspx?ID=//56DAEwASwAzADcAOQA3ADIANwA1ADMASQBEAEUAQQAE=&amp;Tipo=2&amp;ST=1&amp;nLang=0"/>
    <n v="0"/>
    <n v="40"/>
    <n v="0"/>
    <n v="0"/>
    <n v="0"/>
    <n v="0"/>
    <n v="0"/>
    <n v="0"/>
  </r>
  <r>
    <x v="2"/>
    <x v="2"/>
    <s v="OP-S-200"/>
    <x v="265"/>
    <d v="2026-01-12T00:00:00"/>
    <n v="18"/>
    <x v="0"/>
    <n v="2"/>
    <n v="0"/>
    <n v="0"/>
    <n v="0"/>
    <n v="0"/>
    <n v="0"/>
    <n v="0"/>
    <n v="0"/>
    <n v="0"/>
    <n v="0"/>
    <n v="0"/>
    <n v="0"/>
    <s v="https://www.clickideacore.com/ClickHTML5/Visit.aspx?ID=//56DAEwASwAzADcAOQA3ADIANwA1ADMASQBEAEUAQQAE=&amp;Tipo=2&amp;ST=1&amp;nLang=0"/>
    <n v="0"/>
    <n v="26"/>
    <n v="0"/>
    <n v="0"/>
    <n v="0"/>
    <n v="0"/>
    <n v="0"/>
    <n v="0"/>
  </r>
  <r>
    <x v="0"/>
    <x v="0"/>
    <s v="OP-S-100"/>
    <x v="265"/>
    <d v="2026-01-12T00:00:00"/>
    <n v="63"/>
    <x v="0"/>
    <n v="1"/>
    <n v="0"/>
    <n v="0"/>
    <n v="0"/>
    <n v="0"/>
    <n v="0"/>
    <n v="0"/>
    <n v="0"/>
    <n v="0"/>
    <n v="0"/>
    <n v="0"/>
    <n v="0"/>
    <s v="https://www.clickideacore.com/ClickHTML5/Visit.aspx?ID=//55DAEwASwAzADcAOQA3ADMAMgA0ADYASQBEAEUAQQA5=&amp;Tipo=2&amp;ST=1&amp;nLang=0"/>
    <n v="0"/>
    <n v="22"/>
    <n v="23"/>
    <n v="0"/>
    <n v="0"/>
    <n v="0"/>
    <n v="0"/>
    <n v="0"/>
  </r>
  <r>
    <x v="17"/>
    <x v="29"/>
    <s v="OP-DYR-00001"/>
    <x v="265"/>
    <d v="2026-01-12T00:00:00"/>
    <n v="71"/>
    <x v="0"/>
    <n v="1"/>
    <n v="0"/>
    <n v="0"/>
    <n v="0"/>
    <n v="0"/>
    <n v="0"/>
    <n v="0"/>
    <n v="0"/>
    <n v="0"/>
    <n v="0"/>
    <n v="0"/>
    <n v="0"/>
    <s v="https://www.clickideacore.com/ClickHTML5/Visit.aspx?ID=//50DAEwASwAzADcAOQA3ADMAMQA2ADEASQBEAEUAQQA4=&amp;Tipo=2&amp;ST=1&amp;nLang=0"/>
    <n v="0"/>
    <n v="20"/>
    <n v="11"/>
    <n v="0"/>
    <n v="0"/>
    <n v="0"/>
    <n v="0"/>
    <n v="0"/>
  </r>
  <r>
    <x v="1"/>
    <x v="1"/>
    <s v="OP-DYR-004"/>
    <x v="265"/>
    <d v="2026-01-12T00:00:00"/>
    <n v="18"/>
    <x v="0"/>
    <n v="0"/>
    <n v="0"/>
    <n v="0"/>
    <n v="0"/>
    <n v="0"/>
    <n v="0"/>
    <n v="0"/>
    <n v="0"/>
    <n v="0"/>
    <n v="0"/>
    <n v="0"/>
    <n v="0"/>
    <s v="https://www.clickideacore.com/ClickHTML5/Visit.aspx?ID=//5BDAEwASwAzADcAOQA3ADQANgAyADcASQBEAEUAQQA3=&amp;Tipo=2&amp;ST=1&amp;nLang=0"/>
    <n v="0"/>
    <n v="14"/>
    <n v="0"/>
    <n v="0"/>
    <n v="0"/>
    <n v="0"/>
    <n v="0"/>
    <n v="0"/>
  </r>
  <r>
    <x v="11"/>
    <x v="17"/>
    <s v="OP-SDYR-001"/>
    <x v="265"/>
    <d v="2026-01-12T00:00:00"/>
    <n v="24"/>
    <x v="0"/>
    <n v="2"/>
    <n v="0"/>
    <n v="0"/>
    <n v="0"/>
    <n v="0"/>
    <n v="0"/>
    <n v="0"/>
    <n v="0"/>
    <n v="0"/>
    <n v="0"/>
    <n v="0"/>
    <n v="0"/>
    <s v="https://www.clickideacore.com/ClickHTML5/Visit.aspx?ID=//5BDAEwASwAzADcAOQA3ADMAMQA0ADcASQBEAEUAQQA6=&amp;Tipo=2&amp;ST=1&amp;nLang=0"/>
    <n v="0"/>
    <n v="28"/>
    <n v="12"/>
    <n v="0"/>
    <n v="0"/>
    <n v="0"/>
    <n v="0"/>
    <n v="0"/>
  </r>
  <r>
    <x v="3"/>
    <x v="6"/>
    <s v="OP-S-076"/>
    <x v="265"/>
    <d v="2026-01-12T00:00:00"/>
    <n v="21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65"/>
    <d v="2026-01-1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65"/>
    <d v="2026-01-1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200"/>
    <x v="266"/>
    <d v="2026-01-13T00:00:00"/>
    <n v="24"/>
    <x v="0"/>
    <n v="36"/>
    <n v="0"/>
    <n v="0"/>
    <n v="0"/>
    <n v="1"/>
    <n v="0"/>
    <n v="0"/>
    <n v="0"/>
    <n v="0"/>
    <n v="0"/>
    <n v="0"/>
    <n v="0"/>
    <s v="https://www.clickideacore.com/ClickHTML5/Visit.aspx?ID=//5ADAEwASwAzADcAOQA5ADAAMgA5ADQASQBEAEUAQQAB=&amp;Tipo=2&amp;ST=1&amp;nLang=0"/>
    <n v="0"/>
    <n v="0"/>
    <n v="0"/>
    <n v="0"/>
    <n v="0"/>
    <n v="0"/>
    <n v="0"/>
    <n v="0"/>
  </r>
  <r>
    <x v="4"/>
    <x v="6"/>
    <s v="OP-DYR-005"/>
    <x v="266"/>
    <d v="2026-01-13T00:00:00"/>
    <n v="20"/>
    <x v="0"/>
    <n v="22"/>
    <n v="0"/>
    <n v="0"/>
    <n v="0"/>
    <n v="1"/>
    <n v="0"/>
    <n v="0"/>
    <n v="0"/>
    <n v="0"/>
    <n v="3"/>
    <n v="0"/>
    <n v="0"/>
    <s v="https://www.clickideacore.com/ClickHTML5/Visit.aspx?ID=//5ADAEwASwAzADcAOQA5ADIAOQAyADAASQBEAEUAQQAB=&amp;Tipo=2&amp;ST=1&amp;nLang=0"/>
    <n v="0"/>
    <n v="0"/>
    <n v="0"/>
    <n v="0"/>
    <n v="0"/>
    <n v="0"/>
    <n v="0"/>
    <n v="0"/>
  </r>
  <r>
    <x v="9"/>
    <x v="35"/>
    <s v="OP-DYR-005"/>
    <x v="266"/>
    <d v="2026-01-13T00:00:00"/>
    <n v="20"/>
    <x v="0"/>
    <n v="22"/>
    <n v="0"/>
    <n v="0"/>
    <n v="0"/>
    <n v="1"/>
    <n v="0"/>
    <n v="0"/>
    <n v="0"/>
    <n v="0"/>
    <n v="0"/>
    <n v="0"/>
    <n v="0"/>
    <s v="https://www.clickideacore.com/ClickHTML5/Visit.aspx?ID=//5ADAEwASwAzADcAOQA5ADIAOQAyADAASQBEAEUAQQAB=&amp;Tipo=2&amp;ST=1&amp;nLang=0"/>
    <n v="0"/>
    <n v="0"/>
    <n v="0"/>
    <n v="0"/>
    <n v="0"/>
    <n v="0"/>
    <n v="0"/>
    <n v="0"/>
  </r>
  <r>
    <x v="5"/>
    <x v="6"/>
    <s v="OP-DYR-005"/>
    <x v="266"/>
    <d v="2026-01-13T00:00:00"/>
    <n v="20"/>
    <x v="0"/>
    <n v="36"/>
    <n v="0"/>
    <n v="0"/>
    <n v="1"/>
    <n v="0"/>
    <n v="0"/>
    <n v="0"/>
    <n v="0"/>
    <n v="0"/>
    <n v="3"/>
    <n v="0"/>
    <n v="0"/>
    <s v="https://www.clickideacore.com/ClickHTML5/Visit.aspx?ID=//5ADAEwASwAzADcAOQA5ADIAOQAyADAASQBEAEUAQQAB=&amp;Tipo=2&amp;ST=1&amp;nLang=0"/>
    <n v="0"/>
    <n v="0"/>
    <n v="0"/>
    <n v="0"/>
    <n v="0"/>
    <n v="0"/>
    <n v="0"/>
    <n v="0"/>
  </r>
  <r>
    <x v="9"/>
    <x v="4"/>
    <s v="OP-DYR-005"/>
    <x v="266"/>
    <d v="2026-01-13T00:00:00"/>
    <n v="20"/>
    <x v="0"/>
    <n v="36"/>
    <n v="0"/>
    <n v="0"/>
    <n v="1"/>
    <n v="0"/>
    <n v="0"/>
    <n v="0"/>
    <n v="0"/>
    <n v="0"/>
    <n v="0"/>
    <n v="0"/>
    <n v="0"/>
    <s v="https://www.clickideacore.com/ClickHTML5/Visit.aspx?ID=//5ADAEwASwAzADcAOQA5ADIAOQAyADAASQBEAEUAQQAB=&amp;Tipo=2&amp;ST=1&amp;nLang=0"/>
    <n v="0"/>
    <n v="0"/>
    <n v="0"/>
    <n v="0"/>
    <n v="0"/>
    <n v="0"/>
    <n v="0"/>
    <n v="0"/>
  </r>
  <r>
    <x v="0"/>
    <x v="0"/>
    <s v="OP-S-100"/>
    <x v="266"/>
    <d v="2026-01-13T00:00:00"/>
    <n v="69"/>
    <x v="0"/>
    <n v="43"/>
    <n v="0"/>
    <n v="0"/>
    <n v="1"/>
    <n v="0"/>
    <n v="0"/>
    <n v="0"/>
    <n v="0"/>
    <n v="0"/>
    <n v="0"/>
    <n v="0"/>
    <n v="0"/>
    <s v="https://www.clickideacore.com/ClickHTML5/Visit.aspx?ID=//59DAEwASwAzADcAOQA4ADgAOQA1ADkASQBEAEUAQQA3=&amp;Tipo=2&amp;ST=1&amp;nLang=0"/>
    <n v="0"/>
    <n v="0"/>
    <n v="0"/>
    <n v="0"/>
    <n v="0"/>
    <n v="0"/>
    <n v="0"/>
    <n v="0"/>
  </r>
  <r>
    <x v="11"/>
    <x v="6"/>
    <s v="OP-SDYR-001"/>
    <x v="266"/>
    <d v="2026-01-13T00:00:00"/>
    <n v="24"/>
    <x v="0"/>
    <n v="40"/>
    <n v="0"/>
    <n v="0"/>
    <n v="1"/>
    <n v="0"/>
    <n v="0"/>
    <n v="0"/>
    <n v="0"/>
    <n v="0"/>
    <n v="0"/>
    <n v="0"/>
    <n v="0"/>
    <s v="https://www.clickideacore.com/ClickHTML5/Visit.aspx?ID=//5FDAEwASwAzADcAOQA5ADAAMAA3ADQASQBEAEUAQQAD=&amp;Tipo=2&amp;ST=1&amp;nLang=0"/>
    <n v="0"/>
    <n v="0"/>
    <n v="0"/>
    <n v="0"/>
    <n v="0"/>
    <n v="0"/>
    <n v="0"/>
    <n v="0"/>
  </r>
  <r>
    <x v="19"/>
    <x v="6"/>
    <s v="OP-SDYR-001"/>
    <x v="266"/>
    <d v="2026-01-13T00:00:00"/>
    <n v="24"/>
    <x v="0"/>
    <n v="40"/>
    <n v="0"/>
    <n v="0"/>
    <n v="1"/>
    <n v="0"/>
    <n v="0"/>
    <n v="0"/>
    <n v="0"/>
    <n v="0"/>
    <n v="0"/>
    <n v="0"/>
    <n v="0"/>
    <s v="https://www.clickideacore.com/ClickHTML5/Visit.aspx?ID=//5FDAEwASwAzADcAOQA5ADAAMAA3ADQASQBEAEUAQQAD=&amp;Tipo=2&amp;ST=1&amp;nLang=0"/>
    <n v="0"/>
    <n v="0"/>
    <n v="0"/>
    <n v="0"/>
    <n v="0"/>
    <n v="0"/>
    <n v="0"/>
    <n v="0"/>
  </r>
  <r>
    <x v="10"/>
    <x v="17"/>
    <s v="OP-DYR-011"/>
    <x v="266"/>
    <d v="2026-01-13T00:00:00"/>
    <n v="33"/>
    <x v="0"/>
    <n v="31"/>
    <n v="0"/>
    <n v="0"/>
    <n v="1"/>
    <n v="0"/>
    <n v="0"/>
    <n v="0"/>
    <n v="0"/>
    <n v="0"/>
    <n v="0"/>
    <n v="0"/>
    <n v="0"/>
    <s v="https://www.clickideacore.com/ClickHTML5/Visit.aspx?ID=//53DAEwASwAzADcAOQA4ADYAOAA1ADAASQBEAEUAQQAE=&amp;Tipo=2&amp;ST=1&amp;nLang=0"/>
    <n v="0"/>
    <n v="0"/>
    <n v="0"/>
    <n v="0"/>
    <n v="0"/>
    <n v="0"/>
    <n v="0"/>
    <n v="0"/>
  </r>
  <r>
    <x v="3"/>
    <x v="6"/>
    <s v="OP-S-076"/>
    <x v="266"/>
    <d v="2026-01-1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66"/>
    <d v="2026-01-1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29"/>
    <s v="OP-S-076"/>
    <x v="266"/>
    <d v="2026-01-1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66"/>
    <d v="2026-01-1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66"/>
    <d v="2026-01-1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67"/>
    <d v="2026-01-14T00:00:00"/>
    <n v="24"/>
    <x v="0"/>
    <n v="38"/>
    <n v="0"/>
    <n v="0"/>
    <n v="1"/>
    <n v="0"/>
    <n v="0"/>
    <n v="0"/>
    <n v="0"/>
    <n v="0"/>
    <n v="0"/>
    <n v="0"/>
    <n v="0"/>
    <s v="https://www.clickideacore.com/ClickHTML5/Visit.aspx?ID=//57DAEwASwAzADgAMAAxADYAMQAzADQASQBEAEUAQQA5=&amp;Tipo=2&amp;ST=1&amp;nLang=0"/>
    <n v="0"/>
    <n v="0"/>
    <n v="0"/>
    <n v="0"/>
    <n v="0"/>
    <n v="0"/>
    <n v="0"/>
    <n v="0"/>
  </r>
  <r>
    <x v="2"/>
    <x v="2"/>
    <s v="OP-DYR-005"/>
    <x v="267"/>
    <d v="2026-01-14T00:00:00"/>
    <n v="16"/>
    <x v="0"/>
    <n v="14"/>
    <n v="0"/>
    <n v="0"/>
    <n v="1"/>
    <n v="0"/>
    <n v="0"/>
    <n v="0"/>
    <n v="0"/>
    <n v="0"/>
    <n v="0"/>
    <n v="0"/>
    <n v="0"/>
    <s v="https://www.clickideacore.com/ClickHTML5/Visit.aspx?ID=//55DAEwASwAzADgAMAAxADQAMgA1ADAASQBEAEUAQQA8=&amp;Tipo=2&amp;ST=1&amp;nLang=0"/>
    <n v="0"/>
    <n v="0"/>
    <n v="0"/>
    <n v="0"/>
    <n v="0"/>
    <n v="0"/>
    <n v="0"/>
    <n v="0"/>
  </r>
  <r>
    <x v="4"/>
    <x v="35"/>
    <s v="OP-DYR-005"/>
    <x v="267"/>
    <d v="2026-01-14T00:00:00"/>
    <n v="16"/>
    <x v="0"/>
    <n v="26"/>
    <n v="0"/>
    <n v="0"/>
    <n v="1"/>
    <n v="0"/>
    <n v="0"/>
    <n v="0"/>
    <n v="0"/>
    <n v="0"/>
    <n v="0"/>
    <n v="0"/>
    <n v="0"/>
    <s v="https://www.clickideacore.com/ClickHTML5/Visit.aspx?ID=//55DAEwASwAzADgAMAAxADQAMgA1ADAASQBEAEUAQQA8=&amp;Tipo=2&amp;ST=1&amp;nLang=0"/>
    <n v="0"/>
    <n v="0"/>
    <n v="0"/>
    <n v="0"/>
    <n v="0"/>
    <n v="0"/>
    <n v="0"/>
    <n v="0"/>
  </r>
  <r>
    <x v="17"/>
    <x v="29"/>
    <s v="OP-DYR-00001"/>
    <x v="267"/>
    <d v="2026-01-14T00:00:00"/>
    <n v="128"/>
    <x v="0"/>
    <n v="42"/>
    <n v="0"/>
    <n v="0"/>
    <n v="1"/>
    <n v="0"/>
    <n v="0"/>
    <n v="0"/>
    <n v="0"/>
    <n v="0"/>
    <n v="0"/>
    <n v="0"/>
    <n v="0"/>
    <s v="https://www.clickideacore.com/ClickHTML5/Visit.aspx?ID=//54DAEwASwAzADgAMAAxADEANgAxADMASQBEAEUAQQA5=&amp;Tipo=2&amp;ST=1&amp;nLang=0"/>
    <n v="0"/>
    <n v="0"/>
    <n v="0"/>
    <n v="0"/>
    <n v="0"/>
    <n v="0"/>
    <n v="0"/>
    <n v="0"/>
  </r>
  <r>
    <x v="5"/>
    <x v="4"/>
    <s v="OP-DYR-005"/>
    <x v="267"/>
    <d v="2026-01-14T00:00:00"/>
    <n v="16"/>
    <x v="0"/>
    <n v="40"/>
    <n v="0"/>
    <n v="0"/>
    <n v="1"/>
    <n v="0"/>
    <n v="0"/>
    <n v="0"/>
    <n v="0"/>
    <n v="0"/>
    <n v="0"/>
    <n v="0"/>
    <n v="0"/>
    <s v="https://www.clickideacore.com/ClickHTML5/Visit.aspx?ID=//55DAEwASwAzADgAMAAxADQAMgA1ADAASQBEAEUAQQA8=&amp;Tipo=2&amp;ST=1&amp;nLang=0"/>
    <n v="0"/>
    <n v="0"/>
    <n v="0"/>
    <n v="0"/>
    <n v="0"/>
    <n v="0"/>
    <n v="0"/>
    <n v="0"/>
  </r>
  <r>
    <x v="11"/>
    <x v="6"/>
    <s v="OP-SDYR-001"/>
    <x v="267"/>
    <d v="2026-01-14T00:00:00"/>
    <n v="47"/>
    <x v="0"/>
    <n v="27"/>
    <n v="0"/>
    <n v="0"/>
    <n v="1"/>
    <n v="0"/>
    <n v="1"/>
    <n v="0"/>
    <n v="0"/>
    <n v="0"/>
    <n v="0"/>
    <n v="0"/>
    <n v="0"/>
    <s v="https://www.clickideacore.com/ClickHTML5/Visit.aspx?ID=//5ADAEwASwAzADgAMAAwADkAMgAyADQASQBEAEUAQQAD=&amp;Tipo=2&amp;ST=1&amp;nLang=0"/>
    <n v="0"/>
    <n v="0"/>
    <n v="0"/>
    <n v="0"/>
    <n v="0"/>
    <n v="0"/>
    <n v="0"/>
    <n v="0"/>
  </r>
  <r>
    <x v="3"/>
    <x v="6"/>
    <s v="OP-SDYR-001"/>
    <x v="267"/>
    <d v="2026-01-14T00:00:00"/>
    <n v="47"/>
    <x v="0"/>
    <n v="27"/>
    <n v="0"/>
    <n v="0"/>
    <n v="1"/>
    <n v="0"/>
    <n v="1"/>
    <n v="0"/>
    <n v="0"/>
    <n v="0"/>
    <n v="0"/>
    <n v="0"/>
    <n v="0"/>
    <s v="https://www.clickideacore.com/ClickHTML5/Visit.aspx?ID=//5ADAEwASwAzADgAMAAwADkAMgAyADQASQBEAEUAQQAD=&amp;Tipo=2&amp;ST=1&amp;nLang=0"/>
    <n v="0"/>
    <n v="0"/>
    <n v="0"/>
    <n v="0"/>
    <n v="0"/>
    <n v="0"/>
    <n v="0"/>
    <n v="0"/>
  </r>
  <r>
    <x v="0"/>
    <x v="6"/>
    <s v="OP-S-076"/>
    <x v="267"/>
    <d v="2026-01-14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17"/>
    <s v="OP-S-076"/>
    <x v="267"/>
    <d v="2026-01-14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67"/>
    <d v="2026-01-14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67"/>
    <d v="2026-01-14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67"/>
    <d v="2026-01-1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67"/>
    <d v="2026-01-1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68"/>
    <d v="2026-01-15T00:00:00"/>
    <n v="68"/>
    <x v="0"/>
    <n v="14"/>
    <n v="0"/>
    <n v="0"/>
    <n v="1"/>
    <n v="0"/>
    <n v="0"/>
    <n v="0"/>
    <n v="0"/>
    <n v="0"/>
    <n v="0"/>
    <n v="0"/>
    <n v="0"/>
    <s v="https://www.clickideacore.com/ClickHTML5/Visit.aspx?ID=//59DAEwASwAzADgAMAAyADkAMAA3ADQASQBEAEUAQQAE=&amp;Tipo=2&amp;ST=1&amp;nLang=0"/>
    <n v="0"/>
    <n v="0"/>
    <n v="0"/>
    <n v="0"/>
    <n v="0"/>
    <n v="0"/>
    <n v="0"/>
    <n v="0"/>
  </r>
  <r>
    <x v="2"/>
    <x v="2"/>
    <s v="OP-DYR-005"/>
    <x v="268"/>
    <d v="2026-01-15T00:00:00"/>
    <n v="18"/>
    <x v="0"/>
    <n v="8"/>
    <n v="0"/>
    <n v="0"/>
    <n v="1"/>
    <n v="0"/>
    <n v="0"/>
    <n v="0"/>
    <n v="0"/>
    <n v="0"/>
    <n v="0"/>
    <n v="0"/>
    <n v="0"/>
    <s v="https://www.clickideacore.com/ClickHTML5/Visit.aspx?ID=//58DAEwASwAzADgAMAAyADgANQA1ADcASQBEAEUAQQA3=&amp;Tipo=2&amp;ST=1&amp;nLang=0"/>
    <n v="0"/>
    <n v="0"/>
    <n v="0"/>
    <n v="0"/>
    <n v="0"/>
    <n v="0"/>
    <n v="0"/>
    <n v="0"/>
  </r>
  <r>
    <x v="4"/>
    <x v="17"/>
    <s v="OP-DYR-005"/>
    <x v="268"/>
    <d v="2026-01-15T00:00:00"/>
    <n v="21"/>
    <x v="0"/>
    <n v="32"/>
    <n v="0"/>
    <n v="0"/>
    <n v="1"/>
    <n v="0"/>
    <n v="0"/>
    <n v="0"/>
    <n v="0"/>
    <n v="0"/>
    <n v="0"/>
    <n v="0"/>
    <n v="0"/>
    <s v="https://www.clickideacore.com/ClickHTML5/Visit.aspx?ID=//58DAEwASwAzADgAMAAzADUAOQA5ADkASQBEAEUAQQAD=&amp;Tipo=2&amp;ST=1&amp;nLang=0"/>
    <n v="0"/>
    <n v="0"/>
    <n v="0"/>
    <n v="0"/>
    <n v="0"/>
    <n v="0"/>
    <n v="0"/>
    <n v="0"/>
  </r>
  <r>
    <x v="17"/>
    <x v="29"/>
    <s v="OP-DYR-00001"/>
    <x v="268"/>
    <d v="2026-01-15T00:00:00"/>
    <n v="6263"/>
    <x v="0"/>
    <n v="46"/>
    <n v="0"/>
    <n v="0"/>
    <n v="1"/>
    <n v="0"/>
    <n v="1"/>
    <n v="0"/>
    <n v="0"/>
    <n v="0"/>
    <n v="0"/>
    <n v="0"/>
    <n v="0"/>
    <s v="https://www.clickideacore.com/ClickHTML5/Visit.aspx?ID=//56DAEwASwAzADgAMAAzADcANgA5ADYASQBEAEUAQQA5=&amp;Tipo=2&amp;ST=1&amp;nLang=0"/>
    <n v="0"/>
    <n v="0"/>
    <n v="0"/>
    <n v="0"/>
    <n v="0"/>
    <n v="0"/>
    <n v="0"/>
    <n v="0"/>
  </r>
  <r>
    <x v="0"/>
    <x v="0"/>
    <s v="OP-S-100"/>
    <x v="268"/>
    <d v="2026-01-15T00:00:00"/>
    <n v="25"/>
    <x v="0"/>
    <n v="40"/>
    <n v="0"/>
    <n v="0"/>
    <n v="1"/>
    <n v="0"/>
    <n v="0"/>
    <n v="0"/>
    <n v="0"/>
    <n v="0"/>
    <n v="0"/>
    <n v="0"/>
    <n v="0"/>
    <s v="https://www.clickideacore.com/ClickHTML5/Visit.aspx?ID=//54DAEwASwAzADgAMAAzADMAOAA5ADIASQBEAEUAQQA8=&amp;Tipo=2&amp;ST=1&amp;nLang=0"/>
    <n v="0"/>
    <n v="0"/>
    <n v="0"/>
    <n v="0"/>
    <n v="0"/>
    <n v="0"/>
    <n v="0"/>
    <n v="0"/>
  </r>
  <r>
    <x v="11"/>
    <x v="6"/>
    <s v="OP-SDYR-001"/>
    <x v="268"/>
    <d v="2026-01-15T00:00:00"/>
    <n v="31"/>
    <x v="0"/>
    <n v="20"/>
    <n v="0"/>
    <n v="0"/>
    <n v="1"/>
    <n v="0"/>
    <n v="0"/>
    <n v="0"/>
    <n v="0"/>
    <n v="0"/>
    <n v="0"/>
    <n v="0"/>
    <n v="0"/>
    <s v="https://www.clickideacore.com/ClickHTML5/Visit.aspx?ID=//53DAEwASwAzADgAMAAzADkAOAAzADgASQBEAEUAQQA2=&amp;Tipo=2&amp;ST=1&amp;nLang=0"/>
    <n v="0"/>
    <n v="0"/>
    <n v="0"/>
    <n v="0"/>
    <n v="0"/>
    <n v="0"/>
    <n v="0"/>
    <n v="0"/>
  </r>
  <r>
    <x v="3"/>
    <x v="6"/>
    <s v="OP-SDYR-001"/>
    <x v="268"/>
    <d v="2026-01-15T00:00:00"/>
    <n v="31"/>
    <x v="0"/>
    <n v="20"/>
    <n v="0"/>
    <n v="0"/>
    <n v="1"/>
    <n v="0"/>
    <n v="0"/>
    <n v="0"/>
    <n v="0"/>
    <n v="0"/>
    <n v="0"/>
    <n v="0"/>
    <n v="0"/>
    <s v="https://www.clickideacore.com/ClickHTML5/Visit.aspx?ID=//53DAEwASwAzADgAMAAzADkAOAAzADgASQBEAEUAQQA2=&amp;Tipo=2&amp;ST=1&amp;nLang=0"/>
    <n v="0"/>
    <n v="0"/>
    <n v="0"/>
    <n v="0"/>
    <n v="0"/>
    <n v="0"/>
    <n v="0"/>
    <n v="0"/>
  </r>
  <r>
    <x v="10"/>
    <x v="6"/>
    <s v="OP-DYR-011"/>
    <x v="268"/>
    <d v="2026-01-15T00:00:00"/>
    <n v="39"/>
    <x v="0"/>
    <n v="25"/>
    <n v="0"/>
    <n v="0"/>
    <n v="1"/>
    <n v="0"/>
    <n v="0"/>
    <n v="0"/>
    <n v="0"/>
    <n v="0"/>
    <n v="0"/>
    <n v="0"/>
    <n v="0"/>
    <s v="https://www.clickideacore.com/ClickHTML5/Visit.aspx?ID=//58DAEwASwAzADgAMAAzADQANAA2ADEASQBEAEUAQQAB=&amp;Tipo=2&amp;ST=1&amp;nLang=0"/>
    <n v="0"/>
    <n v="0"/>
    <n v="0"/>
    <n v="0"/>
    <n v="0"/>
    <n v="0"/>
    <n v="0"/>
    <n v="0"/>
  </r>
  <r>
    <x v="19"/>
    <x v="6"/>
    <s v="OP-DYR-011"/>
    <x v="268"/>
    <d v="2026-01-15T00:00:00"/>
    <n v="39"/>
    <x v="0"/>
    <n v="25"/>
    <n v="0"/>
    <n v="0"/>
    <n v="1"/>
    <n v="0"/>
    <n v="0"/>
    <n v="0"/>
    <n v="0"/>
    <n v="0"/>
    <n v="0"/>
    <n v="0"/>
    <n v="0"/>
    <s v="https://www.clickideacore.com/ClickHTML5/Visit.aspx?ID=//58DAEwASwAzADgAMAAzADQANAA2ADEASQBEAEUAQQAB=&amp;Tipo=2&amp;ST=1&amp;nLang=0"/>
    <n v="0"/>
    <n v="0"/>
    <n v="0"/>
    <n v="0"/>
    <n v="0"/>
    <n v="0"/>
    <n v="0"/>
    <n v="0"/>
  </r>
  <r>
    <x v="5"/>
    <x v="4"/>
    <s v="OP-DYR-011"/>
    <x v="268"/>
    <d v="2026-01-15T00:00:00"/>
    <n v="39"/>
    <x v="0"/>
    <n v="7"/>
    <n v="0"/>
    <n v="0"/>
    <n v="0"/>
    <n v="0"/>
    <n v="0"/>
    <n v="0"/>
    <n v="0"/>
    <n v="0"/>
    <n v="0"/>
    <n v="0"/>
    <n v="0"/>
    <s v="https://www.clickideacore.com/ClickHTML5/Visit.aspx?ID=//58DAEwASwAzADgAMAAzADQANAA2ADEASQBEAEUAQQAB=&amp;Tipo=2&amp;ST=1&amp;nLang=0"/>
    <n v="0"/>
    <n v="0"/>
    <n v="0"/>
    <n v="0"/>
    <n v="0"/>
    <n v="0"/>
    <n v="0"/>
    <n v="0"/>
  </r>
  <r>
    <x v="9"/>
    <x v="35"/>
    <s v="OP-S-076"/>
    <x v="268"/>
    <d v="2026-01-15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68"/>
    <d v="2026-01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68"/>
    <d v="2026-01-1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69"/>
    <d v="2026-01-16T00:00:00"/>
    <n v="47"/>
    <x v="0"/>
    <n v="22"/>
    <n v="0"/>
    <n v="0"/>
    <n v="1"/>
    <n v="0"/>
    <n v="0"/>
    <n v="0"/>
    <n v="0"/>
    <n v="0"/>
    <n v="0"/>
    <n v="0"/>
    <n v="0"/>
    <s v="https://www.clickideacore.com/ClickHTML5/Visit.aspx?ID=//5EDAEwASwAzADgAMAA1ADAAMAA0ADIASQBEAEUAQQA5=&amp;Tipo=2&amp;ST=1&amp;nLang=0"/>
    <n v="0"/>
    <n v="14"/>
    <n v="0"/>
    <n v="0"/>
    <n v="0"/>
    <n v="0"/>
    <n v="0"/>
    <n v="0"/>
  </r>
  <r>
    <x v="19"/>
    <x v="4"/>
    <s v="OP-S-007"/>
    <x v="269"/>
    <d v="2026-01-16T00:00:00"/>
    <n v="58"/>
    <x v="0"/>
    <n v="10"/>
    <n v="0"/>
    <n v="0"/>
    <n v="1"/>
    <n v="0"/>
    <n v="0"/>
    <n v="0"/>
    <n v="0"/>
    <n v="0"/>
    <n v="0"/>
    <n v="0"/>
    <n v="0"/>
    <s v="https://www.clickideacore.com/ClickHTML5/Visit.aspx?ID=//5FDAEwASwAzADgAMAA1ADYAMQAyADcASQBEAEUAQQA8=&amp;Tipo=2&amp;ST=1&amp;nLang=0"/>
    <n v="0"/>
    <n v="12"/>
    <n v="0"/>
    <n v="0"/>
    <n v="0"/>
    <n v="0"/>
    <n v="0"/>
    <n v="0"/>
  </r>
  <r>
    <x v="4"/>
    <x v="35"/>
    <s v="OP-DYR-005"/>
    <x v="269"/>
    <d v="2026-01-16T00:00:00"/>
    <n v="18"/>
    <x v="0"/>
    <n v="18"/>
    <n v="0"/>
    <n v="0"/>
    <n v="1"/>
    <n v="0"/>
    <n v="0"/>
    <n v="0"/>
    <n v="0"/>
    <n v="0"/>
    <n v="0"/>
    <n v="0"/>
    <n v="0"/>
    <s v="https://www.clickideacore.com/ClickHTML5/Visit.aspx?ID=//5DDAEwASwAzADgAMAA2ADEAMgA0ADMASQBEAEUAQQA1=&amp;Tipo=2&amp;ST=1&amp;nLang=0"/>
    <n v="0"/>
    <n v="14"/>
    <n v="0"/>
    <n v="0"/>
    <n v="0"/>
    <n v="0"/>
    <n v="0"/>
    <n v="0"/>
  </r>
  <r>
    <x v="17"/>
    <x v="29"/>
    <s v="OP-DYR-005"/>
    <x v="269"/>
    <d v="2026-01-16T00:00:00"/>
    <n v="18"/>
    <x v="0"/>
    <n v="41"/>
    <n v="0"/>
    <n v="0"/>
    <n v="1"/>
    <n v="0"/>
    <n v="0"/>
    <n v="0"/>
    <n v="0"/>
    <n v="0"/>
    <n v="0"/>
    <n v="0"/>
    <n v="0"/>
    <s v="https://www.clickideacore.com/ClickHTML5/Visit.aspx?ID=//5DDAEwASwAzADgAMAA2ADEAMgA0ADMASQBEAEUAQQA1=&amp;Tipo=2&amp;ST=1&amp;nLang=0"/>
    <n v="0"/>
    <n v="13"/>
    <n v="0"/>
    <n v="0"/>
    <n v="0"/>
    <n v="0"/>
    <n v="0"/>
    <n v="0"/>
  </r>
  <r>
    <x v="5"/>
    <x v="17"/>
    <s v="OP-S-005"/>
    <x v="269"/>
    <d v="2026-01-16T00:00:00"/>
    <n v="15"/>
    <x v="0"/>
    <n v="30"/>
    <n v="0"/>
    <n v="0"/>
    <n v="1"/>
    <n v="0"/>
    <n v="0"/>
    <n v="0"/>
    <n v="0"/>
    <n v="0"/>
    <n v="0"/>
    <n v="0"/>
    <n v="0"/>
    <s v="https://www.clickideacore.com/ClickHTML5/Visit.aspx?ID=//55DAEwASwAzADgAMAA1ADMANAAxADAASQBEAEUAQQA8=&amp;Tipo=2&amp;ST=1&amp;nLang=0"/>
    <n v="0"/>
    <n v="13"/>
    <n v="0"/>
    <n v="0"/>
    <n v="0"/>
    <n v="0"/>
    <n v="0"/>
    <n v="0"/>
  </r>
  <r>
    <x v="11"/>
    <x v="6"/>
    <s v="OP-SDYR-001"/>
    <x v="269"/>
    <d v="2026-01-16T00:00:00"/>
    <n v="20"/>
    <x v="0"/>
    <n v="41"/>
    <n v="0"/>
    <n v="0"/>
    <n v="1"/>
    <n v="0"/>
    <n v="0"/>
    <n v="0"/>
    <n v="0"/>
    <n v="0"/>
    <n v="0"/>
    <n v="0"/>
    <n v="0"/>
    <s v="https://www.clickideacore.com/ClickHTML5/Visit.aspx?ID=//5EDAEwASwAzADgAMAA1ADUAMQA0ADUASQBEAEUAQQA1=&amp;Tipo=2&amp;ST=1&amp;nLang=0"/>
    <n v="0"/>
    <n v="7"/>
    <n v="4"/>
    <n v="0"/>
    <n v="0"/>
    <n v="0"/>
    <n v="0"/>
    <n v="0"/>
  </r>
  <r>
    <x v="3"/>
    <x v="6"/>
    <s v="OP-SDYR-001"/>
    <x v="269"/>
    <d v="2026-01-16T00:00:00"/>
    <n v="20"/>
    <x v="0"/>
    <n v="41"/>
    <n v="0"/>
    <n v="0"/>
    <n v="1"/>
    <n v="0"/>
    <n v="0"/>
    <n v="0"/>
    <n v="0"/>
    <n v="0"/>
    <n v="0"/>
    <n v="0"/>
    <n v="0"/>
    <s v="https://www.clickideacore.com/ClickHTML5/Visit.aspx?ID=//5EDAEwASwAzADgAMAA1ADUAMQA0ADUASQBEAEUAQQA1=&amp;Tipo=2&amp;ST=1&amp;nLang=0"/>
    <n v="0"/>
    <n v="7"/>
    <n v="4"/>
    <n v="0"/>
    <n v="0"/>
    <n v="0"/>
    <n v="0"/>
    <n v="0"/>
  </r>
  <r>
    <x v="10"/>
    <x v="0"/>
    <s v="OP-DYR-011"/>
    <x v="269"/>
    <d v="2026-01-16T00:00:00"/>
    <n v="42"/>
    <x v="0"/>
    <n v="19"/>
    <n v="0"/>
    <n v="0"/>
    <n v="1"/>
    <n v="0"/>
    <n v="0"/>
    <n v="0"/>
    <n v="0"/>
    <n v="0"/>
    <n v="0"/>
    <n v="0"/>
    <n v="0"/>
    <s v="https://www.clickideacore.com/ClickHTML5/Visit.aspx?ID=//50DAEwASwAzADgAMAA1ADMAMwA1ADQASQBEAEUAQQA1=&amp;Tipo=2&amp;ST=1&amp;nLang=0"/>
    <n v="0"/>
    <n v="10"/>
    <n v="3"/>
    <n v="0"/>
    <n v="0"/>
    <n v="0"/>
    <n v="0"/>
    <n v="0"/>
  </r>
  <r>
    <x v="2"/>
    <x v="2"/>
    <s v="OP-S-076"/>
    <x v="269"/>
    <d v="2026-01-16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69"/>
    <d v="2026-01-16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69"/>
    <d v="2026-01-1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69"/>
    <d v="2026-01-1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70"/>
    <d v="2026-01-17T00:00:00"/>
    <n v="30"/>
    <x v="0"/>
    <n v="0"/>
    <n v="0"/>
    <n v="0"/>
    <n v="0"/>
    <n v="0"/>
    <n v="0"/>
    <n v="0"/>
    <n v="1"/>
    <n v="0"/>
    <n v="1"/>
    <n v="1"/>
    <n v="0"/>
    <s v="https://www.clickideacore.com/ClickHTML5/Visit.aspx?ID=//5CDAEwASwAzADgAMAA3ADMAMAA4ADcASQBEAEUAQQAA=&amp;Tipo=2&amp;ST=1&amp;nLang=0"/>
    <n v="0"/>
    <n v="0"/>
    <n v="0"/>
    <n v="0"/>
    <n v="0"/>
    <n v="0"/>
    <n v="0"/>
    <n v="0"/>
  </r>
  <r>
    <x v="2"/>
    <x v="2"/>
    <s v="OP-S-200"/>
    <x v="270"/>
    <d v="2026-01-17T00:00:00"/>
    <n v="20"/>
    <x v="0"/>
    <n v="0"/>
    <n v="0"/>
    <n v="0"/>
    <n v="0"/>
    <n v="0"/>
    <n v="0"/>
    <n v="0"/>
    <n v="1"/>
    <n v="0"/>
    <n v="7"/>
    <n v="1"/>
    <n v="0"/>
    <s v="https://www.clickideacore.com/ClickHTML5/Visit.aspx?ID=//5BDAEwASwAzADgAMAA3ADIANgAxADgASQBEAEUAQQAF=&amp;Tipo=2&amp;ST=1&amp;nLang=0"/>
    <n v="11"/>
    <n v="0"/>
    <n v="0"/>
    <n v="0"/>
    <n v="0"/>
    <n v="0"/>
    <n v="1"/>
    <n v="0"/>
  </r>
  <r>
    <x v="4"/>
    <x v="35"/>
    <s v="OP-DYR-005"/>
    <x v="270"/>
    <d v="2026-01-17T00:00:00"/>
    <n v="89"/>
    <x v="0"/>
    <n v="0"/>
    <n v="0"/>
    <n v="0"/>
    <n v="0"/>
    <n v="0"/>
    <n v="0"/>
    <n v="0"/>
    <n v="1"/>
    <n v="0"/>
    <n v="1"/>
    <n v="1"/>
    <n v="0"/>
    <s v="https://www.clickideacore.com/ClickHTML5/Visit.aspx?ID=//54DAEwASwAzADgAMAA3ADIAOAA5ADIASQBEAEUAQQA9=&amp;Tipo=2&amp;ST=1&amp;nLang=0"/>
    <n v="12"/>
    <n v="0"/>
    <n v="0"/>
    <n v="0"/>
    <n v="0"/>
    <n v="0"/>
    <n v="0"/>
    <n v="0"/>
  </r>
  <r>
    <x v="17"/>
    <x v="29"/>
    <s v="OP-DYR-00001"/>
    <x v="270"/>
    <d v="2026-01-17T00:00:00"/>
    <n v="87"/>
    <x v="0"/>
    <n v="0"/>
    <n v="0"/>
    <n v="0"/>
    <n v="0"/>
    <n v="0"/>
    <n v="0"/>
    <n v="0"/>
    <n v="1"/>
    <n v="0"/>
    <n v="1"/>
    <n v="1"/>
    <n v="0"/>
    <s v="https://www.clickideacore.com/ClickHTML5/Visit.aspx?ID=//56DAEwASwAzADgAMAA3ADIAMQA2ADEASQBEAEUAQQAF=&amp;Tipo=2&amp;ST=1&amp;nLang=0"/>
    <n v="0"/>
    <n v="0"/>
    <n v="0"/>
    <n v="0"/>
    <n v="0"/>
    <n v="0"/>
    <n v="0"/>
    <n v="0"/>
  </r>
  <r>
    <x v="13"/>
    <x v="22"/>
    <s v="OP-DYR-00001"/>
    <x v="270"/>
    <d v="2026-01-17T00:00:00"/>
    <n v="87"/>
    <x v="0"/>
    <n v="0"/>
    <n v="0"/>
    <n v="0"/>
    <n v="0"/>
    <n v="0"/>
    <n v="0"/>
    <n v="0"/>
    <n v="1"/>
    <n v="0"/>
    <n v="1"/>
    <n v="1"/>
    <n v="0"/>
    <s v="https://www.clickideacore.com/ClickHTML5/Visit.aspx?ID=//56DAEwASwAzADgAMAA3ADIAMQA2ADEASQBEAEUAQQAF=&amp;Tipo=2&amp;ST=1&amp;nLang=0"/>
    <n v="0"/>
    <n v="0"/>
    <n v="0"/>
    <n v="0"/>
    <n v="0"/>
    <n v="0"/>
    <n v="0"/>
    <n v="0"/>
  </r>
  <r>
    <x v="3"/>
    <x v="6"/>
    <s v="OP-S-076"/>
    <x v="270"/>
    <d v="2026-01-17T00:00:00"/>
    <n v="62"/>
    <x v="0"/>
    <n v="0"/>
    <n v="0"/>
    <n v="0"/>
    <n v="0"/>
    <n v="0"/>
    <n v="0"/>
    <n v="0"/>
    <n v="1"/>
    <n v="0"/>
    <n v="1"/>
    <n v="1"/>
    <n v="0"/>
    <s v="https://www.clickideacore.com/ClickHTML5/Visit.aspx?ID=//51DAEwASwAzADgAMAA3ADIAMgAwADIASQBEAEUAQQAC=&amp;Tipo=2&amp;ST=1&amp;nLang=0"/>
    <n v="0"/>
    <n v="0"/>
    <n v="0"/>
    <n v="0"/>
    <n v="0"/>
    <n v="0"/>
    <n v="0"/>
    <n v="0"/>
  </r>
  <r>
    <x v="19"/>
    <x v="6"/>
    <s v="OP-S-076"/>
    <x v="270"/>
    <d v="2026-01-17T00:00:00"/>
    <n v="62"/>
    <x v="0"/>
    <n v="0"/>
    <n v="0"/>
    <n v="0"/>
    <n v="0"/>
    <n v="0"/>
    <n v="0"/>
    <n v="0"/>
    <n v="1"/>
    <n v="0"/>
    <n v="1"/>
    <n v="1"/>
    <n v="0"/>
    <s v="https://www.clickideacore.com/ClickHTML5/Visit.aspx?ID=//51DAEwASwAzADgAMAA3ADIAMgAwADIASQBEAEUAQQAC=&amp;Tipo=2&amp;ST=1&amp;nLang=0"/>
    <n v="0"/>
    <n v="0"/>
    <n v="0"/>
    <n v="0"/>
    <n v="0"/>
    <n v="0"/>
    <n v="0"/>
    <n v="0"/>
  </r>
  <r>
    <x v="10"/>
    <x v="0"/>
    <s v="OP-DYR-011"/>
    <x v="270"/>
    <d v="2026-01-17T00:00:00"/>
    <n v="44"/>
    <x v="0"/>
    <n v="0"/>
    <n v="0"/>
    <n v="0"/>
    <n v="0"/>
    <n v="0"/>
    <n v="0"/>
    <n v="0"/>
    <n v="1"/>
    <n v="0"/>
    <n v="1"/>
    <n v="1"/>
    <n v="0"/>
    <s v="https://www.clickideacore.com/ClickHTML5/Visit.aspx?ID=//55DAEwASwAzADgAMAA3ADIAMgAyADAASQBEAEUAQQAE=&amp;Tipo=2&amp;ST=1&amp;nLang=0"/>
    <n v="0"/>
    <n v="0"/>
    <n v="0"/>
    <n v="0"/>
    <n v="0"/>
    <n v="0"/>
    <n v="0"/>
    <n v="0"/>
  </r>
  <r>
    <x v="5"/>
    <x v="4"/>
    <s v="OP-S-076"/>
    <x v="270"/>
    <d v="2026-01-1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70"/>
    <d v="2026-01-1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1"/>
    <x v="17"/>
    <s v="OP-S-076"/>
    <x v="270"/>
    <d v="2026-01-1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70"/>
    <d v="2026-01-1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70"/>
    <d v="2026-01-1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11"/>
    <x v="271"/>
    <d v="2026-01-18T00:00:00"/>
    <n v="54"/>
    <x v="0"/>
    <n v="0"/>
    <n v="0"/>
    <n v="0"/>
    <n v="0"/>
    <n v="0"/>
    <n v="0"/>
    <n v="0"/>
    <n v="0"/>
    <n v="1"/>
    <n v="4"/>
    <n v="0"/>
    <n v="1"/>
    <s v="https://www.clickideacore.com/ClickHTML5/Visit.aspx?ID=//50DAEwASwAzADgAMAA3ADgANwA2ADUASQBEAEUAQQA0=&amp;Tipo=2&amp;ST=1&amp;nLang=0"/>
    <n v="0"/>
    <n v="0"/>
    <n v="0"/>
    <n v="0"/>
    <n v="0"/>
    <n v="0"/>
    <n v="0"/>
    <n v="0"/>
  </r>
  <r>
    <x v="2"/>
    <x v="2"/>
    <s v="OP-DYR-011"/>
    <x v="271"/>
    <d v="2026-01-18T00:00:00"/>
    <n v="54"/>
    <x v="0"/>
    <n v="0"/>
    <n v="0"/>
    <n v="0"/>
    <n v="0"/>
    <n v="0"/>
    <n v="0"/>
    <n v="0"/>
    <n v="0"/>
    <n v="1"/>
    <n v="6"/>
    <n v="0"/>
    <n v="1"/>
    <s v="https://www.clickideacore.com/ClickHTML5/Visit.aspx?ID=//50DAEwASwAzADgAMAA3ADgANwA2ADUASQBEAEUAQQA0=&amp;Tipo=2&amp;ST=1&amp;nLang=0"/>
    <n v="9"/>
    <n v="0"/>
    <n v="0"/>
    <n v="0"/>
    <n v="0"/>
    <n v="0"/>
    <n v="0"/>
    <n v="0"/>
  </r>
  <r>
    <x v="4"/>
    <x v="35"/>
    <s v="OP-DYR-011"/>
    <x v="271"/>
    <d v="2026-01-18T00:00:00"/>
    <n v="54"/>
    <x v="0"/>
    <n v="0"/>
    <n v="0"/>
    <n v="0"/>
    <n v="0"/>
    <n v="0"/>
    <n v="0"/>
    <n v="0"/>
    <n v="0"/>
    <n v="1"/>
    <n v="2"/>
    <n v="0"/>
    <n v="1"/>
    <s v="https://www.clickideacore.com/ClickHTML5/Visit.aspx?ID=//50DAEwASwAzADgAMAA3ADgANwA2ADUASQBEAEUAQQA0=&amp;Tipo=2&amp;ST=1&amp;nLang=0"/>
    <n v="16"/>
    <n v="0"/>
    <n v="0"/>
    <n v="0"/>
    <n v="0"/>
    <n v="0"/>
    <n v="0"/>
    <n v="0"/>
  </r>
  <r>
    <x v="17"/>
    <x v="29"/>
    <s v="OP-DYR-00001"/>
    <x v="271"/>
    <d v="2026-01-18T00:00:00"/>
    <n v="49"/>
    <x v="0"/>
    <n v="0"/>
    <n v="0"/>
    <n v="0"/>
    <n v="0"/>
    <n v="0"/>
    <n v="0"/>
    <n v="0"/>
    <n v="0"/>
    <n v="1"/>
    <n v="1"/>
    <n v="0"/>
    <n v="1"/>
    <s v="https://www.clickideacore.com/ClickHTML5/Visit.aspx?ID=//5FDAEwASwAzADgAMAA3ADkAMwA2ADEASQBEAEUAQQA7=&amp;Tipo=2&amp;ST=1&amp;nLang=0"/>
    <n v="0"/>
    <n v="0"/>
    <n v="0"/>
    <n v="0"/>
    <n v="0"/>
    <n v="0"/>
    <n v="0"/>
    <n v="0"/>
  </r>
  <r>
    <x v="13"/>
    <x v="22"/>
    <s v="OP-DYR-011"/>
    <x v="271"/>
    <d v="2026-01-18T00:00:00"/>
    <n v="54"/>
    <x v="0"/>
    <n v="0"/>
    <n v="0"/>
    <n v="0"/>
    <n v="0"/>
    <n v="0"/>
    <n v="0"/>
    <n v="0"/>
    <n v="0"/>
    <n v="1"/>
    <n v="1"/>
    <n v="0"/>
    <n v="1"/>
    <s v="https://www.clickideacore.com/ClickHTML5/Visit.aspx?ID=//50DAEwASwAzADgAMAA3ADgANwA2ADUASQBEAEUAQQA0=&amp;Tipo=2&amp;ST=1&amp;nLang=0"/>
    <n v="0"/>
    <n v="0"/>
    <n v="0"/>
    <n v="0"/>
    <n v="0"/>
    <n v="0"/>
    <n v="0"/>
    <n v="0"/>
  </r>
  <r>
    <x v="3"/>
    <x v="6"/>
    <s v="OP-S-076"/>
    <x v="271"/>
    <d v="2026-01-18T00:00:00"/>
    <n v="96"/>
    <x v="0"/>
    <n v="0"/>
    <n v="0"/>
    <n v="0"/>
    <n v="0"/>
    <n v="0"/>
    <n v="0"/>
    <n v="0"/>
    <n v="0"/>
    <n v="1"/>
    <n v="2"/>
    <n v="0"/>
    <n v="1"/>
    <s v="https://www.clickideacore.com/ClickHTML5/Visit.aspx?ID=//57DAEwASwAzADgAMAA3ADgANwA1ADAASQBEAEUAQQA8=&amp;Tipo=2&amp;ST=1&amp;nLang=0"/>
    <n v="0"/>
    <n v="0"/>
    <n v="0"/>
    <n v="0"/>
    <n v="0"/>
    <n v="0"/>
    <n v="0"/>
    <n v="0"/>
  </r>
  <r>
    <x v="19"/>
    <x v="6"/>
    <s v="OP-S-076"/>
    <x v="271"/>
    <d v="2026-01-18T00:00:00"/>
    <n v="96"/>
    <x v="0"/>
    <n v="0"/>
    <n v="0"/>
    <n v="0"/>
    <n v="0"/>
    <n v="0"/>
    <n v="0"/>
    <n v="0"/>
    <n v="0"/>
    <n v="1"/>
    <n v="2"/>
    <n v="0"/>
    <n v="1"/>
    <s v="https://www.clickideacore.com/ClickHTML5/Visit.aspx?ID=//57DAEwASwAzADgAMAA3ADgANwA1ADAASQBEAEUAQQA8=&amp;Tipo=2&amp;ST=1&amp;nLang=0"/>
    <n v="0"/>
    <n v="0"/>
    <n v="0"/>
    <n v="0"/>
    <n v="0"/>
    <n v="0"/>
    <n v="0"/>
    <n v="0"/>
  </r>
  <r>
    <x v="10"/>
    <x v="0"/>
    <s v="OP-DYR-011"/>
    <x v="271"/>
    <d v="2026-01-18T00:00:00"/>
    <n v="54"/>
    <x v="0"/>
    <n v="0"/>
    <n v="0"/>
    <n v="0"/>
    <n v="0"/>
    <n v="0"/>
    <n v="0"/>
    <n v="0"/>
    <n v="0"/>
    <n v="1"/>
    <n v="1"/>
    <n v="0"/>
    <n v="1"/>
    <s v="https://www.clickideacore.com/ClickHTML5/Visit.aspx?ID=//50DAEwASwAzADgAMAA3ADgANwA2ADUASQBEAEUAQQA0=&amp;Tipo=2&amp;ST=1&amp;nLang=0"/>
    <n v="0"/>
    <n v="0"/>
    <n v="0"/>
    <n v="0"/>
    <n v="0"/>
    <n v="0"/>
    <n v="0"/>
    <n v="0"/>
  </r>
  <r>
    <x v="5"/>
    <x v="4"/>
    <s v="OP-S-076"/>
    <x v="271"/>
    <d v="2026-01-1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71"/>
    <d v="2026-01-1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1"/>
    <x v="17"/>
    <s v="OP-S-076"/>
    <x v="271"/>
    <d v="2026-01-1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71"/>
    <d v="2026-01-1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71"/>
    <d v="2026-01-1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35"/>
    <s v="OP-DYR-004"/>
    <x v="272"/>
    <d v="2026-01-19T00:00:00"/>
    <n v="29"/>
    <x v="0"/>
    <n v="9"/>
    <n v="0"/>
    <n v="0"/>
    <n v="0"/>
    <n v="0"/>
    <n v="1"/>
    <n v="1"/>
    <n v="0"/>
    <n v="0"/>
    <n v="0"/>
    <n v="0"/>
    <n v="0"/>
    <s v="https://www.clickideacore.com/ClickHTML5/Visit.aspx?ID=//58DAEwASwAzADgAMAA5ADQAOAA3ADIASQBEAEUAQQAA=&amp;Tipo=2&amp;ST=1&amp;nLang=0"/>
    <n v="0"/>
    <n v="0"/>
    <n v="0"/>
    <n v="0"/>
    <n v="0"/>
    <n v="0"/>
    <n v="0"/>
    <n v="0"/>
  </r>
  <r>
    <x v="10"/>
    <x v="0"/>
    <s v="OP-DYR-011"/>
    <x v="272"/>
    <d v="2026-01-19T00:00:00"/>
    <n v="23"/>
    <x v="0"/>
    <n v="4"/>
    <n v="0"/>
    <n v="0"/>
    <n v="0"/>
    <n v="0"/>
    <n v="0"/>
    <n v="0"/>
    <n v="0"/>
    <n v="0"/>
    <n v="0"/>
    <n v="0"/>
    <n v="0"/>
    <s v="https://www.clickideacore.com/ClickHTML5/Visit.aspx?ID=//5EDAEwASwAzADgAMAA4ADkANAAyADEASQBEAEUAQQA8=&amp;Tipo=2&amp;ST=1&amp;nLang=0"/>
    <n v="0"/>
    <n v="0"/>
    <n v="0"/>
    <n v="0"/>
    <n v="0"/>
    <n v="0"/>
    <n v="0"/>
    <n v="0"/>
  </r>
  <r>
    <x v="5"/>
    <x v="4"/>
    <s v="OP-S-200"/>
    <x v="272"/>
    <d v="2026-01-19T00:00:00"/>
    <n v="47"/>
    <x v="0"/>
    <n v="7"/>
    <n v="0"/>
    <n v="0"/>
    <n v="0"/>
    <n v="0"/>
    <n v="0"/>
    <n v="0"/>
    <n v="0"/>
    <n v="0"/>
    <n v="0"/>
    <n v="0"/>
    <n v="0"/>
    <s v="https://www.clickideacore.com/ClickHTML5/Visit.aspx?ID=//58DAEwASwAzADgAMAA4ADAAMAA1ADIASQBEAEUAQQA3=&amp;Tipo=2&amp;ST=1&amp;nLang=0"/>
    <n v="0"/>
    <n v="10"/>
    <n v="0"/>
    <n v="0"/>
    <n v="0"/>
    <n v="0"/>
    <n v="0"/>
    <n v="0"/>
  </r>
  <r>
    <x v="17"/>
    <x v="29"/>
    <s v="OP-DYR-00001"/>
    <x v="272"/>
    <d v="2026-01-19T00:00:00"/>
    <n v="189"/>
    <x v="0"/>
    <n v="0"/>
    <n v="0"/>
    <n v="0"/>
    <n v="0"/>
    <n v="0"/>
    <n v="0"/>
    <n v="0"/>
    <n v="0"/>
    <n v="0"/>
    <n v="0"/>
    <n v="0"/>
    <n v="0"/>
    <s v="https://www.clickideacore.com/ClickHTML5/Visit.aspx?ID=//5FDAEwASwAzADgAMAA5ADQANAA2ADkASQBEAEUAQQA4=&amp;Tipo=2&amp;ST=1&amp;nLang=0"/>
    <n v="0"/>
    <n v="20"/>
    <n v="2"/>
    <n v="0"/>
    <n v="0"/>
    <n v="0"/>
    <n v="0"/>
    <n v="0"/>
  </r>
  <r>
    <x v="4"/>
    <x v="1"/>
    <s v="OP-DYR-005"/>
    <x v="272"/>
    <d v="2026-01-19T00:00:00"/>
    <n v="15"/>
    <x v="0"/>
    <n v="0"/>
    <n v="0"/>
    <n v="0"/>
    <n v="0"/>
    <n v="0"/>
    <n v="0"/>
    <n v="0"/>
    <n v="0"/>
    <n v="0"/>
    <n v="0"/>
    <n v="0"/>
    <n v="0"/>
    <s v="https://www.clickideacore.com/ClickHTML5/Visit.aspx?ID=//53DAEwASwAzADgAMAA5ADMANwA4ADEASQBEAEUAQQA1=&amp;Tipo=2&amp;ST=1&amp;nLang=0"/>
    <n v="0"/>
    <n v="21"/>
    <n v="1"/>
    <n v="0"/>
    <n v="0"/>
    <n v="0"/>
    <n v="0"/>
    <n v="0"/>
  </r>
  <r>
    <x v="2"/>
    <x v="2"/>
    <s v="OP-S-200"/>
    <x v="272"/>
    <d v="2026-01-19T00:00:00"/>
    <n v="47"/>
    <x v="0"/>
    <n v="0"/>
    <n v="0"/>
    <n v="0"/>
    <n v="0"/>
    <n v="0"/>
    <n v="0"/>
    <n v="0"/>
    <n v="0"/>
    <n v="0"/>
    <n v="0"/>
    <n v="0"/>
    <n v="0"/>
    <s v="https://www.clickideacore.com/ClickHTML5/Visit.aspx?ID=//58DAEwASwAzADgAMAA4ADAAMAA1ADIASQBEAEUAQQA3=&amp;Tipo=2&amp;ST=1&amp;nLang=0"/>
    <n v="0"/>
    <n v="19"/>
    <n v="1"/>
    <n v="0"/>
    <n v="0"/>
    <n v="0"/>
    <n v="0"/>
    <n v="0"/>
  </r>
  <r>
    <x v="3"/>
    <x v="6"/>
    <s v="OP-S-076"/>
    <x v="272"/>
    <d v="2026-01-19T00:00:00"/>
    <n v="48"/>
    <x v="0"/>
    <n v="0"/>
    <n v="0"/>
    <n v="0"/>
    <n v="0"/>
    <n v="0"/>
    <n v="0"/>
    <n v="0"/>
    <n v="0"/>
    <n v="0"/>
    <n v="0"/>
    <n v="0"/>
    <n v="0"/>
    <s v="https://www.clickideacore.com/ClickHTML5/Visit.aspx?ID=//5EDAEwASwAzADgAMAA5ADEAOQA3ADMASQBEAEUAQQAA=&amp;Tipo=2&amp;ST=1&amp;nLang=0"/>
    <n v="0"/>
    <n v="14"/>
    <n v="0"/>
    <n v="0"/>
    <n v="0"/>
    <n v="0"/>
    <n v="0"/>
    <n v="0"/>
  </r>
  <r>
    <x v="19"/>
    <x v="6"/>
    <s v="OP-S-076"/>
    <x v="272"/>
    <d v="2026-01-19T00:00:00"/>
    <n v="48"/>
    <x v="0"/>
    <n v="0"/>
    <n v="0"/>
    <n v="0"/>
    <n v="0"/>
    <n v="0"/>
    <n v="0"/>
    <n v="0"/>
    <n v="0"/>
    <n v="0"/>
    <n v="0"/>
    <n v="0"/>
    <n v="0"/>
    <s v="https://www.clickideacore.com/ClickHTML5/Visit.aspx?ID=//5EDAEwASwAzADgAMAA5ADEAOQA3ADMASQBEAEUAQQAA=&amp;Tipo=2&amp;ST=1&amp;nLang=0"/>
    <n v="0"/>
    <n v="14"/>
    <n v="0"/>
    <n v="0"/>
    <n v="0"/>
    <n v="0"/>
    <n v="0"/>
    <n v="0"/>
  </r>
  <r>
    <x v="11"/>
    <x v="17"/>
    <s v="OP-S-076"/>
    <x v="272"/>
    <d v="2026-01-19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72"/>
    <d v="2026-01-19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72"/>
    <d v="2026-01-1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"/>
    <s v="OP-S-076"/>
    <x v="272"/>
    <d v="2026-01-1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DYR-011"/>
    <x v="273"/>
    <d v="2026-01-20T00:00:00"/>
    <n v="27"/>
    <x v="0"/>
    <n v="36"/>
    <n v="0"/>
    <n v="0"/>
    <n v="0"/>
    <n v="1"/>
    <n v="0"/>
    <n v="0"/>
    <n v="0"/>
    <n v="0"/>
    <n v="0"/>
    <n v="0"/>
    <n v="0"/>
    <s v="https://www.clickideacore.com/ClickHTML5/Visit.aspx?ID=//5EDAEwASwAzADgAMQAxADgAMwA3ADYASQBEAEUAQQA8=&amp;Tipo=2&amp;ST=1&amp;nLang=0"/>
    <n v="0"/>
    <n v="0"/>
    <n v="0"/>
    <n v="0"/>
    <n v="0"/>
    <n v="0"/>
    <n v="0"/>
    <n v="0"/>
  </r>
  <r>
    <x v="0"/>
    <x v="0"/>
    <s v="OP-DYR-011"/>
    <x v="273"/>
    <d v="2026-01-20T00:00:00"/>
    <n v="27"/>
    <x v="0"/>
    <n v="25"/>
    <n v="0"/>
    <n v="0"/>
    <n v="1"/>
    <n v="0"/>
    <n v="1"/>
    <n v="0"/>
    <n v="0"/>
    <n v="0"/>
    <n v="0"/>
    <n v="0"/>
    <n v="0"/>
    <s v="https://www.clickideacore.com/ClickHTML5/Visit.aspx?ID=//5EDAEwASwAzADgAMQAxADgAMwA3ADYASQBEAEUAQQA8=&amp;Tipo=2&amp;ST=1&amp;nLang=0"/>
    <n v="0"/>
    <n v="0"/>
    <n v="0"/>
    <n v="0"/>
    <n v="0"/>
    <n v="0"/>
    <n v="0"/>
    <n v="0"/>
  </r>
  <r>
    <x v="10"/>
    <x v="6"/>
    <s v="OP-DYR-011"/>
    <x v="273"/>
    <d v="2026-01-20T00:00:00"/>
    <n v="27"/>
    <x v="0"/>
    <n v="36"/>
    <n v="0"/>
    <n v="0"/>
    <n v="1"/>
    <n v="0"/>
    <n v="0"/>
    <n v="0"/>
    <n v="0"/>
    <n v="0"/>
    <n v="4"/>
    <n v="0"/>
    <n v="0"/>
    <s v="https://www.clickideacore.com/ClickHTML5/Visit.aspx?ID=//5EDAEwASwAzADgAMQAxADgAMwA3ADYASQBEAEUAQQA8=&amp;Tipo=2&amp;ST=1&amp;nLang=0"/>
    <n v="0"/>
    <n v="0"/>
    <n v="0"/>
    <n v="0"/>
    <n v="0"/>
    <n v="0"/>
    <n v="0"/>
    <n v="0"/>
  </r>
  <r>
    <x v="9"/>
    <x v="3"/>
    <s v="OP-DYR-011"/>
    <x v="273"/>
    <d v="2026-01-20T00:00:00"/>
    <n v="27"/>
    <x v="0"/>
    <n v="36"/>
    <n v="0"/>
    <n v="0"/>
    <n v="1"/>
    <n v="0"/>
    <n v="0"/>
    <n v="0"/>
    <n v="0"/>
    <n v="0"/>
    <n v="0"/>
    <n v="0"/>
    <n v="0"/>
    <s v="https://www.clickideacore.com/ClickHTML5/Visit.aspx?ID=//5EDAEwASwAzADgAMQAxADgAMwA3ADYASQBEAEUAQQA8=&amp;Tipo=2&amp;ST=1&amp;nLang=0"/>
    <n v="0"/>
    <n v="0"/>
    <n v="0"/>
    <n v="0"/>
    <n v="0"/>
    <n v="0"/>
    <n v="0"/>
    <n v="0"/>
  </r>
  <r>
    <x v="1"/>
    <x v="1"/>
    <s v="OP-DYR-004"/>
    <x v="273"/>
    <d v="2026-01-20T00:00:00"/>
    <n v="35"/>
    <x v="0"/>
    <n v="28"/>
    <n v="0"/>
    <n v="0"/>
    <n v="1"/>
    <n v="0"/>
    <n v="0"/>
    <n v="0"/>
    <n v="0"/>
    <n v="0"/>
    <n v="1"/>
    <n v="0"/>
    <n v="0"/>
    <s v="https://www.clickideacore.com/ClickHTML5/Visit.aspx?ID=//52DAEwASwAzADgAMQAyADQANwAzADIASQBEAEUAQQAB=&amp;Tipo=2&amp;ST=1&amp;nLang=0"/>
    <n v="0"/>
    <n v="0"/>
    <n v="0"/>
    <n v="0"/>
    <n v="0"/>
    <n v="0"/>
    <n v="0"/>
    <n v="0"/>
  </r>
  <r>
    <x v="3"/>
    <x v="6"/>
    <s v="OP-S-076"/>
    <x v="273"/>
    <d v="2026-01-20T00:00:00"/>
    <n v="29"/>
    <x v="0"/>
    <n v="32"/>
    <n v="0"/>
    <n v="0"/>
    <n v="1"/>
    <n v="0"/>
    <n v="0"/>
    <n v="0"/>
    <n v="0"/>
    <n v="0"/>
    <n v="4"/>
    <n v="0"/>
    <n v="0"/>
    <s v="https://www.clickideacore.com/ClickHTML5/Visit.aspx?ID=//57DAEwASwAzADgAMQAxADcANwAwADAASQBEAEUAQQAC=&amp;Tipo=2&amp;ST=1&amp;nLang=0"/>
    <n v="0"/>
    <n v="0"/>
    <n v="0"/>
    <n v="0"/>
    <n v="0"/>
    <n v="0"/>
    <n v="0"/>
    <n v="0"/>
  </r>
  <r>
    <x v="3"/>
    <x v="6"/>
    <s v="OP-S-076"/>
    <x v="274"/>
    <d v="2026-01-21T00:00:00"/>
    <n v="29"/>
    <x v="0"/>
    <n v="0"/>
    <n v="0"/>
    <n v="0"/>
    <n v="0"/>
    <n v="0"/>
    <n v="0"/>
    <n v="0"/>
    <n v="0"/>
    <n v="0"/>
    <n v="1"/>
    <n v="0"/>
    <n v="0"/>
    <s v="https://www.clickideacore.com/ClickHTML5/Visit.aspx?ID=//57DAEwASwAzADgAMQAxADcANwAwADAASQBEAEUAQQAC=&amp;Tipo=2&amp;ST=1&amp;nLang=0"/>
    <n v="0"/>
    <n v="0"/>
    <n v="0"/>
    <n v="0"/>
    <n v="0"/>
    <n v="0"/>
    <n v="0"/>
    <n v="0"/>
  </r>
  <r>
    <x v="9"/>
    <x v="17"/>
    <s v="OP-S-076"/>
    <x v="273"/>
    <d v="2026-01-20T00:00:00"/>
    <n v="29"/>
    <x v="0"/>
    <n v="32"/>
    <n v="0"/>
    <n v="0"/>
    <n v="1"/>
    <n v="0"/>
    <n v="0"/>
    <n v="0"/>
    <n v="0"/>
    <n v="0"/>
    <n v="0"/>
    <n v="0"/>
    <n v="0"/>
    <s v="https://www.clickideacore.com/ClickHTML5/Visit.aspx?ID=//57DAEwASwAzADgAMQAxADcANwAwADAASQBEAEUAQQAC=&amp;Tipo=2&amp;ST=1&amp;nLang=0"/>
    <n v="0"/>
    <n v="0"/>
    <n v="0"/>
    <n v="0"/>
    <n v="0"/>
    <n v="0"/>
    <n v="0"/>
    <n v="0"/>
  </r>
  <r>
    <x v="2"/>
    <x v="2"/>
    <s v="OP-S-200"/>
    <x v="273"/>
    <d v="2026-01-20T00:00:00"/>
    <n v="15"/>
    <x v="0"/>
    <n v="24"/>
    <n v="0"/>
    <n v="0"/>
    <n v="1"/>
    <n v="0"/>
    <n v="0"/>
    <n v="0"/>
    <n v="0"/>
    <n v="0"/>
    <n v="0"/>
    <n v="0"/>
    <n v="0"/>
    <s v="https://www.clickideacore.com/ClickHTML5/Visit.aspx?ID=//5DDAEwASwAzADgAMQAxADgANwAzADkASQBEAEUAQQAC=&amp;Tipo=2&amp;ST=1&amp;nLang=0"/>
    <n v="0"/>
    <n v="0"/>
    <n v="0"/>
    <n v="0"/>
    <n v="0"/>
    <n v="0"/>
    <n v="0"/>
    <n v="0"/>
  </r>
  <r>
    <x v="4"/>
    <x v="6"/>
    <s v="OP-S-076"/>
    <x v="273"/>
    <d v="2026-01-20T00:00:00"/>
    <n v="21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1"/>
    <x v="6"/>
    <s v="OP-S-076"/>
    <x v="273"/>
    <d v="2026-01-2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29"/>
    <s v="OP-S-076"/>
    <x v="273"/>
    <d v="2026-01-20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5"/>
    <s v="OP-S-076"/>
    <x v="273"/>
    <d v="2026-01-20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8"/>
    <s v="OP-S-076"/>
    <x v="273"/>
    <d v="2026-01-20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74"/>
    <d v="2026-01-21T00:00:00"/>
    <n v="17"/>
    <x v="0"/>
    <n v="33"/>
    <n v="0"/>
    <n v="0"/>
    <n v="1"/>
    <n v="0"/>
    <n v="1"/>
    <n v="0"/>
    <n v="0"/>
    <n v="0"/>
    <n v="0"/>
    <n v="0"/>
    <n v="0"/>
    <s v="https://www.clickideacore.com/ClickHTML5/Visit.aspx?ID=//5EDAEwASwAzADgAMQA0ADYAMAA0ADQASQBEAEUAQQAC=&amp;Tipo=2&amp;ST=1&amp;nLang=0"/>
    <n v="0"/>
    <n v="0"/>
    <n v="0"/>
    <n v="0"/>
    <n v="0"/>
    <n v="0"/>
    <n v="0"/>
    <n v="0"/>
  </r>
  <r>
    <x v="0"/>
    <x v="35"/>
    <s v="OP-S-100"/>
    <x v="274"/>
    <d v="2026-01-21T00:00:00"/>
    <n v="5073"/>
    <x v="0"/>
    <n v="26"/>
    <n v="0"/>
    <n v="1"/>
    <n v="0"/>
    <n v="1"/>
    <n v="1"/>
    <n v="0"/>
    <n v="0"/>
    <n v="0"/>
    <n v="0"/>
    <n v="0"/>
    <n v="0"/>
    <s v="https://www.clickideacore.com/ClickHTML5/Visit.aspx?ID=//5DDAEwASwAzADgAMQA0ADcAMwA3ADYASQBEAEUAQQAC=&amp;Tipo=2&amp;ST=1&amp;nLang=0"/>
    <n v="0"/>
    <n v="2"/>
    <n v="0"/>
    <n v="0"/>
    <n v="0"/>
    <n v="0"/>
    <n v="0"/>
    <n v="0"/>
  </r>
  <r>
    <x v="10"/>
    <x v="6"/>
    <s v="OP-DYR-011"/>
    <x v="274"/>
    <d v="2026-01-21T00:00:00"/>
    <n v="22"/>
    <x v="0"/>
    <n v="42"/>
    <n v="0"/>
    <n v="0"/>
    <n v="1"/>
    <n v="0"/>
    <n v="0"/>
    <n v="0"/>
    <n v="0"/>
    <n v="0"/>
    <n v="2"/>
    <n v="0"/>
    <n v="0"/>
    <s v="https://www.clickideacore.com/ClickHTML5/Visit.aspx?ID=//53DAEwASwAzADgAMQA0ADgAMQA3ADQASQBEAEUAQQAA=&amp;Tipo=2&amp;ST=1&amp;nLang=0"/>
    <n v="0"/>
    <n v="0"/>
    <n v="0"/>
    <n v="0"/>
    <n v="0"/>
    <n v="0"/>
    <n v="0"/>
    <n v="0"/>
  </r>
  <r>
    <x v="9"/>
    <x v="3"/>
    <s v="OP-DYR-011"/>
    <x v="274"/>
    <d v="2026-01-21T00:00:00"/>
    <n v="22"/>
    <x v="0"/>
    <n v="44"/>
    <n v="0"/>
    <n v="0"/>
    <n v="1"/>
    <n v="0"/>
    <n v="1"/>
    <n v="0"/>
    <n v="0"/>
    <n v="0"/>
    <n v="0"/>
    <n v="0"/>
    <n v="0"/>
    <s v="https://www.clickideacore.com/ClickHTML5/Visit.aspx?ID=//53DAEwASwAzADgAMQA0ADgAMQA3ADQASQBEAEUAQQAA=&amp;Tipo=2&amp;ST=1&amp;nLang=0"/>
    <n v="0"/>
    <n v="0"/>
    <n v="0"/>
    <n v="0"/>
    <n v="0"/>
    <n v="0"/>
    <n v="0"/>
    <n v="0"/>
  </r>
  <r>
    <x v="17"/>
    <x v="6"/>
    <s v="OP-DYR-00001"/>
    <x v="273"/>
    <d v="2026-01-20T00:00:00"/>
    <n v="55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QA0ADQAOAA5ADMASQBEAEUAQQA7=&amp;Tipo=2&amp;ST=1&amp;nLang=0"/>
    <n v="0"/>
    <n v="0"/>
    <n v="0"/>
    <n v="0"/>
    <n v="0"/>
    <n v="0"/>
    <n v="0"/>
    <n v="0"/>
  </r>
  <r>
    <x v="17"/>
    <x v="6"/>
    <s v="OP-DYR-00001"/>
    <x v="274"/>
    <d v="2026-01-21T00:00:00"/>
    <n v="55"/>
    <x v="0"/>
    <n v="40"/>
    <n v="0"/>
    <n v="0"/>
    <n v="1"/>
    <n v="0"/>
    <n v="0"/>
    <n v="0"/>
    <n v="0"/>
    <n v="0"/>
    <n v="1"/>
    <n v="0"/>
    <n v="0"/>
    <s v="https://www.clickideacore.com/ClickHTML5/Visit.aspx?ID=//51DAEwASwAzADgAMQA0ADQAOAA5ADMASQBEAEUAQQA7=&amp;Tipo=2&amp;ST=1&amp;nLang=0"/>
    <n v="0"/>
    <n v="0"/>
    <n v="0"/>
    <n v="0"/>
    <n v="0"/>
    <n v="0"/>
    <n v="0"/>
    <n v="0"/>
  </r>
  <r>
    <x v="9"/>
    <x v="29"/>
    <s v="OP-DYR-00001"/>
    <x v="274"/>
    <d v="2026-01-21T00:00:00"/>
    <n v="55"/>
    <x v="0"/>
    <n v="40"/>
    <n v="0"/>
    <n v="1"/>
    <n v="1"/>
    <n v="0"/>
    <n v="0"/>
    <n v="0"/>
    <n v="0"/>
    <n v="0"/>
    <n v="1"/>
    <n v="0"/>
    <n v="0"/>
    <s v="https://www.clickideacore.com/ClickHTML5/Visit.aspx?ID=//51DAEwASwAzADgAMQA0ADQAOAA5ADMASQBEAEUAQQA7=&amp;Tipo=2&amp;ST=1&amp;nLang=0"/>
    <n v="0"/>
    <n v="2"/>
    <n v="0"/>
    <n v="0"/>
    <n v="0"/>
    <n v="0"/>
    <n v="0"/>
    <n v="0"/>
  </r>
  <r>
    <x v="11"/>
    <x v="17"/>
    <s v="OP-SDYR-001"/>
    <x v="274"/>
    <d v="2026-01-21T00:00:00"/>
    <n v="20"/>
    <x v="0"/>
    <n v="28"/>
    <n v="0"/>
    <n v="0"/>
    <n v="1"/>
    <n v="0"/>
    <n v="0"/>
    <n v="1"/>
    <n v="0"/>
    <n v="0"/>
    <n v="0"/>
    <n v="0"/>
    <n v="0"/>
    <s v="https://www.clickideacore.com/ClickHTML5/Visit.aspx?ID=//55DAEwASwAzADgAMQAzADgAOAA4ADgASQBEAEUAQQA2=&amp;Tipo=2&amp;ST=1&amp;nLang=0"/>
    <n v="0"/>
    <n v="0"/>
    <n v="0"/>
    <n v="0"/>
    <n v="0"/>
    <n v="0"/>
    <n v="0"/>
    <n v="0"/>
  </r>
  <r>
    <x v="1"/>
    <x v="35"/>
    <s v="OP-S-076"/>
    <x v="274"/>
    <d v="2026-01-21T00:00:00"/>
    <n v="21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1"/>
    <s v="OP-S-076"/>
    <x v="274"/>
    <d v="2026-01-21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76"/>
    <x v="274"/>
    <d v="2026-01-21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076"/>
    <x v="274"/>
    <d v="2026-01-21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74"/>
    <d v="2026-01-21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05"/>
    <x v="275"/>
    <d v="2026-01-22T00:00:00"/>
    <n v="51"/>
    <x v="0"/>
    <n v="22"/>
    <n v="0"/>
    <n v="0"/>
    <n v="0"/>
    <n v="1"/>
    <n v="0"/>
    <n v="0"/>
    <n v="0"/>
    <n v="0"/>
    <n v="0"/>
    <n v="0"/>
    <n v="0"/>
    <s v="https://www.clickideacore.com/ClickHTML5/Visit.aspx?ID=//57DAEwASwAzADgAMQA2ADYAMQAwADAASQBEAEUAQQA9=&amp;Tipo=2&amp;ST=1&amp;nLang=0"/>
    <n v="0"/>
    <n v="0"/>
    <n v="0"/>
    <n v="0"/>
    <n v="0"/>
    <n v="0"/>
    <n v="0"/>
    <n v="0"/>
  </r>
  <r>
    <x v="0"/>
    <x v="0"/>
    <s v="OP-S-100"/>
    <x v="275"/>
    <d v="2026-01-22T00:00:00"/>
    <n v="69"/>
    <x v="0"/>
    <n v="32"/>
    <n v="0"/>
    <n v="0"/>
    <n v="1"/>
    <n v="0"/>
    <n v="0"/>
    <n v="0"/>
    <n v="0"/>
    <n v="0"/>
    <n v="2"/>
    <n v="0"/>
    <n v="0"/>
    <s v="https://www.clickideacore.com/ClickHTML5/Visit.aspx?ID=//5CDAEwASwAzADgAMQA2ADYAMQAwADIASQBEAEUAQQA1=&amp;Tipo=2&amp;ST=1&amp;nLang=0"/>
    <n v="0"/>
    <n v="0"/>
    <n v="0"/>
    <n v="0"/>
    <n v="0"/>
    <n v="0"/>
    <n v="0"/>
    <n v="0"/>
  </r>
  <r>
    <x v="4"/>
    <x v="8"/>
    <s v="OP-DYR-005"/>
    <x v="275"/>
    <d v="2026-01-22T00:00:00"/>
    <n v="14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gAMQA2ADkANQA3ADQASQBEAEUAQQAD=&amp;Tipo=2&amp;ST=1&amp;nLang=0"/>
    <n v="0"/>
    <n v="0"/>
    <n v="0"/>
    <n v="0"/>
    <n v="0"/>
    <n v="0"/>
    <n v="0"/>
    <n v="0"/>
  </r>
  <r>
    <x v="17"/>
    <x v="29"/>
    <s v="OP-DYR-00001"/>
    <x v="275"/>
    <d v="2026-01-22T00:00:00"/>
    <n v="55"/>
    <x v="0"/>
    <n v="40"/>
    <n v="0"/>
    <n v="0"/>
    <n v="1"/>
    <n v="0"/>
    <n v="0"/>
    <n v="0"/>
    <n v="0"/>
    <n v="0"/>
    <n v="0"/>
    <n v="0"/>
    <n v="0"/>
    <s v="https://www.clickideacore.com/ClickHTML5/Visit.aspx?ID=//53DAEwASwAzADgAMQA2ADkANAA2ADMASQBEAEUAQQA8=&amp;Tipo=2&amp;ST=1&amp;nLang=0"/>
    <n v="0"/>
    <n v="6"/>
    <n v="0"/>
    <n v="0"/>
    <n v="0"/>
    <n v="0"/>
    <n v="0"/>
    <n v="0"/>
  </r>
  <r>
    <x v="9"/>
    <x v="31"/>
    <s v="OP-DYR-00001"/>
    <x v="275"/>
    <d v="2026-01-22T00:00:00"/>
    <n v="55"/>
    <x v="0"/>
    <n v="0"/>
    <n v="0"/>
    <n v="0"/>
    <n v="1"/>
    <n v="0"/>
    <n v="0"/>
    <n v="0"/>
    <n v="0"/>
    <n v="0"/>
    <n v="0"/>
    <n v="0"/>
    <n v="0"/>
    <s v="https://www.clickideacore.com/ClickHTML5/Visit.aspx?ID=//53DAEwASwAzADgAMQA2ADkANAA2ADMASQBEAEUAQQA8=&amp;Tipo=2&amp;ST=1&amp;nLang=0"/>
    <n v="0"/>
    <n v="6"/>
    <n v="0"/>
    <n v="0"/>
    <n v="0"/>
    <n v="0"/>
    <n v="0"/>
    <n v="0"/>
  </r>
  <r>
    <x v="11"/>
    <x v="35"/>
    <s v="OP-SDYR-001"/>
    <x v="275"/>
    <d v="2026-01-22T00:00:00"/>
    <n v="19"/>
    <x v="0"/>
    <n v="24"/>
    <n v="0"/>
    <n v="0"/>
    <n v="1"/>
    <n v="0"/>
    <n v="0"/>
    <n v="0"/>
    <n v="0"/>
    <n v="0"/>
    <n v="0"/>
    <n v="0"/>
    <n v="0"/>
    <s v="https://www.clickideacore.com/ClickHTML5/Visit.aspx?ID=//5EDAEwASwAzADgAMQA2ADMANgA0ADYASQBEAEUAQQAE=&amp;Tipo=2&amp;ST=1&amp;nLang=0"/>
    <n v="0"/>
    <n v="0"/>
    <n v="0"/>
    <n v="0"/>
    <n v="0"/>
    <n v="0"/>
    <n v="0"/>
    <n v="0"/>
  </r>
  <r>
    <x v="2"/>
    <x v="2"/>
    <s v="OP-S-200"/>
    <x v="275"/>
    <d v="2026-01-22T00:00:00"/>
    <n v="18"/>
    <x v="0"/>
    <n v="20"/>
    <n v="0"/>
    <n v="0"/>
    <n v="1"/>
    <n v="0"/>
    <n v="0"/>
    <n v="0"/>
    <n v="0"/>
    <n v="0"/>
    <n v="0"/>
    <n v="0"/>
    <n v="0"/>
    <s v="https://www.clickideacore.com/ClickHTML5/Visit.aspx?ID=//5FDAEwASwAzADgAMQA3ADEAMgA5ADYASQBEAEUAQQAF=&amp;Tipo=2&amp;ST=1&amp;nLang=0"/>
    <n v="0"/>
    <n v="0"/>
    <n v="0"/>
    <n v="0"/>
    <n v="0"/>
    <n v="0"/>
    <n v="0"/>
    <n v="0"/>
  </r>
  <r>
    <x v="9"/>
    <x v="2"/>
    <s v="OP-S-200"/>
    <x v="275"/>
    <d v="2026-01-22T00:00:00"/>
    <n v="18"/>
    <x v="0"/>
    <n v="24"/>
    <n v="0"/>
    <n v="0"/>
    <n v="1"/>
    <n v="0"/>
    <n v="0"/>
    <n v="0"/>
    <n v="0"/>
    <n v="0"/>
    <n v="0"/>
    <n v="0"/>
    <n v="0"/>
    <s v="https://www.clickideacore.com/ClickHTML5/Visit.aspx?ID=//5FDAEwASwAzADgAMQA3ADEAMgA5ADYASQBEAEUAQQAF=&amp;Tipo=2&amp;ST=1&amp;nLang=0"/>
    <n v="0"/>
    <n v="0"/>
    <n v="0"/>
    <n v="0"/>
    <n v="0"/>
    <n v="0"/>
    <n v="0"/>
    <n v="0"/>
  </r>
  <r>
    <x v="3"/>
    <x v="3"/>
    <s v="OP-S-076"/>
    <x v="275"/>
    <d v="2026-01-22T00:00:00"/>
    <n v="19"/>
    <x v="0"/>
    <n v="6"/>
    <n v="0"/>
    <n v="0"/>
    <n v="0"/>
    <n v="0"/>
    <n v="0"/>
    <n v="0"/>
    <n v="0"/>
    <n v="0"/>
    <n v="0"/>
    <n v="0"/>
    <n v="0"/>
    <s v="https://www.clickideacore.com/ClickHTML5/Visit.aspx?ID=//52DAEwASwAzADgAMQA2ADAAMgA3ADIASQBEAEUAQQA3=&amp;Tipo=2&amp;ST=1&amp;nLang=0"/>
    <n v="0"/>
    <n v="0"/>
    <n v="0"/>
    <n v="0"/>
    <n v="0"/>
    <n v="0"/>
    <n v="0"/>
    <n v="0"/>
  </r>
  <r>
    <x v="1"/>
    <x v="1"/>
    <s v="OP-S-076"/>
    <x v="275"/>
    <d v="2026-01-22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75"/>
    <d v="2026-01-22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17"/>
    <s v="OP-S-076"/>
    <x v="275"/>
    <d v="2026-01-22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5"/>
    <d v="2026-01-2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05"/>
    <x v="276"/>
    <d v="2026-01-23T00:00:00"/>
    <n v="79"/>
    <x v="0"/>
    <n v="26"/>
    <n v="0"/>
    <n v="0"/>
    <n v="0"/>
    <n v="1"/>
    <n v="1"/>
    <n v="0"/>
    <n v="0"/>
    <n v="0"/>
    <n v="0"/>
    <n v="0"/>
    <n v="0"/>
    <s v="https://www.clickideacore.com/ClickHTML5/Visit.aspx?ID=//5EDAEwASwAzADgAMQA5ADEAMQA1ADEASQBEAEUAQQA3=&amp;Tipo=2&amp;ST=1&amp;nLang=0"/>
    <n v="0"/>
    <n v="22"/>
    <n v="0"/>
    <n v="0"/>
    <n v="0"/>
    <n v="0"/>
    <n v="0"/>
    <n v="0"/>
  </r>
  <r>
    <x v="19"/>
    <x v="6"/>
    <s v="OP-S-007"/>
    <x v="276"/>
    <d v="2026-01-23T00:00:00"/>
    <n v="27"/>
    <x v="0"/>
    <n v="16"/>
    <n v="0"/>
    <n v="0"/>
    <n v="1"/>
    <n v="0"/>
    <n v="0"/>
    <n v="0"/>
    <n v="0"/>
    <n v="0"/>
    <n v="0"/>
    <n v="0"/>
    <n v="0"/>
    <s v="https://www.clickideacore.com/ClickHTML5/Visit.aspx?ID=//51DAEwASwAzADgAMQA5ADAANAA0ADMASQBEAEUAQQAA=&amp;Tipo=2&amp;ST=1&amp;nLang=0"/>
    <n v="0"/>
    <n v="0"/>
    <n v="0"/>
    <n v="0"/>
    <n v="0"/>
    <n v="0"/>
    <n v="0"/>
    <n v="0"/>
  </r>
  <r>
    <x v="9"/>
    <x v="0"/>
    <s v="OP-S-007"/>
    <x v="276"/>
    <d v="2026-01-23T00:00:00"/>
    <n v="27"/>
    <x v="0"/>
    <n v="18"/>
    <n v="0"/>
    <n v="0"/>
    <n v="1"/>
    <n v="0"/>
    <n v="0"/>
    <n v="0"/>
    <n v="0"/>
    <n v="0"/>
    <n v="0"/>
    <n v="0"/>
    <n v="0"/>
    <s v="https://www.clickideacore.com/ClickHTML5/Visit.aspx?ID=//51DAEwASwAzADgAMQA5ADAANAA0ADMASQBEAEUAQQAA=&amp;Tipo=2&amp;ST=1&amp;nLang=0"/>
    <n v="0"/>
    <n v="34"/>
    <n v="5"/>
    <n v="0"/>
    <n v="0"/>
    <n v="0"/>
    <n v="0"/>
    <n v="0"/>
  </r>
  <r>
    <x v="3"/>
    <x v="3"/>
    <s v="OP-S-076"/>
    <x v="276"/>
    <d v="2026-01-23T00:00:00"/>
    <n v="31"/>
    <x v="0"/>
    <n v="40"/>
    <n v="0"/>
    <n v="0"/>
    <n v="1"/>
    <n v="0"/>
    <n v="0"/>
    <n v="0"/>
    <n v="0"/>
    <n v="0"/>
    <n v="0"/>
    <n v="0"/>
    <n v="0"/>
    <s v="https://www.clickideacore.com/ClickHTML5/Visit.aspx?ID=//5CDAEwASwAzADgAMQA4ADkAMgA3ADUASQBEAEUAQQA3=&amp;Tipo=2&amp;ST=1&amp;nLang=0"/>
    <n v="0"/>
    <n v="20"/>
    <n v="0"/>
    <n v="0"/>
    <n v="0"/>
    <n v="0"/>
    <n v="0"/>
    <n v="0"/>
  </r>
  <r>
    <x v="17"/>
    <x v="29"/>
    <s v="OP-DYR-00001"/>
    <x v="276"/>
    <d v="2026-01-23T00:00:00"/>
    <n v="95"/>
    <x v="0"/>
    <n v="28"/>
    <n v="0"/>
    <n v="0"/>
    <n v="1"/>
    <n v="0"/>
    <n v="1"/>
    <n v="0"/>
    <n v="0"/>
    <n v="0"/>
    <n v="0"/>
    <n v="0"/>
    <n v="0"/>
    <s v="https://www.clickideacore.com/ClickHTML5/Visit.aspx?ID=//59DAEwASwAzADgAMQA4ADkANgAyADkASQBEAEUAQQA3=&amp;Tipo=2&amp;ST=1&amp;nLang=0"/>
    <n v="0"/>
    <n v="22"/>
    <n v="0"/>
    <n v="0"/>
    <n v="0"/>
    <n v="0"/>
    <n v="0"/>
    <n v="0"/>
  </r>
  <r>
    <x v="11"/>
    <x v="17"/>
    <s v="OP-SDYR-001"/>
    <x v="276"/>
    <d v="2026-01-23T00:00:00"/>
    <n v="2409"/>
    <x v="0"/>
    <n v="34"/>
    <n v="0"/>
    <n v="1"/>
    <n v="1"/>
    <n v="0"/>
    <n v="0"/>
    <n v="0"/>
    <n v="0"/>
    <n v="0"/>
    <n v="1"/>
    <n v="0"/>
    <n v="0"/>
    <s v="https://www.clickideacore.com/ClickHTML5/Visit.aspx?ID=//59DAEwASwAzADgAMQA5ADEANgA0ADgASQBEAEUAQQA0=&amp;Tipo=2&amp;ST=1&amp;nLang=0"/>
    <n v="0"/>
    <n v="34"/>
    <n v="5"/>
    <n v="0"/>
    <n v="0"/>
    <n v="0"/>
    <n v="0"/>
    <n v="0"/>
  </r>
  <r>
    <x v="2"/>
    <x v="2"/>
    <s v="OP-SDYR-001"/>
    <x v="276"/>
    <d v="2026-01-23T00:00:00"/>
    <n v="2409"/>
    <x v="0"/>
    <n v="16"/>
    <n v="0"/>
    <n v="1"/>
    <n v="1"/>
    <n v="0"/>
    <n v="0"/>
    <n v="0"/>
    <n v="0"/>
    <n v="0"/>
    <n v="0"/>
    <n v="0"/>
    <n v="0"/>
    <s v="https://www.clickideacore.com/ClickHTML5/Visit.aspx?ID=//59DAEwASwAzADgAMQA5ADEANgA0ADgASQBEAEUAQQA0=&amp;Tipo=2&amp;ST=1&amp;nLang=0"/>
    <n v="0"/>
    <n v="39"/>
    <n v="5"/>
    <n v="0"/>
    <n v="0"/>
    <n v="0"/>
    <n v="0"/>
    <n v="0"/>
  </r>
  <r>
    <x v="1"/>
    <x v="1"/>
    <s v="OP-DYR-004"/>
    <x v="276"/>
    <d v="2026-01-23T00:00:00"/>
    <n v="21"/>
    <x v="0"/>
    <n v="0"/>
    <n v="0"/>
    <n v="0"/>
    <n v="0"/>
    <n v="0"/>
    <n v="1"/>
    <n v="0"/>
    <n v="0"/>
    <n v="0"/>
    <n v="0"/>
    <n v="0"/>
    <n v="0"/>
    <s v="https://www.clickideacore.com/ClickHTML5/Visit.aspx?ID=//5DDAEwASwAzADgAMQA5ADEAOAAyADEASQBEAEUAQQA2=&amp;Tipo=2&amp;ST=1&amp;nLang=0"/>
    <n v="0"/>
    <n v="0"/>
    <n v="38"/>
    <n v="0"/>
    <n v="0"/>
    <n v="0"/>
    <n v="0"/>
    <n v="0"/>
  </r>
  <r>
    <x v="10"/>
    <x v="8"/>
    <s v="OP-DYR-011"/>
    <x v="276"/>
    <d v="2026-01-23T00:00:00"/>
    <n v="35"/>
    <x v="0"/>
    <n v="0"/>
    <n v="0"/>
    <n v="0"/>
    <n v="0"/>
    <n v="0"/>
    <n v="1"/>
    <n v="0"/>
    <n v="0"/>
    <n v="0"/>
    <n v="0"/>
    <n v="0"/>
    <n v="0"/>
    <s v="https://www.clickideacore.com/ClickHTML5/Visit.aspx?ID=//57DAEwASwAzADgAMQA4ADEANwAzADAASQBEAEUAQQA9=&amp;Tipo=2&amp;ST=1&amp;nLang=0"/>
    <n v="0"/>
    <n v="22"/>
    <n v="0"/>
    <n v="0"/>
    <n v="0"/>
    <n v="0"/>
    <n v="0"/>
    <n v="0"/>
  </r>
  <r>
    <x v="4"/>
    <x v="35"/>
    <s v="OP-S-076"/>
    <x v="276"/>
    <d v="2026-01-2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76"/>
    <d v="2026-01-2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6"/>
    <d v="2026-01-2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05"/>
    <x v="276"/>
    <d v="2026-01-23T00:00:00"/>
    <n v="79"/>
    <x v="0"/>
    <n v="26"/>
    <n v="0"/>
    <n v="0"/>
    <n v="0"/>
    <n v="1"/>
    <n v="1"/>
    <n v="0"/>
    <n v="0"/>
    <n v="0"/>
    <n v="0"/>
    <n v="0"/>
    <n v="0"/>
    <s v="https://www.clickideacore.com/ClickHTML5/Visit.aspx?ID=//5EDAEwASwAzADgAMQA5ADEAMQA1ADEASQBEAEUAQQA3=&amp;Tipo=2&amp;ST=1&amp;nLang=0"/>
    <n v="0"/>
    <n v="22"/>
    <n v="0"/>
    <n v="0"/>
    <n v="0"/>
    <n v="0"/>
    <n v="0"/>
    <n v="0"/>
  </r>
  <r>
    <x v="19"/>
    <x v="6"/>
    <s v="OP-S-007"/>
    <x v="276"/>
    <d v="2026-01-23T00:00:00"/>
    <n v="27"/>
    <x v="0"/>
    <n v="16"/>
    <n v="0"/>
    <n v="0"/>
    <n v="1"/>
    <n v="0"/>
    <n v="0"/>
    <n v="0"/>
    <n v="0"/>
    <n v="0"/>
    <n v="0"/>
    <n v="0"/>
    <n v="0"/>
    <s v="https://www.clickideacore.com/ClickHTML5/Visit.aspx?ID=//51DAEwASwAzADgAMQA5ADAANAA0ADMASQBEAEUAQQAA=&amp;Tipo=2&amp;ST=1&amp;nLang=0"/>
    <n v="0"/>
    <n v="0"/>
    <n v="0"/>
    <n v="0"/>
    <n v="0"/>
    <n v="0"/>
    <n v="0"/>
    <n v="0"/>
  </r>
  <r>
    <x v="9"/>
    <x v="0"/>
    <s v="OP-S-007"/>
    <x v="276"/>
    <d v="2026-01-23T00:00:00"/>
    <n v="27"/>
    <x v="0"/>
    <n v="18"/>
    <n v="0"/>
    <n v="0"/>
    <n v="1"/>
    <n v="0"/>
    <n v="0"/>
    <n v="0"/>
    <n v="0"/>
    <n v="0"/>
    <n v="0"/>
    <n v="0"/>
    <n v="0"/>
    <s v="https://www.clickideacore.com/ClickHTML5/Visit.aspx?ID=//51DAEwASwAzADgAMQA5ADAANAA0ADMASQBEAEUAQQAA=&amp;Tipo=2&amp;ST=1&amp;nLang=0"/>
    <n v="0"/>
    <n v="34"/>
    <n v="5"/>
    <n v="0"/>
    <n v="0"/>
    <n v="0"/>
    <n v="0"/>
    <n v="0"/>
  </r>
  <r>
    <x v="3"/>
    <x v="3"/>
    <s v="OP-S-076"/>
    <x v="276"/>
    <d v="2026-01-23T00:00:00"/>
    <n v="31"/>
    <x v="0"/>
    <n v="40"/>
    <n v="0"/>
    <n v="0"/>
    <n v="1"/>
    <n v="0"/>
    <n v="0"/>
    <n v="0"/>
    <n v="0"/>
    <n v="0"/>
    <n v="0"/>
    <n v="0"/>
    <n v="0"/>
    <s v="https://www.clickideacore.com/ClickHTML5/Visit.aspx?ID=//5CDAEwASwAzADgAMQA4ADkAMgA3ADUASQBEAEUAQQA3=&amp;Tipo=2&amp;ST=1&amp;nLang=0"/>
    <n v="0"/>
    <n v="20"/>
    <n v="0"/>
    <n v="0"/>
    <n v="0"/>
    <n v="0"/>
    <n v="0"/>
    <n v="0"/>
  </r>
  <r>
    <x v="17"/>
    <x v="29"/>
    <s v="OP-DYR-00001"/>
    <x v="276"/>
    <d v="2026-01-23T00:00:00"/>
    <n v="95"/>
    <x v="0"/>
    <n v="28"/>
    <n v="0"/>
    <n v="0"/>
    <n v="1"/>
    <n v="0"/>
    <n v="1"/>
    <n v="0"/>
    <n v="0"/>
    <n v="0"/>
    <n v="0"/>
    <n v="0"/>
    <n v="0"/>
    <s v="https://www.clickideacore.com/ClickHTML5/Visit.aspx?ID=//59DAEwASwAzADgAMQA4ADkANgAyADkASQBEAEUAQQA3=&amp;Tipo=2&amp;ST=1&amp;nLang=0"/>
    <n v="0"/>
    <n v="22"/>
    <n v="0"/>
    <n v="0"/>
    <n v="0"/>
    <n v="0"/>
    <n v="0"/>
    <n v="0"/>
  </r>
  <r>
    <x v="11"/>
    <x v="17"/>
    <s v="OP-SDYR-001"/>
    <x v="276"/>
    <d v="2026-01-23T00:00:00"/>
    <n v="2409"/>
    <x v="0"/>
    <n v="34"/>
    <n v="0"/>
    <n v="1"/>
    <n v="1"/>
    <n v="0"/>
    <n v="0"/>
    <n v="0"/>
    <n v="0"/>
    <n v="0"/>
    <n v="1"/>
    <n v="0"/>
    <n v="0"/>
    <s v="https://www.clickideacore.com/ClickHTML5/Visit.aspx?ID=//59DAEwASwAzADgAMQA5ADEANgA0ADgASQBEAEUAQQA0=&amp;Tipo=2&amp;ST=1&amp;nLang=0"/>
    <n v="0"/>
    <n v="34"/>
    <n v="5"/>
    <n v="0"/>
    <n v="0"/>
    <n v="0"/>
    <n v="0"/>
    <n v="0"/>
  </r>
  <r>
    <x v="2"/>
    <x v="2"/>
    <s v="OP-SDYR-001"/>
    <x v="276"/>
    <d v="2026-01-23T00:00:00"/>
    <n v="2409"/>
    <x v="0"/>
    <n v="16"/>
    <n v="0"/>
    <n v="1"/>
    <n v="1"/>
    <n v="0"/>
    <n v="0"/>
    <n v="0"/>
    <n v="0"/>
    <n v="0"/>
    <n v="0"/>
    <n v="0"/>
    <n v="0"/>
    <s v="https://www.clickideacore.com/ClickHTML5/Visit.aspx?ID=//59DAEwASwAzADgAMQA5ADEANgA0ADgASQBEAEUAQQA0=&amp;Tipo=2&amp;ST=1&amp;nLang=0"/>
    <n v="0"/>
    <n v="39"/>
    <n v="5"/>
    <n v="0"/>
    <n v="0"/>
    <n v="0"/>
    <n v="0"/>
    <n v="0"/>
  </r>
  <r>
    <x v="1"/>
    <x v="1"/>
    <s v="OP-DYR-004"/>
    <x v="276"/>
    <d v="2026-01-23T00:00:00"/>
    <n v="21"/>
    <x v="0"/>
    <n v="0"/>
    <n v="0"/>
    <n v="0"/>
    <n v="0"/>
    <n v="0"/>
    <n v="1"/>
    <n v="0"/>
    <n v="0"/>
    <n v="0"/>
    <n v="0"/>
    <n v="0"/>
    <n v="0"/>
    <s v="https://www.clickideacore.com/ClickHTML5/Visit.aspx?ID=//5DDAEwASwAzADgAMQA5ADEAOAAyADEASQBEAEUAQQA2=&amp;Tipo=2&amp;ST=1&amp;nLang=0"/>
    <n v="0"/>
    <n v="0"/>
    <n v="38"/>
    <n v="0"/>
    <n v="0"/>
    <n v="0"/>
    <n v="0"/>
    <n v="0"/>
  </r>
  <r>
    <x v="10"/>
    <x v="8"/>
    <s v="OP-DYR-011"/>
    <x v="276"/>
    <d v="2026-01-23T00:00:00"/>
    <n v="35"/>
    <x v="0"/>
    <n v="0"/>
    <n v="0"/>
    <n v="0"/>
    <n v="0"/>
    <n v="0"/>
    <n v="1"/>
    <n v="0"/>
    <n v="0"/>
    <n v="0"/>
    <n v="0"/>
    <n v="0"/>
    <n v="0"/>
    <s v="https://www.clickideacore.com/ClickHTML5/Visit.aspx?ID=//57DAEwASwAzADgAMQA4ADEANwAzADAASQBEAEUAQQA9=&amp;Tipo=2&amp;ST=1&amp;nLang=0"/>
    <n v="0"/>
    <n v="22"/>
    <n v="0"/>
    <n v="0"/>
    <n v="0"/>
    <n v="0"/>
    <n v="0"/>
    <n v="0"/>
  </r>
  <r>
    <x v="4"/>
    <x v="35"/>
    <s v="OP-S-076"/>
    <x v="276"/>
    <d v="2026-01-2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76"/>
    <d v="2026-01-23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6"/>
    <d v="2026-01-2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62"/>
    <x v="277"/>
    <d v="2026-01-24T00:00:00"/>
    <n v="174"/>
    <x v="0"/>
    <n v="0"/>
    <n v="0"/>
    <n v="0"/>
    <n v="0"/>
    <n v="0"/>
    <n v="0"/>
    <n v="0"/>
    <n v="1"/>
    <n v="0"/>
    <n v="3"/>
    <n v="1"/>
    <n v="0"/>
    <s v="https://www.clickideacore.com/ClickHTML5/Visit.aspx?ID=//5EDAEwASwAzADgAMgAwADUANQAxADkASQBEAEUAQQA5=&amp;Tipo=2&amp;ST=1&amp;nLang=0"/>
    <n v="0"/>
    <n v="0"/>
    <n v="0"/>
    <n v="0"/>
    <n v="0"/>
    <n v="0"/>
    <n v="0"/>
    <n v="0"/>
  </r>
  <r>
    <x v="0"/>
    <x v="0"/>
    <s v="OP-S-007"/>
    <x v="277"/>
    <d v="2026-01-24T00:00:00"/>
    <n v="35"/>
    <x v="0"/>
    <n v="0"/>
    <n v="0"/>
    <n v="0"/>
    <n v="0"/>
    <n v="0"/>
    <n v="0"/>
    <n v="0"/>
    <n v="1"/>
    <n v="0"/>
    <n v="6"/>
    <n v="1"/>
    <n v="0"/>
    <s v="https://www.clickideacore.com/ClickHTML5/Visit.aspx?ID=//55DAEwASwAzADgAMgAwADYAMQAzADkASQBEAEUAQQA8=&amp;Tipo=2&amp;ST=1&amp;nLang=0"/>
    <n v="23"/>
    <n v="0"/>
    <n v="0"/>
    <n v="0"/>
    <n v="0"/>
    <n v="0"/>
    <n v="1"/>
    <n v="0"/>
  </r>
  <r>
    <x v="13"/>
    <x v="31"/>
    <s v="OP-S-062"/>
    <x v="277"/>
    <d v="2026-01-24T00:00:00"/>
    <n v="174"/>
    <x v="0"/>
    <n v="0"/>
    <n v="0"/>
    <n v="0"/>
    <n v="0"/>
    <n v="0"/>
    <n v="0"/>
    <n v="0"/>
    <n v="1"/>
    <n v="0"/>
    <n v="0"/>
    <n v="1"/>
    <n v="0"/>
    <s v="https://www.clickideacore.com/ClickHTML5/Visit.aspx?ID=//5EDAEwASwAzADgAMgAwADUANQAxADkASQBEAEUAQQA5=&amp;Tipo=2&amp;ST=1&amp;nLang=0"/>
    <n v="0"/>
    <n v="0"/>
    <n v="0"/>
    <n v="0"/>
    <n v="0"/>
    <n v="0"/>
    <n v="0"/>
    <n v="0"/>
  </r>
  <r>
    <x v="17"/>
    <x v="35"/>
    <s v="OP-DYR-00001"/>
    <x v="277"/>
    <d v="2026-01-24T00:00:00"/>
    <n v="97"/>
    <x v="0"/>
    <n v="0"/>
    <n v="0"/>
    <n v="0"/>
    <n v="0"/>
    <n v="0"/>
    <n v="0"/>
    <n v="0"/>
    <n v="1"/>
    <n v="0"/>
    <n v="0"/>
    <n v="1"/>
    <n v="0"/>
    <s v="https://www.clickideacore.com/ClickHTML5/Visit.aspx?ID=//5FDAEwASwAzADgAMgAwADcAMAA2ADQASQBEAEUAQQAE=&amp;Tipo=2&amp;ST=1&amp;nLang=0"/>
    <n v="0"/>
    <n v="0"/>
    <n v="0"/>
    <n v="0"/>
    <n v="0"/>
    <n v="0"/>
    <n v="0"/>
    <n v="0"/>
  </r>
  <r>
    <x v="11"/>
    <x v="17"/>
    <s v="OP-SDYR-001"/>
    <x v="277"/>
    <d v="2026-01-24T00:00:00"/>
    <n v="26"/>
    <x v="0"/>
    <n v="0"/>
    <n v="0"/>
    <n v="0"/>
    <n v="0"/>
    <n v="0"/>
    <n v="0"/>
    <n v="0"/>
    <n v="1"/>
    <n v="0"/>
    <n v="0"/>
    <n v="1"/>
    <n v="0"/>
    <s v="https://www.clickideacore.com/ClickHTML5/Visit.aspx?ID=//52DAEwASwAzADgAMgAwADUAOQA4ADEASQBEAEUAQQA2=&amp;Tipo=2&amp;ST=1&amp;nLang=0"/>
    <n v="14"/>
    <n v="0"/>
    <n v="0"/>
    <n v="0"/>
    <n v="0"/>
    <n v="0"/>
    <n v="0"/>
    <n v="0"/>
  </r>
  <r>
    <x v="2"/>
    <x v="2"/>
    <s v="OP-S-200"/>
    <x v="277"/>
    <d v="2026-01-24T00:00:00"/>
    <n v="25"/>
    <x v="0"/>
    <n v="0"/>
    <n v="0"/>
    <n v="0"/>
    <n v="0"/>
    <n v="0"/>
    <n v="0"/>
    <n v="0"/>
    <n v="1"/>
    <n v="0"/>
    <n v="0"/>
    <n v="1"/>
    <n v="0"/>
    <s v="https://www.clickideacore.com/ClickHTML5/Visit.aspx?ID=//5EDAEwASwAzADgAMgAwADcAMgAxADMASQBEAEUAQQAB=&amp;Tipo=2&amp;ST=1&amp;nLang=0"/>
    <n v="18"/>
    <n v="0"/>
    <n v="0"/>
    <n v="0"/>
    <n v="0"/>
    <n v="0"/>
    <n v="0"/>
    <n v="0"/>
  </r>
  <r>
    <x v="4"/>
    <x v="29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3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8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7"/>
    <d v="2026-01-2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5"/>
    <x v="4"/>
    <s v="OP-S-007"/>
    <x v="278"/>
    <d v="2026-01-25T00:00:00"/>
    <n v="40"/>
    <x v="0"/>
    <n v="0"/>
    <n v="0"/>
    <n v="0"/>
    <n v="0"/>
    <n v="0"/>
    <n v="1"/>
    <n v="0"/>
    <n v="0"/>
    <n v="7"/>
    <n v="1"/>
    <n v="0"/>
    <n v="1"/>
    <s v="https://www.clickideacore.com/ClickHTML5/Visit.aspx?ID=//5ADAEwASwAzADgAMgAxADUANQAxADUASQBEAEUAQQA2=&amp;Tipo=2&amp;ST=1&amp;nLang=0"/>
    <n v="0"/>
    <n v="0"/>
    <n v="0"/>
    <n v="0"/>
    <n v="0"/>
    <n v="0"/>
    <n v="0"/>
    <n v="1"/>
  </r>
  <r>
    <x v="0"/>
    <x v="0"/>
    <s v="OP-S-007"/>
    <x v="278"/>
    <d v="2026-01-25T00:00:00"/>
    <n v="40"/>
    <x v="0"/>
    <n v="0"/>
    <n v="0"/>
    <n v="0"/>
    <n v="0"/>
    <n v="0"/>
    <n v="1"/>
    <n v="0"/>
    <n v="0"/>
    <n v="1"/>
    <n v="1"/>
    <n v="0"/>
    <n v="1"/>
    <s v="https://www.clickideacore.com/ClickHTML5/Visit.aspx?ID=//5ADAEwASwAzADgAMgAxADUANQAxADUASQBEAEUAQQA2=&amp;Tipo=2&amp;ST=1&amp;nLang=0"/>
    <n v="0"/>
    <n v="0"/>
    <n v="0"/>
    <n v="0"/>
    <n v="0"/>
    <n v="0"/>
    <n v="0"/>
    <n v="0"/>
  </r>
  <r>
    <x v="13"/>
    <x v="31"/>
    <s v="OP-S-007"/>
    <x v="278"/>
    <d v="2026-01-25T00:00:00"/>
    <n v="40"/>
    <x v="0"/>
    <n v="0"/>
    <n v="0"/>
    <n v="0"/>
    <n v="0"/>
    <n v="0"/>
    <n v="1"/>
    <n v="0"/>
    <n v="0"/>
    <n v="1"/>
    <n v="1"/>
    <n v="0"/>
    <n v="1"/>
    <s v="https://www.clickideacore.com/ClickHTML5/Visit.aspx?ID=//5ADAEwASwAzADgAMgAxADUANQAxADUASQBEAEUAQQA2=&amp;Tipo=2&amp;ST=1&amp;nLang=0"/>
    <n v="0"/>
    <n v="0"/>
    <n v="0"/>
    <n v="0"/>
    <n v="0"/>
    <n v="0"/>
    <n v="0"/>
    <n v="0"/>
  </r>
  <r>
    <x v="17"/>
    <x v="35"/>
    <s v="OP-S-007"/>
    <x v="278"/>
    <d v="2026-01-25T00:00:00"/>
    <n v="40"/>
    <x v="0"/>
    <n v="0"/>
    <n v="0"/>
    <n v="0"/>
    <n v="0"/>
    <n v="0"/>
    <n v="1"/>
    <n v="0"/>
    <n v="0"/>
    <n v="1"/>
    <n v="1"/>
    <n v="0"/>
    <n v="1"/>
    <s v="https://www.clickideacore.com/ClickHTML5/Visit.aspx?ID=//5ADAEwASwAzADgAMgAxADUANQAxADUASQBEAEUAQQA2=&amp;Tipo=2&amp;ST=1&amp;nLang=0"/>
    <n v="0"/>
    <n v="0"/>
    <n v="0"/>
    <n v="0"/>
    <n v="0"/>
    <n v="0"/>
    <n v="0"/>
    <n v="0"/>
  </r>
  <r>
    <x v="11"/>
    <x v="17"/>
    <s v="OP-SDYR-001"/>
    <x v="278"/>
    <d v="2026-01-25T00:00:00"/>
    <n v="25"/>
    <x v="0"/>
    <n v="0"/>
    <n v="0"/>
    <n v="0"/>
    <n v="0"/>
    <n v="0"/>
    <n v="1"/>
    <n v="0"/>
    <n v="0"/>
    <n v="1"/>
    <n v="2"/>
    <n v="0"/>
    <n v="1"/>
    <s v="https://www.clickideacore.com/ClickHTML5/Visit.aspx?ID=//54DAEwASwAzADgAMgAxADUAMgA3ADMASQBEAEUAQQAE=&amp;Tipo=2&amp;ST=1&amp;nLang=0"/>
    <n v="0"/>
    <n v="0"/>
    <n v="0"/>
    <n v="0"/>
    <n v="0"/>
    <n v="0"/>
    <n v="0"/>
    <n v="0"/>
  </r>
  <r>
    <x v="2"/>
    <x v="2"/>
    <s v="OP-SDYR-001"/>
    <x v="278"/>
    <d v="2026-01-25T00:00:00"/>
    <n v="25"/>
    <x v="0"/>
    <n v="0"/>
    <n v="0"/>
    <n v="0"/>
    <n v="0"/>
    <n v="0"/>
    <n v="1"/>
    <n v="0"/>
    <n v="0"/>
    <n v="1"/>
    <n v="2"/>
    <n v="0"/>
    <n v="1"/>
    <s v="https://www.clickideacore.com/ClickHTML5/Visit.aspx?ID=//54DAEwASwAzADgAMgAxADUAMgA3ADMASQBEAEUAQQAE=&amp;Tipo=2&amp;ST=1&amp;nLang=0"/>
    <n v="0"/>
    <n v="0"/>
    <n v="0"/>
    <n v="0"/>
    <n v="0"/>
    <n v="0"/>
    <n v="0"/>
    <n v="0"/>
  </r>
  <r>
    <x v="4"/>
    <x v="29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3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8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8"/>
    <d v="2026-01-2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007"/>
    <x v="279"/>
    <d v="2026-01-26T00:00:00"/>
    <n v="55"/>
    <x v="0"/>
    <n v="5"/>
    <n v="0"/>
    <n v="0"/>
    <n v="0"/>
    <n v="0"/>
    <n v="1"/>
    <n v="0"/>
    <n v="0"/>
    <n v="0"/>
    <n v="0"/>
    <n v="0"/>
    <n v="0"/>
    <s v="https://www.clickideacore.com/ClickHTML5/Visit.aspx?ID=//52DAEwASwAzADgAMgAzADgAMgA1ADkASQBEAEUAQQA5=&amp;Tipo=2&amp;ST=1&amp;nLang=0"/>
    <n v="0"/>
    <n v="0"/>
    <n v="0"/>
    <n v="0"/>
    <n v="0"/>
    <n v="0"/>
    <n v="0"/>
    <n v="0"/>
  </r>
  <r>
    <x v="1"/>
    <x v="1"/>
    <s v="OP-DYR-004"/>
    <x v="279"/>
    <d v="2026-01-26T00:00:00"/>
    <n v="19"/>
    <x v="0"/>
    <n v="12"/>
    <n v="0"/>
    <n v="0"/>
    <n v="0"/>
    <n v="0"/>
    <n v="0"/>
    <n v="0"/>
    <n v="0"/>
    <n v="0"/>
    <n v="0"/>
    <n v="0"/>
    <n v="0"/>
    <s v="https://www.clickideacore.com/ClickHTML5/Visit.aspx?ID=//5BDAEwASwAzADgAMgAzADQAOAAxADMASQBEAEUAQQA9=&amp;Tipo=2&amp;ST=1&amp;nLang=0"/>
    <n v="0"/>
    <n v="3"/>
    <n v="0"/>
    <n v="0"/>
    <n v="0"/>
    <n v="0"/>
    <n v="0"/>
    <n v="0"/>
  </r>
  <r>
    <x v="4"/>
    <x v="8"/>
    <s v="OP-DYR-005"/>
    <x v="279"/>
    <d v="2026-01-26T00:00:00"/>
    <n v="15"/>
    <x v="0"/>
    <n v="11"/>
    <n v="0"/>
    <n v="0"/>
    <n v="0"/>
    <n v="0"/>
    <n v="0"/>
    <n v="0"/>
    <n v="0"/>
    <n v="0"/>
    <n v="0"/>
    <n v="0"/>
    <n v="0"/>
    <s v="https://www.clickideacore.com/ClickHTML5/Visit.aspx?ID=//5DDAEwASwAzADgAMgAyADkAOAAxADUASQBEAEUAQQA1=&amp;Tipo=2&amp;ST=1&amp;nLang=0"/>
    <n v="0"/>
    <n v="6"/>
    <n v="0"/>
    <n v="0"/>
    <n v="0"/>
    <n v="0"/>
    <n v="0"/>
    <n v="0"/>
  </r>
  <r>
    <x v="2"/>
    <x v="2"/>
    <s v="OP-DYR-005"/>
    <x v="279"/>
    <d v="2026-01-26T00:00:00"/>
    <n v="15"/>
    <x v="0"/>
    <n v="13"/>
    <n v="0"/>
    <n v="0"/>
    <n v="0"/>
    <n v="0"/>
    <n v="0"/>
    <n v="0"/>
    <n v="0"/>
    <n v="0"/>
    <n v="0"/>
    <n v="0"/>
    <n v="0"/>
    <s v="https://www.clickideacore.com/ClickHTML5/Visit.aspx?ID=//5DDAEwASwAzADgAMgAyADkAOAAxADUASQBEAEUAQQA1=&amp;Tipo=2&amp;ST=1&amp;nLang=0"/>
    <n v="0"/>
    <n v="0"/>
    <n v="0"/>
    <n v="0"/>
    <n v="0"/>
    <n v="0"/>
    <n v="0"/>
    <n v="0"/>
  </r>
  <r>
    <x v="11"/>
    <x v="6"/>
    <s v="OP-SDYR-001"/>
    <x v="279"/>
    <d v="2026-01-26T00:00:00"/>
    <n v="23"/>
    <x v="0"/>
    <n v="0"/>
    <n v="0"/>
    <n v="0"/>
    <n v="0"/>
    <n v="0"/>
    <n v="0"/>
    <n v="0"/>
    <n v="0"/>
    <n v="0"/>
    <n v="3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3"/>
    <x v="6"/>
    <s v="OP-S-076"/>
    <x v="279"/>
    <d v="2026-01-26T00:00:00"/>
    <n v="32"/>
    <x v="0"/>
    <n v="0"/>
    <n v="0"/>
    <n v="0"/>
    <n v="0"/>
    <n v="0"/>
    <n v="0"/>
    <n v="0"/>
    <n v="0"/>
    <n v="0"/>
    <n v="1"/>
    <n v="0"/>
    <n v="0"/>
    <s v="https://www.clickideacore.com/ClickHTML5/Visit.aspx?ID=//5DDAEwASwAzADgAMgAyADIAMQA1ADgASQBEAEUAQQA0=&amp;Tipo=2&amp;ST=1&amp;nLang=0"/>
    <n v="0"/>
    <n v="0"/>
    <n v="0"/>
    <n v="0"/>
    <n v="0"/>
    <n v="0"/>
    <n v="0"/>
    <n v="0"/>
  </r>
  <r>
    <x v="5"/>
    <x v="6"/>
    <s v="OP-S-076"/>
    <x v="279"/>
    <d v="2026-01-26T00:00:00"/>
    <n v="32"/>
    <x v="0"/>
    <n v="0"/>
    <n v="0"/>
    <n v="0"/>
    <n v="0"/>
    <n v="0"/>
    <n v="0"/>
    <n v="0"/>
    <n v="0"/>
    <n v="0"/>
    <n v="1"/>
    <n v="0"/>
    <n v="0"/>
    <s v="https://www.clickideacore.com/ClickHTML5/Visit.aspx?ID=//5DDAEwASwAzADgAMgAyADIAMQA1ADgASQBEAEUAQQA0=&amp;Tipo=2&amp;ST=1&amp;nLang=0"/>
    <n v="0"/>
    <n v="0"/>
    <n v="0"/>
    <n v="0"/>
    <n v="0"/>
    <n v="0"/>
    <n v="0"/>
    <n v="0"/>
  </r>
  <r>
    <x v="9"/>
    <x v="17"/>
    <s v="OP-SDYR-001"/>
    <x v="279"/>
    <d v="2026-01-2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4"/>
    <s v="OP-SDYR-001"/>
    <x v="279"/>
    <d v="2026-01-2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35"/>
    <s v="OP-SDYR-001"/>
    <x v="279"/>
    <d v="2026-01-2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3"/>
    <s v="OP-SDYR-001"/>
    <x v="279"/>
    <d v="2026-01-2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7"/>
    <x v="29"/>
    <s v="OP-SDYR-001"/>
    <x v="279"/>
    <d v="2026-01-2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79"/>
    <d v="2026-01-2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79"/>
    <d v="2026-01-2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79"/>
    <d v="2026-01-2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100"/>
    <x v="280"/>
    <d v="2026-01-27T00:00:00"/>
    <n v="34"/>
    <x v="0"/>
    <n v="29"/>
    <n v="0"/>
    <n v="0"/>
    <n v="0"/>
    <n v="1"/>
    <n v="1"/>
    <n v="0"/>
    <n v="0"/>
    <n v="0"/>
    <n v="0"/>
    <n v="0"/>
    <n v="0"/>
    <s v="https://www.clickideacore.com/ClickHTML5/Visit.aspx?ID=//53DAEwASwAzADgAMgA1ADgAOAA3ADIASQBEAEUAQQAB=&amp;Tipo=2&amp;ST=1&amp;nLang=0"/>
    <n v="0"/>
    <n v="6"/>
    <n v="0"/>
    <n v="0"/>
    <n v="0"/>
    <n v="0"/>
    <n v="0"/>
    <n v="0"/>
  </r>
  <r>
    <x v="3"/>
    <x v="3"/>
    <s v="OP-S-076"/>
    <x v="280"/>
    <d v="2026-01-27T00:00:00"/>
    <n v="45"/>
    <x v="0"/>
    <n v="16"/>
    <n v="0"/>
    <n v="0"/>
    <n v="1"/>
    <n v="0"/>
    <n v="0"/>
    <n v="0"/>
    <n v="0"/>
    <n v="0"/>
    <n v="0"/>
    <n v="0"/>
    <n v="0"/>
    <s v="https://www.clickideacore.com/ClickHTML5/Visit.aspx?ID=//53DAEwASwAzADgAMgA1ADYAMQAzADUASQBEAEUAQQA1=&amp;Tipo=2&amp;ST=1&amp;nLang=0"/>
    <n v="0"/>
    <n v="22"/>
    <n v="0"/>
    <n v="0"/>
    <n v="0"/>
    <n v="0"/>
    <n v="0"/>
    <n v="0"/>
  </r>
  <r>
    <x v="2"/>
    <x v="2"/>
    <s v="OP-S-200"/>
    <x v="280"/>
    <d v="2026-01-27T00:00:00"/>
    <n v="19"/>
    <x v="0"/>
    <n v="36"/>
    <n v="0"/>
    <n v="0"/>
    <n v="1"/>
    <n v="0"/>
    <n v="0"/>
    <n v="0"/>
    <n v="0"/>
    <n v="0"/>
    <n v="0"/>
    <n v="0"/>
    <n v="0"/>
    <s v="https://www.clickideacore.com/ClickHTML5/Visit.aspx?ID=//5EDAEwASwAzADgAMgA1ADYANwAwADMASQBEAEUAQQA4=&amp;Tipo=2&amp;ST=1&amp;nLang=0"/>
    <n v="0"/>
    <n v="20"/>
    <n v="0"/>
    <n v="0"/>
    <n v="0"/>
    <n v="0"/>
    <n v="0"/>
    <n v="0"/>
  </r>
  <r>
    <x v="4"/>
    <x v="8"/>
    <s v="OP-S-200"/>
    <x v="280"/>
    <d v="2026-01-27T00:00:00"/>
    <n v="19"/>
    <x v="0"/>
    <n v="28"/>
    <n v="0"/>
    <n v="0"/>
    <n v="1"/>
    <n v="0"/>
    <n v="0"/>
    <n v="0"/>
    <n v="0"/>
    <n v="0"/>
    <n v="0"/>
    <n v="0"/>
    <n v="0"/>
    <s v="https://www.clickideacore.com/ClickHTML5/Visit.aspx?ID=//5EDAEwASwAzADgAMgA1ADYANwAwADMASQBEAEUAQQA4=&amp;Tipo=2&amp;ST=1&amp;nLang=0"/>
    <n v="0"/>
    <n v="32"/>
    <n v="0"/>
    <n v="0"/>
    <n v="0"/>
    <n v="0"/>
    <n v="0"/>
    <n v="0"/>
  </r>
  <r>
    <x v="11"/>
    <x v="17"/>
    <s v="OP-SDYR-001"/>
    <x v="280"/>
    <d v="2026-01-27T00:00:00"/>
    <n v="38"/>
    <x v="0"/>
    <n v="32"/>
    <n v="0"/>
    <n v="0"/>
    <n v="1"/>
    <n v="0"/>
    <n v="0"/>
    <n v="0"/>
    <n v="0"/>
    <n v="0"/>
    <n v="2"/>
    <n v="0"/>
    <n v="0"/>
    <s v="https://www.clickideacore.com/ClickHTML5/Visit.aspx?ID=//5EDAEwASwAzADgAMgA1ADQANwAxADkASQBEAEUAQQAC=&amp;Tipo=2&amp;ST=1&amp;nLang=0"/>
    <n v="0"/>
    <n v="40"/>
    <n v="2"/>
    <n v="0"/>
    <n v="0"/>
    <n v="0"/>
    <n v="0"/>
    <n v="0"/>
  </r>
  <r>
    <x v="9"/>
    <x v="35"/>
    <s v="OP-SDYR-001"/>
    <x v="280"/>
    <d v="2026-01-27T00:00:00"/>
    <n v="38"/>
    <x v="0"/>
    <n v="32"/>
    <n v="0"/>
    <n v="0"/>
    <n v="1"/>
    <n v="0"/>
    <n v="0"/>
    <n v="0"/>
    <n v="0"/>
    <n v="0"/>
    <n v="2"/>
    <n v="0"/>
    <n v="0"/>
    <s v="https://www.clickideacore.com/ClickHTML5/Visit.aspx?ID=//5EDAEwASwAzADgAMgA1ADQANwAxADkASQBEAEUAQQAC=&amp;Tipo=2&amp;ST=1&amp;nLang=0"/>
    <n v="0"/>
    <n v="40"/>
    <n v="2"/>
    <n v="0"/>
    <n v="0"/>
    <n v="0"/>
    <n v="0"/>
    <n v="0"/>
  </r>
  <r>
    <x v="17"/>
    <x v="29"/>
    <s v="OP-SDYR-001"/>
    <x v="280"/>
    <d v="2026-01-27T00:00:00"/>
    <n v="38"/>
    <x v="0"/>
    <n v="29"/>
    <n v="0"/>
    <n v="0"/>
    <n v="1"/>
    <n v="0"/>
    <n v="0"/>
    <n v="0"/>
    <n v="0"/>
    <n v="0"/>
    <n v="2"/>
    <n v="0"/>
    <n v="0"/>
    <s v="https://www.clickideacore.com/ClickHTML5/Visit.aspx?ID=//5EDAEwASwAzADgAMgA1ADQANwAxADkASQBEAEUAQQAC=&amp;Tipo=2&amp;ST=1&amp;nLang=0"/>
    <n v="0"/>
    <n v="1"/>
    <n v="0"/>
    <n v="0"/>
    <n v="0"/>
    <n v="0"/>
    <n v="0"/>
    <n v="0"/>
  </r>
  <r>
    <x v="1"/>
    <x v="1"/>
    <s v="OP-SDYR-001"/>
    <x v="280"/>
    <d v="2026-01-27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DYR-001"/>
    <x v="280"/>
    <d v="2026-01-27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0"/>
    <d v="2026-01-2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0"/>
    <d v="2026-01-27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0"/>
    <d v="2026-01-27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100"/>
    <x v="281"/>
    <d v="2026-01-28T00:00:00"/>
    <n v="66"/>
    <x v="0"/>
    <n v="42"/>
    <n v="0"/>
    <n v="0"/>
    <n v="1"/>
    <n v="0"/>
    <n v="0"/>
    <n v="0"/>
    <n v="0"/>
    <n v="0"/>
    <n v="0"/>
    <n v="0"/>
    <n v="0"/>
    <s v="https://www.clickideacore.com/ClickHTML5/Visit.aspx?ID=//54DAEwASwAzADgAMgA3ADgANwAyADkASQBEAEUAQQA6=&amp;Tipo=2&amp;ST=1&amp;nLang=0"/>
    <n v="0"/>
    <n v="0"/>
    <n v="0"/>
    <n v="0"/>
    <n v="0"/>
    <n v="0"/>
    <n v="0"/>
    <n v="0"/>
  </r>
  <r>
    <x v="23"/>
    <x v="6"/>
    <s v="OP-S-100"/>
    <x v="281"/>
    <d v="2026-01-28T00:00:00"/>
    <n v="66"/>
    <x v="0"/>
    <n v="42"/>
    <n v="0"/>
    <n v="0"/>
    <n v="1"/>
    <n v="0"/>
    <n v="0"/>
    <n v="0"/>
    <n v="0"/>
    <n v="0"/>
    <n v="0"/>
    <n v="0"/>
    <n v="0"/>
    <s v="https://www.clickideacore.com/ClickHTML5/Visit.aspx?ID=//54DAEwASwAzADgAMgA3ADgANwAyADkASQBEAEUAQQA6=&amp;Tipo=2&amp;ST=1&amp;nLang=0"/>
    <n v="0"/>
    <n v="0"/>
    <n v="0"/>
    <n v="0"/>
    <n v="0"/>
    <n v="0"/>
    <n v="0"/>
    <n v="0"/>
  </r>
  <r>
    <x v="3"/>
    <x v="3"/>
    <s v="OP-S-076"/>
    <x v="281"/>
    <d v="2026-01-28T00:00:00"/>
    <n v="47"/>
    <x v="0"/>
    <n v="35"/>
    <n v="0"/>
    <n v="0"/>
    <n v="0"/>
    <n v="1"/>
    <n v="0"/>
    <n v="0"/>
    <n v="0"/>
    <n v="0"/>
    <n v="1"/>
    <n v="0"/>
    <n v="0"/>
    <s v="https://www.clickideacore.com/ClickHTML5/Visit.aspx?ID=//51DAEwASwAzADgAMgA3ADkAMwA0ADcASQBEAEUAQQA9=&amp;Tipo=2&amp;ST=1&amp;nLang=0"/>
    <n v="0"/>
    <n v="0"/>
    <n v="0"/>
    <n v="0"/>
    <n v="0"/>
    <n v="0"/>
    <n v="0"/>
    <n v="0"/>
  </r>
  <r>
    <x v="1"/>
    <x v="1"/>
    <s v="OP-DYR-004"/>
    <x v="281"/>
    <d v="2026-01-28T00:00:00"/>
    <n v="24"/>
    <x v="0"/>
    <n v="54"/>
    <n v="0"/>
    <n v="0"/>
    <n v="1"/>
    <n v="0"/>
    <n v="1"/>
    <n v="0"/>
    <n v="0"/>
    <n v="0"/>
    <n v="0"/>
    <n v="0"/>
    <n v="0"/>
    <s v="https://www.clickideacore.com/ClickHTML5/Visit.aspx?ID=//5CDAEwASwAzADgAMgA4ADIANgA3ADkASQBEAEUAQQAF=&amp;Tipo=2&amp;ST=1&amp;nLang=0"/>
    <n v="0"/>
    <n v="0"/>
    <n v="0"/>
    <n v="0"/>
    <n v="0"/>
    <n v="0"/>
    <n v="0"/>
    <n v="0"/>
  </r>
  <r>
    <x v="2"/>
    <x v="2"/>
    <s v="OP-DYR-004"/>
    <x v="281"/>
    <d v="2026-01-28T00:00:00"/>
    <n v="24"/>
    <x v="0"/>
    <n v="40"/>
    <n v="0"/>
    <n v="0"/>
    <n v="1"/>
    <n v="0"/>
    <n v="0"/>
    <n v="0"/>
    <n v="0"/>
    <n v="0"/>
    <n v="1"/>
    <n v="0"/>
    <n v="0"/>
    <s v="https://www.clickideacore.com/ClickHTML5/Visit.aspx?ID=//5CDAEwASwAzADgAMgA4ADIANgA3ADkASQBEAEUAQQAF=&amp;Tipo=2&amp;ST=1&amp;nLang=0"/>
    <n v="0"/>
    <n v="0"/>
    <n v="0"/>
    <n v="0"/>
    <n v="0"/>
    <n v="0"/>
    <n v="0"/>
    <n v="0"/>
  </r>
  <r>
    <x v="5"/>
    <x v="4"/>
    <s v="OP-DYR-004"/>
    <x v="281"/>
    <d v="2026-01-28T00:00:00"/>
    <n v="24"/>
    <x v="0"/>
    <n v="30"/>
    <n v="0"/>
    <n v="0"/>
    <n v="1"/>
    <n v="0"/>
    <n v="0"/>
    <n v="0"/>
    <n v="0"/>
    <n v="0"/>
    <n v="0"/>
    <n v="0"/>
    <n v="0"/>
    <s v="https://www.clickideacore.com/ClickHTML5/Visit.aspx?ID=//5CDAEwASwAzADgAMgA4ADIANgA3ADkASQBEAEUAQQAF=&amp;Tipo=2&amp;ST=1&amp;nLang=0"/>
    <n v="0"/>
    <n v="0"/>
    <n v="0"/>
    <n v="0"/>
    <n v="0"/>
    <n v="0"/>
    <n v="0"/>
    <n v="0"/>
  </r>
  <r>
    <x v="9"/>
    <x v="35"/>
    <s v="OP-SDYR-001"/>
    <x v="281"/>
    <d v="2026-01-28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8"/>
    <s v="OP-SDYR-001"/>
    <x v="281"/>
    <d v="2026-01-28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1"/>
    <x v="17"/>
    <s v="OP-SDYR-001"/>
    <x v="281"/>
    <d v="2026-01-28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29"/>
    <s v="OP-SDYR-001"/>
    <x v="281"/>
    <d v="2026-01-28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1"/>
    <d v="2026-01-2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1"/>
    <d v="2026-01-2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6"/>
    <s v="OP-S-076"/>
    <x v="281"/>
    <d v="2026-01-2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1"/>
    <d v="2026-01-2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0"/>
    <s v="OP-DYR-00001"/>
    <x v="282"/>
    <d v="2026-01-29T00:00:00"/>
    <n v="41"/>
    <x v="0"/>
    <n v="26"/>
    <n v="0"/>
    <n v="0"/>
    <n v="0"/>
    <n v="1"/>
    <n v="1"/>
    <n v="0"/>
    <n v="0"/>
    <n v="0"/>
    <n v="0"/>
    <n v="0"/>
    <n v="0"/>
    <s v="https://www.clickideacore.com/ClickHTML5/Visit.aspx?ID=//55DAEwASwAzADgAMwAwADMANQA2ADIASQBEAEUAQQA4=&amp;Tipo=2&amp;ST=1&amp;nLang=0"/>
    <n v="0"/>
    <n v="0"/>
    <n v="0"/>
    <n v="0"/>
    <n v="0"/>
    <n v="0"/>
    <n v="0"/>
    <n v="0"/>
  </r>
  <r>
    <x v="3"/>
    <x v="3"/>
    <s v="OP-S-076"/>
    <x v="282"/>
    <d v="2026-01-29T00:00:00"/>
    <n v="34"/>
    <x v="0"/>
    <n v="32"/>
    <n v="0"/>
    <n v="0"/>
    <n v="1"/>
    <n v="0"/>
    <n v="0"/>
    <n v="0"/>
    <n v="0"/>
    <n v="0"/>
    <n v="0"/>
    <n v="0"/>
    <n v="0"/>
    <s v="https://www.clickideacore.com/ClickHTML5/Visit.aspx?ID=//5EDAEwASwAzADgAMwAwADIAMwA3ADEASQBEAEUAQQA8=&amp;Tipo=2&amp;ST=1&amp;nLang=0"/>
    <n v="0"/>
    <n v="19"/>
    <n v="1"/>
    <n v="0"/>
    <n v="0"/>
    <n v="0"/>
    <n v="0"/>
    <n v="0"/>
  </r>
  <r>
    <x v="1"/>
    <x v="1"/>
    <s v="OP-DYR-004"/>
    <x v="282"/>
    <d v="2026-01-29T00:00:00"/>
    <n v="24"/>
    <x v="0"/>
    <n v="36"/>
    <n v="0"/>
    <n v="0"/>
    <n v="1"/>
    <n v="0"/>
    <n v="0"/>
    <n v="0"/>
    <n v="0"/>
    <n v="0"/>
    <n v="0"/>
    <n v="0"/>
    <n v="0"/>
    <s v="https://www.clickideacore.com/ClickHTML5/Visit.aspx?ID=//5ADAEwASwAzADgAMwAwADMANgA5ADMASQBEAEUAQQA3=&amp;Tipo=2&amp;ST=1&amp;nLang=0"/>
    <n v="0"/>
    <n v="30"/>
    <n v="0"/>
    <n v="0"/>
    <n v="0"/>
    <n v="0"/>
    <n v="0"/>
    <n v="0"/>
  </r>
  <r>
    <x v="4"/>
    <x v="8"/>
    <s v="OP-DYR-005"/>
    <x v="282"/>
    <d v="2026-01-29T00:00:00"/>
    <n v="16"/>
    <x v="0"/>
    <n v="40"/>
    <n v="0"/>
    <n v="0"/>
    <n v="1"/>
    <n v="0"/>
    <n v="0"/>
    <n v="0"/>
    <n v="0"/>
    <n v="0"/>
    <n v="0"/>
    <n v="0"/>
    <n v="0"/>
    <s v="https://www.clickideacore.com/ClickHTML5/Visit.aspx?ID=//59DAEwASwAzADgAMwAwADgANgA4ADkASQBEAEUAQQAF=&amp;Tipo=2&amp;ST=1&amp;nLang=0"/>
    <n v="0"/>
    <n v="20"/>
    <n v="2"/>
    <n v="0"/>
    <n v="0"/>
    <n v="0"/>
    <n v="0"/>
    <n v="0"/>
  </r>
  <r>
    <x v="11"/>
    <x v="17"/>
    <s v="OP-SDYR-001"/>
    <x v="282"/>
    <d v="2026-01-29T00:00:00"/>
    <n v="18"/>
    <x v="0"/>
    <n v="20"/>
    <n v="0"/>
    <n v="0"/>
    <n v="1"/>
    <n v="0"/>
    <n v="0"/>
    <n v="0"/>
    <n v="0"/>
    <n v="0"/>
    <n v="0"/>
    <n v="0"/>
    <n v="0"/>
    <s v="https://www.clickideacore.com/ClickHTML5/Visit.aspx?ID=//5ADAEwASwAzADgAMgA5ADkAMAAwADAASQBEAEUAQQA0=&amp;Tipo=2&amp;ST=1&amp;nLang=0"/>
    <n v="0"/>
    <n v="24"/>
    <n v="0"/>
    <n v="0"/>
    <n v="0"/>
    <n v="0"/>
    <n v="0"/>
    <n v="0"/>
  </r>
  <r>
    <x v="5"/>
    <x v="4"/>
    <s v="OP-S-005"/>
    <x v="282"/>
    <d v="2026-01-29T00:00:00"/>
    <n v="46"/>
    <x v="0"/>
    <n v="26"/>
    <n v="0"/>
    <n v="0"/>
    <n v="1"/>
    <n v="0"/>
    <n v="0"/>
    <n v="0"/>
    <n v="0"/>
    <n v="0"/>
    <n v="0"/>
    <n v="0"/>
    <n v="0"/>
    <s v="https://www.clickideacore.com/ClickHTML5/Visit.aspx?ID=//5EDAEwASwAzADgAMwAwADcAMwAxADUASQBEAEUAQQAF=&amp;Tipo=2&amp;ST=1&amp;nLang=0"/>
    <n v="0"/>
    <n v="0"/>
    <n v="0"/>
    <n v="0"/>
    <n v="0"/>
    <n v="0"/>
    <n v="0"/>
    <n v="0"/>
  </r>
  <r>
    <x v="2"/>
    <x v="2"/>
    <s v="OP-S-076"/>
    <x v="282"/>
    <d v="2026-01-29T00:00:00"/>
    <n v="21"/>
    <x v="0"/>
    <n v="2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18"/>
    <n v="1"/>
    <n v="0"/>
    <n v="0"/>
    <n v="0"/>
    <n v="0"/>
    <n v="0"/>
  </r>
  <r>
    <x v="23"/>
    <x v="29"/>
    <s v="OP-S-076"/>
    <x v="282"/>
    <d v="2026-01-29T00:00:00"/>
    <n v="21"/>
    <x v="0"/>
    <n v="2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12"/>
    <n v="0"/>
    <n v="0"/>
    <n v="0"/>
    <n v="0"/>
    <n v="0"/>
    <n v="0"/>
  </r>
  <r>
    <x v="0"/>
    <x v="6"/>
    <s v="OP-SDYR-001"/>
    <x v="282"/>
    <d v="2026-01-29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2"/>
    <d v="2026-01-2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35"/>
    <s v="OP-S-076"/>
    <x v="282"/>
    <d v="2026-01-29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2"/>
    <d v="2026-01-29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2"/>
    <d v="2026-01-29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100"/>
    <x v="283"/>
    <d v="2026-01-30T00:00:00"/>
    <n v="21"/>
    <x v="0"/>
    <n v="26"/>
    <n v="0"/>
    <n v="0"/>
    <n v="0"/>
    <n v="1"/>
    <n v="0"/>
    <n v="0"/>
    <n v="0"/>
    <n v="0"/>
    <n v="0"/>
    <n v="0"/>
    <n v="0"/>
    <s v="https://www.clickideacore.com/ClickHTML5/Visit.aspx?ID=//53DAEwASwAzADgAMwAyADUAOAAyADgASQBEAEUAQQAB=&amp;Tipo=2&amp;ST=1&amp;nLang=0"/>
    <n v="0"/>
    <n v="32"/>
    <n v="3"/>
    <n v="0"/>
    <n v="0"/>
    <n v="0"/>
    <n v="0"/>
    <n v="0"/>
  </r>
  <r>
    <x v="2"/>
    <x v="2"/>
    <s v="OP-S-200"/>
    <x v="283"/>
    <d v="2026-01-30T00:00:00"/>
    <n v="16"/>
    <x v="0"/>
    <n v="39"/>
    <n v="0"/>
    <n v="0"/>
    <n v="1"/>
    <n v="0"/>
    <n v="0"/>
    <n v="0"/>
    <n v="0"/>
    <n v="0"/>
    <n v="0"/>
    <n v="0"/>
    <n v="0"/>
    <s v="https://www.clickideacore.com/ClickHTML5/Visit.aspx?ID=//5ADAEwASwAzADgAMwAyADgAOQAzADIASQBEAEUAQQA2=&amp;Tipo=2&amp;ST=1&amp;nLang=0"/>
    <n v="0"/>
    <n v="22"/>
    <n v="0"/>
    <n v="0"/>
    <n v="0"/>
    <n v="0"/>
    <n v="0"/>
    <n v="0"/>
  </r>
  <r>
    <x v="1"/>
    <x v="1"/>
    <s v="OP-DYR-004"/>
    <x v="283"/>
    <d v="2026-01-30T00:00:00"/>
    <n v="29"/>
    <x v="0"/>
    <n v="36"/>
    <n v="0"/>
    <n v="0"/>
    <n v="1"/>
    <n v="0"/>
    <n v="0"/>
    <n v="0"/>
    <n v="0"/>
    <n v="0"/>
    <n v="0"/>
    <n v="0"/>
    <n v="0"/>
    <s v="https://www.clickideacore.com/ClickHTML5/Visit.aspx?ID=//5EDAEwASwAzADgAMwAyADgANwAxADEASQBEAEUAQQA9=&amp;Tipo=2&amp;ST=1&amp;nLang=0"/>
    <n v="0"/>
    <n v="52"/>
    <n v="0"/>
    <n v="0"/>
    <n v="0"/>
    <n v="0"/>
    <n v="0"/>
    <n v="0"/>
  </r>
  <r>
    <x v="4"/>
    <x v="8"/>
    <s v="OP-DYR-005"/>
    <x v="283"/>
    <d v="2026-01-30T00:00:00"/>
    <n v="20"/>
    <x v="0"/>
    <n v="28"/>
    <n v="0"/>
    <n v="0"/>
    <n v="1"/>
    <n v="0"/>
    <n v="0"/>
    <n v="0"/>
    <n v="0"/>
    <n v="0"/>
    <n v="0"/>
    <n v="0"/>
    <n v="0"/>
    <s v="https://www.clickideacore.com/ClickHTML5/Visit.aspx?ID=//54DAEwASwAzADgAMwAyADQANgA2ADcASQBEAEUAQQA9=&amp;Tipo=2&amp;ST=1&amp;nLang=0"/>
    <n v="0"/>
    <n v="33"/>
    <n v="0"/>
    <n v="0"/>
    <n v="0"/>
    <n v="0"/>
    <n v="0"/>
    <n v="0"/>
  </r>
  <r>
    <x v="11"/>
    <x v="17"/>
    <s v="OP-SDYR-001"/>
    <x v="283"/>
    <d v="2026-01-30T00:00:00"/>
    <n v="16"/>
    <x v="0"/>
    <n v="42"/>
    <n v="0"/>
    <n v="0"/>
    <n v="1"/>
    <n v="0"/>
    <n v="0"/>
    <n v="0"/>
    <n v="0"/>
    <n v="0"/>
    <n v="0"/>
    <n v="0"/>
    <n v="0"/>
    <s v="https://www.clickideacore.com/ClickHTML5/Visit.aspx?ID=//5ADAEwASwAzADgAMwAyADQAMQAzADIASQBEAEUAQQAD=&amp;Tipo=2&amp;ST=1&amp;nLang=0"/>
    <n v="0"/>
    <n v="32"/>
    <n v="4"/>
    <n v="0"/>
    <n v="0"/>
    <n v="0"/>
    <n v="0"/>
    <n v="0"/>
  </r>
  <r>
    <x v="5"/>
    <x v="4"/>
    <s v="OP-S-005"/>
    <x v="283"/>
    <d v="2026-01-30T00:00:00"/>
    <n v="62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gAMwAyADQAOQAyADQASQBEAEUAQQA5=&amp;Tipo=2&amp;ST=1&amp;nLang=0"/>
    <n v="0"/>
    <n v="38"/>
    <n v="1"/>
    <n v="0"/>
    <n v="0"/>
    <n v="0"/>
    <n v="0"/>
    <n v="0"/>
  </r>
  <r>
    <x v="17"/>
    <x v="29"/>
    <s v="OP-DYR-00001"/>
    <x v="283"/>
    <d v="2026-01-30T00:00:00"/>
    <n v="36"/>
    <x v="0"/>
    <n v="3"/>
    <n v="0"/>
    <n v="0"/>
    <n v="0"/>
    <n v="0"/>
    <n v="0"/>
    <n v="0"/>
    <n v="0"/>
    <n v="0"/>
    <n v="0"/>
    <n v="0"/>
    <n v="0"/>
    <s v="https://www.clickideacore.com/ClickHTML5/Visit.aspx?ID=//5FDAEwASwAzADgAMwAxADgAOAAxADQASQBEAEUAQQA1=&amp;Tipo=2&amp;ST=1&amp;nLang=0"/>
    <n v="0"/>
    <n v="18"/>
    <n v="8"/>
    <n v="0"/>
    <n v="0"/>
    <n v="0"/>
    <n v="0"/>
    <n v="0"/>
  </r>
  <r>
    <x v="3"/>
    <x v="3"/>
    <s v="OP-SDYR-001"/>
    <x v="283"/>
    <d v="2026-01-30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3"/>
    <d v="2026-01-3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3"/>
    <d v="2026-01-3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35"/>
    <s v="OP-S-076"/>
    <x v="283"/>
    <d v="2026-01-3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3"/>
    <d v="2026-01-3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29"/>
    <s v="OP-S-100"/>
    <x v="284"/>
    <d v="2026-01-31T00:00:00"/>
    <n v="50"/>
    <x v="0"/>
    <n v="28"/>
    <n v="0"/>
    <n v="0"/>
    <n v="0"/>
    <n v="0"/>
    <n v="0"/>
    <n v="0"/>
    <n v="1"/>
    <n v="0"/>
    <n v="4"/>
    <n v="1"/>
    <n v="0"/>
    <s v="https://www.clickideacore.com/ClickHTML5/Visit.aspx?ID=//51DAEwASwAzADgAMwA0ADIAMwAxADQASQBEAEUAQQA9=&amp;Tipo=2&amp;ST=1&amp;nLang=0"/>
    <n v="0"/>
    <n v="0"/>
    <n v="0"/>
    <n v="0"/>
    <n v="0"/>
    <n v="0"/>
    <n v="0"/>
    <n v="0"/>
  </r>
  <r>
    <x v="3"/>
    <x v="3"/>
    <s v="OP-S-076"/>
    <x v="284"/>
    <d v="2026-01-31T00:00:00"/>
    <n v="41"/>
    <x v="0"/>
    <n v="22"/>
    <n v="0"/>
    <n v="0"/>
    <n v="0"/>
    <n v="0"/>
    <n v="0"/>
    <n v="0"/>
    <n v="1"/>
    <n v="0"/>
    <n v="7"/>
    <n v="1"/>
    <n v="0"/>
    <s v="https://www.clickideacore.com/ClickHTML5/Visit.aspx?ID=//57DAEwASwAzADgAMwA0ADEAOQA3ADAASQBEAEUAQQAA=&amp;Tipo=2&amp;ST=1&amp;nLang=0"/>
    <n v="23"/>
    <n v="0"/>
    <n v="0"/>
    <n v="0"/>
    <n v="0"/>
    <n v="0"/>
    <n v="1"/>
    <n v="0"/>
  </r>
  <r>
    <x v="1"/>
    <x v="1"/>
    <s v="OP-DYR-004"/>
    <x v="284"/>
    <d v="2026-01-31T00:00:00"/>
    <n v="23"/>
    <x v="0"/>
    <n v="0"/>
    <n v="0"/>
    <n v="0"/>
    <n v="0"/>
    <n v="0"/>
    <n v="0"/>
    <n v="0"/>
    <n v="1"/>
    <n v="0"/>
    <n v="0"/>
    <n v="1"/>
    <n v="0"/>
    <s v="https://www.clickideacore.com/ClickHTML5/Visit.aspx?ID=//5FDAEwASwAzADgAMwA0ADIANQAyADAASQBEAEUAQQA5=&amp;Tipo=2&amp;ST=1&amp;nLang=0"/>
    <n v="0"/>
    <n v="0"/>
    <n v="0"/>
    <n v="0"/>
    <n v="0"/>
    <n v="0"/>
    <n v="0"/>
    <n v="0"/>
  </r>
  <r>
    <x v="4"/>
    <x v="8"/>
    <s v="OP-DYR-005"/>
    <x v="284"/>
    <d v="2026-01-31T00:00:00"/>
    <n v="20"/>
    <x v="0"/>
    <n v="0"/>
    <n v="0"/>
    <n v="0"/>
    <n v="0"/>
    <n v="0"/>
    <n v="0"/>
    <n v="0"/>
    <n v="1"/>
    <n v="0"/>
    <n v="0"/>
    <n v="1"/>
    <n v="0"/>
    <s v="https://www.clickideacore.com/ClickHTML5/Visit.aspx?ID=//52DAEwASwAzADgAMwA0ADIANQA5ADAASQBEAEUAQQAB=&amp;Tipo=2&amp;ST=1&amp;nLang=0"/>
    <n v="0"/>
    <n v="0"/>
    <n v="0"/>
    <n v="0"/>
    <n v="0"/>
    <n v="0"/>
    <n v="0"/>
    <n v="0"/>
  </r>
  <r>
    <x v="11"/>
    <x v="17"/>
    <s v="OP-SDYR-001"/>
    <x v="284"/>
    <d v="2026-01-31T00:00:00"/>
    <n v="40"/>
    <x v="0"/>
    <n v="16"/>
    <n v="0"/>
    <n v="0"/>
    <n v="0"/>
    <n v="0"/>
    <n v="0"/>
    <n v="0"/>
    <n v="1"/>
    <n v="0"/>
    <n v="2"/>
    <n v="1"/>
    <n v="0"/>
    <s v="https://www.clickideacore.com/ClickHTML5/Visit.aspx?ID=//5CDAEwASwAzADgAMwA0ADEAMwA5ADYASQBEAEUAQQA6=&amp;Tipo=2&amp;ST=1&amp;nLang=0"/>
    <n v="14"/>
    <n v="0"/>
    <n v="0"/>
    <n v="0"/>
    <n v="0"/>
    <n v="0"/>
    <n v="0"/>
    <n v="0"/>
  </r>
  <r>
    <x v="5"/>
    <x v="4"/>
    <s v="OP-S-005"/>
    <x v="284"/>
    <d v="2026-01-31T00:00:00"/>
    <n v="59"/>
    <x v="0"/>
    <n v="0"/>
    <n v="0"/>
    <n v="0"/>
    <n v="0"/>
    <n v="0"/>
    <n v="0"/>
    <n v="0"/>
    <n v="1"/>
    <n v="0"/>
    <n v="3"/>
    <n v="1"/>
    <n v="0"/>
    <s v="https://www.clickideacore.com/ClickHTML5/Visit.aspx?ID=//50DAEwASwAzADgAMwA1ADEANgAwADQASQBEAEUAQQAE=&amp;Tipo=2&amp;ST=1&amp;nLang=0"/>
    <n v="18"/>
    <n v="0"/>
    <n v="0"/>
    <n v="0"/>
    <n v="0"/>
    <n v="0"/>
    <n v="0"/>
    <n v="0"/>
  </r>
  <r>
    <x v="2"/>
    <x v="2"/>
    <s v="OP-S-200"/>
    <x v="284"/>
    <d v="2026-01-31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-200"/>
    <x v="284"/>
    <d v="2026-01-31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100"/>
    <x v="284"/>
    <d v="2026-01-31T00:00:00"/>
    <n v="34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35"/>
    <s v="OP-SDYR-001"/>
    <x v="284"/>
    <d v="2026-01-31T00:00:00"/>
    <n v="37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84"/>
    <d v="2026-01-3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4"/>
    <d v="2026-01-31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4"/>
    <d v="2026-01-31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29"/>
    <s v="OP-S-100"/>
    <x v="285"/>
    <d v="2026-02-01T00:00:00"/>
    <n v="82"/>
    <x v="0"/>
    <n v="0"/>
    <n v="0"/>
    <n v="0"/>
    <n v="0"/>
    <n v="0"/>
    <n v="0"/>
    <n v="0"/>
    <n v="0"/>
    <n v="1"/>
    <n v="9"/>
    <n v="0"/>
    <n v="1"/>
    <s v="https://www.clickideacore.com/ClickHTML5/Visit.aspx?ID=//56DAEwASwAzADgAMwA1ADEAMgA0ADUASQBEAEUAQQAB=&amp;Tipo=2&amp;ST=1&amp;nLang=0"/>
    <n v="20"/>
    <n v="0"/>
    <n v="0"/>
    <n v="0"/>
    <n v="0"/>
    <n v="0"/>
    <n v="0"/>
    <n v="1"/>
  </r>
  <r>
    <x v="3"/>
    <x v="3"/>
    <s v="OP-S-076"/>
    <x v="285"/>
    <d v="2026-02-01T00:00:00"/>
    <n v="40"/>
    <x v="0"/>
    <n v="0"/>
    <n v="0"/>
    <n v="0"/>
    <n v="0"/>
    <n v="0"/>
    <n v="0"/>
    <n v="0"/>
    <n v="0"/>
    <n v="1"/>
    <n v="3"/>
    <n v="0"/>
    <n v="1"/>
    <s v="https://www.clickideacore.com/ClickHTML5/Visit.aspx?ID=//53DAEwASwAzADgAMwA1ADAANQA2ADAASQBEAEUAQQA3=&amp;Tipo=2&amp;ST=1&amp;nLang=0"/>
    <n v="16"/>
    <n v="0"/>
    <n v="0"/>
    <n v="0"/>
    <n v="0"/>
    <n v="0"/>
    <n v="0"/>
    <n v="0"/>
  </r>
  <r>
    <x v="1"/>
    <x v="1"/>
    <s v="OP-DYR-004"/>
    <x v="285"/>
    <d v="2026-02-01T00:00:00"/>
    <n v="22"/>
    <x v="0"/>
    <n v="0"/>
    <n v="0"/>
    <n v="0"/>
    <n v="0"/>
    <n v="0"/>
    <n v="0"/>
    <n v="0"/>
    <n v="0"/>
    <n v="1"/>
    <n v="3"/>
    <n v="0"/>
    <n v="1"/>
    <s v="https://www.clickideacore.com/ClickHTML5/Visit.aspx?ID=//56DAEwASwAzADgAMwA1ADAANwAzADUASQBEAEUAQQAC=&amp;Tipo=2&amp;ST=1&amp;nLang=0"/>
    <n v="0"/>
    <n v="0"/>
    <n v="0"/>
    <n v="0"/>
    <n v="0"/>
    <n v="0"/>
    <n v="0"/>
    <n v="0"/>
  </r>
  <r>
    <x v="4"/>
    <x v="8"/>
    <s v="OP-DYR-005"/>
    <x v="285"/>
    <d v="2026-02-01T00:00:00"/>
    <n v="102"/>
    <x v="0"/>
    <n v="0"/>
    <n v="0"/>
    <n v="0"/>
    <n v="0"/>
    <n v="0"/>
    <n v="0"/>
    <n v="0"/>
    <n v="0"/>
    <n v="1"/>
    <n v="3"/>
    <n v="0"/>
    <n v="1"/>
    <s v="https://www.clickideacore.com/ClickHTML5/Visit.aspx?ID=//57DAEwASwAzADgAMwA1ADEAMQAyADkASQBEAEUAQQA7=&amp;Tipo=2&amp;ST=1&amp;nLang=0"/>
    <n v="0"/>
    <n v="0"/>
    <n v="0"/>
    <n v="0"/>
    <n v="0"/>
    <n v="0"/>
    <n v="0"/>
    <n v="0"/>
  </r>
  <r>
    <x v="11"/>
    <x v="17"/>
    <s v="OP-SDYR-001"/>
    <x v="285"/>
    <d v="2026-02-01T00:00:00"/>
    <n v="21"/>
    <x v="0"/>
    <n v="0"/>
    <n v="0"/>
    <n v="0"/>
    <n v="0"/>
    <n v="0"/>
    <n v="0"/>
    <n v="0"/>
    <n v="0"/>
    <n v="1"/>
    <n v="3"/>
    <n v="0"/>
    <n v="1"/>
    <s v="https://www.clickideacore.com/ClickHTML5/Visit.aspx?ID=//55DAEwASwAzADgAMwA1ADAANgA4ADkASQBEAEUAQQA9=&amp;Tipo=2&amp;ST=1&amp;nLang=0"/>
    <n v="18"/>
    <n v="0"/>
    <n v="0"/>
    <n v="0"/>
    <n v="0"/>
    <n v="0"/>
    <n v="0"/>
    <n v="0"/>
  </r>
  <r>
    <x v="5"/>
    <x v="4"/>
    <s v="OP-S-005"/>
    <x v="285"/>
    <d v="2026-02-01T00:00:00"/>
    <n v="59"/>
    <x v="0"/>
    <n v="0"/>
    <n v="0"/>
    <n v="0"/>
    <n v="0"/>
    <n v="0"/>
    <n v="0"/>
    <n v="0"/>
    <n v="0"/>
    <n v="1"/>
    <n v="3"/>
    <n v="0"/>
    <n v="1"/>
    <s v="https://www.clickideacore.com/ClickHTML5/Visit.aspx?ID=//50DAEwASwAzADgAMwA1ADEANgAwADQASQBEAEUAQQAE=&amp;Tipo=2&amp;ST=1&amp;nLang=0"/>
    <n v="15"/>
    <n v="0"/>
    <n v="0"/>
    <n v="0"/>
    <n v="0"/>
    <n v="0"/>
    <n v="0"/>
    <n v="0"/>
  </r>
  <r>
    <x v="2"/>
    <x v="2"/>
    <s v="OP-S-200"/>
    <x v="285"/>
    <d v="2026-02-01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-200"/>
    <x v="285"/>
    <d v="2026-02-01T00:00:00"/>
    <n v="3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100"/>
    <x v="285"/>
    <d v="2026-02-01T00:00:00"/>
    <n v="34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35"/>
    <s v="OP-SDYR-001"/>
    <x v="285"/>
    <d v="2026-02-01T00:00:00"/>
    <n v="37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85"/>
    <d v="2026-02-0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5"/>
    <d v="2026-02-01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5"/>
    <d v="2026-02-01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86"/>
    <d v="2026-02-02T00:00:00"/>
    <n v="14"/>
    <x v="0"/>
    <n v="0"/>
    <n v="0"/>
    <n v="0"/>
    <n v="0"/>
    <n v="0"/>
    <n v="0"/>
    <n v="0"/>
    <n v="0"/>
    <n v="0"/>
    <n v="0"/>
    <n v="0"/>
    <n v="0"/>
    <s v="https://www.clickideacore.com/ClickHTML5/Visit.aspx?ID=//5BDAEwASwAzADgAMwA2ADEAOAAxADYASQBEAEUAQQA8=&amp;Tipo=2&amp;ST=1&amp;nLang=0"/>
    <n v="0"/>
    <n v="22"/>
    <n v="0"/>
    <n v="0"/>
    <n v="0"/>
    <n v="0"/>
    <n v="0"/>
    <n v="0"/>
  </r>
  <r>
    <x v="1"/>
    <x v="1"/>
    <s v="OP-DYR-004"/>
    <x v="286"/>
    <d v="2026-02-02T00:00:00"/>
    <n v="28"/>
    <x v="0"/>
    <n v="0"/>
    <n v="0"/>
    <n v="0"/>
    <n v="0"/>
    <n v="0"/>
    <n v="0"/>
    <n v="0"/>
    <n v="0"/>
    <n v="0"/>
    <n v="0"/>
    <n v="0"/>
    <n v="0"/>
    <s v="https://www.clickideacore.com/ClickHTML5/Visit.aspx?ID=//57DAEwASwAzADgAMwA2ADcANQA5ADUASQBEAEUAQQAE=&amp;Tipo=2&amp;ST=1&amp;nLang=0"/>
    <n v="0"/>
    <n v="22"/>
    <n v="0"/>
    <n v="0"/>
    <n v="0"/>
    <n v="0"/>
    <n v="0"/>
    <n v="0"/>
  </r>
  <r>
    <x v="11"/>
    <x v="17"/>
    <s v="OP-SDYR-001"/>
    <x v="286"/>
    <d v="2026-02-02T00:00:00"/>
    <n v="22"/>
    <x v="0"/>
    <n v="10"/>
    <n v="0"/>
    <n v="0"/>
    <n v="0"/>
    <n v="0"/>
    <n v="0"/>
    <n v="0"/>
    <n v="0"/>
    <n v="0"/>
    <n v="0"/>
    <n v="0"/>
    <n v="0"/>
    <s v="https://www.clickideacore.com/ClickHTML5/Visit.aspx?ID=//5EDAEwASwAzADgAMwA2ADcAOAA5ADMASQBEAEUAQQAC=&amp;Tipo=2&amp;ST=1&amp;nLang=0"/>
    <n v="0"/>
    <n v="19"/>
    <n v="0"/>
    <n v="0"/>
    <n v="0"/>
    <n v="0"/>
    <n v="0"/>
    <n v="0"/>
  </r>
  <r>
    <x v="23"/>
    <x v="35"/>
    <s v="OP-DYR-00001"/>
    <x v="286"/>
    <d v="2026-02-02T00:00:00"/>
    <n v="31"/>
    <x v="0"/>
    <n v="27"/>
    <n v="0"/>
    <n v="0"/>
    <n v="0"/>
    <n v="0"/>
    <n v="0"/>
    <n v="0"/>
    <n v="0"/>
    <n v="0"/>
    <n v="0"/>
    <n v="0"/>
    <n v="0"/>
    <s v="https://www.clickideacore.com/ClickHTML5/Visit.aspx?ID=//5FDAEwASwAzADgAMwA2ADMAMAA0ADkASQBEAEUAQQA5=&amp;Tipo=2&amp;ST=1&amp;nLang=0"/>
    <n v="0"/>
    <n v="0"/>
    <n v="0"/>
    <n v="0"/>
    <n v="0"/>
    <n v="0"/>
    <n v="0"/>
    <n v="0"/>
  </r>
  <r>
    <x v="3"/>
    <x v="3"/>
    <s v="OP-S-076"/>
    <x v="286"/>
    <d v="2026-02-02T00:00:00"/>
    <n v="33"/>
    <x v="0"/>
    <n v="5"/>
    <n v="0"/>
    <n v="0"/>
    <n v="0"/>
    <n v="0"/>
    <n v="0"/>
    <n v="0"/>
    <n v="0"/>
    <n v="0"/>
    <n v="0"/>
    <n v="0"/>
    <n v="0"/>
    <s v="https://www.clickideacore.com/ClickHTML5/Visit.aspx?ID=//52DAEwASwAzADgAMwA1ADkAOQAxADcASQBEAEUAQQAA=&amp;Tipo=2&amp;ST=1&amp;nLang=0"/>
    <n v="0"/>
    <n v="4"/>
    <n v="0"/>
    <n v="0"/>
    <n v="0"/>
    <n v="0"/>
    <n v="0"/>
    <n v="0"/>
  </r>
  <r>
    <x v="5"/>
    <x v="4"/>
    <s v="OP-SDYR-001"/>
    <x v="286"/>
    <d v="2026-02-02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7"/>
    <x v="29"/>
    <s v="OP-DYR-00001"/>
    <x v="286"/>
    <d v="2026-02-02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FDAEwASwAzADgAMwA2ADMAMAA0ADkASQBEAEUAQQA5=&amp;Tipo=2&amp;ST=1&amp;nLang=0"/>
    <n v="0"/>
    <n v="27"/>
    <n v="6"/>
    <n v="0"/>
    <n v="0"/>
    <n v="0"/>
    <n v="0"/>
    <n v="0"/>
  </r>
  <r>
    <x v="9"/>
    <x v="2"/>
    <s v="OP-DYR-00001"/>
    <x v="286"/>
    <d v="2026-02-02T00:00:00"/>
    <n v="31"/>
    <x v="0"/>
    <n v="0"/>
    <n v="0"/>
    <n v="0"/>
    <n v="0"/>
    <n v="0"/>
    <n v="0"/>
    <n v="0"/>
    <n v="0"/>
    <n v="0"/>
    <n v="0"/>
    <n v="0"/>
    <n v="0"/>
    <s v="https://www.clickideacore.com/ClickHTML5/Visit.aspx?ID=//5FDAEwASwAzADgAMwA2ADMAMAA0ADkASQBEAEUAQQA5=&amp;Tipo=2&amp;ST=1&amp;nLang=0"/>
    <n v="0"/>
    <n v="27"/>
    <n v="6"/>
    <n v="0"/>
    <n v="0"/>
    <n v="0"/>
    <n v="0"/>
    <n v="0"/>
  </r>
  <r>
    <x v="2"/>
    <x v="6"/>
    <s v="OP-SDYR-001"/>
    <x v="286"/>
    <d v="2026-02-02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0"/>
    <x v="0"/>
    <s v="OP-SDYR-001"/>
    <x v="286"/>
    <d v="2026-02-02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6"/>
    <d v="2026-02-0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6"/>
    <d v="2026-02-0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6"/>
    <d v="2026-02-0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87"/>
    <d v="2026-02-03T00:00:00"/>
    <n v="23"/>
    <x v="0"/>
    <n v="20"/>
    <n v="0"/>
    <n v="0"/>
    <n v="0"/>
    <n v="1"/>
    <n v="0"/>
    <n v="0"/>
    <n v="0"/>
    <n v="0"/>
    <n v="0"/>
    <n v="0"/>
    <n v="0"/>
    <s v="https://www.clickideacore.com/ClickHTML5/Visit.aspx?ID=//52DAEwASwAzADgAMwA5ADYANgAzADcASQBEAEUAQQA3=&amp;Tipo=2&amp;ST=1&amp;nLang=0"/>
    <n v="0"/>
    <n v="0"/>
    <n v="0"/>
    <n v="0"/>
    <n v="0"/>
    <n v="0"/>
    <n v="0"/>
    <n v="0"/>
  </r>
  <r>
    <x v="23"/>
    <x v="29"/>
    <s v="OP-DYR-004"/>
    <x v="287"/>
    <d v="2026-02-03T00:00:00"/>
    <n v="23"/>
    <x v="0"/>
    <n v="16"/>
    <n v="0"/>
    <n v="0"/>
    <n v="1"/>
    <n v="0"/>
    <n v="0"/>
    <n v="0"/>
    <n v="0"/>
    <n v="0"/>
    <n v="0"/>
    <n v="0"/>
    <n v="0"/>
    <s v="https://www.clickideacore.com/ClickHTML5/Visit.aspx?ID=//52DAEwASwAzADgAMwA5ADYANgAzADcASQBEAEUAQQA3=&amp;Tipo=2&amp;ST=1&amp;nLang=0"/>
    <n v="0"/>
    <n v="0"/>
    <n v="0"/>
    <n v="0"/>
    <n v="0"/>
    <n v="0"/>
    <n v="0"/>
    <n v="0"/>
  </r>
  <r>
    <x v="0"/>
    <x v="0"/>
    <s v="OP-S-100"/>
    <x v="287"/>
    <d v="2026-02-03T00:00:00"/>
    <n v="47"/>
    <x v="0"/>
    <n v="45"/>
    <n v="0"/>
    <n v="0"/>
    <n v="1"/>
    <n v="0"/>
    <n v="1"/>
    <n v="0"/>
    <n v="0"/>
    <n v="0"/>
    <n v="0"/>
    <n v="0"/>
    <n v="0"/>
    <s v="https://www.clickideacore.com/ClickHTML5/Visit.aspx?ID=//5ADAEwASwAzADgAMwA4ADUAOAAwADAASQBEAEUAQQA8=&amp;Tipo=2&amp;ST=1&amp;nLang=0"/>
    <n v="0"/>
    <n v="0"/>
    <n v="1"/>
    <n v="0"/>
    <n v="0"/>
    <n v="0"/>
    <n v="0"/>
    <n v="0"/>
  </r>
  <r>
    <x v="4"/>
    <x v="8"/>
    <s v="OP-DYR-005"/>
    <x v="287"/>
    <d v="2026-02-03T00:00:00"/>
    <n v="26"/>
    <x v="0"/>
    <n v="28"/>
    <n v="0"/>
    <n v="0"/>
    <n v="1"/>
    <n v="0"/>
    <n v="0"/>
    <n v="0"/>
    <n v="0"/>
    <n v="0"/>
    <n v="0"/>
    <n v="0"/>
    <n v="0"/>
    <s v="https://www.clickideacore.com/ClickHTML5/Visit.aspx?ID=//50DAEwASwAzADgAMwA5ADAAOAA0ADIASQBEAEUAQQAB=&amp;Tipo=2&amp;ST=1&amp;nLang=0"/>
    <n v="0"/>
    <n v="0"/>
    <n v="0"/>
    <n v="0"/>
    <n v="0"/>
    <n v="0"/>
    <n v="0"/>
    <n v="0"/>
  </r>
  <r>
    <x v="11"/>
    <x v="17"/>
    <s v="OP-SDYR-001"/>
    <x v="287"/>
    <d v="2026-02-03T00:00:00"/>
    <n v="32"/>
    <x v="0"/>
    <n v="35"/>
    <n v="0"/>
    <n v="0"/>
    <n v="1"/>
    <n v="0"/>
    <n v="1"/>
    <n v="0"/>
    <n v="0"/>
    <n v="0"/>
    <n v="0"/>
    <n v="0"/>
    <n v="0"/>
    <s v="https://www.clickideacore.com/ClickHTML5/Visit.aspx?ID=//5CDAEwASwAzADgAMwA5ADEAMQAxADcASQBEAEUAQQA8=&amp;Tipo=2&amp;ST=1&amp;nLang=0"/>
    <n v="0"/>
    <n v="0"/>
    <n v="0"/>
    <n v="0"/>
    <n v="0"/>
    <n v="0"/>
    <n v="0"/>
    <n v="0"/>
  </r>
  <r>
    <x v="3"/>
    <x v="3"/>
    <s v="OP-S-076"/>
    <x v="287"/>
    <d v="2026-02-03T00:00:00"/>
    <n v="47"/>
    <x v="0"/>
    <n v="36"/>
    <n v="0"/>
    <n v="0"/>
    <n v="1"/>
    <n v="0"/>
    <n v="0"/>
    <n v="0"/>
    <n v="0"/>
    <n v="0"/>
    <n v="0"/>
    <n v="0"/>
    <n v="0"/>
    <s v="https://www.clickideacore.com/ClickHTML5/Visit.aspx?ID=//57DAEwASwAzADgAMwA5ADAAMwA5ADMASQBEAEUAQQA5=&amp;Tipo=2&amp;ST=1&amp;nLang=0"/>
    <n v="0"/>
    <n v="0"/>
    <n v="0"/>
    <n v="0"/>
    <n v="0"/>
    <n v="0"/>
    <n v="0"/>
    <n v="0"/>
  </r>
  <r>
    <x v="5"/>
    <x v="4"/>
    <s v="OP-SDYR-001"/>
    <x v="287"/>
    <d v="2026-02-03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7"/>
    <x v="35"/>
    <s v="OP-SDYR-001"/>
    <x v="287"/>
    <d v="2026-02-03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"/>
    <x v="2"/>
    <s v="OP-SDYR-001"/>
    <x v="287"/>
    <d v="2026-02-03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7"/>
    <d v="2026-02-0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7"/>
    <d v="2026-02-0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7"/>
    <d v="2026-02-0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200"/>
    <x v="288"/>
    <d v="2026-02-04T00:00:00"/>
    <n v="33"/>
    <x v="0"/>
    <n v="40"/>
    <n v="0"/>
    <n v="0"/>
    <n v="1"/>
    <n v="0"/>
    <n v="0"/>
    <n v="0"/>
    <n v="0"/>
    <n v="0"/>
    <n v="0"/>
    <n v="0"/>
    <n v="0"/>
    <s v="https://www.clickideacore.com/ClickHTML5/Visit.aspx?ID=//5BDAEwASwAzADgANAAxADIAMQA0ADMASQBEAEUAQQA7=&amp;Tipo=2&amp;ST=1&amp;nLang=0"/>
    <n v="0"/>
    <n v="5"/>
    <n v="0"/>
    <n v="0"/>
    <n v="0"/>
    <n v="0"/>
    <n v="0"/>
    <n v="0"/>
  </r>
  <r>
    <x v="23"/>
    <x v="29"/>
    <s v="OP-S-200"/>
    <x v="288"/>
    <d v="2026-02-04T00:00:00"/>
    <n v="33"/>
    <x v="0"/>
    <n v="28"/>
    <n v="0"/>
    <n v="0"/>
    <n v="0"/>
    <n v="1"/>
    <n v="0"/>
    <n v="0"/>
    <n v="0"/>
    <n v="0"/>
    <n v="0"/>
    <n v="0"/>
    <n v="0"/>
    <s v="https://www.clickideacore.com/ClickHTML5/Visit.aspx?ID=//5BDAEwASwAzADgANAAxADIAMQA0ADMASQBEAEUAQQA7=&amp;Tipo=2&amp;ST=1&amp;nLang=0"/>
    <n v="0"/>
    <n v="0"/>
    <n v="0"/>
    <n v="0"/>
    <n v="0"/>
    <n v="0"/>
    <n v="0"/>
    <n v="0"/>
  </r>
  <r>
    <x v="3"/>
    <x v="3"/>
    <s v="OP-S-076"/>
    <x v="288"/>
    <d v="2026-02-04T00:00:00"/>
    <n v="27"/>
    <x v="0"/>
    <n v="42"/>
    <n v="0"/>
    <n v="0"/>
    <n v="1"/>
    <n v="0"/>
    <n v="0"/>
    <n v="0"/>
    <n v="0"/>
    <n v="0"/>
    <n v="0"/>
    <n v="0"/>
    <n v="0"/>
    <s v="https://www.clickideacore.com/ClickHTML5/Visit.aspx?ID=//52DAEwASwAzADgANAAxADQAMwAxADMASQBEAEUAQQAF=&amp;Tipo=2&amp;ST=1&amp;nLang=0"/>
    <n v="0"/>
    <n v="0"/>
    <n v="0"/>
    <n v="0"/>
    <n v="0"/>
    <n v="0"/>
    <n v="0"/>
    <n v="0"/>
  </r>
  <r>
    <x v="5"/>
    <x v="4"/>
    <s v="OP-S-076"/>
    <x v="288"/>
    <d v="2026-02-04T00:00:00"/>
    <n v="27"/>
    <x v="0"/>
    <n v="47"/>
    <n v="0"/>
    <n v="0"/>
    <n v="1"/>
    <n v="0"/>
    <n v="0"/>
    <n v="0"/>
    <n v="0"/>
    <n v="0"/>
    <n v="0"/>
    <n v="0"/>
    <n v="0"/>
    <s v="https://www.clickideacore.com/ClickHTML5/Visit.aspx?ID=//52DAEwASwAzADgANAAxADQAMwAxADMASQBEAEUAQQAF=&amp;Tipo=2&amp;ST=1&amp;nLang=0"/>
    <n v="0"/>
    <n v="0"/>
    <n v="1"/>
    <n v="0"/>
    <n v="0"/>
    <n v="0"/>
    <n v="0"/>
    <n v="0"/>
  </r>
  <r>
    <x v="17"/>
    <x v="6"/>
    <s v="OP-DYR-00001"/>
    <x v="288"/>
    <d v="2026-02-04T00:00:00"/>
    <n v="61"/>
    <x v="0"/>
    <n v="28"/>
    <n v="0"/>
    <n v="0"/>
    <n v="1"/>
    <n v="0"/>
    <n v="0"/>
    <n v="0"/>
    <n v="0"/>
    <n v="0"/>
    <n v="0"/>
    <n v="0"/>
    <n v="0"/>
    <s v="https://www.clickideacore.com/ClickHTML5/Visit.aspx?ID=//58DAEwASwAzADgANAAxADUAMAA2ADkASQBEAEUAQQA8=&amp;Tipo=2&amp;ST=1&amp;nLang=0"/>
    <n v="0"/>
    <n v="5"/>
    <n v="0"/>
    <n v="0"/>
    <n v="0"/>
    <n v="0"/>
    <n v="0"/>
    <n v="0"/>
  </r>
  <r>
    <x v="9"/>
    <x v="35"/>
    <s v="OP-DYR-00001"/>
    <x v="288"/>
    <d v="2026-02-04T00:00:00"/>
    <n v="61"/>
    <x v="0"/>
    <n v="16"/>
    <n v="0"/>
    <n v="0"/>
    <n v="1"/>
    <n v="0"/>
    <n v="0"/>
    <n v="0"/>
    <n v="0"/>
    <n v="0"/>
    <n v="0"/>
    <n v="0"/>
    <n v="0"/>
    <s v="https://www.clickideacore.com/ClickHTML5/Visit.aspx?ID=//58DAEwASwAzADgANAAxADUAMAA2ADkASQBEAEUAQQA8=&amp;Tipo=2&amp;ST=1&amp;nLang=0"/>
    <n v="0"/>
    <n v="0"/>
    <n v="0"/>
    <n v="0"/>
    <n v="0"/>
    <n v="0"/>
    <n v="0"/>
    <n v="0"/>
  </r>
  <r>
    <x v="4"/>
    <x v="8"/>
    <s v="OP-SDYR-001"/>
    <x v="288"/>
    <d v="2026-02-04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"/>
    <x v="1"/>
    <s v="OP-SDYR-001"/>
    <x v="288"/>
    <d v="2026-02-04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0"/>
    <x v="0"/>
    <s v="OP-SDYR-001"/>
    <x v="288"/>
    <d v="2026-02-04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1"/>
    <x v="17"/>
    <s v="OP-SDYR-001"/>
    <x v="288"/>
    <d v="2026-02-04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8"/>
    <d v="2026-02-04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8"/>
    <d v="2026-02-04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8"/>
    <d v="2026-02-04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200"/>
    <x v="289"/>
    <d v="2026-02-05T00:00:00"/>
    <n v="19"/>
    <x v="0"/>
    <n v="24"/>
    <n v="0"/>
    <n v="1"/>
    <n v="0"/>
    <n v="1"/>
    <n v="0"/>
    <n v="0"/>
    <n v="0"/>
    <n v="0"/>
    <n v="0"/>
    <n v="0"/>
    <n v="0"/>
    <s v="https://www.clickideacore.com/ClickHTML5/Visit.aspx?ID=//5FDAEwASwAzADgANAA0ADIAOAA2ADQASQBEAEUAQQA4=&amp;Tipo=2&amp;ST=1&amp;nLang=0"/>
    <n v="0"/>
    <n v="44"/>
    <n v="0"/>
    <n v="0"/>
    <n v="0"/>
    <n v="0"/>
    <n v="0"/>
    <n v="0"/>
  </r>
  <r>
    <x v="1"/>
    <x v="1"/>
    <s v="OP-DYR-004"/>
    <x v="289"/>
    <d v="2026-02-05T00:00:00"/>
    <n v="41"/>
    <x v="0"/>
    <n v="35"/>
    <n v="0"/>
    <n v="1"/>
    <n v="1"/>
    <n v="0"/>
    <n v="0"/>
    <n v="0"/>
    <n v="0"/>
    <n v="0"/>
    <n v="0"/>
    <n v="0"/>
    <n v="0"/>
    <s v="https://www.clickideacore.com/ClickHTML5/Visit.aspx?ID=//59DAEwASwAzADgANAA0ADQANwA4ADkASQBEAEUAQQA5=&amp;Tipo=2&amp;ST=1&amp;nLang=0"/>
    <n v="0"/>
    <n v="44"/>
    <n v="0"/>
    <n v="0"/>
    <n v="0"/>
    <n v="0"/>
    <n v="0"/>
    <n v="0"/>
  </r>
  <r>
    <x v="0"/>
    <x v="0"/>
    <s v="OP-S-100"/>
    <x v="289"/>
    <d v="2026-02-05T00:00:00"/>
    <n v="36"/>
    <x v="0"/>
    <n v="37"/>
    <n v="0"/>
    <n v="1"/>
    <n v="1"/>
    <n v="0"/>
    <n v="0"/>
    <n v="0"/>
    <n v="0"/>
    <n v="0"/>
    <n v="0"/>
    <n v="0"/>
    <n v="0"/>
    <s v="https://www.clickideacore.com/ClickHTML5/Visit.aspx?ID=//58DAEwASwAzADgANAAzADkAOAAyADMASQBEAEUAQQA9=&amp;Tipo=2&amp;ST=1&amp;nLang=0"/>
    <n v="0"/>
    <n v="60"/>
    <n v="0"/>
    <n v="0"/>
    <n v="0"/>
    <n v="0"/>
    <n v="0"/>
    <n v="0"/>
  </r>
  <r>
    <x v="5"/>
    <x v="4"/>
    <s v="OP-S-005"/>
    <x v="289"/>
    <d v="2026-02-05T00:00:00"/>
    <n v="62"/>
    <x v="0"/>
    <n v="40"/>
    <n v="0"/>
    <n v="1"/>
    <n v="1"/>
    <n v="0"/>
    <n v="0"/>
    <n v="0"/>
    <n v="0"/>
    <n v="0"/>
    <n v="0"/>
    <n v="0"/>
    <n v="0"/>
    <s v="https://www.clickideacore.com/ClickHTML5/Visit.aspx?ID=//5DDAEwASwAzADgANAA0ADMANgAzADYASQBEAEUAQQA7=&amp;Tipo=2&amp;ST=1&amp;nLang=0"/>
    <n v="0"/>
    <n v="40"/>
    <n v="0"/>
    <n v="0"/>
    <n v="0"/>
    <n v="0"/>
    <n v="0"/>
    <n v="0"/>
  </r>
  <r>
    <x v="11"/>
    <x v="17"/>
    <s v="OP-SDYR-001"/>
    <x v="289"/>
    <d v="2026-02-05T00:00:00"/>
    <n v="14"/>
    <x v="0"/>
    <n v="20"/>
    <n v="0"/>
    <n v="0"/>
    <n v="1"/>
    <n v="0"/>
    <n v="0"/>
    <n v="0"/>
    <n v="0"/>
    <n v="0"/>
    <n v="0"/>
    <n v="0"/>
    <n v="0"/>
    <s v="https://www.clickideacore.com/ClickHTML5/Visit.aspx?ID=//5FDAEwASwAzADgANAAzADkAMAAyADQASQBEAEUAQQA0=&amp;Tipo=2&amp;ST=1&amp;nLang=0"/>
    <n v="0"/>
    <n v="22"/>
    <n v="0"/>
    <n v="0"/>
    <n v="0"/>
    <n v="0"/>
    <n v="0"/>
    <n v="0"/>
  </r>
  <r>
    <x v="17"/>
    <x v="35"/>
    <s v="OP-DYR-00001"/>
    <x v="289"/>
    <d v="2026-02-05T00:00:00"/>
    <n v="131"/>
    <x v="0"/>
    <n v="23"/>
    <n v="0"/>
    <n v="0"/>
    <n v="1"/>
    <n v="0"/>
    <n v="0"/>
    <n v="0"/>
    <n v="0"/>
    <n v="0"/>
    <n v="0"/>
    <n v="0"/>
    <n v="0"/>
    <s v="https://www.clickideacore.com/ClickHTML5/Visit.aspx?ID=//51DAEwASwAzADgANAA0ADAAMAA1ADQASQBEAEUAQQA7=&amp;Tipo=2&amp;ST=1&amp;nLang=0"/>
    <n v="0"/>
    <n v="20"/>
    <n v="0"/>
    <n v="0"/>
    <n v="0"/>
    <n v="0"/>
    <n v="0"/>
    <n v="0"/>
  </r>
  <r>
    <x v="3"/>
    <x v="3"/>
    <s v="OP-S-076"/>
    <x v="289"/>
    <d v="2026-02-05T00:00:00"/>
    <n v="54"/>
    <x v="0"/>
    <n v="0"/>
    <n v="0"/>
    <n v="0"/>
    <n v="0"/>
    <n v="0"/>
    <n v="0"/>
    <n v="0"/>
    <n v="0"/>
    <n v="0"/>
    <n v="0"/>
    <n v="0"/>
    <n v="0"/>
    <s v="https://www.clickideacore.com/ClickHTML5/Visit.aspx?ID=//53DAEwASwAzADgANAAzADUAOAA4ADgASQBEAEUAQQA9=&amp;Tipo=2&amp;ST=1&amp;nLang=0"/>
    <n v="0"/>
    <n v="19"/>
    <n v="0"/>
    <n v="0"/>
    <n v="0"/>
    <n v="0"/>
    <n v="0"/>
    <n v="0"/>
  </r>
  <r>
    <x v="4"/>
    <x v="8"/>
    <s v="OP-DYR-005"/>
    <x v="289"/>
    <d v="2026-02-05T00:00:00"/>
    <n v="181"/>
    <x v="0"/>
    <n v="2"/>
    <n v="0"/>
    <n v="0"/>
    <n v="0"/>
    <n v="0"/>
    <n v="0"/>
    <n v="0"/>
    <n v="0"/>
    <n v="0"/>
    <n v="0"/>
    <n v="0"/>
    <n v="0"/>
    <s v="https://www.clickideacore.com/ClickHTML5/Visit.aspx?ID=//5FDAEwASwAzADgANAA0ADEAMQA5ADYASQBEAEUAQQA9=&amp;Tipo=2&amp;ST=1&amp;nLang=0"/>
    <n v="0"/>
    <n v="44"/>
    <n v="0"/>
    <n v="0"/>
    <n v="0"/>
    <n v="0"/>
    <n v="0"/>
    <n v="0"/>
  </r>
  <r>
    <x v="23"/>
    <x v="29"/>
    <s v="OP-SDYR-001"/>
    <x v="289"/>
    <d v="2026-02-05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89"/>
    <d v="2026-02-05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89"/>
    <d v="2026-02-05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89"/>
    <d v="2026-02-05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6"/>
    <s v="OP-S-200"/>
    <x v="290"/>
    <d v="2026-02-06T00:00:00"/>
    <n v="20"/>
    <x v="0"/>
    <n v="26"/>
    <n v="0"/>
    <n v="0"/>
    <n v="0"/>
    <n v="1"/>
    <n v="0"/>
    <n v="0"/>
    <n v="0"/>
    <n v="0"/>
    <n v="0"/>
    <n v="0"/>
    <n v="0"/>
    <s v="https://www.clickideacore.com/ClickHTML5/Visit.aspx?ID=//5DDAEwASwAzADgANAA1ADgANgAxADIASQBEAEUAQQAD=&amp;Tipo=2&amp;ST=1&amp;nLang=0"/>
    <n v="0"/>
    <n v="0"/>
    <n v="0"/>
    <n v="0"/>
    <n v="0"/>
    <n v="0"/>
    <n v="0"/>
    <n v="0"/>
  </r>
  <r>
    <x v="9"/>
    <x v="2"/>
    <s v="OP-S-200"/>
    <x v="290"/>
    <d v="2026-02-06T00:00:00"/>
    <n v="20"/>
    <x v="0"/>
    <n v="30"/>
    <n v="0"/>
    <n v="0"/>
    <n v="0"/>
    <n v="1"/>
    <n v="0"/>
    <n v="0"/>
    <n v="0"/>
    <n v="0"/>
    <n v="0"/>
    <n v="0"/>
    <n v="0"/>
    <s v="https://www.clickideacore.com/ClickHTML5/Visit.aspx?ID=//5DDAEwASwAzADgANAA1ADgANgAxADIASQBEAEUAQQAD=&amp;Tipo=2&amp;ST=1&amp;nLang=0"/>
    <n v="0"/>
    <n v="1"/>
    <n v="6"/>
    <n v="0"/>
    <n v="0"/>
    <n v="0"/>
    <n v="0"/>
    <n v="0"/>
  </r>
  <r>
    <x v="23"/>
    <x v="29"/>
    <s v="OP-S-200"/>
    <x v="290"/>
    <d v="2026-02-06T00:00:00"/>
    <n v="20"/>
    <x v="0"/>
    <n v="21"/>
    <n v="0"/>
    <n v="0"/>
    <n v="1"/>
    <n v="0"/>
    <n v="0"/>
    <n v="0"/>
    <n v="0"/>
    <n v="0"/>
    <n v="0"/>
    <n v="0"/>
    <n v="0"/>
    <s v="https://www.clickideacore.com/ClickHTML5/Visit.aspx?ID=//5DDAEwASwAzADgANAA1ADgANgAxADIASQBEAEUAQQAD=&amp;Tipo=2&amp;ST=1&amp;nLang=0"/>
    <n v="0"/>
    <n v="10"/>
    <n v="0"/>
    <n v="0"/>
    <n v="0"/>
    <n v="0"/>
    <n v="0"/>
    <n v="0"/>
  </r>
  <r>
    <x v="0"/>
    <x v="0"/>
    <s v="OP-S-100"/>
    <x v="290"/>
    <d v="2026-02-06T00:00:00"/>
    <n v="25"/>
    <x v="0"/>
    <n v="36"/>
    <n v="0"/>
    <n v="0"/>
    <n v="1"/>
    <n v="0"/>
    <n v="0"/>
    <n v="0"/>
    <n v="0"/>
    <n v="0"/>
    <n v="0"/>
    <n v="0"/>
    <n v="0"/>
    <s v="https://www.clickideacore.com/ClickHTML5/Visit.aspx?ID=//52DAEwASwAzADgANAA1ADcAOAA3ADMASQBEAEUAQQA7=&amp;Tipo=2&amp;ST=1&amp;nLang=0"/>
    <n v="0"/>
    <n v="0"/>
    <n v="0"/>
    <n v="0"/>
    <n v="0"/>
    <n v="0"/>
    <n v="0"/>
    <n v="0"/>
  </r>
  <r>
    <x v="5"/>
    <x v="4"/>
    <s v="OP-S-005"/>
    <x v="290"/>
    <d v="2026-02-06T00:00:00"/>
    <n v="39"/>
    <x v="0"/>
    <n v="28"/>
    <n v="0"/>
    <n v="0"/>
    <n v="1"/>
    <n v="0"/>
    <n v="0"/>
    <n v="0"/>
    <n v="0"/>
    <n v="0"/>
    <n v="0"/>
    <n v="0"/>
    <n v="0"/>
    <s v="https://www.clickideacore.com/ClickHTML5/Visit.aspx?ID=//5BDAEwASwAzADgANAA2ADUAMAAzADQASQBEAEUAQQA3=&amp;Tipo=2&amp;ST=1&amp;nLang=0"/>
    <n v="0"/>
    <n v="0"/>
    <n v="0"/>
    <n v="0"/>
    <n v="0"/>
    <n v="0"/>
    <n v="0"/>
    <n v="0"/>
  </r>
  <r>
    <x v="11"/>
    <x v="17"/>
    <s v="OP-SDYR-001"/>
    <x v="290"/>
    <d v="2026-02-06T00:00:00"/>
    <n v="22"/>
    <x v="0"/>
    <n v="36"/>
    <n v="0"/>
    <n v="0"/>
    <n v="1"/>
    <n v="0"/>
    <n v="0"/>
    <n v="0"/>
    <n v="0"/>
    <n v="0"/>
    <n v="0"/>
    <n v="0"/>
    <n v="0"/>
    <s v="https://www.clickideacore.com/ClickHTML5/Visit.aspx?ID=//50DAEwASwAzADgANAA2ADEAMgA3ADcASQBEAEUAQQA0=&amp;Tipo=2&amp;ST=1&amp;nLang=0"/>
    <n v="0"/>
    <n v="1"/>
    <n v="6"/>
    <n v="0"/>
    <n v="0"/>
    <n v="0"/>
    <n v="0"/>
    <n v="0"/>
  </r>
  <r>
    <x v="17"/>
    <x v="35"/>
    <s v="OP-DYR-00001"/>
    <x v="290"/>
    <d v="2026-02-06T00:00:00"/>
    <n v="125"/>
    <x v="0"/>
    <n v="16"/>
    <n v="0"/>
    <n v="0"/>
    <n v="1"/>
    <n v="0"/>
    <n v="0"/>
    <n v="0"/>
    <n v="0"/>
    <n v="0"/>
    <n v="0"/>
    <n v="0"/>
    <n v="0"/>
    <s v="https://www.clickideacore.com/ClickHTML5/Visit.aspx?ID=//51DAEwASwAzADgANAA2ADMANAAwADMASQBEAEUAQQAD=&amp;Tipo=2&amp;ST=1&amp;nLang=0"/>
    <n v="0"/>
    <n v="1"/>
    <n v="6"/>
    <n v="0"/>
    <n v="0"/>
    <n v="0"/>
    <n v="0"/>
    <n v="0"/>
  </r>
  <r>
    <x v="1"/>
    <x v="1"/>
    <s v="OP-SDYR-001"/>
    <x v="290"/>
    <d v="2026-02-0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8"/>
    <s v="OP-SDYR-001"/>
    <x v="290"/>
    <d v="2026-02-0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3"/>
    <x v="3"/>
    <s v="OP-SDYR-001"/>
    <x v="290"/>
    <d v="2026-02-0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90"/>
    <d v="2026-02-0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0"/>
    <d v="2026-02-0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0"/>
    <d v="2026-02-0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200"/>
    <x v="291"/>
    <d v="2026-02-07T00:00:00"/>
    <n v="31"/>
    <x v="0"/>
    <n v="0"/>
    <n v="0"/>
    <n v="0"/>
    <n v="0"/>
    <n v="0"/>
    <n v="0"/>
    <n v="0"/>
    <n v="1"/>
    <n v="0"/>
    <n v="0"/>
    <n v="1"/>
    <n v="0"/>
    <s v="https://www.clickideacore.com/ClickHTML5/Visit.aspx?ID=//59DAEwASwAzADgANAA4ADAAMAAwADAASQBEAEUAQQAD=&amp;Tipo=2&amp;ST=1&amp;nLang=0"/>
    <n v="0"/>
    <n v="0"/>
    <n v="0"/>
    <n v="0"/>
    <n v="0"/>
    <n v="0"/>
    <n v="0"/>
    <n v="0"/>
  </r>
  <r>
    <x v="23"/>
    <x v="29"/>
    <s v="OP-S-200"/>
    <x v="291"/>
    <d v="2026-02-07T00:00:00"/>
    <n v="31"/>
    <x v="0"/>
    <n v="0"/>
    <n v="0"/>
    <n v="0"/>
    <n v="0"/>
    <n v="0"/>
    <n v="0"/>
    <n v="0"/>
    <n v="1"/>
    <n v="0"/>
    <n v="7"/>
    <n v="1"/>
    <n v="0"/>
    <s v="https://www.clickideacore.com/ClickHTML5/Visit.aspx?ID=//59DAEwASwAzADgANAA4ADAAMAAwADAASQBEAEUAQQAD=&amp;Tipo=2&amp;ST=1&amp;nLang=0"/>
    <n v="23"/>
    <n v="0"/>
    <n v="0"/>
    <n v="0"/>
    <n v="0"/>
    <n v="0"/>
    <n v="1"/>
    <n v="0"/>
  </r>
  <r>
    <x v="0"/>
    <x v="0"/>
    <s v="OP-S-100"/>
    <x v="291"/>
    <d v="2026-02-07T00:00:00"/>
    <n v="34"/>
    <x v="0"/>
    <n v="0"/>
    <n v="0"/>
    <n v="0"/>
    <n v="0"/>
    <n v="0"/>
    <n v="0"/>
    <n v="0"/>
    <n v="1"/>
    <n v="0"/>
    <n v="0"/>
    <n v="1"/>
    <n v="0"/>
    <s v="https://www.clickideacore.com/ClickHTML5/Visit.aspx?ID=//5BDAEwASwAzADgANAA3ADgANQA0ADQASQBEAEUAQQAC=&amp;Tipo=2&amp;ST=1&amp;nLang=0"/>
    <n v="0"/>
    <n v="0"/>
    <n v="0"/>
    <n v="0"/>
    <n v="0"/>
    <n v="0"/>
    <n v="0"/>
    <n v="0"/>
  </r>
  <r>
    <x v="5"/>
    <x v="4"/>
    <s v="OP-S-005"/>
    <x v="291"/>
    <d v="2026-02-07T00:00:00"/>
    <n v="37"/>
    <x v="0"/>
    <n v="0"/>
    <n v="0"/>
    <n v="0"/>
    <n v="0"/>
    <n v="0"/>
    <n v="0"/>
    <n v="0"/>
    <n v="1"/>
    <n v="0"/>
    <n v="0"/>
    <n v="1"/>
    <n v="0"/>
    <s v="https://www.clickideacore.com/ClickHTML5/Visit.aspx?ID=//57DAEwASwAzADgANAA4ADAAOQA2ADAASQBEAEUAQQAD=&amp;Tipo=2&amp;ST=1&amp;nLang=0"/>
    <n v="0"/>
    <n v="0"/>
    <n v="0"/>
    <n v="0"/>
    <n v="0"/>
    <n v="0"/>
    <n v="0"/>
    <n v="0"/>
  </r>
  <r>
    <x v="11"/>
    <x v="17"/>
    <s v="OP-SDYR-001"/>
    <x v="291"/>
    <d v="2026-02-07T00:00:00"/>
    <n v="37"/>
    <x v="0"/>
    <n v="0"/>
    <n v="0"/>
    <n v="0"/>
    <n v="0"/>
    <n v="0"/>
    <n v="1"/>
    <n v="0"/>
    <n v="1"/>
    <n v="0"/>
    <n v="3"/>
    <n v="1"/>
    <n v="0"/>
    <s v="https://www.clickideacore.com/ClickHTML5/Visit.aspx?ID=//51DAEwASwAzADgANAA3ADcAOQA4ADgASQBEAEUAQQAD=&amp;Tipo=2&amp;ST=1&amp;nLang=0"/>
    <n v="14"/>
    <n v="0"/>
    <n v="0"/>
    <n v="0"/>
    <n v="0"/>
    <n v="0"/>
    <n v="0"/>
    <n v="0"/>
  </r>
  <r>
    <x v="17"/>
    <x v="35"/>
    <s v="OP-SDYR-001"/>
    <x v="291"/>
    <d v="2026-02-07T00:00:00"/>
    <n v="37"/>
    <x v="0"/>
    <n v="0"/>
    <n v="0"/>
    <n v="0"/>
    <n v="0"/>
    <n v="0"/>
    <n v="0"/>
    <n v="0"/>
    <n v="1"/>
    <n v="0"/>
    <n v="3"/>
    <n v="1"/>
    <n v="0"/>
    <s v="https://www.clickideacore.com/ClickHTML5/Visit.aspx?ID=//51DAEwASwAzADgANAA3ADcAOQA4ADgASQBEAEUAQQAD=&amp;Tipo=2&amp;ST=1&amp;nLang=0"/>
    <n v="18"/>
    <n v="0"/>
    <n v="0"/>
    <n v="0"/>
    <n v="0"/>
    <n v="0"/>
    <n v="0"/>
    <n v="0"/>
  </r>
  <r>
    <x v="4"/>
    <x v="8"/>
    <s v="OP-S-076"/>
    <x v="291"/>
    <d v="2026-02-0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91"/>
    <d v="2026-02-0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3"/>
    <s v="OP-S-076"/>
    <x v="291"/>
    <d v="2026-02-0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91"/>
    <d v="2026-02-0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1"/>
    <d v="2026-02-07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1"/>
    <d v="2026-02-07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005"/>
    <x v="292"/>
    <d v="2026-02-08T00:00:00"/>
    <n v="48"/>
    <x v="0"/>
    <n v="0"/>
    <n v="0"/>
    <n v="0"/>
    <n v="0"/>
    <n v="0"/>
    <n v="0"/>
    <n v="0"/>
    <n v="0"/>
    <n v="1"/>
    <n v="13"/>
    <n v="0"/>
    <n v="1"/>
    <s v="https://www.clickideacore.com/ClickHTML5/Visit.aspx?ID=//54DAEwASwAzADgANAA4ADgAMwA3ADcASQBEAEUAQQA6=&amp;Tipo=2&amp;ST=1&amp;nLang=0"/>
    <n v="20"/>
    <n v="0"/>
    <n v="0"/>
    <n v="0"/>
    <n v="0"/>
    <n v="0"/>
    <n v="0"/>
    <n v="0"/>
  </r>
  <r>
    <x v="23"/>
    <x v="29"/>
    <s v="OP-S-100"/>
    <x v="292"/>
    <d v="2026-02-08T00:00:00"/>
    <n v="47"/>
    <x v="0"/>
    <n v="0"/>
    <n v="0"/>
    <n v="0"/>
    <n v="0"/>
    <n v="0"/>
    <n v="0"/>
    <n v="0"/>
    <n v="0"/>
    <n v="1"/>
    <n v="7"/>
    <n v="0"/>
    <n v="1"/>
    <s v="https://www.clickideacore.com/ClickHTML5/Visit.aspx?ID=//5EDAEwASwAzADgANAA4ADYAOQA2ADMASQBEAEUAQQA2=&amp;Tipo=2&amp;ST=1&amp;nLang=0"/>
    <n v="16"/>
    <n v="0"/>
    <n v="0"/>
    <n v="0"/>
    <n v="0"/>
    <n v="0"/>
    <n v="0"/>
    <n v="1"/>
  </r>
  <r>
    <x v="0"/>
    <x v="0"/>
    <s v="OP-S-100"/>
    <x v="292"/>
    <d v="2026-02-08T00:00:00"/>
    <n v="47"/>
    <x v="0"/>
    <n v="0"/>
    <n v="0"/>
    <n v="0"/>
    <n v="0"/>
    <n v="0"/>
    <n v="0"/>
    <n v="0"/>
    <n v="0"/>
    <n v="1"/>
    <n v="6"/>
    <n v="0"/>
    <n v="1"/>
    <s v="https://www.clickideacore.com/ClickHTML5/Visit.aspx?ID=//5EDAEwASwAzADgANAA4ADYAOQA2ADMASQBEAEUAQQA2=&amp;Tipo=2&amp;ST=1&amp;nLang=0"/>
    <n v="0"/>
    <n v="0"/>
    <n v="0"/>
    <n v="0"/>
    <n v="0"/>
    <n v="0"/>
    <n v="0"/>
    <n v="0"/>
  </r>
  <r>
    <x v="5"/>
    <x v="4"/>
    <s v="OP-S-005"/>
    <x v="292"/>
    <d v="2026-02-08T00:00:00"/>
    <n v="48"/>
    <x v="0"/>
    <n v="0"/>
    <n v="0"/>
    <n v="0"/>
    <n v="0"/>
    <n v="0"/>
    <n v="0"/>
    <n v="0"/>
    <n v="0"/>
    <n v="1"/>
    <n v="5"/>
    <n v="0"/>
    <n v="1"/>
    <s v="https://www.clickideacore.com/ClickHTML5/Visit.aspx?ID=//54DAEwASwAzADgANAA4ADgAMwA3ADcASQBEAEUAQQA6=&amp;Tipo=2&amp;ST=1&amp;nLang=0"/>
    <n v="0"/>
    <n v="0"/>
    <n v="0"/>
    <n v="0"/>
    <n v="0"/>
    <n v="0"/>
    <n v="0"/>
    <n v="0"/>
  </r>
  <r>
    <x v="11"/>
    <x v="17"/>
    <s v="OP-SDYR-001"/>
    <x v="292"/>
    <d v="2026-02-08T00:00:00"/>
    <n v="34"/>
    <x v="0"/>
    <n v="0"/>
    <n v="0"/>
    <n v="0"/>
    <n v="0"/>
    <n v="0"/>
    <n v="0"/>
    <n v="0"/>
    <n v="0"/>
    <n v="1"/>
    <n v="8"/>
    <n v="0"/>
    <n v="1"/>
    <s v="https://www.clickideacore.com/ClickHTML5/Visit.aspx?ID=//58DAEwASwAzADgANAA4ADcAMQA2ADcASQBEAEUAQQA7=&amp;Tipo=2&amp;ST=1&amp;nLang=0"/>
    <n v="18"/>
    <n v="0"/>
    <n v="0"/>
    <n v="0"/>
    <n v="0"/>
    <n v="0"/>
    <n v="0"/>
    <n v="0"/>
  </r>
  <r>
    <x v="17"/>
    <x v="35"/>
    <s v="OP-DYR-00001"/>
    <x v="292"/>
    <d v="2026-02-08T00:00:00"/>
    <n v="84"/>
    <x v="0"/>
    <n v="0"/>
    <n v="0"/>
    <n v="0"/>
    <n v="0"/>
    <n v="0"/>
    <n v="0"/>
    <n v="0"/>
    <n v="0"/>
    <n v="1"/>
    <n v="6"/>
    <n v="0"/>
    <n v="1"/>
    <s v="https://www.clickideacore.com/ClickHTML5/Visit.aspx?ID=//5DDAEwASwAzADgANAA4ADcANAAzADMASQBEAEUAQQAC=&amp;Tipo=2&amp;ST=1&amp;nLang=0"/>
    <n v="15"/>
    <n v="0"/>
    <n v="0"/>
    <n v="0"/>
    <n v="0"/>
    <n v="0"/>
    <n v="0"/>
    <n v="0"/>
  </r>
  <r>
    <x v="4"/>
    <x v="8"/>
    <s v="OP-S-076"/>
    <x v="292"/>
    <d v="2026-02-0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S-076"/>
    <x v="292"/>
    <d v="2026-02-0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3"/>
    <x v="3"/>
    <s v="OP-S-076"/>
    <x v="292"/>
    <d v="2026-02-0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92"/>
    <d v="2026-02-0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2"/>
    <d v="2026-02-0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2"/>
    <d v="2026-02-08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1"/>
    <s v="OP-DYR-004"/>
    <x v="293"/>
    <d v="2026-02-09T00:00:00"/>
    <n v="34"/>
    <x v="0"/>
    <n v="7"/>
    <n v="0"/>
    <n v="0"/>
    <n v="0"/>
    <n v="0"/>
    <n v="0"/>
    <n v="0"/>
    <n v="0"/>
    <n v="0"/>
    <n v="0"/>
    <n v="0"/>
    <n v="0"/>
    <s v="https://www.clickideacore.com/ClickHTML5/Visit.aspx?ID=//56DAEwASwAzADgANQAwADgANQAyADYASQBEAEUAQQA5=&amp;Tipo=2&amp;ST=1&amp;nLang=0"/>
    <n v="0"/>
    <n v="0"/>
    <n v="0"/>
    <n v="0"/>
    <n v="0"/>
    <n v="0"/>
    <n v="0"/>
    <n v="0"/>
  </r>
  <r>
    <x v="4"/>
    <x v="8"/>
    <s v="OP-DYR-005"/>
    <x v="293"/>
    <d v="2026-02-09T00:00:00"/>
    <n v="70"/>
    <x v="0"/>
    <n v="6"/>
    <n v="0"/>
    <n v="0"/>
    <n v="0"/>
    <n v="0"/>
    <n v="1"/>
    <n v="0"/>
    <n v="0"/>
    <n v="0"/>
    <n v="0"/>
    <n v="0"/>
    <n v="0"/>
    <s v="https://www.clickideacore.com/ClickHTML5/Visit.aspx?ID=//59DAEwASwAzADgANQAwADIAOAA4ADMASQBEAEUAQQAB=&amp;Tipo=2&amp;ST=1&amp;nLang=0"/>
    <n v="0"/>
    <n v="1"/>
    <n v="0"/>
    <n v="0"/>
    <n v="0"/>
    <n v="0"/>
    <n v="0"/>
    <n v="0"/>
  </r>
  <r>
    <x v="3"/>
    <x v="3"/>
    <s v="OP-S-076"/>
    <x v="293"/>
    <d v="2026-02-09T00:00:00"/>
    <n v="25"/>
    <x v="0"/>
    <n v="2"/>
    <n v="0"/>
    <n v="0"/>
    <n v="0"/>
    <n v="0"/>
    <n v="1"/>
    <n v="0"/>
    <n v="0"/>
    <n v="0"/>
    <n v="0"/>
    <n v="0"/>
    <n v="0"/>
    <s v="https://www.clickideacore.com/ClickHTML5/Visit.aspx?ID=//54DAEwASwAzADgANAA5ADkAMQA4ADUASQBEAEUAQQA1=&amp;Tipo=2&amp;ST=1&amp;nLang=0"/>
    <n v="0"/>
    <n v="0"/>
    <n v="3"/>
    <n v="0"/>
    <n v="0"/>
    <n v="0"/>
    <n v="0"/>
    <n v="0"/>
  </r>
  <r>
    <x v="17"/>
    <x v="35"/>
    <s v="OP-S-200"/>
    <x v="293"/>
    <d v="2026-02-09T00:00:00"/>
    <n v="75"/>
    <x v="0"/>
    <n v="0"/>
    <n v="0"/>
    <n v="0"/>
    <n v="0"/>
    <n v="0"/>
    <n v="0"/>
    <n v="0"/>
    <n v="0"/>
    <n v="0"/>
    <n v="2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2"/>
    <x v="6"/>
    <s v="OP-S-200"/>
    <x v="293"/>
    <d v="2026-02-09T00:00:00"/>
    <n v="75"/>
    <x v="6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0"/>
    <x v="6"/>
    <s v="OP-S-200"/>
    <x v="293"/>
    <d v="2026-02-09T00:00:00"/>
    <n v="75"/>
    <x v="6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23"/>
    <x v="6"/>
    <s v="OP-S-200"/>
    <x v="293"/>
    <d v="2026-02-09T00:00:00"/>
    <n v="75"/>
    <x v="6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9"/>
    <x v="2"/>
    <s v="OP-S-200"/>
    <x v="293"/>
    <d v="2026-02-09T00:00:00"/>
    <n v="75"/>
    <x v="4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5"/>
    <x v="4"/>
    <s v="OP-S-200"/>
    <x v="293"/>
    <d v="2026-02-09T00:00:00"/>
    <n v="75"/>
    <x v="4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11"/>
    <x v="17"/>
    <s v="OP-S-200"/>
    <x v="293"/>
    <d v="2026-02-09T00:00:00"/>
    <n v="75"/>
    <x v="4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9"/>
    <x v="0"/>
    <s v="OP-S-200"/>
    <x v="293"/>
    <d v="2026-02-09T00:00:00"/>
    <n v="75"/>
    <x v="4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9"/>
    <x v="29"/>
    <s v="OP-S-200"/>
    <x v="293"/>
    <d v="2026-02-09T00:00:00"/>
    <n v="75"/>
    <x v="4"/>
    <n v="0"/>
    <n v="0"/>
    <n v="0"/>
    <n v="0"/>
    <n v="0"/>
    <n v="0"/>
    <n v="0"/>
    <n v="0"/>
    <n v="0"/>
    <n v="0"/>
    <n v="0"/>
    <n v="0"/>
    <s v="https://www.clickideacore.com/ClickHTML5/Visit.aspx?ID=//53DAEwASwAzADgANAA4ADkANAA1ADYASQBEAEUAQQA6=&amp;Tipo=2&amp;ST=1&amp;nLang=0"/>
    <n v="0"/>
    <n v="0"/>
    <n v="0"/>
    <n v="0"/>
    <n v="0"/>
    <n v="0"/>
    <n v="0"/>
    <n v="0"/>
  </r>
  <r>
    <x v="10"/>
    <x v="6"/>
    <s v="OP-S-076"/>
    <x v="293"/>
    <d v="2026-02-0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3"/>
    <d v="2026-02-09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3"/>
    <d v="2026-02-09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94"/>
    <d v="2026-02-10T00:00:00"/>
    <n v="26"/>
    <x v="0"/>
    <n v="20"/>
    <n v="0"/>
    <n v="0"/>
    <n v="0"/>
    <n v="1"/>
    <n v="0"/>
    <n v="1"/>
    <n v="0"/>
    <n v="0"/>
    <n v="0"/>
    <n v="0"/>
    <n v="0"/>
    <s v="https://www.clickideacore.com/ClickHTML5/Visit.aspx?ID=//59DAEwASwAzADgANQAzADIANwA5ADgASQBEAEUAQQA1=&amp;Tipo=2&amp;ST=1&amp;nLang=0"/>
    <n v="0"/>
    <n v="22"/>
    <n v="0"/>
    <n v="0"/>
    <n v="0"/>
    <n v="0"/>
    <n v="0"/>
    <n v="0"/>
  </r>
  <r>
    <x v="0"/>
    <x v="0"/>
    <s v="OP-S-100"/>
    <x v="294"/>
    <d v="2026-02-10T00:00:00"/>
    <n v="71"/>
    <x v="0"/>
    <n v="16"/>
    <n v="0"/>
    <n v="0"/>
    <n v="1"/>
    <n v="0"/>
    <n v="0"/>
    <n v="1"/>
    <n v="0"/>
    <n v="0"/>
    <n v="0"/>
    <n v="0"/>
    <n v="0"/>
    <s v="https://www.clickideacore.com/ClickHTML5/Visit.aspx?ID=//50DAEwASwAzADgANQAyADkAMwA3ADEASQBEAEUAQQAB=&amp;Tipo=2&amp;ST=1&amp;nLang=0"/>
    <n v="0"/>
    <n v="18"/>
    <n v="4"/>
    <n v="0"/>
    <n v="0"/>
    <n v="0"/>
    <n v="0"/>
    <n v="0"/>
  </r>
  <r>
    <x v="2"/>
    <x v="2"/>
    <s v="OP-S-200"/>
    <x v="294"/>
    <d v="2026-02-10T00:00:00"/>
    <n v="25"/>
    <x v="0"/>
    <n v="36"/>
    <n v="0"/>
    <n v="0"/>
    <n v="1"/>
    <n v="0"/>
    <n v="0"/>
    <n v="1"/>
    <n v="0"/>
    <n v="0"/>
    <n v="1"/>
    <n v="0"/>
    <n v="0"/>
    <s v="https://www.clickideacore.com/ClickHTML5/Visit.aspx?ID=//57DAEwASwAzADgANQAzADEANwA3ADEASQBEAEUAQQAC=&amp;Tipo=2&amp;ST=1&amp;nLang=0"/>
    <n v="0"/>
    <n v="18"/>
    <n v="4"/>
    <n v="0"/>
    <n v="0"/>
    <n v="0"/>
    <n v="0"/>
    <n v="0"/>
  </r>
  <r>
    <x v="9"/>
    <x v="29"/>
    <s v="OP-S-200"/>
    <x v="294"/>
    <d v="2026-02-10T00:00:00"/>
    <n v="25"/>
    <x v="0"/>
    <n v="36"/>
    <n v="0"/>
    <n v="0"/>
    <n v="1"/>
    <n v="0"/>
    <n v="0"/>
    <n v="1"/>
    <n v="0"/>
    <n v="0"/>
    <n v="1"/>
    <n v="0"/>
    <n v="0"/>
    <s v="https://www.clickideacore.com/ClickHTML5/Visit.aspx?ID=//57DAEwASwAzADgANQAzADEANwA3ADEASQBEAEUAQQAC=&amp;Tipo=2&amp;ST=1&amp;nLang=0"/>
    <n v="0"/>
    <n v="18"/>
    <n v="4"/>
    <n v="0"/>
    <n v="0"/>
    <n v="0"/>
    <n v="0"/>
    <n v="0"/>
  </r>
  <r>
    <x v="3"/>
    <x v="1"/>
    <s v="OP-S-076"/>
    <x v="294"/>
    <d v="2026-02-10T00:00:00"/>
    <n v="41"/>
    <x v="0"/>
    <n v="28"/>
    <n v="0"/>
    <n v="0"/>
    <n v="1"/>
    <n v="0"/>
    <n v="0"/>
    <n v="1"/>
    <n v="0"/>
    <n v="0"/>
    <n v="0"/>
    <n v="0"/>
    <n v="0"/>
    <s v="https://www.clickideacore.com/ClickHTML5/Visit.aspx?ID=//59DAEwASwAzADgANQAzADEAOQAzADgASQBEAEUAQQA4=&amp;Tipo=2&amp;ST=1&amp;nLang=0"/>
    <n v="0"/>
    <n v="21"/>
    <n v="0"/>
    <n v="0"/>
    <n v="0"/>
    <n v="0"/>
    <n v="0"/>
    <n v="0"/>
  </r>
  <r>
    <x v="11"/>
    <x v="17"/>
    <s v="OP-SDYR-001"/>
    <x v="294"/>
    <d v="2026-02-10T00:00:00"/>
    <n v="94"/>
    <x v="0"/>
    <n v="32"/>
    <n v="0"/>
    <n v="0"/>
    <n v="1"/>
    <n v="0"/>
    <n v="0"/>
    <n v="1"/>
    <n v="0"/>
    <n v="0"/>
    <n v="0"/>
    <n v="0"/>
    <n v="0"/>
    <s v="https://www.clickideacore.com/ClickHTML5/Visit.aspx?ID=//52DAEwASwAzADgANQAyADkAMwAzADYASQBEAEUAQQAF=&amp;Tipo=2&amp;ST=1&amp;nLang=0"/>
    <n v="0"/>
    <n v="46"/>
    <n v="0"/>
    <n v="0"/>
    <n v="0"/>
    <n v="0"/>
    <n v="0"/>
    <n v="0"/>
  </r>
  <r>
    <x v="17"/>
    <x v="35"/>
    <s v="OP-DYR-00001"/>
    <x v="294"/>
    <d v="2026-02-10T00:00:00"/>
    <n v="227"/>
    <x v="0"/>
    <n v="24"/>
    <n v="0"/>
    <n v="0"/>
    <n v="1"/>
    <n v="0"/>
    <n v="0"/>
    <n v="1"/>
    <n v="0"/>
    <n v="0"/>
    <n v="0"/>
    <n v="0"/>
    <n v="0"/>
    <s v="https://www.clickideacore.com/ClickHTML5/Visit.aspx?ID=//54DAEwASwAzADgANQAzADEANwA3ADIASQBEAEUAQQA2=&amp;Tipo=2&amp;ST=1&amp;nLang=0"/>
    <n v="0"/>
    <n v="22"/>
    <n v="0"/>
    <n v="0"/>
    <n v="0"/>
    <n v="0"/>
    <n v="0"/>
    <n v="0"/>
  </r>
  <r>
    <x v="5"/>
    <x v="4"/>
    <s v="OP-SDYR-001"/>
    <x v="294"/>
    <d v="2026-02-10T00:00:00"/>
    <n v="23"/>
    <x v="0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40"/>
    <n v="0"/>
    <n v="0"/>
    <n v="0"/>
    <n v="0"/>
    <n v="0"/>
    <n v="0"/>
  </r>
  <r>
    <x v="1"/>
    <x v="3"/>
    <s v="OP-SDYR-001"/>
    <x v="294"/>
    <d v="2026-02-10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3"/>
    <x v="6"/>
    <s v="OP-SDYR-001"/>
    <x v="294"/>
    <d v="2026-02-10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94"/>
    <d v="2026-02-1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4"/>
    <d v="2026-02-1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4"/>
    <d v="2026-02-1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0"/>
    <s v="OP-DYR-005"/>
    <x v="295"/>
    <d v="2026-02-11T00:00:00"/>
    <n v="17"/>
    <x v="0"/>
    <n v="36"/>
    <n v="0"/>
    <n v="0"/>
    <n v="1"/>
    <n v="0"/>
    <n v="0"/>
    <n v="0"/>
    <n v="0"/>
    <n v="0"/>
    <n v="0"/>
    <n v="0"/>
    <n v="0"/>
    <s v="https://www.clickideacore.com/ClickHTML5/Visit.aspx?ID=//5CDAEwASwAzADgANQA1ADkAMwA4ADkASQBEAEUAQQAE=&amp;Tipo=2&amp;ST=1&amp;nLang=0"/>
    <n v="0"/>
    <n v="6"/>
    <n v="0"/>
    <n v="0"/>
    <n v="0"/>
    <n v="0"/>
    <n v="0"/>
    <n v="0"/>
  </r>
  <r>
    <x v="1"/>
    <x v="1"/>
    <s v="OP-DYR-004"/>
    <x v="295"/>
    <d v="2026-02-11T00:00:00"/>
    <n v="25"/>
    <x v="0"/>
    <n v="28"/>
    <n v="0"/>
    <n v="0"/>
    <n v="1"/>
    <n v="0"/>
    <n v="0"/>
    <n v="0"/>
    <n v="0"/>
    <n v="0"/>
    <n v="0"/>
    <n v="0"/>
    <n v="0"/>
    <s v="https://www.clickideacore.com/ClickHTML5/Visit.aspx?ID=//52DAEwASwAzADgANQA1ADcAOAA0ADQASQBEAEUAQQA5=&amp;Tipo=2&amp;ST=1&amp;nLang=0"/>
    <n v="0"/>
    <n v="34"/>
    <n v="0"/>
    <n v="0"/>
    <n v="0"/>
    <n v="0"/>
    <n v="0"/>
    <n v="0"/>
  </r>
  <r>
    <x v="17"/>
    <x v="35"/>
    <s v="OP-DYR-00001"/>
    <x v="295"/>
    <d v="2026-02-11T00:00:00"/>
    <n v="562"/>
    <x v="0"/>
    <n v="44"/>
    <n v="0"/>
    <n v="0"/>
    <n v="1"/>
    <n v="0"/>
    <n v="1"/>
    <n v="0"/>
    <n v="0"/>
    <n v="0"/>
    <n v="0"/>
    <n v="0"/>
    <n v="0"/>
    <s v="https://www.clickideacore.com/ClickHTML5/Visit.aspx?ID=//5EDAEwASwAzADgANQA1ADYAOQA4ADMASQBEAEUAQQAF=&amp;Tipo=2&amp;ST=1&amp;nLang=0"/>
    <n v="0"/>
    <n v="53"/>
    <n v="0"/>
    <n v="0"/>
    <n v="0"/>
    <n v="0"/>
    <n v="0"/>
    <n v="0"/>
  </r>
  <r>
    <x v="23"/>
    <x v="3"/>
    <s v="OP-S-77"/>
    <x v="295"/>
    <d v="2026-02-11T00:00:00"/>
    <n v="79"/>
    <x v="0"/>
    <n v="40"/>
    <n v="0"/>
    <n v="0"/>
    <n v="1"/>
    <n v="0"/>
    <n v="0"/>
    <n v="0"/>
    <n v="0"/>
    <n v="0"/>
    <n v="0"/>
    <n v="0"/>
    <n v="0"/>
    <s v="https://www.clickideacore.com/ClickHTML5/Visit.aspx?ID=//56DAEwASwAzADgANQA1ADQAMQA4ADEASQBEAEUAQQAE=&amp;Tipo=2&amp;ST=1&amp;nLang=0"/>
    <n v="0"/>
    <n v="34"/>
    <n v="0"/>
    <n v="0"/>
    <n v="0"/>
    <n v="0"/>
    <n v="0"/>
    <n v="0"/>
  </r>
  <r>
    <x v="11"/>
    <x v="4"/>
    <s v="OP-SDYR-001"/>
    <x v="295"/>
    <d v="2026-02-11T00:00:00"/>
    <n v="24"/>
    <x v="0"/>
    <n v="39"/>
    <n v="0"/>
    <n v="0"/>
    <n v="1"/>
    <n v="0"/>
    <n v="1"/>
    <n v="0"/>
    <n v="0"/>
    <n v="0"/>
    <n v="0"/>
    <n v="0"/>
    <n v="0"/>
    <s v="https://www.clickideacore.com/ClickHTML5/Visit.aspx?ID=//56DAEwASwAzADgANQA1ADAANwA5ADkASQBEAEUAQQA9=&amp;Tipo=2&amp;ST=1&amp;nLang=0"/>
    <n v="0"/>
    <n v="0"/>
    <n v="0"/>
    <n v="0"/>
    <n v="0"/>
    <n v="0"/>
    <n v="0"/>
    <n v="0"/>
  </r>
  <r>
    <x v="3"/>
    <x v="8"/>
    <s v="OP-SDYR-001"/>
    <x v="295"/>
    <d v="2026-02-11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"/>
    <x v="2"/>
    <s v="OP-SDYR-001"/>
    <x v="295"/>
    <d v="2026-02-11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29"/>
    <s v="OP-SDYR-001"/>
    <x v="295"/>
    <d v="2026-02-11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17"/>
    <s v="OP-SDYR-001"/>
    <x v="295"/>
    <d v="2026-02-11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95"/>
    <d v="2026-02-1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5"/>
    <d v="2026-02-11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95"/>
    <d v="2026-02-11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5"/>
    <d v="2026-02-11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8"/>
    <s v="OP-DYR-005"/>
    <x v="296"/>
    <d v="2026-02-12T00:00:00"/>
    <n v="20"/>
    <x v="0"/>
    <n v="22"/>
    <n v="0"/>
    <n v="0"/>
    <n v="0"/>
    <n v="1"/>
    <n v="0"/>
    <n v="1"/>
    <n v="0"/>
    <n v="0"/>
    <n v="0"/>
    <n v="0"/>
    <n v="0"/>
    <s v="https://www.clickideacore.com/ClickHTML5/Visit.aspx?ID=//5FDAEwASwAzADgANQA3ADUANAA3ADYASQBEAEUAQQA1=&amp;Tipo=2&amp;ST=1&amp;nLang=0"/>
    <n v="0"/>
    <n v="22"/>
    <n v="0"/>
    <n v="0"/>
    <n v="0"/>
    <n v="0"/>
    <n v="0"/>
    <n v="0"/>
  </r>
  <r>
    <x v="1"/>
    <x v="1"/>
    <s v="OP-DYR-004"/>
    <x v="296"/>
    <d v="2026-02-12T00:00:00"/>
    <n v="51"/>
    <x v="0"/>
    <n v="32"/>
    <n v="0"/>
    <n v="0"/>
    <n v="1"/>
    <n v="0"/>
    <n v="0"/>
    <n v="1"/>
    <n v="0"/>
    <n v="0"/>
    <n v="0"/>
    <n v="0"/>
    <n v="0"/>
    <s v="https://www.clickideacore.com/ClickHTML5/Visit.aspx?ID=//50DAEwASwAzADgANQA3ADcAMAA5ADQASQBEAEUAQQAF=&amp;Tipo=2&amp;ST=1&amp;nLang=0"/>
    <n v="0"/>
    <n v="24"/>
    <n v="0"/>
    <n v="0"/>
    <n v="0"/>
    <n v="0"/>
    <n v="0"/>
    <n v="0"/>
  </r>
  <r>
    <x v="2"/>
    <x v="2"/>
    <s v="OP-S-200"/>
    <x v="296"/>
    <d v="2026-02-12T00:00:00"/>
    <n v="20"/>
    <x v="0"/>
    <n v="36"/>
    <n v="0"/>
    <n v="0"/>
    <n v="1"/>
    <n v="0"/>
    <n v="0"/>
    <n v="1"/>
    <n v="0"/>
    <n v="0"/>
    <n v="0"/>
    <n v="0"/>
    <n v="0"/>
    <s v="https://www.clickideacore.com/ClickHTML5/Visit.aspx?ID=//57DAEwASwAzADgANQA3ADEANgAyADQASQBEAEUAQQA9=&amp;Tipo=2&amp;ST=1&amp;nLang=0"/>
    <n v="0"/>
    <n v="18"/>
    <n v="4"/>
    <n v="0"/>
    <n v="0"/>
    <n v="0"/>
    <n v="0"/>
    <n v="0"/>
  </r>
  <r>
    <x v="3"/>
    <x v="3"/>
    <s v="OP-S-076"/>
    <x v="296"/>
    <d v="2026-02-12T00:00:00"/>
    <n v="48"/>
    <x v="0"/>
    <n v="40"/>
    <n v="0"/>
    <n v="0"/>
    <n v="1"/>
    <n v="0"/>
    <n v="0"/>
    <n v="1"/>
    <n v="0"/>
    <n v="0"/>
    <n v="0"/>
    <n v="0"/>
    <n v="0"/>
    <s v="https://www.clickideacore.com/ClickHTML5/Visit.aspx?ID=//52DAEwASwAzADgANQA3ADcANAA3ADgASQBEAEUAQQA9=&amp;Tipo=2&amp;ST=1&amp;nLang=0"/>
    <n v="0"/>
    <n v="21"/>
    <n v="0"/>
    <n v="0"/>
    <n v="0"/>
    <n v="0"/>
    <n v="0"/>
    <n v="0"/>
  </r>
  <r>
    <x v="11"/>
    <x v="17"/>
    <s v="OP-SDYR-001"/>
    <x v="296"/>
    <d v="2026-02-12T00:00:00"/>
    <n v="26"/>
    <x v="0"/>
    <n v="23"/>
    <n v="0"/>
    <n v="0"/>
    <n v="1"/>
    <n v="0"/>
    <n v="0"/>
    <n v="0"/>
    <n v="0"/>
    <n v="0"/>
    <n v="2"/>
    <n v="0"/>
    <n v="0"/>
    <s v="https://www.clickideacore.com/ClickHTML5/Visit.aspx?ID=//53DAEwASwAzADgANQA4ADIANgAyADYASQBEAEUAQQA2=&amp;Tipo=2&amp;ST=1&amp;nLang=0"/>
    <n v="0"/>
    <n v="10"/>
    <n v="1"/>
    <n v="0"/>
    <n v="0"/>
    <n v="0"/>
    <n v="0"/>
    <n v="0"/>
  </r>
  <r>
    <x v="23"/>
    <x v="29"/>
    <s v="OP-SDYR-001"/>
    <x v="296"/>
    <d v="2026-02-12T00:00:00"/>
    <n v="26"/>
    <x v="0"/>
    <n v="20"/>
    <n v="0"/>
    <n v="0"/>
    <n v="1"/>
    <n v="0"/>
    <n v="0"/>
    <n v="0"/>
    <n v="0"/>
    <n v="0"/>
    <n v="0"/>
    <n v="0"/>
    <n v="0"/>
    <s v="https://www.clickideacore.com/ClickHTML5/Visit.aspx?ID=//53DAEwASwAzADgANQA4ADIANgAyADYASQBEAEUAQQA2=&amp;Tipo=2&amp;ST=1&amp;nLang=0"/>
    <n v="0"/>
    <n v="14"/>
    <n v="4"/>
    <n v="0"/>
    <n v="0"/>
    <n v="0"/>
    <n v="0"/>
    <n v="0"/>
  </r>
  <r>
    <x v="5"/>
    <x v="4"/>
    <s v="OP-SDYR-001"/>
    <x v="296"/>
    <d v="2026-02-12T00:00:00"/>
    <n v="26"/>
    <x v="0"/>
    <n v="10"/>
    <n v="0"/>
    <n v="0"/>
    <n v="0"/>
    <n v="0"/>
    <n v="0"/>
    <n v="0"/>
    <n v="0"/>
    <n v="0"/>
    <n v="0"/>
    <n v="0"/>
    <n v="0"/>
    <s v="https://www.clickideacore.com/ClickHTML5/Visit.aspx?ID=//53DAEwASwAzADgANQA4ADIANgAyADYASQBEAEUAQQA2=&amp;Tipo=2&amp;ST=1&amp;nLang=0"/>
    <n v="0"/>
    <n v="0"/>
    <n v="0"/>
    <n v="0"/>
    <n v="0"/>
    <n v="0"/>
    <n v="0"/>
    <n v="0"/>
  </r>
  <r>
    <x v="9"/>
    <x v="0"/>
    <s v="OP-SDYR-001"/>
    <x v="296"/>
    <d v="2026-02-12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7"/>
    <x v="35"/>
    <s v="OP-SDYR-001"/>
    <x v="296"/>
    <d v="2026-02-12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96"/>
    <d v="2026-02-12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6"/>
    <d v="2026-02-1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96"/>
    <d v="2026-02-1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6"/>
    <d v="2026-02-12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6"/>
    <x v="29"/>
    <s v="OP-S-045"/>
    <x v="297"/>
    <d v="2026-02-13T00:00:00"/>
    <n v="39"/>
    <x v="0"/>
    <n v="26"/>
    <n v="0"/>
    <n v="0"/>
    <n v="0"/>
    <n v="1"/>
    <n v="0"/>
    <n v="0"/>
    <n v="0"/>
    <n v="0"/>
    <n v="0"/>
    <n v="0"/>
    <n v="0"/>
    <s v="https://www.clickideacore.com/ClickHTML5/Visit.aspx?ID=//57DAEwASwAzADgANgAwADIAMAA5ADEASQBEAEUAQQA2=&amp;Tipo=2&amp;ST=1&amp;nLang=0"/>
    <n v="0"/>
    <n v="23"/>
    <n v="0"/>
    <n v="0"/>
    <n v="0"/>
    <n v="0"/>
    <n v="0"/>
    <n v="0"/>
  </r>
  <r>
    <x v="1"/>
    <x v="1"/>
    <s v="OP-DYR-004"/>
    <x v="297"/>
    <d v="2026-02-13T00:00:00"/>
    <n v="37"/>
    <x v="0"/>
    <n v="31"/>
    <n v="0"/>
    <n v="0"/>
    <n v="1"/>
    <n v="0"/>
    <n v="0"/>
    <n v="0"/>
    <n v="0"/>
    <n v="0"/>
    <n v="0"/>
    <n v="0"/>
    <n v="0"/>
    <s v="https://www.clickideacore.com/ClickHTML5/Visit.aspx?ID=//5EDAEwASwAzADgANQA5ADkAMgA5ADAASQBEAEUAQQAC=&amp;Tipo=2&amp;ST=1&amp;nLang=0"/>
    <n v="0"/>
    <n v="0"/>
    <n v="0"/>
    <n v="0"/>
    <n v="0"/>
    <n v="0"/>
    <n v="0"/>
    <n v="0"/>
  </r>
  <r>
    <x v="2"/>
    <x v="2"/>
    <s v="OP-DYR-004"/>
    <x v="297"/>
    <d v="2026-02-13T00:00:00"/>
    <n v="37"/>
    <x v="0"/>
    <n v="47"/>
    <n v="0"/>
    <n v="0"/>
    <n v="1"/>
    <n v="0"/>
    <n v="0"/>
    <n v="0"/>
    <n v="0"/>
    <n v="0"/>
    <n v="0"/>
    <n v="0"/>
    <n v="0"/>
    <s v="https://www.clickideacore.com/ClickHTML5/Visit.aspx?ID=//5EDAEwASwAzADgANQA5ADkAMgA5ADAASQBEAEUAQQAC=&amp;Tipo=2&amp;ST=1&amp;nLang=0"/>
    <n v="0"/>
    <n v="0"/>
    <n v="0"/>
    <n v="0"/>
    <n v="0"/>
    <n v="0"/>
    <n v="0"/>
    <n v="0"/>
  </r>
  <r>
    <x v="3"/>
    <x v="3"/>
    <s v="OP-S-076"/>
    <x v="297"/>
    <d v="2026-02-13T00:00:00"/>
    <n v="38"/>
    <x v="0"/>
    <n v="34"/>
    <n v="0"/>
    <n v="0"/>
    <n v="1"/>
    <n v="0"/>
    <n v="0"/>
    <n v="0"/>
    <n v="0"/>
    <n v="0"/>
    <n v="0"/>
    <n v="0"/>
    <n v="0"/>
    <s v="https://www.clickideacore.com/ClickHTML5/Visit.aspx?ID=//5FDAEwASwAzADgANgAwADAAMgA2ADIASQBEAEUAQQAC=&amp;Tipo=2&amp;ST=1&amp;nLang=0"/>
    <n v="0"/>
    <n v="3"/>
    <n v="0"/>
    <n v="0"/>
    <n v="0"/>
    <n v="0"/>
    <n v="0"/>
    <n v="0"/>
  </r>
  <r>
    <x v="11"/>
    <x v="17"/>
    <s v="OP-SDYR-001"/>
    <x v="297"/>
    <d v="2026-02-13T00:00:00"/>
    <n v="24"/>
    <x v="0"/>
    <n v="32"/>
    <n v="0"/>
    <n v="0"/>
    <n v="1"/>
    <n v="0"/>
    <n v="0"/>
    <n v="0"/>
    <n v="0"/>
    <n v="0"/>
    <n v="2"/>
    <n v="0"/>
    <n v="0"/>
    <s v="https://www.clickideacore.com/ClickHTML5/Visit.aspx?ID=//55DAEwASwAzADgANgAwADMAMwAzADYASQBEAEUAQQAA=&amp;Tipo=2&amp;ST=1&amp;nLang=0"/>
    <n v="0"/>
    <n v="43"/>
    <n v="5"/>
    <n v="0"/>
    <n v="0"/>
    <n v="0"/>
    <n v="0"/>
    <n v="0"/>
  </r>
  <r>
    <x v="17"/>
    <x v="35"/>
    <s v="OP-DYR-00001"/>
    <x v="297"/>
    <d v="2026-02-13T00:00:00"/>
    <n v="145"/>
    <x v="0"/>
    <n v="23"/>
    <n v="0"/>
    <n v="0"/>
    <n v="1"/>
    <n v="0"/>
    <n v="1"/>
    <n v="0"/>
    <n v="0"/>
    <n v="0"/>
    <n v="0"/>
    <n v="0"/>
    <n v="0"/>
    <s v="https://www.clickideacore.com/ClickHTML5/Visit.aspx?ID=//58DAEwASwAzADgANQA5ADgAMAAwADkASQBEAEUAQQA5=&amp;Tipo=2&amp;ST=1&amp;nLang=0"/>
    <n v="0"/>
    <n v="0"/>
    <n v="0"/>
    <n v="0"/>
    <n v="0"/>
    <n v="0"/>
    <n v="0"/>
    <n v="0"/>
  </r>
  <r>
    <x v="5"/>
    <x v="4"/>
    <s v="OP-S-005"/>
    <x v="297"/>
    <d v="2026-02-13T00:00:00"/>
    <n v="74"/>
    <x v="0"/>
    <n v="0"/>
    <n v="0"/>
    <n v="0"/>
    <n v="0"/>
    <n v="0"/>
    <n v="0"/>
    <n v="0"/>
    <n v="0"/>
    <n v="0"/>
    <n v="0"/>
    <n v="0"/>
    <n v="0"/>
    <s v="https://www.clickideacore.com/ClickHTML5/Visit.aspx?ID=//5BDAEwASwAzADgANgAwADMAMgA4ADEASQBEAEUAQQA7=&amp;Tipo=2&amp;ST=1&amp;nLang=0"/>
    <n v="0"/>
    <n v="34"/>
    <n v="5"/>
    <n v="0"/>
    <n v="0"/>
    <n v="0"/>
    <n v="0"/>
    <n v="0"/>
  </r>
  <r>
    <x v="4"/>
    <x v="6"/>
    <s v="OP-SDYR-001"/>
    <x v="297"/>
    <d v="2026-02-13T00:00:00"/>
    <n v="23"/>
    <x v="7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0"/>
    <x v="6"/>
    <s v="OP-S-076"/>
    <x v="297"/>
    <d v="2026-02-13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7"/>
    <d v="2026-02-1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6"/>
    <s v="OP-S-076"/>
    <x v="297"/>
    <d v="2026-02-1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-076"/>
    <x v="297"/>
    <d v="2026-02-1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0"/>
    <s v="OP-S-076"/>
    <x v="297"/>
    <d v="2026-02-13T00:00:00"/>
    <n v="21"/>
    <x v="4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7"/>
    <d v="2026-02-13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6"/>
    <x v="29"/>
    <s v="OP-S-045"/>
    <x v="298"/>
    <d v="2026-02-14T00:00:00"/>
    <n v="31"/>
    <x v="0"/>
    <n v="0"/>
    <n v="0"/>
    <n v="0"/>
    <n v="0"/>
    <n v="0"/>
    <n v="0"/>
    <n v="0"/>
    <n v="1"/>
    <n v="0"/>
    <n v="0"/>
    <n v="1"/>
    <n v="0"/>
    <s v="https://www.clickideacore.com/ClickHTML5/Visit.aspx?ID=//55DAEwASwAzADgANgAxADcAMwAwADAASQBEAEUAQQA3=&amp;Tipo=2&amp;ST=1&amp;nLang=0"/>
    <n v="14"/>
    <n v="0"/>
    <n v="0"/>
    <n v="0"/>
    <n v="0"/>
    <n v="0"/>
    <n v="0"/>
    <n v="0"/>
  </r>
  <r>
    <x v="1"/>
    <x v="33"/>
    <s v="OP-DYR-004"/>
    <x v="298"/>
    <d v="2026-02-14T00:00:00"/>
    <n v="40"/>
    <x v="0"/>
    <n v="0"/>
    <n v="0"/>
    <n v="0"/>
    <n v="0"/>
    <n v="0"/>
    <n v="0"/>
    <n v="0"/>
    <n v="1"/>
    <n v="0"/>
    <n v="4"/>
    <n v="1"/>
    <n v="0"/>
    <s v="https://www.clickideacore.com/ClickHTML5/Visit.aspx?ID=//5CDAEwASwAzADgANgAxADgANAAwADEASQBEAEUAQQA9=&amp;Tipo=2&amp;ST=1&amp;nLang=0"/>
    <n v="23"/>
    <n v="0"/>
    <n v="0"/>
    <n v="0"/>
    <n v="0"/>
    <n v="0"/>
    <n v="1"/>
    <n v="0"/>
  </r>
  <r>
    <x v="2"/>
    <x v="2"/>
    <s v="OP-DYR-004"/>
    <x v="298"/>
    <d v="2026-02-14T00:00:00"/>
    <n v="40"/>
    <x v="0"/>
    <n v="0"/>
    <n v="0"/>
    <n v="0"/>
    <n v="0"/>
    <n v="0"/>
    <n v="0"/>
    <n v="0"/>
    <n v="1"/>
    <n v="0"/>
    <n v="4"/>
    <n v="1"/>
    <n v="0"/>
    <s v="https://www.clickideacore.com/ClickHTML5/Visit.aspx?ID=//5CDAEwASwAzADgANgAxADgANAAwADEASQBEAEUAQQA9=&amp;Tipo=2&amp;ST=1&amp;nLang=0"/>
    <n v="0"/>
    <n v="0"/>
    <n v="0"/>
    <n v="0"/>
    <n v="0"/>
    <n v="0"/>
    <n v="0"/>
    <n v="0"/>
  </r>
  <r>
    <x v="3"/>
    <x v="3"/>
    <s v="OP-S-076"/>
    <x v="298"/>
    <d v="2026-02-14T00:00:00"/>
    <n v="31"/>
    <x v="0"/>
    <n v="0"/>
    <n v="0"/>
    <n v="0"/>
    <n v="0"/>
    <n v="0"/>
    <n v="0"/>
    <n v="0"/>
    <n v="1"/>
    <n v="0"/>
    <n v="0"/>
    <n v="1"/>
    <n v="0"/>
    <s v="https://www.clickideacore.com/ClickHTML5/Visit.aspx?ID=//5BDAEwASwAzADgANgAxADcAMQAyADUASQBEAEUAQQA6=&amp;Tipo=2&amp;ST=1&amp;nLang=0"/>
    <n v="0"/>
    <n v="0"/>
    <n v="0"/>
    <n v="0"/>
    <n v="0"/>
    <n v="0"/>
    <n v="0"/>
    <n v="0"/>
  </r>
  <r>
    <x v="23"/>
    <x v="17"/>
    <s v="OP-S-77"/>
    <x v="298"/>
    <d v="2026-02-14T00:00:00"/>
    <n v="24"/>
    <x v="0"/>
    <n v="0"/>
    <n v="0"/>
    <n v="0"/>
    <n v="0"/>
    <n v="0"/>
    <n v="0"/>
    <n v="0"/>
    <n v="1"/>
    <n v="0"/>
    <n v="0"/>
    <n v="1"/>
    <n v="0"/>
    <s v="https://www.clickideacore.com/ClickHTML5/Visit.aspx?ID=//56DAEwASwAzADgANgAxADUAMwAyADAASQBEAEUAQQAE=&amp;Tipo=2&amp;ST=1&amp;nLang=0"/>
    <n v="14"/>
    <n v="0"/>
    <n v="0"/>
    <n v="0"/>
    <n v="0"/>
    <n v="0"/>
    <n v="0"/>
    <n v="0"/>
  </r>
  <r>
    <x v="17"/>
    <x v="35"/>
    <s v="OP-DYR-00001"/>
    <x v="298"/>
    <d v="2026-02-14T00:00:00"/>
    <n v="97"/>
    <x v="0"/>
    <n v="0"/>
    <n v="0"/>
    <n v="0"/>
    <n v="0"/>
    <n v="0"/>
    <n v="0"/>
    <n v="0"/>
    <n v="1"/>
    <n v="0"/>
    <n v="0"/>
    <n v="1"/>
    <n v="0"/>
    <s v="https://www.clickideacore.com/ClickHTML5/Visit.aspx?ID=//5BDAEwASwAzADgANgAxADgAMQA5ADIASQBEAEUAQQAC=&amp;Tipo=2&amp;ST=1&amp;nLang=0"/>
    <n v="18"/>
    <n v="0"/>
    <n v="0"/>
    <n v="0"/>
    <n v="0"/>
    <n v="0"/>
    <n v="0"/>
    <n v="0"/>
  </r>
  <r>
    <x v="5"/>
    <x v="4"/>
    <s v="OP-SDYR-001"/>
    <x v="298"/>
    <d v="2026-02-14T00:00:00"/>
    <n v="23"/>
    <x v="5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1"/>
    <s v="OP-SDYR-001"/>
    <x v="298"/>
    <d v="2026-02-14T00:00:00"/>
    <n v="23"/>
    <x v="5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1"/>
    <x v="6"/>
    <s v="OP-S-076"/>
    <x v="298"/>
    <d v="2026-02-1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98"/>
    <d v="2026-02-1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8"/>
    <d v="2026-02-14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076"/>
    <x v="298"/>
    <d v="2026-02-1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8"/>
    <d v="2026-02-14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6"/>
    <x v="29"/>
    <s v="OP-S-045"/>
    <x v="299"/>
    <d v="2026-02-15T00:00:00"/>
    <n v="34"/>
    <x v="0"/>
    <n v="0"/>
    <n v="0"/>
    <n v="0"/>
    <n v="0"/>
    <n v="0"/>
    <n v="0"/>
    <n v="0"/>
    <n v="0"/>
    <n v="1"/>
    <n v="13"/>
    <n v="0"/>
    <n v="1"/>
    <s v="https://www.clickideacore.com/ClickHTML5/Visit.aspx?ID=//5EDAEwASwAzADgANgAyADUAMgA4ADcASQBEAEUAQQA5=&amp;Tipo=2&amp;ST=1&amp;nLang=0"/>
    <n v="20"/>
    <n v="0"/>
    <n v="0"/>
    <n v="0"/>
    <n v="0"/>
    <n v="0"/>
    <n v="0"/>
    <n v="1"/>
  </r>
  <r>
    <x v="1"/>
    <x v="33"/>
    <s v="OP-DYR-004"/>
    <x v="299"/>
    <d v="2026-02-15T00:00:00"/>
    <n v="34"/>
    <x v="0"/>
    <n v="0"/>
    <n v="0"/>
    <n v="0"/>
    <n v="0"/>
    <n v="0"/>
    <n v="0"/>
    <n v="0"/>
    <n v="0"/>
    <n v="1"/>
    <n v="3"/>
    <n v="0"/>
    <n v="1"/>
    <s v="https://www.clickideacore.com/ClickHTML5/Visit.aspx?ID=//50DAEwASwAzADgANgAyADYAMAA1ADYASQBEAEUAQQA1=&amp;Tipo=2&amp;ST=1&amp;nLang=0"/>
    <n v="16"/>
    <n v="0"/>
    <n v="0"/>
    <n v="0"/>
    <n v="0"/>
    <n v="0"/>
    <n v="0"/>
    <n v="0"/>
  </r>
  <r>
    <x v="2"/>
    <x v="2"/>
    <s v="OP-DYR-004"/>
    <x v="299"/>
    <d v="2026-02-15T00:00:00"/>
    <n v="34"/>
    <x v="0"/>
    <n v="0"/>
    <n v="0"/>
    <n v="0"/>
    <n v="0"/>
    <n v="0"/>
    <n v="0"/>
    <n v="0"/>
    <n v="0"/>
    <n v="1"/>
    <n v="6"/>
    <n v="0"/>
    <n v="1"/>
    <s v="https://www.clickideacore.com/ClickHTML5/Visit.aspx?ID=//50DAEwASwAzADgANgAyADYAMAA1ADYASQBEAEUAQQA1=&amp;Tipo=2&amp;ST=1&amp;nLang=0"/>
    <n v="0"/>
    <n v="0"/>
    <n v="0"/>
    <n v="0"/>
    <n v="0"/>
    <n v="0"/>
    <n v="0"/>
    <n v="0"/>
  </r>
  <r>
    <x v="3"/>
    <x v="3"/>
    <s v="OP-S-076"/>
    <x v="299"/>
    <d v="2026-02-15T00:00:00"/>
    <n v="56"/>
    <x v="0"/>
    <n v="0"/>
    <n v="0"/>
    <n v="0"/>
    <n v="0"/>
    <n v="0"/>
    <n v="0"/>
    <n v="0"/>
    <n v="0"/>
    <n v="1"/>
    <n v="5"/>
    <n v="0"/>
    <n v="1"/>
    <s v="https://www.clickideacore.com/ClickHTML5/Visit.aspx?ID=//5CDAEwASwAzADgANgAyADUAMwA3ADMASQBEAEUAQQA3=&amp;Tipo=2&amp;ST=1&amp;nLang=0"/>
    <n v="0"/>
    <n v="0"/>
    <n v="0"/>
    <n v="0"/>
    <n v="0"/>
    <n v="0"/>
    <n v="0"/>
    <n v="0"/>
  </r>
  <r>
    <x v="17"/>
    <x v="35"/>
    <s v="OP-DYR-00001"/>
    <x v="299"/>
    <d v="2026-02-15T00:00:00"/>
    <n v="169"/>
    <x v="0"/>
    <n v="0"/>
    <n v="0"/>
    <n v="0"/>
    <n v="0"/>
    <n v="0"/>
    <n v="0"/>
    <n v="0"/>
    <n v="0"/>
    <n v="1"/>
    <n v="0"/>
    <n v="0"/>
    <n v="1"/>
    <s v="https://www.clickideacore.com/ClickHTML5/Visit.aspx?ID=//59DAEwASwAzADgANgAyADYANgA3ADAASQBEAEUAQQAF=&amp;Tipo=2&amp;ST=1&amp;nLang=0"/>
    <n v="18"/>
    <n v="0"/>
    <n v="0"/>
    <n v="0"/>
    <n v="0"/>
    <n v="0"/>
    <n v="0"/>
    <n v="0"/>
  </r>
  <r>
    <x v="23"/>
    <x v="17"/>
    <s v="OP-S-77"/>
    <x v="299"/>
    <d v="2026-02-15T00:00:00"/>
    <n v="39"/>
    <x v="0"/>
    <n v="0"/>
    <n v="0"/>
    <n v="0"/>
    <n v="0"/>
    <n v="0"/>
    <n v="0"/>
    <n v="0"/>
    <n v="0"/>
    <n v="1"/>
    <n v="0"/>
    <n v="0"/>
    <n v="1"/>
    <s v="https://www.clickideacore.com/ClickHTML5/Visit.aspx?ID=//51DAEwASwAzADgANgAyADcAMAA1ADIASQBEAEUAQQAD=&amp;Tipo=2&amp;ST=1&amp;nLang=0"/>
    <n v="15"/>
    <n v="0"/>
    <n v="0"/>
    <n v="0"/>
    <n v="0"/>
    <n v="0"/>
    <n v="0"/>
    <n v="0"/>
  </r>
  <r>
    <x v="5"/>
    <x v="4"/>
    <s v="OP-SDYR-001"/>
    <x v="299"/>
    <d v="2026-02-15T00:00:00"/>
    <n v="23"/>
    <x v="5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1"/>
    <s v="OP-SDYR-001"/>
    <x v="299"/>
    <d v="2026-02-15T00:00:00"/>
    <n v="23"/>
    <x v="5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1"/>
    <x v="6"/>
    <s v="OP-S-076"/>
    <x v="299"/>
    <d v="2026-02-1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6"/>
    <s v="OP-S-076"/>
    <x v="299"/>
    <d v="2026-02-1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299"/>
    <d v="2026-02-15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-076"/>
    <x v="299"/>
    <d v="2026-02-1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299"/>
    <d v="2026-02-15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31"/>
    <s v="OP-DYR-011"/>
    <x v="300"/>
    <d v="2026-02-16T00:00:00"/>
    <n v="18"/>
    <x v="0"/>
    <n v="11"/>
    <n v="0"/>
    <n v="0"/>
    <n v="0"/>
    <n v="0"/>
    <n v="0"/>
    <n v="0"/>
    <n v="0"/>
    <n v="0"/>
    <n v="0"/>
    <n v="0"/>
    <n v="0"/>
    <s v="https://www.clickideacore.com/ClickHTML5/Visit.aspx?ID=//53DAEwASwAzADgANgAzADkAOAAyADIASQBEAEUAQQA0=&amp;Tipo=2&amp;ST=1&amp;nLang=0"/>
    <n v="0"/>
    <n v="5"/>
    <n v="0"/>
    <n v="0"/>
    <n v="0"/>
    <n v="0"/>
    <n v="0"/>
    <n v="0"/>
  </r>
  <r>
    <x v="10"/>
    <x v="2"/>
    <s v="OP-DYR-011"/>
    <x v="300"/>
    <d v="2026-02-16T00:00:00"/>
    <n v="18"/>
    <x v="0"/>
    <n v="0"/>
    <n v="0"/>
    <n v="0"/>
    <n v="0"/>
    <n v="0"/>
    <n v="0"/>
    <n v="0"/>
    <n v="0"/>
    <n v="0"/>
    <n v="0"/>
    <n v="0"/>
    <n v="0"/>
    <s v="https://www.clickideacore.com/ClickHTML5/Visit.aspx?ID=//5CDAEwASwAzADgANgAzADgAOQA4ADcASQBEAEUAQQA8=&amp;Tipo=2&amp;ST=1&amp;nLang=0"/>
    <n v="0"/>
    <n v="14"/>
    <n v="1"/>
    <n v="0"/>
    <n v="0"/>
    <n v="0"/>
    <n v="0"/>
    <n v="0"/>
  </r>
  <r>
    <x v="0"/>
    <x v="0"/>
    <s v="OP-S-100"/>
    <x v="300"/>
    <d v="2026-02-16T00:00:00"/>
    <n v="65"/>
    <x v="0"/>
    <n v="12"/>
    <n v="0"/>
    <n v="0"/>
    <n v="0"/>
    <n v="0"/>
    <n v="1"/>
    <n v="0"/>
    <n v="0"/>
    <n v="0"/>
    <n v="0"/>
    <n v="0"/>
    <n v="0"/>
    <s v="https://www.clickideacore.com/ClickHTML5/Visit.aspx?ID=//5ADAEwASwAzADgANgAzADkANAAwADEASQBEAEUAQQAA=&amp;Tipo=2&amp;ST=1&amp;nLang=0"/>
    <n v="0"/>
    <n v="0"/>
    <n v="0"/>
    <n v="0"/>
    <n v="0"/>
    <n v="0"/>
    <n v="0"/>
    <n v="0"/>
  </r>
  <r>
    <x v="3"/>
    <x v="3"/>
    <s v="OP-SDYR-001"/>
    <x v="300"/>
    <d v="2026-02-1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"/>
    <x v="8"/>
    <s v="OP-SDYR-001"/>
    <x v="300"/>
    <d v="2026-02-1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7"/>
    <x v="35"/>
    <s v="OP-SDYR-001"/>
    <x v="300"/>
    <d v="2026-02-16T00:00:00"/>
    <n v="23"/>
    <x v="4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11"/>
    <x v="29"/>
    <s v="OP-SDYR-001"/>
    <x v="300"/>
    <d v="2026-02-16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1"/>
    <s v="OP-SDYR-001"/>
    <x v="300"/>
    <d v="2026-02-16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0"/>
    <d v="2026-02-1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0"/>
    <d v="2026-02-16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300"/>
    <d v="2026-02-1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-076"/>
    <x v="300"/>
    <d v="2026-02-1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300"/>
    <d v="2026-02-16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8"/>
    <s v="OP-DYR-011"/>
    <x v="301"/>
    <d v="2026-02-17T00:00:00"/>
    <n v="20"/>
    <x v="0"/>
    <n v="20"/>
    <n v="0"/>
    <n v="0"/>
    <n v="0"/>
    <n v="1"/>
    <n v="0"/>
    <n v="0"/>
    <n v="0"/>
    <n v="0"/>
    <n v="0"/>
    <n v="0"/>
    <n v="0"/>
    <s v="https://www.clickideacore.com/ClickHTML5/Visit.aspx?ID=//52DAEwASwAzADgANgA2ADcAMQAxADIASQBEAEUAQQAA=&amp;Tipo=2&amp;ST=1&amp;nLang=0"/>
    <n v="0"/>
    <n v="0"/>
    <n v="0"/>
    <n v="0"/>
    <n v="0"/>
    <n v="0"/>
    <n v="0"/>
    <n v="0"/>
  </r>
  <r>
    <x v="2"/>
    <x v="2"/>
    <s v="OP-S-200"/>
    <x v="301"/>
    <d v="2026-02-17T00:00:00"/>
    <n v="22"/>
    <x v="0"/>
    <n v="20"/>
    <n v="0"/>
    <n v="0"/>
    <n v="1"/>
    <n v="0"/>
    <n v="0"/>
    <n v="0"/>
    <n v="0"/>
    <n v="0"/>
    <n v="0"/>
    <n v="0"/>
    <n v="0"/>
    <s v="https://www.clickideacore.com/ClickHTML5/Visit.aspx?ID=//5EDAEwASwAzADgANgA2ADQAOQA1ADIASQBEAEUAQQA5=&amp;Tipo=2&amp;ST=1&amp;nLang=0"/>
    <n v="0"/>
    <n v="4"/>
    <n v="1"/>
    <n v="0"/>
    <n v="0"/>
    <n v="0"/>
    <n v="0"/>
    <n v="0"/>
  </r>
  <r>
    <x v="1"/>
    <x v="31"/>
    <s v="OP-DYR-004"/>
    <x v="301"/>
    <d v="2026-02-17T00:00:00"/>
    <n v="34"/>
    <x v="0"/>
    <n v="36"/>
    <n v="0"/>
    <n v="0"/>
    <n v="1"/>
    <n v="0"/>
    <n v="0"/>
    <n v="0"/>
    <n v="0"/>
    <n v="0"/>
    <n v="0"/>
    <n v="0"/>
    <n v="0"/>
    <s v="https://www.clickideacore.com/ClickHTML5/Visit.aspx?ID=//5CDAEwASwAzADgANgA3ADIAMQA1ADYASQBEAEUAQQA1=&amp;Tipo=2&amp;ST=1&amp;nLang=0"/>
    <n v="0"/>
    <n v="0"/>
    <n v="0"/>
    <n v="0"/>
    <n v="0"/>
    <n v="0"/>
    <n v="0"/>
    <n v="0"/>
  </r>
  <r>
    <x v="3"/>
    <x v="3"/>
    <s v="OP-S-076"/>
    <x v="301"/>
    <d v="2026-02-17T00:00:00"/>
    <n v="52"/>
    <x v="0"/>
    <n v="43"/>
    <n v="0"/>
    <n v="0"/>
    <n v="1"/>
    <n v="0"/>
    <n v="1"/>
    <n v="0"/>
    <n v="0"/>
    <n v="0"/>
    <n v="0"/>
    <n v="0"/>
    <n v="0"/>
    <s v="https://www.clickideacore.com/ClickHTML5/Visit.aspx?ID=//50DAEwASwAzADgANgA2ADcAMwAzADEASQBEAEUAQQA3=&amp;Tipo=2&amp;ST=1&amp;nLang=0"/>
    <n v="0"/>
    <n v="0"/>
    <n v="0"/>
    <n v="0"/>
    <n v="0"/>
    <n v="0"/>
    <n v="0"/>
    <n v="0"/>
  </r>
  <r>
    <x v="11"/>
    <x v="29"/>
    <s v="OP-SDYR-001"/>
    <x v="301"/>
    <d v="2026-02-17T00:00:00"/>
    <n v="72"/>
    <x v="0"/>
    <n v="32"/>
    <n v="0"/>
    <n v="0"/>
    <n v="1"/>
    <n v="0"/>
    <n v="0"/>
    <n v="0"/>
    <n v="0"/>
    <n v="0"/>
    <n v="2"/>
    <n v="0"/>
    <n v="0"/>
    <s v="https://www.clickideacore.com/ClickHTML5/Visit.aspx?ID=//5ADAEwASwAzADgANgA3ADUANgAxADUASQBEAEUAQQAD=&amp;Tipo=2&amp;ST=1&amp;nLang=0"/>
    <n v="0"/>
    <n v="0"/>
    <n v="0"/>
    <n v="0"/>
    <n v="0"/>
    <n v="0"/>
    <n v="0"/>
    <n v="0"/>
  </r>
  <r>
    <x v="0"/>
    <x v="0"/>
    <s v="OP-S-100"/>
    <x v="301"/>
    <d v="2026-02-17T00:00:00"/>
    <n v="22"/>
    <x v="0"/>
    <n v="33"/>
    <n v="0"/>
    <n v="0"/>
    <n v="1"/>
    <n v="0"/>
    <n v="0"/>
    <n v="0"/>
    <n v="0"/>
    <n v="0"/>
    <n v="0"/>
    <n v="0"/>
    <n v="0"/>
    <s v="https://www.clickideacore.com/ClickHTML5/Visit.aspx?ID=//5DDAEwASwAzADgANgA2ADcAMAAxADEASQBEAEUAQQAA=&amp;Tipo=2&amp;ST=1&amp;nLang=0"/>
    <n v="0"/>
    <n v="0"/>
    <n v="0"/>
    <n v="0"/>
    <n v="0"/>
    <n v="0"/>
    <n v="0"/>
    <n v="0"/>
  </r>
  <r>
    <x v="19"/>
    <x v="6"/>
    <s v="OP-S-076"/>
    <x v="301"/>
    <d v="2026-02-17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301"/>
    <d v="2026-02-17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7"/>
    <x v="35"/>
    <s v="OP-SDYR-001"/>
    <x v="301"/>
    <d v="2026-02-17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3"/>
    <x v="6"/>
    <s v="OP-SDYR-001"/>
    <x v="301"/>
    <d v="2026-02-17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1"/>
    <s v="OP-SDYR-001"/>
    <x v="301"/>
    <d v="2026-02-17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1"/>
    <d v="2026-02-1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1"/>
    <d v="2026-02-17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8"/>
    <s v="OP-DYR-011"/>
    <x v="302"/>
    <d v="2026-02-18T00:00:00"/>
    <n v="44"/>
    <x v="0"/>
    <n v="34"/>
    <n v="0"/>
    <n v="0"/>
    <n v="1"/>
    <n v="0"/>
    <n v="0"/>
    <n v="0"/>
    <n v="0"/>
    <n v="0"/>
    <n v="0"/>
    <n v="0"/>
    <n v="0"/>
    <s v="https://www.clickideacore.com/ClickHTML5/Visit.aspx?ID=//56DAEwASwAzADgANgA5ADEANgAxADMASQBEAEUAQQA2=&amp;Tipo=2&amp;ST=1&amp;nLang=0"/>
    <n v="0"/>
    <n v="0"/>
    <n v="0"/>
    <n v="0"/>
    <n v="0"/>
    <n v="0"/>
    <n v="0"/>
    <n v="0"/>
  </r>
  <r>
    <x v="1"/>
    <x v="31"/>
    <s v="OP-DYR-004"/>
    <x v="302"/>
    <d v="2026-02-18T00:00:00"/>
    <n v="66"/>
    <x v="0"/>
    <n v="35"/>
    <n v="0"/>
    <n v="0"/>
    <n v="0"/>
    <n v="1"/>
    <n v="0"/>
    <n v="0"/>
    <n v="0"/>
    <n v="0"/>
    <n v="0"/>
    <n v="0"/>
    <n v="0"/>
    <s v="https://www.clickideacore.com/ClickHTML5/Visit.aspx?ID=//5ADAEwASwAzADgANgA4ADQANwA5ADUASQBEAEUAQQA3=&amp;Tipo=2&amp;ST=1&amp;nLang=0"/>
    <n v="0"/>
    <n v="0"/>
    <n v="0"/>
    <n v="0"/>
    <n v="0"/>
    <n v="0"/>
    <n v="0"/>
    <n v="0"/>
  </r>
  <r>
    <x v="17"/>
    <x v="35"/>
    <s v="OP-DYR-00001"/>
    <x v="302"/>
    <d v="2026-02-18T00:00:00"/>
    <n v="51"/>
    <x v="0"/>
    <n v="42"/>
    <n v="0"/>
    <n v="0"/>
    <n v="1"/>
    <n v="0"/>
    <n v="0"/>
    <n v="0"/>
    <n v="0"/>
    <n v="0"/>
    <n v="0"/>
    <n v="0"/>
    <n v="0"/>
    <s v="https://www.clickideacore.com/ClickHTML5/Visit.aspx?ID=//5DDAEwASwAzADgANgA5ADIANQA5ADcASQBEAEUAQQA1=&amp;Tipo=2&amp;ST=1&amp;nLang=0"/>
    <n v="0"/>
    <n v="0"/>
    <n v="0"/>
    <n v="0"/>
    <n v="0"/>
    <n v="0"/>
    <n v="0"/>
    <n v="0"/>
  </r>
  <r>
    <x v="3"/>
    <x v="3"/>
    <s v="OP-S-076"/>
    <x v="302"/>
    <d v="2026-02-18T00:00:00"/>
    <n v="23"/>
    <x v="0"/>
    <n v="40"/>
    <n v="0"/>
    <n v="0"/>
    <n v="1"/>
    <n v="0"/>
    <n v="0"/>
    <n v="0"/>
    <n v="0"/>
    <n v="0"/>
    <n v="0"/>
    <n v="0"/>
    <n v="0"/>
    <s v="https://www.clickideacore.com/ClickHTML5/Visit.aspx?ID=//5EDAEwASwAzADgANgA5ADMAOAA0ADgASQBEAEUAQQAA=&amp;Tipo=2&amp;ST=1&amp;nLang=0"/>
    <n v="0"/>
    <n v="0"/>
    <n v="0"/>
    <n v="0"/>
    <n v="0"/>
    <n v="0"/>
    <n v="0"/>
    <n v="0"/>
  </r>
  <r>
    <x v="11"/>
    <x v="29"/>
    <s v="OP-SDYR-001"/>
    <x v="302"/>
    <d v="2026-02-18T00:00:00"/>
    <n v="73"/>
    <x v="0"/>
    <n v="16"/>
    <n v="0"/>
    <n v="0"/>
    <n v="1"/>
    <n v="0"/>
    <n v="0"/>
    <n v="0"/>
    <n v="0"/>
    <n v="0"/>
    <n v="0"/>
    <n v="0"/>
    <n v="0"/>
    <s v="https://www.clickideacore.com/ClickHTML5/Visit.aspx?ID=//5CDAEwASwAzADgANgA5ADAAMQAxADEASQBEAEUAQQA0=&amp;Tipo=2&amp;ST=1&amp;nLang=0"/>
    <n v="0"/>
    <n v="0"/>
    <n v="0"/>
    <n v="0"/>
    <n v="0"/>
    <n v="0"/>
    <n v="0"/>
    <n v="0"/>
  </r>
  <r>
    <x v="19"/>
    <x v="6"/>
    <s v="OP-S-076"/>
    <x v="302"/>
    <d v="2026-02-1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DYR-001"/>
    <x v="302"/>
    <d v="2026-02-18T00:00:00"/>
    <n v="23"/>
    <x v="6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7"/>
    <s v="OP-S-076"/>
    <x v="302"/>
    <d v="2026-02-18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0"/>
    <x v="0"/>
    <s v="OP-SDYR-001"/>
    <x v="302"/>
    <d v="2026-02-18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2"/>
    <x v="2"/>
    <s v="OP-SDYR-001"/>
    <x v="302"/>
    <d v="2026-02-18T00:00:00"/>
    <n v="23"/>
    <x v="1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4"/>
    <x v="1"/>
    <s v="OP-SDYR-001"/>
    <x v="302"/>
    <d v="2026-02-18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2"/>
    <d v="2026-02-1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2"/>
    <d v="2026-02-18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8"/>
    <s v="OP-DYR-011"/>
    <x v="303"/>
    <d v="2026-02-19T00:00:00"/>
    <n v="28"/>
    <x v="0"/>
    <n v="22"/>
    <n v="0"/>
    <n v="0"/>
    <n v="0"/>
    <n v="1"/>
    <n v="0"/>
    <n v="0"/>
    <n v="0"/>
    <n v="0"/>
    <n v="0"/>
    <n v="0"/>
    <n v="0"/>
    <s v="https://www.clickideacore.com/ClickHTML5/Visit.aspx?ID=//5BDAEwASwAzADgANwAxADYANgAzADUASQBEAEUAQQAD=&amp;Tipo=2&amp;ST=1&amp;nLang=0"/>
    <n v="0"/>
    <n v="0"/>
    <n v="0"/>
    <n v="0"/>
    <n v="0"/>
    <n v="0"/>
    <n v="0"/>
    <n v="0"/>
  </r>
  <r>
    <x v="2"/>
    <x v="2"/>
    <s v="OP-S-200"/>
    <x v="303"/>
    <d v="2026-02-19T00:00:00"/>
    <n v="25"/>
    <x v="0"/>
    <n v="38"/>
    <n v="0"/>
    <n v="0"/>
    <n v="1"/>
    <n v="0"/>
    <n v="0"/>
    <n v="0"/>
    <n v="0"/>
    <n v="0"/>
    <n v="2"/>
    <n v="0"/>
    <n v="0"/>
    <s v="https://www.clickideacore.com/ClickHTML5/Visit.aspx?ID=//51DAEwASwAzADgANwAyADAANQA5ADEASQBEAEUAQQAA=&amp;Tipo=2&amp;ST=1&amp;nLang=0"/>
    <n v="0"/>
    <n v="0"/>
    <n v="0"/>
    <n v="0"/>
    <n v="0"/>
    <n v="0"/>
    <n v="0"/>
    <n v="0"/>
  </r>
  <r>
    <x v="17"/>
    <x v="35"/>
    <s v="OP-DYR-00001"/>
    <x v="303"/>
    <d v="2026-02-19T00:00:00"/>
    <n v="823"/>
    <x v="0"/>
    <n v="39"/>
    <n v="0"/>
    <n v="0"/>
    <n v="1"/>
    <n v="0"/>
    <n v="1"/>
    <n v="0"/>
    <n v="0"/>
    <n v="0"/>
    <n v="0"/>
    <n v="0"/>
    <n v="0"/>
    <s v="https://www.clickideacore.com/ClickHTML5/Visit.aspx?ID=//50DAEwASwAzADgANwAxADUAOQAwADUASQBEAEUAQQA6=&amp;Tipo=2&amp;ST=1&amp;nLang=0"/>
    <n v="0"/>
    <n v="0"/>
    <n v="0"/>
    <n v="0"/>
    <n v="0"/>
    <n v="0"/>
    <n v="0"/>
    <n v="0"/>
  </r>
  <r>
    <x v="3"/>
    <x v="3"/>
    <s v="OP-S-076"/>
    <x v="303"/>
    <d v="2026-02-19T00:00:00"/>
    <n v="64"/>
    <x v="0"/>
    <n v="40"/>
    <n v="0"/>
    <n v="0"/>
    <n v="1"/>
    <n v="0"/>
    <n v="0"/>
    <n v="0"/>
    <n v="0"/>
    <n v="0"/>
    <n v="1"/>
    <n v="0"/>
    <n v="0"/>
    <s v="https://www.clickideacore.com/ClickHTML5/Visit.aspx?ID=//58DAEwASwAzADgANwAxADcANgA4ADQASQBEAEUAQQA8=&amp;Tipo=2&amp;ST=1&amp;nLang=0"/>
    <n v="0"/>
    <n v="0"/>
    <n v="0"/>
    <n v="0"/>
    <n v="0"/>
    <n v="0"/>
    <n v="0"/>
    <n v="0"/>
  </r>
  <r>
    <x v="11"/>
    <x v="29"/>
    <s v="OP-SDYR-001"/>
    <x v="303"/>
    <d v="2026-02-19T00:00:00"/>
    <n v="123"/>
    <x v="0"/>
    <n v="20"/>
    <n v="0"/>
    <n v="0"/>
    <n v="1"/>
    <n v="0"/>
    <n v="0"/>
    <n v="0"/>
    <n v="0"/>
    <n v="0"/>
    <n v="1"/>
    <n v="0"/>
    <n v="0"/>
    <s v="https://www.clickideacore.com/ClickHTML5/Visit.aspx?ID=//53DAEwASwAzADgANwAxADQANwAzADMASQBEAEUAQQA8=&amp;Tipo=2&amp;ST=1&amp;nLang=0"/>
    <n v="0"/>
    <n v="0"/>
    <n v="0"/>
    <n v="0"/>
    <n v="0"/>
    <n v="0"/>
    <n v="0"/>
    <n v="0"/>
  </r>
  <r>
    <x v="0"/>
    <x v="0"/>
    <s v="OP-S-100"/>
    <x v="303"/>
    <d v="2026-02-19T00:00:00"/>
    <n v="38"/>
    <x v="0"/>
    <n v="20"/>
    <n v="0"/>
    <n v="0"/>
    <n v="1"/>
    <n v="0"/>
    <n v="0"/>
    <n v="0"/>
    <n v="0"/>
    <n v="0"/>
    <n v="1"/>
    <n v="0"/>
    <n v="0"/>
    <s v="https://www.clickideacore.com/ClickHTML5/Visit.aspx?ID=//53DAEwASwAzADgANwAxADQANQA4ADAASQBEAEUAQQA6=&amp;Tipo=2&amp;ST=1&amp;nLang=0"/>
    <n v="0"/>
    <n v="0"/>
    <n v="0"/>
    <n v="0"/>
    <n v="0"/>
    <n v="0"/>
    <n v="0"/>
    <n v="0"/>
  </r>
  <r>
    <x v="1"/>
    <x v="31"/>
    <s v="OP-DYR-004"/>
    <x v="303"/>
    <d v="2026-02-19T00:00:00"/>
    <n v="25"/>
    <x v="0"/>
    <n v="0"/>
    <n v="0"/>
    <n v="0"/>
    <n v="0"/>
    <n v="0"/>
    <n v="0"/>
    <n v="0"/>
    <n v="0"/>
    <n v="0"/>
    <n v="1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303"/>
    <d v="2026-02-19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DYR-001"/>
    <x v="303"/>
    <d v="2026-02-19T00:00:00"/>
    <n v="23"/>
    <x v="6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7"/>
    <s v="OP-S-076"/>
    <x v="303"/>
    <d v="2026-02-19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1"/>
    <s v="OP-SDYR-001"/>
    <x v="303"/>
    <d v="2026-02-19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3"/>
    <d v="2026-02-1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3"/>
    <d v="2026-02-19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31"/>
    <s v="OP-DYR-004"/>
    <x v="304"/>
    <d v="2026-02-20T00:00:00"/>
    <n v="25"/>
    <x v="0"/>
    <n v="28"/>
    <n v="0"/>
    <n v="0"/>
    <n v="0"/>
    <n v="1"/>
    <n v="0"/>
    <n v="0"/>
    <n v="0"/>
    <n v="0"/>
    <n v="0"/>
    <n v="0"/>
    <n v="0"/>
    <s v="https://www.clickideacore.com/ClickHTML5/Visit.aspx?ID=//5ADAEwASwAzADgANwA0ADUANwA3ADkASQBEAEUAQQAC=&amp;Tipo=2&amp;ST=1&amp;nLang=0"/>
    <n v="0"/>
    <n v="15"/>
    <n v="0"/>
    <n v="0"/>
    <n v="0"/>
    <n v="0"/>
    <n v="0"/>
    <n v="0"/>
  </r>
  <r>
    <x v="2"/>
    <x v="2"/>
    <s v="OP-S-200"/>
    <x v="304"/>
    <d v="2026-02-20T00:00:00"/>
    <n v="14"/>
    <x v="0"/>
    <n v="18"/>
    <n v="0"/>
    <n v="0"/>
    <n v="1"/>
    <n v="0"/>
    <n v="0"/>
    <n v="0"/>
    <n v="0"/>
    <n v="0"/>
    <n v="0"/>
    <n v="0"/>
    <n v="0"/>
    <s v="https://www.clickideacore.com/ClickHTML5/Visit.aspx?ID=//54DAEwASwAzADgANwAzADgAOAA5ADgASQBEAEUAQQA3=&amp;Tipo=2&amp;ST=1&amp;nLang=0"/>
    <n v="0"/>
    <n v="13"/>
    <n v="0"/>
    <n v="0"/>
    <n v="0"/>
    <n v="0"/>
    <n v="0"/>
    <n v="0"/>
  </r>
  <r>
    <x v="17"/>
    <x v="35"/>
    <s v="OP-DYR-00001"/>
    <x v="304"/>
    <d v="2026-02-20T00:00:00"/>
    <n v="69"/>
    <x v="0"/>
    <n v="36"/>
    <n v="0"/>
    <n v="0"/>
    <n v="1"/>
    <n v="0"/>
    <n v="0"/>
    <n v="0"/>
    <n v="0"/>
    <n v="0"/>
    <n v="1"/>
    <n v="0"/>
    <n v="0"/>
    <s v="https://www.clickideacore.com/ClickHTML5/Visit.aspx?ID=//5DDAEwASwAzADgANwA0ADMAMQAwADIASQBEAEUAQQAF=&amp;Tipo=2&amp;ST=1&amp;nLang=0"/>
    <n v="0"/>
    <n v="0"/>
    <n v="0"/>
    <n v="0"/>
    <n v="0"/>
    <n v="0"/>
    <n v="0"/>
    <n v="0"/>
  </r>
  <r>
    <x v="3"/>
    <x v="8"/>
    <s v="OP-S-076"/>
    <x v="304"/>
    <d v="2026-02-20T00:00:00"/>
    <n v="41"/>
    <x v="0"/>
    <n v="28"/>
    <n v="0"/>
    <n v="0"/>
    <n v="1"/>
    <n v="0"/>
    <n v="0"/>
    <n v="0"/>
    <n v="0"/>
    <n v="0"/>
    <n v="2"/>
    <n v="0"/>
    <n v="0"/>
    <s v="https://www.clickideacore.com/ClickHTML5/Visit.aspx?ID=//56DAEwASwAzADgANwAzADkANAAwADMASQBEAEUAQQAB=&amp;Tipo=2&amp;ST=1&amp;nLang=0"/>
    <n v="0"/>
    <n v="0"/>
    <n v="0"/>
    <n v="0"/>
    <n v="0"/>
    <n v="0"/>
    <n v="0"/>
    <n v="0"/>
  </r>
  <r>
    <x v="11"/>
    <x v="29"/>
    <s v="OP-SDYR-001"/>
    <x v="304"/>
    <d v="2026-02-20T00:00:00"/>
    <n v="21"/>
    <x v="0"/>
    <n v="32"/>
    <n v="0"/>
    <n v="1"/>
    <n v="1"/>
    <n v="0"/>
    <n v="0"/>
    <n v="0"/>
    <n v="0"/>
    <n v="0"/>
    <n v="1"/>
    <n v="0"/>
    <n v="0"/>
    <s v="https://www.clickideacore.com/ClickHTML5/Visit.aspx?ID=//57DAEwASwAzADgANwA0ADUANAA5ADQASQBEAEUAQQA5=&amp;Tipo=2&amp;ST=1&amp;nLang=0"/>
    <n v="0"/>
    <n v="14"/>
    <n v="0"/>
    <n v="3"/>
    <n v="0"/>
    <n v="0"/>
    <n v="0"/>
    <n v="0"/>
  </r>
  <r>
    <x v="0"/>
    <x v="0"/>
    <s v="OP-S-100"/>
    <x v="304"/>
    <d v="2026-02-20T00:00:00"/>
    <n v="27"/>
    <x v="0"/>
    <n v="22"/>
    <n v="0"/>
    <n v="0"/>
    <n v="1"/>
    <n v="0"/>
    <n v="0"/>
    <n v="0"/>
    <n v="0"/>
    <n v="0"/>
    <n v="0"/>
    <n v="0"/>
    <n v="0"/>
    <s v="https://www.clickideacore.com/ClickHTML5/Visit.aspx?ID=//50DAEwASwAzADgANwAzADgANAAwADEASQBEAEUAQQA8=&amp;Tipo=2&amp;ST=1&amp;nLang=0"/>
    <n v="0"/>
    <n v="8"/>
    <n v="0"/>
    <n v="0"/>
    <n v="0"/>
    <n v="0"/>
    <n v="0"/>
    <n v="0"/>
  </r>
  <r>
    <x v="19"/>
    <x v="6"/>
    <s v="OP-S-076"/>
    <x v="304"/>
    <d v="2026-02-2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DYR-001"/>
    <x v="304"/>
    <d v="2026-02-20T00:00:00"/>
    <n v="23"/>
    <x v="6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9"/>
    <x v="7"/>
    <s v="OP-S-076"/>
    <x v="304"/>
    <d v="2026-02-20T00:00:00"/>
    <n v="21"/>
    <x v="6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S-076"/>
    <x v="304"/>
    <d v="2026-02-20T00:00:00"/>
    <n v="21"/>
    <x v="1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1"/>
    <s v="OP-SDYR-001"/>
    <x v="304"/>
    <d v="2026-02-20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4"/>
    <d v="2026-02-2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4"/>
    <d v="2026-02-20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0"/>
    <x v="3"/>
    <s v="OP-DYR-004"/>
    <x v="305"/>
    <d v="2026-02-21T00:00:00"/>
    <n v="25"/>
    <x v="0"/>
    <n v="0"/>
    <n v="0"/>
    <n v="0"/>
    <n v="0"/>
    <n v="0"/>
    <n v="0"/>
    <n v="0"/>
    <n v="1"/>
    <n v="0"/>
    <n v="2"/>
    <n v="1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"/>
    <x v="2"/>
    <s v="OP-S-200"/>
    <x v="305"/>
    <d v="2026-02-21T00:00:00"/>
    <n v="14"/>
    <x v="0"/>
    <n v="0"/>
    <n v="0"/>
    <n v="0"/>
    <n v="0"/>
    <n v="0"/>
    <n v="0"/>
    <n v="0"/>
    <n v="1"/>
    <n v="0"/>
    <n v="1"/>
    <n v="1"/>
    <n v="0"/>
    <s v="https://www.clickideacore.com/ClickHTML5/Visit.aspx?ID=//5ADAEwASwAzADcAMgA5ADUAMQA2ADMASQBEAEUAQQAA=&amp;Tipo=2&amp;ST=1&amp;nLang=0"/>
    <n v="17"/>
    <n v="0"/>
    <n v="0"/>
    <n v="0"/>
    <n v="0"/>
    <n v="0"/>
    <n v="1"/>
    <n v="0"/>
  </r>
  <r>
    <x v="17"/>
    <x v="35"/>
    <s v="OP-DYR-00001"/>
    <x v="305"/>
    <d v="2026-02-21T00:00:00"/>
    <n v="69"/>
    <x v="0"/>
    <n v="0"/>
    <n v="0"/>
    <n v="0"/>
    <n v="0"/>
    <n v="0"/>
    <n v="0"/>
    <n v="0"/>
    <n v="1"/>
    <n v="0"/>
    <n v="0"/>
    <n v="1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9"/>
    <x v="6"/>
    <s v="OP-S-076"/>
    <x v="305"/>
    <d v="2026-02-21T00:00:00"/>
    <n v="41"/>
    <x v="0"/>
    <n v="0"/>
    <n v="0"/>
    <n v="0"/>
    <n v="0"/>
    <n v="0"/>
    <n v="0"/>
    <n v="0"/>
    <n v="1"/>
    <n v="0"/>
    <n v="0"/>
    <n v="1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3"/>
    <x v="6"/>
    <s v="OP-S-076"/>
    <x v="305"/>
    <d v="2026-02-21T00:00:00"/>
    <n v="41"/>
    <x v="0"/>
    <n v="0"/>
    <n v="0"/>
    <n v="0"/>
    <n v="0"/>
    <n v="0"/>
    <n v="0"/>
    <n v="0"/>
    <n v="1"/>
    <n v="0"/>
    <n v="0"/>
    <n v="1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1"/>
    <x v="29"/>
    <s v="OP-SDYR-001"/>
    <x v="305"/>
    <d v="2026-02-21T00:00:00"/>
    <n v="21"/>
    <x v="0"/>
    <n v="0"/>
    <n v="0"/>
    <n v="0"/>
    <n v="0"/>
    <n v="0"/>
    <n v="0"/>
    <n v="0"/>
    <n v="1"/>
    <n v="0"/>
    <n v="2"/>
    <n v="1"/>
    <n v="0"/>
    <s v="https://www.clickideacore.com/ClickHTML5/Visit.aspx?ID=//5ADAEwASwAzADcAMgA5ADUAMQA2ADMASQBEAEUAQQAA=&amp;Tipo=2&amp;ST=1&amp;nLang=0"/>
    <n v="14"/>
    <n v="0"/>
    <n v="0"/>
    <n v="0"/>
    <n v="0"/>
    <n v="0"/>
    <n v="0"/>
    <n v="0"/>
  </r>
  <r>
    <x v="0"/>
    <x v="0"/>
    <s v="OP-S-100"/>
    <x v="305"/>
    <d v="2026-02-21T00:00:00"/>
    <n v="27"/>
    <x v="0"/>
    <n v="0"/>
    <n v="0"/>
    <n v="0"/>
    <n v="0"/>
    <n v="0"/>
    <n v="0"/>
    <n v="0"/>
    <n v="1"/>
    <n v="0"/>
    <n v="3"/>
    <n v="1"/>
    <n v="0"/>
    <s v="https://www.clickideacore.com/ClickHTML5/Visit.aspx?ID=//5ADAEwASwAzADcAMgA5ADUAMQA2ADMASQBEAEUAQQAA=&amp;Tipo=2&amp;ST=1&amp;nLang=0"/>
    <n v="18"/>
    <n v="0"/>
    <n v="0"/>
    <n v="0"/>
    <n v="0"/>
    <n v="0"/>
    <n v="0"/>
    <n v="0"/>
  </r>
  <r>
    <x v="3"/>
    <x v="8"/>
    <s v="OP-S-076"/>
    <x v="305"/>
    <d v="2026-02-21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1"/>
    <x v="31"/>
    <s v="OP-S-076"/>
    <x v="305"/>
    <d v="2026-02-21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7"/>
    <s v="OP-S-076"/>
    <x v="305"/>
    <d v="2026-02-21T00:00:00"/>
    <n v="21"/>
    <x v="5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4"/>
    <x v="1"/>
    <s v="OP-SDYR-001"/>
    <x v="305"/>
    <d v="2026-02-21T00:00:00"/>
    <n v="23"/>
    <x v="3"/>
    <n v="0"/>
    <n v="0"/>
    <n v="0"/>
    <n v="0"/>
    <n v="0"/>
    <n v="0"/>
    <n v="0"/>
    <n v="0"/>
    <n v="0"/>
    <n v="0"/>
    <n v="0"/>
    <n v="0"/>
    <s v="https://www.clickideacore.com/ClickHTML5/Visit.aspx?ID=//51DAEwASwAzADgAMgAzADAAMQAyADkASQBEAEUAQQAF=&amp;Tipo=2&amp;ST=1&amp;nLang=0"/>
    <n v="0"/>
    <n v="0"/>
    <n v="0"/>
    <n v="0"/>
    <n v="0"/>
    <n v="0"/>
    <n v="0"/>
    <n v="0"/>
  </r>
  <r>
    <x v="5"/>
    <x v="4"/>
    <s v="OP-S-076"/>
    <x v="305"/>
    <d v="2026-02-2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9"/>
    <x v="17"/>
    <s v="OP-S-076"/>
    <x v="305"/>
    <d v="2026-02-21T00:00:00"/>
    <n v="21"/>
    <x v="3"/>
    <n v="0"/>
    <n v="0"/>
    <n v="0"/>
    <n v="0"/>
    <n v="0"/>
    <n v="0"/>
    <n v="0"/>
    <n v="0"/>
    <n v="0"/>
    <n v="0"/>
    <n v="0"/>
    <n v="0"/>
    <s v="https://www.clickideacore.com/ClickHTML5/Visit.aspx?ID=//5ADAEwASwAzADcAMgA5ADUAMQA2ADMASQBEAEUAQQAA=&amp;Tipo=2&amp;ST=1&amp;nLang=0"/>
    <n v="0"/>
    <n v="0"/>
    <n v="0"/>
    <n v="0"/>
    <n v="0"/>
    <n v="0"/>
    <n v="0"/>
    <n v="0"/>
  </r>
  <r>
    <x v="24"/>
    <x v="36"/>
    <m/>
    <x v="306"/>
    <m/>
    <m/>
    <x v="15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371D4-7281-4280-8027-360CE58BC43A}" name="TablaDinámica1" cacheId="7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.">
  <location ref="A3:AG46" firstHeaderRow="1" firstDataRow="3" firstDataCol="1"/>
  <pivotFields count="30">
    <pivotField axis="axisRow" showAll="0">
      <items count="32">
        <item h="1" x="7"/>
        <item x="10"/>
        <item h="1" x="5"/>
        <item h="1" x="0"/>
        <item h="1" x="1"/>
        <item h="1" x="11"/>
        <item h="1" x="2"/>
        <item h="1" x="12"/>
        <item h="1" x="8"/>
        <item h="1" x="3"/>
        <item h="1" x="6"/>
        <item h="1" x="4"/>
        <item h="1" x="9"/>
        <item h="1" x="13"/>
        <item h="1" x="24"/>
        <item h="1" x="14"/>
        <item h="1" x="15"/>
        <item h="1" x="16"/>
        <item h="1" x="17"/>
        <item h="1" x="18"/>
        <item h="1" x="19"/>
        <item h="1" m="1" x="30"/>
        <item h="1" m="1" x="28"/>
        <item h="1" m="1" x="29"/>
        <item h="1" m="1" x="27"/>
        <item h="1" m="1" x="25"/>
        <item h="1" m="1" x="26"/>
        <item h="1" x="21"/>
        <item h="1" x="20"/>
        <item h="1" x="22"/>
        <item h="1" x="23"/>
        <item t="default"/>
      </items>
    </pivotField>
    <pivotField showAll="0"/>
    <pivotField showAll="0"/>
    <pivotField numFmtId="16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30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69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t="default"/>
      </items>
    </pivotField>
    <pivotField numFmtId="164" showAll="0"/>
    <pivotField numFmtId="165" showAll="0"/>
    <pivotField axis="axisCol" showAll="0">
      <items count="17">
        <item x="1"/>
        <item x="2"/>
        <item x="0"/>
        <item x="4"/>
        <item x="3"/>
        <item x="15"/>
        <item x="1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showAll="0"/>
    <pivotField dataField="1" showAll="0"/>
    <pivotField dataField="1" numFmtId="165" showAll="0"/>
    <pivotField dataField="1" numFmtId="165" showAll="0"/>
    <pivotField dataField="1" showAll="0"/>
    <pivotField dataField="1" numFmtId="165" showAll="0"/>
    <pivotField dataField="1" numFmtId="165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-2"/>
  </rowFields>
  <rowItems count="41">
    <i>
      <x v="1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  <i t="grand" i="19">
      <x/>
    </i>
  </rowItems>
  <colFields count="2">
    <field x="28"/>
    <field x="6"/>
  </colFields>
  <colItems count="32">
    <i>
      <x v="22"/>
      <x/>
    </i>
    <i>
      <x v="23"/>
      <x v="2"/>
    </i>
    <i>
      <x v="24"/>
      <x v="7"/>
    </i>
    <i>
      <x v="25"/>
      <x v="7"/>
    </i>
    <i>
      <x v="26"/>
      <x v="4"/>
    </i>
    <i>
      <x v="27"/>
      <x v="4"/>
    </i>
    <i>
      <x v="28"/>
      <x v="4"/>
    </i>
    <i>
      <x v="29"/>
      <x v="4"/>
    </i>
    <i>
      <x v="30"/>
      <x v="4"/>
    </i>
    <i>
      <x v="31"/>
      <x v="4"/>
    </i>
    <i>
      <x v="32"/>
      <x v="4"/>
    </i>
    <i>
      <x v="33"/>
      <x v="4"/>
    </i>
    <i>
      <x v="34"/>
      <x v="4"/>
    </i>
    <i>
      <x v="35"/>
      <x v="4"/>
    </i>
    <i>
      <x v="36"/>
      <x v="4"/>
    </i>
    <i>
      <x v="37"/>
      <x v="4"/>
    </i>
    <i>
      <x v="38"/>
      <x v="4"/>
    </i>
    <i>
      <x v="39"/>
      <x v="4"/>
    </i>
    <i>
      <x v="40"/>
      <x v="4"/>
    </i>
    <i>
      <x v="41"/>
      <x v="4"/>
    </i>
    <i>
      <x v="42"/>
      <x v="4"/>
    </i>
    <i>
      <x v="43"/>
      <x v="4"/>
    </i>
    <i>
      <x v="44"/>
      <x v="4"/>
    </i>
    <i>
      <x v="45"/>
      <x v="7"/>
    </i>
    <i>
      <x v="46"/>
      <x v="7"/>
    </i>
    <i>
      <x v="47"/>
      <x v="2"/>
    </i>
    <i>
      <x v="48"/>
      <x v="2"/>
    </i>
    <i>
      <x v="49"/>
      <x v="2"/>
    </i>
    <i>
      <x v="50"/>
      <x v="2"/>
    </i>
    <i>
      <x v="51"/>
      <x/>
    </i>
    <i>
      <x v="52"/>
      <x v="2"/>
    </i>
    <i t="grand">
      <x/>
    </i>
  </colItems>
  <dataFields count="20">
    <dataField name="Suma de Despacho / Retiro" fld="7" baseField="0" baseItem="0"/>
    <dataField name="Suma de Entrada &lt; 19:30" fld="8" baseField="0" baseItem="0" numFmtId="165"/>
    <dataField name="Suma de Salida &gt; 19:30" fld="9" baseField="0" baseItem="0" numFmtId="165"/>
    <dataField name="Suma de Feria Semana 01" fld="10" baseField="0" baseItem="0" numFmtId="165"/>
    <dataField name="Suma de Feria Semana 02" fld="11" baseField="0" baseItem="0" numFmtId="165"/>
    <dataField name="Suma de Fuera Radio Normal" fld="12" baseField="0" baseItem="0"/>
    <dataField name="Suma de Fuera Radio V Región" fld="13" baseField="0" baseItem="0"/>
    <dataField name="Suma de Sabado" fld="14" baseField="0" baseItem="0" numFmtId="165"/>
    <dataField name="Suma de Aux Sabado Semana 02" fld="26" baseField="0" baseItem="0"/>
    <dataField name="Suma de Domingo" fld="15" baseField="0" baseItem="0" numFmtId="165"/>
    <dataField name="Suma de Aux Domingo Semana 02" fld="27" baseField="0" baseItem="0"/>
    <dataField name="Suma de Viajes Por Cliente" fld="16" baseField="0" baseItem="0"/>
    <dataField name="Suma de Sábado &gt; 16:00" fld="17" baseField="0" baseItem="0" numFmtId="165"/>
    <dataField name="Suma de Domingo &gt; 16:00" fld="18" baseField="0" baseItem="0" numFmtId="165"/>
    <dataField name="Suma de Secado" fld="20" baseField="0" baseItem="0"/>
    <dataField name="Suma de Evento" fld="21" baseField="0" baseItem="0"/>
    <dataField name="Suma de Punto de Agua" fld="22" baseField="0" baseItem="0"/>
    <dataField name="Suma de Basurero Grande " fld="23" baseField="0" baseItem="0"/>
    <dataField name="Suma de Basurero chico" fld="24" baseField="0" baseItem="0"/>
    <dataField name="Suma de Fosa" fld="25" baseField="0" baseItem="0"/>
  </dataFields>
  <formats count="342">
    <format dxfId="637">
      <pivotArea dataOnly="0" labelOnly="1" grandCol="1" outline="0" fieldPosition="0"/>
    </format>
    <format dxfId="636">
      <pivotArea dataOnly="0" labelOnly="1" fieldPosition="0">
        <references count="1">
          <reference field="28" count="22"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</reference>
        </references>
      </pivotArea>
    </format>
    <format dxfId="635">
      <pivotArea dataOnly="0" labelOnly="1" fieldPosition="0">
        <references count="1">
          <reference field="28" count="20" defaultSubtotal="1">
            <x v="113"/>
            <x v="114"/>
            <x v="115"/>
            <x v="116"/>
            <x v="117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</reference>
        </references>
      </pivotArea>
    </format>
    <format dxfId="634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3"/>
          </reference>
        </references>
      </pivotArea>
    </format>
    <format dxfId="633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4"/>
          </reference>
        </references>
      </pivotArea>
    </format>
    <format dxfId="632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5"/>
          </reference>
        </references>
      </pivotArea>
    </format>
    <format dxfId="631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6"/>
          </reference>
        </references>
      </pivotArea>
    </format>
    <format dxfId="630">
      <pivotArea dataOnly="0" labelOnly="1" fieldPosition="0">
        <references count="2">
          <reference field="6" count="1">
            <x v="2"/>
          </reference>
          <reference field="28" count="1" selected="0">
            <x v="117"/>
          </reference>
        </references>
      </pivotArea>
    </format>
    <format dxfId="629">
      <pivotArea dataOnly="0" labelOnly="1" fieldPosition="0">
        <references count="2">
          <reference field="6" count="2">
            <x v="1"/>
            <x v="2"/>
          </reference>
          <reference field="28" count="1" selected="0">
            <x v="120"/>
          </reference>
        </references>
      </pivotArea>
    </format>
    <format dxfId="628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21"/>
          </reference>
        </references>
      </pivotArea>
    </format>
    <format dxfId="627">
      <pivotArea dataOnly="0" labelOnly="1" fieldPosition="0">
        <references count="2">
          <reference field="6" count="1">
            <x v="2"/>
          </reference>
          <reference field="28" count="1" selected="0">
            <x v="122"/>
          </reference>
        </references>
      </pivotArea>
    </format>
    <format dxfId="626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23"/>
          </reference>
        </references>
      </pivotArea>
    </format>
    <format dxfId="625">
      <pivotArea dataOnly="0" labelOnly="1" fieldPosition="0">
        <references count="2">
          <reference field="6" count="1">
            <x v="2"/>
          </reference>
          <reference field="28" count="1" selected="0">
            <x v="124"/>
          </reference>
        </references>
      </pivotArea>
    </format>
    <format dxfId="624">
      <pivotArea dataOnly="0" labelOnly="1" fieldPosition="0">
        <references count="2">
          <reference field="6" count="1">
            <x v="2"/>
          </reference>
          <reference field="28" count="1" selected="0">
            <x v="125"/>
          </reference>
        </references>
      </pivotArea>
    </format>
    <format dxfId="623">
      <pivotArea dataOnly="0" labelOnly="1" fieldPosition="0">
        <references count="2">
          <reference field="6" count="3">
            <x v="1"/>
            <x v="2"/>
            <x v="4"/>
          </reference>
          <reference field="28" count="1" selected="0">
            <x v="126"/>
          </reference>
        </references>
      </pivotArea>
    </format>
    <format dxfId="622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7"/>
          </reference>
        </references>
      </pivotArea>
    </format>
    <format dxfId="621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8"/>
          </reference>
        </references>
      </pivotArea>
    </format>
    <format dxfId="620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9"/>
          </reference>
        </references>
      </pivotArea>
    </format>
    <format dxfId="619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30"/>
          </reference>
        </references>
      </pivotArea>
    </format>
    <format dxfId="618">
      <pivotArea dataOnly="0" labelOnly="1" fieldPosition="0">
        <references count="2">
          <reference field="6" count="1">
            <x v="2"/>
          </reference>
          <reference field="28" count="1" selected="0">
            <x v="131"/>
          </reference>
        </references>
      </pivotArea>
    </format>
    <format dxfId="617">
      <pivotArea dataOnly="0" labelOnly="1" fieldPosition="0">
        <references count="2">
          <reference field="6" count="1">
            <x v="2"/>
          </reference>
          <reference field="28" count="1" selected="0">
            <x v="132"/>
          </reference>
        </references>
      </pivotArea>
    </format>
    <format dxfId="616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28" count="1" selected="0">
            <x v="133"/>
          </reference>
        </references>
      </pivotArea>
    </format>
    <format dxfId="615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28" count="1" selected="0">
            <x v="134"/>
          </reference>
        </references>
      </pivotArea>
    </format>
    <format dxfId="614">
      <pivotArea dataOnly="0" labelOnly="1" fieldPosition="0">
        <references count="2">
          <reference field="6" count="1">
            <x v="1"/>
          </reference>
          <reference field="28" count="1" selected="0">
            <x v="119"/>
          </reference>
        </references>
      </pivotArea>
    </format>
    <format dxfId="613">
      <pivotArea dataOnly="0" labelOnly="1" fieldPosition="0">
        <references count="2">
          <reference field="6" count="1">
            <x v="2"/>
          </reference>
          <reference field="28" count="1" selected="0">
            <x v="118"/>
          </reference>
        </references>
      </pivotArea>
    </format>
    <format dxfId="612">
      <pivotArea dataOnly="0" labelOnly="1" fieldPosition="0">
        <references count="2">
          <reference field="6" count="1">
            <x v="2"/>
          </reference>
          <reference field="28" count="1" selected="0">
            <x v="119"/>
          </reference>
        </references>
      </pivotArea>
    </format>
    <format dxfId="611">
      <pivotArea collapsedLevelsAreSubtotals="1" fieldPosition="0">
        <references count="2">
          <reference field="4294967294" count="5">
            <x v="4"/>
            <x v="5"/>
            <x v="6"/>
            <x v="7"/>
            <x v="9"/>
          </reference>
          <reference field="0" count="0" selected="0"/>
        </references>
      </pivotArea>
    </format>
    <format dxfId="610">
      <pivotArea dataOnly="0" labelOnly="1" outline="0" fieldPosition="0">
        <references count="2">
          <reference field="4294967294" count="5">
            <x v="4"/>
            <x v="5"/>
            <x v="6"/>
            <x v="7"/>
            <x v="9"/>
          </reference>
          <reference field="0" count="0" selected="0"/>
        </references>
      </pivotArea>
    </format>
    <format dxfId="609">
      <pivotArea dataOnly="0" labelOnly="1" fieldPosition="0">
        <references count="1">
          <reference field="28" count="1">
            <x v="135"/>
          </reference>
        </references>
      </pivotArea>
    </format>
    <format dxfId="608">
      <pivotArea dataOnly="0" labelOnly="1" fieldPosition="0">
        <references count="2">
          <reference field="6" count="1">
            <x v="2"/>
          </reference>
          <reference field="28" count="1" selected="0">
            <x v="135"/>
          </reference>
        </references>
      </pivotArea>
    </format>
    <format dxfId="607">
      <pivotArea dataOnly="0" labelOnly="1" fieldPosition="0">
        <references count="2">
          <reference field="6" count="1">
            <x v="4"/>
          </reference>
          <reference field="28" count="1" selected="0">
            <x v="123"/>
          </reference>
        </references>
      </pivotArea>
    </format>
    <format dxfId="606">
      <pivotArea dataOnly="0" labelOnly="1" fieldPosition="0">
        <references count="1">
          <reference field="28" count="1">
            <x v="143"/>
          </reference>
        </references>
      </pivotArea>
    </format>
    <format dxfId="605">
      <pivotArea dataOnly="0" labelOnly="1" fieldPosition="0">
        <references count="2">
          <reference field="6" count="1">
            <x v="2"/>
          </reference>
          <reference field="28" count="1" selected="0">
            <x v="143"/>
          </reference>
        </references>
      </pivotArea>
    </format>
    <format dxfId="604">
      <pivotArea dataOnly="0" labelOnly="1" fieldPosition="0">
        <references count="1">
          <reference field="28" count="2">
            <x v="166"/>
            <x v="167"/>
          </reference>
        </references>
      </pivotArea>
    </format>
    <format dxfId="603">
      <pivotArea dataOnly="0" labelOnly="1" fieldPosition="0">
        <references count="2">
          <reference field="6" count="1">
            <x v="2"/>
          </reference>
          <reference field="28" count="1" selected="0">
            <x v="166"/>
          </reference>
        </references>
      </pivotArea>
    </format>
    <format dxfId="602">
      <pivotArea dataOnly="0" labelOnly="1" fieldPosition="0">
        <references count="2">
          <reference field="6" count="1">
            <x v="2"/>
          </reference>
          <reference field="28" count="1" selected="0">
            <x v="167"/>
          </reference>
        </references>
      </pivotArea>
    </format>
    <format dxfId="601">
      <pivotArea dataOnly="0" labelOnly="1" fieldPosition="0">
        <references count="1">
          <reference field="28" count="3">
            <x v="152"/>
            <x v="153"/>
            <x v="172"/>
          </reference>
        </references>
      </pivotArea>
    </format>
    <format dxfId="600">
      <pivotArea dataOnly="0" labelOnly="1" fieldPosition="0">
        <references count="2">
          <reference field="6" count="1">
            <x v="2"/>
          </reference>
          <reference field="28" count="1" selected="0">
            <x v="152"/>
          </reference>
        </references>
      </pivotArea>
    </format>
    <format dxfId="599">
      <pivotArea dataOnly="0" labelOnly="1" fieldPosition="0">
        <references count="2">
          <reference field="6" count="1">
            <x v="2"/>
          </reference>
          <reference field="28" count="1" selected="0">
            <x v="153"/>
          </reference>
        </references>
      </pivotArea>
    </format>
    <format dxfId="598">
      <pivotArea dataOnly="0" labelOnly="1" fieldPosition="0">
        <references count="1">
          <reference field="28" count="26">
            <x v="144"/>
            <x v="145"/>
            <x v="146"/>
            <x v="147"/>
            <x v="148"/>
            <x v="149"/>
            <x v="150"/>
            <x v="151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8"/>
            <x v="169"/>
            <x v="170"/>
            <x v="171"/>
            <x v="172"/>
            <x v="173"/>
          </reference>
        </references>
      </pivotArea>
    </format>
    <format dxfId="597">
      <pivotArea dataOnly="0" labelOnly="1" fieldPosition="0">
        <references count="2">
          <reference field="6" count="1">
            <x v="2"/>
          </reference>
          <reference field="28" count="1" selected="0">
            <x v="144"/>
          </reference>
        </references>
      </pivotArea>
    </format>
    <format dxfId="596">
      <pivotArea dataOnly="0" labelOnly="1" fieldPosition="0">
        <references count="2">
          <reference field="6" count="1">
            <x v="2"/>
          </reference>
          <reference field="28" count="1" selected="0">
            <x v="145"/>
          </reference>
        </references>
      </pivotArea>
    </format>
    <format dxfId="595">
      <pivotArea dataOnly="0" labelOnly="1" fieldPosition="0">
        <references count="2">
          <reference field="6" count="1">
            <x v="2"/>
          </reference>
          <reference field="28" count="1" selected="0">
            <x v="146"/>
          </reference>
        </references>
      </pivotArea>
    </format>
    <format dxfId="594">
      <pivotArea dataOnly="0" labelOnly="1" fieldPosition="0">
        <references count="2">
          <reference field="6" count="1">
            <x v="3"/>
          </reference>
          <reference field="28" count="1" selected="0">
            <x v="147"/>
          </reference>
        </references>
      </pivotArea>
    </format>
    <format dxfId="593">
      <pivotArea dataOnly="0" labelOnly="1" fieldPosition="0">
        <references count="2">
          <reference field="6" count="1">
            <x v="2"/>
          </reference>
          <reference field="28" count="1" selected="0">
            <x v="148"/>
          </reference>
        </references>
      </pivotArea>
    </format>
    <format dxfId="592">
      <pivotArea dataOnly="0" labelOnly="1" fieldPosition="0">
        <references count="2">
          <reference field="6" count="1">
            <x v="2"/>
          </reference>
          <reference field="28" count="1" selected="0">
            <x v="149"/>
          </reference>
        </references>
      </pivotArea>
    </format>
    <format dxfId="591">
      <pivotArea dataOnly="0" labelOnly="1" fieldPosition="0">
        <references count="2">
          <reference field="6" count="1">
            <x v="3"/>
          </reference>
          <reference field="28" count="1" selected="0">
            <x v="150"/>
          </reference>
        </references>
      </pivotArea>
    </format>
    <format dxfId="590">
      <pivotArea dataOnly="0" labelOnly="1" fieldPosition="0">
        <references count="2">
          <reference field="6" count="1">
            <x v="2"/>
          </reference>
          <reference field="28" count="1" selected="0">
            <x v="151"/>
          </reference>
        </references>
      </pivotArea>
    </format>
    <format dxfId="589">
      <pivotArea dataOnly="0" labelOnly="1" fieldPosition="0">
        <references count="2">
          <reference field="6" count="1">
            <x v="3"/>
          </reference>
          <reference field="28" count="1" selected="0">
            <x v="154"/>
          </reference>
        </references>
      </pivotArea>
    </format>
    <format dxfId="588">
      <pivotArea dataOnly="0" labelOnly="1" fieldPosition="0">
        <references count="2">
          <reference field="6" count="1">
            <x v="2"/>
          </reference>
          <reference field="28" count="1" selected="0">
            <x v="155"/>
          </reference>
        </references>
      </pivotArea>
    </format>
    <format dxfId="587">
      <pivotArea dataOnly="0" labelOnly="1" fieldPosition="0">
        <references count="2">
          <reference field="6" count="1">
            <x v="2"/>
          </reference>
          <reference field="28" count="1" selected="0">
            <x v="156"/>
          </reference>
        </references>
      </pivotArea>
    </format>
    <format dxfId="586">
      <pivotArea dataOnly="0" labelOnly="1" fieldPosition="0">
        <references count="2">
          <reference field="6" count="1">
            <x v="2"/>
          </reference>
          <reference field="28" count="1" selected="0">
            <x v="157"/>
          </reference>
        </references>
      </pivotArea>
    </format>
    <format dxfId="585">
      <pivotArea dataOnly="0" labelOnly="1" fieldPosition="0">
        <references count="2">
          <reference field="6" count="1">
            <x v="3"/>
          </reference>
          <reference field="28" count="1" selected="0">
            <x v="158"/>
          </reference>
        </references>
      </pivotArea>
    </format>
    <format dxfId="584">
      <pivotArea dataOnly="0" labelOnly="1" fieldPosition="0">
        <references count="2">
          <reference field="6" count="1">
            <x v="2"/>
          </reference>
          <reference field="28" count="1" selected="0">
            <x v="159"/>
          </reference>
        </references>
      </pivotArea>
    </format>
    <format dxfId="583">
      <pivotArea dataOnly="0" labelOnly="1" fieldPosition="0">
        <references count="2">
          <reference field="6" count="1">
            <x v="2"/>
          </reference>
          <reference field="28" count="1" selected="0">
            <x v="160"/>
          </reference>
        </references>
      </pivotArea>
    </format>
    <format dxfId="582">
      <pivotArea dataOnly="0" labelOnly="1" fieldPosition="0">
        <references count="2">
          <reference field="6" count="1">
            <x v="2"/>
          </reference>
          <reference field="28" count="1" selected="0">
            <x v="161"/>
          </reference>
        </references>
      </pivotArea>
    </format>
    <format dxfId="581">
      <pivotArea dataOnly="0" labelOnly="1" fieldPosition="0">
        <references count="2">
          <reference field="6" count="1">
            <x v="2"/>
          </reference>
          <reference field="28" count="1" selected="0">
            <x v="162"/>
          </reference>
        </references>
      </pivotArea>
    </format>
    <format dxfId="580">
      <pivotArea dataOnly="0" labelOnly="1" fieldPosition="0">
        <references count="2">
          <reference field="6" count="1">
            <x v="3"/>
          </reference>
          <reference field="28" count="1" selected="0">
            <x v="163"/>
          </reference>
        </references>
      </pivotArea>
    </format>
    <format dxfId="579">
      <pivotArea dataOnly="0" labelOnly="1" fieldPosition="0">
        <references count="2">
          <reference field="6" count="1">
            <x v="2"/>
          </reference>
          <reference field="28" count="1" selected="0">
            <x v="164"/>
          </reference>
        </references>
      </pivotArea>
    </format>
    <format dxfId="578">
      <pivotArea dataOnly="0" labelOnly="1" fieldPosition="0">
        <references count="2">
          <reference field="6" count="1">
            <x v="3"/>
          </reference>
          <reference field="28" count="1" selected="0">
            <x v="165"/>
          </reference>
        </references>
      </pivotArea>
    </format>
    <format dxfId="577">
      <pivotArea dataOnly="0" labelOnly="1" fieldPosition="0">
        <references count="2">
          <reference field="6" count="1">
            <x v="2"/>
          </reference>
          <reference field="28" count="1" selected="0">
            <x v="168"/>
          </reference>
        </references>
      </pivotArea>
    </format>
    <format dxfId="576">
      <pivotArea dataOnly="0" labelOnly="1" fieldPosition="0">
        <references count="2">
          <reference field="6" count="1">
            <x v="2"/>
          </reference>
          <reference field="28" count="1" selected="0">
            <x v="169"/>
          </reference>
        </references>
      </pivotArea>
    </format>
    <format dxfId="575">
      <pivotArea dataOnly="0" labelOnly="1" fieldPosition="0">
        <references count="2">
          <reference field="6" count="1">
            <x v="2"/>
          </reference>
          <reference field="28" count="1" selected="0">
            <x v="170"/>
          </reference>
        </references>
      </pivotArea>
    </format>
    <format dxfId="574">
      <pivotArea dataOnly="0" labelOnly="1" fieldPosition="0">
        <references count="2">
          <reference field="6" count="1">
            <x v="2"/>
          </reference>
          <reference field="28" count="1" selected="0">
            <x v="171"/>
          </reference>
        </references>
      </pivotArea>
    </format>
    <format dxfId="573">
      <pivotArea dataOnly="0" labelOnly="1" fieldPosition="0">
        <references count="2">
          <reference field="6" count="1">
            <x v="2"/>
          </reference>
          <reference field="28" count="1" selected="0">
            <x v="172"/>
          </reference>
        </references>
      </pivotArea>
    </format>
    <format dxfId="572">
      <pivotArea dataOnly="0" labelOnly="1" fieldPosition="0">
        <references count="2">
          <reference field="6" count="1">
            <x v="2"/>
          </reference>
          <reference field="28" count="1" selected="0">
            <x v="173"/>
          </reference>
        </references>
      </pivotArea>
    </format>
    <format dxfId="571">
      <pivotArea dataOnly="0" labelOnly="1" fieldPosition="0">
        <references count="2">
          <reference field="6" count="1">
            <x v="0"/>
          </reference>
          <reference field="28" count="1" selected="0">
            <x v="143"/>
          </reference>
        </references>
      </pivotArea>
    </format>
    <format dxfId="570">
      <pivotArea dataOnly="0" labelOnly="1" fieldPosition="0">
        <references count="1">
          <reference field="28" count="21">
            <x v="174"/>
            <x v="175"/>
            <x v="176"/>
            <x v="177"/>
            <x v="178"/>
            <x v="179"/>
            <x v="180"/>
            <x v="181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</reference>
        </references>
      </pivotArea>
    </format>
    <format dxfId="569">
      <pivotArea dataOnly="0" labelOnly="1" fieldPosition="0">
        <references count="1">
          <reference field="28" count="1">
            <x v="182"/>
          </reference>
        </references>
      </pivotArea>
    </format>
    <format dxfId="568">
      <pivotArea dataOnly="0" labelOnly="1" fieldPosition="0">
        <references count="1">
          <reference field="28" count="6">
            <x v="196"/>
            <x v="198"/>
            <x v="199"/>
            <x v="200"/>
            <x v="201"/>
            <x v="202"/>
          </reference>
        </references>
      </pivotArea>
    </format>
    <format dxfId="567">
      <pivotArea dataOnly="0" labelOnly="1" fieldPosition="0">
        <references count="1">
          <reference field="28" count="1">
            <x v="197"/>
          </reference>
        </references>
      </pivotArea>
    </format>
    <format dxfId="566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75"/>
          </reference>
        </references>
      </pivotArea>
    </format>
    <format dxfId="565">
      <pivotArea dataOnly="0" labelOnly="1" fieldPosition="0">
        <references count="2">
          <reference field="6" count="4">
            <x v="0"/>
            <x v="1"/>
            <x v="2"/>
            <x v="6"/>
          </reference>
          <reference field="28" count="1" selected="0">
            <x v="177"/>
          </reference>
        </references>
      </pivotArea>
    </format>
    <format dxfId="564">
      <pivotArea dataOnly="0" labelOnly="1" fieldPosition="0">
        <references count="2">
          <reference field="6" count="4">
            <x v="1"/>
            <x v="2"/>
            <x v="4"/>
            <x v="6"/>
          </reference>
          <reference field="28" count="1" selected="0">
            <x v="178"/>
          </reference>
        </references>
      </pivotArea>
    </format>
    <format dxfId="563">
      <pivotArea dataOnly="0" labelOnly="1" fieldPosition="0">
        <references count="2">
          <reference field="6" count="4">
            <x v="1"/>
            <x v="2"/>
            <x v="4"/>
            <x v="6"/>
          </reference>
          <reference field="28" count="1" selected="0">
            <x v="179"/>
          </reference>
        </references>
      </pivotArea>
    </format>
    <format dxfId="562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82"/>
          </reference>
        </references>
      </pivotArea>
    </format>
    <format dxfId="561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89"/>
          </reference>
        </references>
      </pivotArea>
    </format>
    <format dxfId="560">
      <pivotArea dataOnly="0" labelOnly="1" fieldPosition="0">
        <references count="2">
          <reference field="6" count="4">
            <x v="0"/>
            <x v="1"/>
            <x v="2"/>
            <x v="6"/>
          </reference>
          <reference field="28" count="1" selected="0">
            <x v="190"/>
          </reference>
        </references>
      </pivotArea>
    </format>
    <format dxfId="559">
      <pivotArea dataOnly="0" labelOnly="1" fieldPosition="0">
        <references count="2">
          <reference field="6" count="4">
            <x v="1"/>
            <x v="2"/>
            <x v="6"/>
            <x v="8"/>
          </reference>
          <reference field="28" count="1" selected="0">
            <x v="191"/>
          </reference>
        </references>
      </pivotArea>
    </format>
    <format dxfId="558">
      <pivotArea dataOnly="0" labelOnly="1" fieldPosition="0">
        <references count="2">
          <reference field="6" count="2">
            <x v="2"/>
            <x v="6"/>
          </reference>
          <reference field="28" count="1" selected="0">
            <x v="193"/>
          </reference>
        </references>
      </pivotArea>
    </format>
    <format dxfId="557">
      <pivotArea dataOnly="0" labelOnly="1" fieldPosition="0">
        <references count="2">
          <reference field="6" count="3">
            <x v="2"/>
            <x v="4"/>
            <x v="6"/>
          </reference>
          <reference field="28" count="1" selected="0">
            <x v="196"/>
          </reference>
        </references>
      </pivotArea>
    </format>
    <format dxfId="556">
      <pivotArea dataOnly="0" labelOnly="1" fieldPosition="0">
        <references count="2">
          <reference field="6" count="4">
            <x v="0"/>
            <x v="2"/>
            <x v="4"/>
            <x v="6"/>
          </reference>
          <reference field="28" count="1" selected="0">
            <x v="197"/>
          </reference>
        </references>
      </pivotArea>
    </format>
    <format dxfId="555">
      <pivotArea dataOnly="0" labelOnly="1" fieldPosition="0">
        <references count="2">
          <reference field="6" count="5">
            <x v="0"/>
            <x v="2"/>
            <x v="4"/>
            <x v="6"/>
            <x v="8"/>
          </reference>
          <reference field="28" count="1" selected="0">
            <x v="199"/>
          </reference>
        </references>
      </pivotArea>
    </format>
    <format dxfId="554">
      <pivotArea dataOnly="0" labelOnly="1" fieldPosition="0">
        <references count="2">
          <reference field="6" count="4">
            <x v="0"/>
            <x v="2"/>
            <x v="4"/>
            <x v="6"/>
          </reference>
          <reference field="28" count="1" selected="0">
            <x v="200"/>
          </reference>
        </references>
      </pivotArea>
    </format>
    <format dxfId="553">
      <pivotArea dataOnly="0" labelOnly="1" fieldPosition="0">
        <references count="2">
          <reference field="6" count="3">
            <x v="2"/>
            <x v="4"/>
            <x v="6"/>
          </reference>
          <reference field="28" count="1" selected="0">
            <x v="203"/>
          </reference>
        </references>
      </pivotArea>
    </format>
    <format dxfId="552">
      <pivotArea dataOnly="0" labelOnly="1" fieldPosition="0">
        <references count="1">
          <reference field="28" count="1">
            <x v="203"/>
          </reference>
        </references>
      </pivotArea>
    </format>
    <format dxfId="551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74"/>
          </reference>
        </references>
      </pivotArea>
    </format>
    <format dxfId="550">
      <pivotArea dataOnly="0" labelOnly="1" fieldPosition="0">
        <references count="2">
          <reference field="6" count="3">
            <x v="1"/>
            <x v="2"/>
            <x v="3"/>
          </reference>
          <reference field="28" count="1" selected="0">
            <x v="175"/>
          </reference>
        </references>
      </pivotArea>
    </format>
    <format dxfId="549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76"/>
          </reference>
        </references>
      </pivotArea>
    </format>
    <format dxfId="548">
      <pivotArea dataOnly="0" labelOnly="1" fieldPosition="0">
        <references count="2">
          <reference field="6" count="4">
            <x v="0"/>
            <x v="1"/>
            <x v="2"/>
            <x v="3"/>
          </reference>
          <reference field="28" count="1" selected="0">
            <x v="177"/>
          </reference>
        </references>
      </pivotArea>
    </format>
    <format dxfId="547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28" count="1" selected="0">
            <x v="178"/>
          </reference>
        </references>
      </pivotArea>
    </format>
    <format dxfId="546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28" count="1" selected="0">
            <x v="179"/>
          </reference>
        </references>
      </pivotArea>
    </format>
    <format dxfId="545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0"/>
          </reference>
        </references>
      </pivotArea>
    </format>
    <format dxfId="544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1"/>
          </reference>
        </references>
      </pivotArea>
    </format>
    <format dxfId="543">
      <pivotArea dataOnly="0" labelOnly="1" fieldPosition="0">
        <references count="2">
          <reference field="6" count="3">
            <x v="1"/>
            <x v="2"/>
            <x v="3"/>
          </reference>
          <reference field="28" count="1" selected="0">
            <x v="182"/>
          </reference>
        </references>
      </pivotArea>
    </format>
    <format dxfId="542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83"/>
          </reference>
        </references>
      </pivotArea>
    </format>
    <format dxfId="541">
      <pivotArea dataOnly="0" labelOnly="1" fieldPosition="0">
        <references count="2">
          <reference field="6" count="4">
            <x v="0"/>
            <x v="1"/>
            <x v="2"/>
            <x v="8"/>
          </reference>
          <reference field="28" count="1" selected="0">
            <x v="184"/>
          </reference>
        </references>
      </pivotArea>
    </format>
    <format dxfId="540">
      <pivotArea dataOnly="0" labelOnly="1" fieldPosition="0">
        <references count="2">
          <reference field="6" count="2">
            <x v="1"/>
            <x v="2"/>
          </reference>
          <reference field="28" count="1" selected="0">
            <x v="185"/>
          </reference>
        </references>
      </pivotArea>
    </format>
    <format dxfId="539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86"/>
          </reference>
        </references>
      </pivotArea>
    </format>
    <format dxfId="538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7"/>
          </reference>
        </references>
      </pivotArea>
    </format>
    <format dxfId="537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8"/>
          </reference>
        </references>
      </pivotArea>
    </format>
    <format dxfId="536">
      <pivotArea dataOnly="0" labelOnly="1" fieldPosition="0">
        <references count="2">
          <reference field="6" count="3">
            <x v="1"/>
            <x v="2"/>
            <x v="3"/>
          </reference>
          <reference field="28" count="1" selected="0">
            <x v="189"/>
          </reference>
        </references>
      </pivotArea>
    </format>
    <format dxfId="535">
      <pivotArea dataOnly="0" labelOnly="1" fieldPosition="0">
        <references count="2">
          <reference field="6" count="4">
            <x v="0"/>
            <x v="1"/>
            <x v="2"/>
            <x v="3"/>
          </reference>
          <reference field="28" count="1" selected="0">
            <x v="190"/>
          </reference>
        </references>
      </pivotArea>
    </format>
    <format dxfId="534">
      <pivotArea dataOnly="0" labelOnly="1" fieldPosition="0">
        <references count="2">
          <reference field="6" count="4">
            <x v="1"/>
            <x v="2"/>
            <x v="3"/>
            <x v="8"/>
          </reference>
          <reference field="28" count="1" selected="0">
            <x v="191"/>
          </reference>
        </references>
      </pivotArea>
    </format>
    <format dxfId="533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92"/>
          </reference>
        </references>
      </pivotArea>
    </format>
    <format dxfId="532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193"/>
          </reference>
        </references>
      </pivotArea>
    </format>
    <format dxfId="531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94"/>
          </reference>
        </references>
      </pivotArea>
    </format>
    <format dxfId="530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95"/>
          </reference>
        </references>
      </pivotArea>
    </format>
    <format dxfId="529">
      <pivotArea dataOnly="0" labelOnly="1" fieldPosition="0">
        <references count="2">
          <reference field="6" count="3">
            <x v="2"/>
            <x v="3"/>
            <x v="4"/>
          </reference>
          <reference field="28" count="1" selected="0">
            <x v="196"/>
          </reference>
        </references>
      </pivotArea>
    </format>
    <format dxfId="528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197"/>
          </reference>
        </references>
      </pivotArea>
    </format>
    <format dxfId="527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198"/>
          </reference>
        </references>
      </pivotArea>
    </format>
    <format dxfId="526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199"/>
          </reference>
        </references>
      </pivotArea>
    </format>
    <format dxfId="525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200"/>
          </reference>
        </references>
      </pivotArea>
    </format>
    <format dxfId="524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1"/>
          </reference>
        </references>
      </pivotArea>
    </format>
    <format dxfId="523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2"/>
          </reference>
        </references>
      </pivotArea>
    </format>
    <format dxfId="522">
      <pivotArea dataOnly="0" labelOnly="1" fieldPosition="0">
        <references count="2">
          <reference field="6" count="3">
            <x v="2"/>
            <x v="3"/>
            <x v="4"/>
          </reference>
          <reference field="28" count="1" selected="0">
            <x v="203"/>
          </reference>
        </references>
      </pivotArea>
    </format>
    <format dxfId="521">
      <pivotArea dataOnly="0" labelOnly="1" fieldPosition="0">
        <references count="2">
          <reference field="6" count="1">
            <x v="2"/>
          </reference>
          <reference field="28" count="1" selected="0">
            <x v="231"/>
          </reference>
        </references>
      </pivotArea>
    </format>
    <format dxfId="520">
      <pivotArea dataOnly="0" labelOnly="1" fieldPosition="0">
        <references count="1">
          <reference field="28" count="31"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</reference>
        </references>
      </pivotArea>
    </format>
    <format dxfId="519">
      <pivotArea dataOnly="0" labelOnly="1" fieldPosition="0">
        <references count="2">
          <reference field="6" count="1">
            <x v="3"/>
          </reference>
          <reference field="28" count="1" selected="0">
            <x v="204"/>
          </reference>
        </references>
      </pivotArea>
    </format>
    <format dxfId="518">
      <pivotArea dataOnly="0" labelOnly="1" fieldPosition="0">
        <references count="2">
          <reference field="6" count="1">
            <x v="3"/>
          </reference>
          <reference field="28" count="1" selected="0">
            <x v="207"/>
          </reference>
        </references>
      </pivotArea>
    </format>
    <format dxfId="517">
      <pivotArea dataOnly="0" labelOnly="1" fieldPosition="0">
        <references count="2">
          <reference field="6" count="1">
            <x v="7"/>
          </reference>
          <reference field="28" count="1" selected="0">
            <x v="208"/>
          </reference>
        </references>
      </pivotArea>
    </format>
    <format dxfId="516">
      <pivotArea dataOnly="0" labelOnly="1" fieldPosition="0">
        <references count="2">
          <reference field="6" count="1">
            <x v="7"/>
          </reference>
          <reference field="28" count="1" selected="0">
            <x v="209"/>
          </reference>
        </references>
      </pivotArea>
    </format>
    <format dxfId="515">
      <pivotArea dataOnly="0" labelOnly="1" fieldPosition="0">
        <references count="2">
          <reference field="6" count="1">
            <x v="0"/>
          </reference>
          <reference field="28" count="1" selected="0">
            <x v="212"/>
          </reference>
        </references>
      </pivotArea>
    </format>
    <format dxfId="514">
      <pivotArea dataOnly="0" labelOnly="1" fieldPosition="0">
        <references count="2">
          <reference field="6" count="1">
            <x v="2"/>
          </reference>
          <reference field="28" count="1" selected="0">
            <x v="213"/>
          </reference>
        </references>
      </pivotArea>
    </format>
    <format dxfId="513">
      <pivotArea dataOnly="0" labelOnly="1" fieldPosition="0">
        <references count="2">
          <reference field="6" count="1">
            <x v="2"/>
          </reference>
          <reference field="28" count="1" selected="0">
            <x v="215"/>
          </reference>
        </references>
      </pivotArea>
    </format>
    <format dxfId="512">
      <pivotArea dataOnly="0" labelOnly="1" fieldPosition="0">
        <references count="2">
          <reference field="6" count="1">
            <x v="2"/>
          </reference>
          <reference field="28" count="1" selected="0">
            <x v="216"/>
          </reference>
        </references>
      </pivotArea>
    </format>
    <format dxfId="511">
      <pivotArea dataOnly="0" labelOnly="1" fieldPosition="0">
        <references count="2">
          <reference field="6" count="1">
            <x v="2"/>
          </reference>
          <reference field="28" count="1" selected="0">
            <x v="217"/>
          </reference>
        </references>
      </pivotArea>
    </format>
    <format dxfId="510">
      <pivotArea dataOnly="0" labelOnly="1" fieldPosition="0">
        <references count="2">
          <reference field="6" count="1">
            <x v="2"/>
          </reference>
          <reference field="28" count="1" selected="0">
            <x v="218"/>
          </reference>
        </references>
      </pivotArea>
    </format>
    <format dxfId="509">
      <pivotArea dataOnly="0" labelOnly="1" fieldPosition="0">
        <references count="2">
          <reference field="6" count="1">
            <x v="7"/>
          </reference>
          <reference field="28" count="1" selected="0">
            <x v="222"/>
          </reference>
        </references>
      </pivotArea>
    </format>
    <format dxfId="508">
      <pivotArea dataOnly="0" labelOnly="1" fieldPosition="0">
        <references count="2">
          <reference field="6" count="1">
            <x v="7"/>
          </reference>
          <reference field="28" count="1" selected="0">
            <x v="223"/>
          </reference>
        </references>
      </pivotArea>
    </format>
    <format dxfId="507">
      <pivotArea dataOnly="0" labelOnly="1" fieldPosition="0">
        <references count="2">
          <reference field="6" count="1">
            <x v="3"/>
          </reference>
          <reference field="28" count="1" selected="0">
            <x v="224"/>
          </reference>
        </references>
      </pivotArea>
    </format>
    <format dxfId="506">
      <pivotArea dataOnly="0" labelOnly="1" fieldPosition="0">
        <references count="2">
          <reference field="6" count="1">
            <x v="0"/>
          </reference>
          <reference field="28" count="1" selected="0">
            <x v="225"/>
          </reference>
        </references>
      </pivotArea>
    </format>
    <format dxfId="505">
      <pivotArea dataOnly="0" labelOnly="1" fieldPosition="0">
        <references count="2">
          <reference field="6" count="1">
            <x v="2"/>
          </reference>
          <reference field="28" count="1" selected="0">
            <x v="226"/>
          </reference>
        </references>
      </pivotArea>
    </format>
    <format dxfId="504">
      <pivotArea dataOnly="0" labelOnly="1" fieldPosition="0">
        <references count="2">
          <reference field="6" count="1">
            <x v="2"/>
          </reference>
          <reference field="28" count="1" selected="0">
            <x v="228"/>
          </reference>
        </references>
      </pivotArea>
    </format>
    <format dxfId="503">
      <pivotArea dataOnly="0" labelOnly="1" fieldPosition="0">
        <references count="2">
          <reference field="6" count="1">
            <x v="2"/>
          </reference>
          <reference field="28" count="1" selected="0">
            <x v="229"/>
          </reference>
        </references>
      </pivotArea>
    </format>
    <format dxfId="502">
      <pivotArea dataOnly="0" labelOnly="1" fieldPosition="0">
        <references count="2">
          <reference field="6" count="1">
            <x v="2"/>
          </reference>
          <reference field="28" count="1" selected="0">
            <x v="230"/>
          </reference>
        </references>
      </pivotArea>
    </format>
    <format dxfId="501">
      <pivotArea dataOnly="0" labelOnly="1" fieldPosition="0">
        <references count="2">
          <reference field="6" count="1">
            <x v="2"/>
          </reference>
          <reference field="28" count="1" selected="0">
            <x v="232"/>
          </reference>
        </references>
      </pivotArea>
    </format>
    <format dxfId="500">
      <pivotArea dataOnly="0" labelOnly="1" fieldPosition="0">
        <references count="2">
          <reference field="6" count="1">
            <x v="3"/>
          </reference>
          <reference field="28" count="1" selected="0">
            <x v="233"/>
          </reference>
        </references>
      </pivotArea>
    </format>
    <format dxfId="499">
      <pivotArea dataOnly="0" labelOnly="1" fieldPosition="0">
        <references count="2">
          <reference field="6" count="1">
            <x v="3"/>
          </reference>
          <reference field="28" count="1" selected="0">
            <x v="218"/>
          </reference>
        </references>
      </pivotArea>
    </format>
    <format dxfId="498">
      <pivotArea dataOnly="0" labelOnly="1" fieldPosition="0">
        <references count="2">
          <reference field="6" count="1">
            <x v="0"/>
          </reference>
          <reference field="28" count="1" selected="0">
            <x v="226"/>
          </reference>
        </references>
      </pivotArea>
    </format>
    <format dxfId="497">
      <pivotArea dataOnly="0" labelOnly="1" fieldPosition="0">
        <references count="2">
          <reference field="6" count="1">
            <x v="3"/>
          </reference>
          <reference field="28" count="1" selected="0">
            <x v="234"/>
          </reference>
        </references>
      </pivotArea>
    </format>
    <format dxfId="496">
      <pivotArea dataOnly="0" labelOnly="1" grandCol="1" outline="0" fieldPosition="0"/>
    </format>
    <format dxfId="495">
      <pivotArea dataOnly="0" labelOnly="1" fieldPosition="0">
        <references count="2">
          <reference field="6" count="1">
            <x v="2"/>
          </reference>
          <reference field="28" count="1" selected="0">
            <x v="204"/>
          </reference>
        </references>
      </pivotArea>
    </format>
    <format dxfId="494">
      <pivotArea dataOnly="0" labelOnly="1" fieldPosition="0">
        <references count="2">
          <reference field="6" count="1">
            <x v="2"/>
          </reference>
          <reference field="28" count="1" selected="0">
            <x v="205"/>
          </reference>
        </references>
      </pivotArea>
    </format>
    <format dxfId="493">
      <pivotArea dataOnly="0" labelOnly="1" fieldPosition="0">
        <references count="2">
          <reference field="6" count="1">
            <x v="2"/>
          </reference>
          <reference field="28" count="1" selected="0">
            <x v="206"/>
          </reference>
        </references>
      </pivotArea>
    </format>
    <format dxfId="492">
      <pivotArea dataOnly="0" labelOnly="1" fieldPosition="0">
        <references count="2">
          <reference field="6" count="1">
            <x v="0"/>
          </reference>
          <reference field="28" count="1" selected="0">
            <x v="207"/>
          </reference>
        </references>
      </pivotArea>
    </format>
    <format dxfId="491">
      <pivotArea dataOnly="0" labelOnly="1" fieldPosition="0">
        <references count="2">
          <reference field="6" count="1">
            <x v="2"/>
          </reference>
          <reference field="28" count="1" selected="0">
            <x v="208"/>
          </reference>
        </references>
      </pivotArea>
    </format>
    <format dxfId="490">
      <pivotArea dataOnly="0" labelOnly="1" fieldPosition="0">
        <references count="2">
          <reference field="6" count="1">
            <x v="2"/>
          </reference>
          <reference field="28" count="1" selected="0">
            <x v="209"/>
          </reference>
        </references>
      </pivotArea>
    </format>
    <format dxfId="489">
      <pivotArea dataOnly="0" labelOnly="1" fieldPosition="0">
        <references count="2">
          <reference field="6" count="1">
            <x v="2"/>
          </reference>
          <reference field="28" count="1" selected="0">
            <x v="210"/>
          </reference>
        </references>
      </pivotArea>
    </format>
    <format dxfId="488">
      <pivotArea dataOnly="0" labelOnly="1" fieldPosition="0">
        <references count="2">
          <reference field="6" count="1">
            <x v="2"/>
          </reference>
          <reference field="28" count="1" selected="0">
            <x v="211"/>
          </reference>
        </references>
      </pivotArea>
    </format>
    <format dxfId="487">
      <pivotArea dataOnly="0" labelOnly="1" fieldPosition="0">
        <references count="2">
          <reference field="6" count="1">
            <x v="2"/>
          </reference>
          <reference field="28" count="1" selected="0">
            <x v="212"/>
          </reference>
        </references>
      </pivotArea>
    </format>
    <format dxfId="486">
      <pivotArea dataOnly="0" labelOnly="1" fieldPosition="0">
        <references count="2">
          <reference field="6" count="1">
            <x v="3"/>
          </reference>
          <reference field="28" count="1" selected="0">
            <x v="213"/>
          </reference>
        </references>
      </pivotArea>
    </format>
    <format dxfId="485">
      <pivotArea dataOnly="0" labelOnly="1" fieldPosition="0">
        <references count="2">
          <reference field="6" count="1">
            <x v="2"/>
          </reference>
          <reference field="28" count="1" selected="0">
            <x v="214"/>
          </reference>
        </references>
      </pivotArea>
    </format>
    <format dxfId="484">
      <pivotArea dataOnly="0" labelOnly="1" fieldPosition="0">
        <references count="2">
          <reference field="6" count="1">
            <x v="7"/>
          </reference>
          <reference field="28" count="1" selected="0">
            <x v="215"/>
          </reference>
        </references>
      </pivotArea>
    </format>
    <format dxfId="483">
      <pivotArea dataOnly="0" labelOnly="1" fieldPosition="0">
        <references count="2">
          <reference field="6" count="1">
            <x v="7"/>
          </reference>
          <reference field="28" count="1" selected="0">
            <x v="216"/>
          </reference>
        </references>
      </pivotArea>
    </format>
    <format dxfId="482">
      <pivotArea dataOnly="0" labelOnly="1" fieldPosition="0">
        <references count="2">
          <reference field="6" count="1">
            <x v="3"/>
          </reference>
          <reference field="28" count="1" selected="0">
            <x v="217"/>
          </reference>
        </references>
      </pivotArea>
    </format>
    <format dxfId="481">
      <pivotArea dataOnly="0" labelOnly="1" fieldPosition="0">
        <references count="2">
          <reference field="6" count="1">
            <x v="0"/>
          </reference>
          <reference field="28" count="1" selected="0">
            <x v="218"/>
          </reference>
        </references>
      </pivotArea>
    </format>
    <format dxfId="480">
      <pivotArea dataOnly="0" labelOnly="1" fieldPosition="0">
        <references count="2">
          <reference field="6" count="1">
            <x v="2"/>
          </reference>
          <reference field="28" count="1" selected="0">
            <x v="219"/>
          </reference>
        </references>
      </pivotArea>
    </format>
    <format dxfId="479">
      <pivotArea dataOnly="0" labelOnly="1" fieldPosition="0">
        <references count="2">
          <reference field="6" count="1">
            <x v="2"/>
          </reference>
          <reference field="28" count="1" selected="0">
            <x v="220"/>
          </reference>
        </references>
      </pivotArea>
    </format>
    <format dxfId="478">
      <pivotArea dataOnly="0" labelOnly="1" fieldPosition="0">
        <references count="2">
          <reference field="6" count="1">
            <x v="2"/>
          </reference>
          <reference field="28" count="1" selected="0">
            <x v="221"/>
          </reference>
        </references>
      </pivotArea>
    </format>
    <format dxfId="477">
      <pivotArea dataOnly="0" labelOnly="1" fieldPosition="0">
        <references count="2">
          <reference field="6" count="1">
            <x v="2"/>
          </reference>
          <reference field="28" count="1" selected="0">
            <x v="222"/>
          </reference>
        </references>
      </pivotArea>
    </format>
    <format dxfId="476">
      <pivotArea dataOnly="0" labelOnly="1" fieldPosition="0">
        <references count="2">
          <reference field="6" count="1">
            <x v="2"/>
          </reference>
          <reference field="28" count="1" selected="0">
            <x v="223"/>
          </reference>
        </references>
      </pivotArea>
    </format>
    <format dxfId="475">
      <pivotArea dataOnly="0" labelOnly="1" fieldPosition="0">
        <references count="2">
          <reference field="6" count="1">
            <x v="2"/>
          </reference>
          <reference field="28" count="1" selected="0">
            <x v="224"/>
          </reference>
        </references>
      </pivotArea>
    </format>
    <format dxfId="474">
      <pivotArea dataOnly="0" labelOnly="1" fieldPosition="0">
        <references count="2">
          <reference field="6" count="1">
            <x v="2"/>
          </reference>
          <reference field="28" count="1" selected="0">
            <x v="225"/>
          </reference>
        </references>
      </pivotArea>
    </format>
    <format dxfId="473">
      <pivotArea dataOnly="0" labelOnly="1" fieldPosition="0">
        <references count="2">
          <reference field="6" count="1">
            <x v="3"/>
          </reference>
          <reference field="28" count="1" selected="0">
            <x v="226"/>
          </reference>
        </references>
      </pivotArea>
    </format>
    <format dxfId="472">
      <pivotArea dataOnly="0" labelOnly="1" fieldPosition="0">
        <references count="2">
          <reference field="6" count="1">
            <x v="2"/>
          </reference>
          <reference field="28" count="1" selected="0">
            <x v="227"/>
          </reference>
        </references>
      </pivotArea>
    </format>
    <format dxfId="471">
      <pivotArea dataOnly="0" labelOnly="1" fieldPosition="0">
        <references count="2">
          <reference field="6" count="1">
            <x v="7"/>
          </reference>
          <reference field="28" count="1" selected="0">
            <x v="228"/>
          </reference>
        </references>
      </pivotArea>
    </format>
    <format dxfId="470">
      <pivotArea dataOnly="0" labelOnly="1" fieldPosition="0">
        <references count="2">
          <reference field="6" count="1">
            <x v="7"/>
          </reference>
          <reference field="28" count="1" selected="0">
            <x v="229"/>
          </reference>
        </references>
      </pivotArea>
    </format>
    <format dxfId="469">
      <pivotArea dataOnly="0" labelOnly="1" fieldPosition="0">
        <references count="2">
          <reference field="6" count="1">
            <x v="7"/>
          </reference>
          <reference field="28" count="1" selected="0">
            <x v="230"/>
          </reference>
        </references>
      </pivotArea>
    </format>
    <format dxfId="468">
      <pivotArea dataOnly="0" labelOnly="1" fieldPosition="0">
        <references count="2">
          <reference field="6" count="1">
            <x v="3"/>
          </reference>
          <reference field="28" count="1" selected="0">
            <x v="231"/>
          </reference>
        </references>
      </pivotArea>
    </format>
    <format dxfId="467">
      <pivotArea dataOnly="0" labelOnly="1" fieldPosition="0">
        <references count="2">
          <reference field="6" count="1">
            <x v="0"/>
          </reference>
          <reference field="28" count="1" selected="0">
            <x v="232"/>
          </reference>
        </references>
      </pivotArea>
    </format>
    <format dxfId="466">
      <pivotArea dataOnly="0" labelOnly="1" fieldPosition="0">
        <references count="2">
          <reference field="6" count="1">
            <x v="2"/>
          </reference>
          <reference field="28" count="1" selected="0">
            <x v="233"/>
          </reference>
        </references>
      </pivotArea>
    </format>
    <format dxfId="465">
      <pivotArea dataOnly="0" labelOnly="1" fieldPosition="0">
        <references count="2">
          <reference field="6" count="1">
            <x v="2"/>
          </reference>
          <reference field="28" count="1" selected="0">
            <x v="234"/>
          </reference>
        </references>
      </pivotArea>
    </format>
    <format dxfId="464">
      <pivotArea dataOnly="0" labelOnly="1" fieldPosition="0">
        <references count="1">
          <reference field="28" count="28"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</reference>
        </references>
      </pivotArea>
    </format>
    <format dxfId="463">
      <pivotArea dataOnly="0" labelOnly="1" fieldPosition="0">
        <references count="2">
          <reference field="6" count="3">
            <x v="2"/>
            <x v="3"/>
            <x v="9"/>
          </reference>
          <reference field="28" count="1" selected="0">
            <x v="235"/>
          </reference>
        </references>
      </pivotArea>
    </format>
    <format dxfId="46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36"/>
          </reference>
        </references>
      </pivotArea>
    </format>
    <format dxfId="46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37"/>
          </reference>
        </references>
      </pivotArea>
    </format>
    <format dxfId="460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38"/>
          </reference>
        </references>
      </pivotArea>
    </format>
    <format dxfId="45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39"/>
          </reference>
        </references>
      </pivotArea>
    </format>
    <format dxfId="45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0"/>
          </reference>
        </references>
      </pivotArea>
    </format>
    <format dxfId="457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1"/>
          </reference>
        </references>
      </pivotArea>
    </format>
    <format dxfId="45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2"/>
          </reference>
        </references>
      </pivotArea>
    </format>
    <format dxfId="45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3"/>
          </reference>
        </references>
      </pivotArea>
    </format>
    <format dxfId="45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4"/>
          </reference>
        </references>
      </pivotArea>
    </format>
    <format dxfId="453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5"/>
          </reference>
        </references>
      </pivotArea>
    </format>
    <format dxfId="452">
      <pivotArea dataOnly="0" labelOnly="1" fieldPosition="0">
        <references count="2">
          <reference field="6" count="4">
            <x v="0"/>
            <x v="2"/>
            <x v="3"/>
            <x v="10"/>
          </reference>
          <reference field="28" count="1" selected="0">
            <x v="246"/>
          </reference>
        </references>
      </pivotArea>
    </format>
    <format dxfId="45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7"/>
          </reference>
        </references>
      </pivotArea>
    </format>
    <format dxfId="45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8"/>
          </reference>
        </references>
      </pivotArea>
    </format>
    <format dxfId="44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9"/>
          </reference>
        </references>
      </pivotArea>
    </format>
    <format dxfId="44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0"/>
          </reference>
        </references>
      </pivotArea>
    </format>
    <format dxfId="44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1"/>
          </reference>
        </references>
      </pivotArea>
    </format>
    <format dxfId="44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2"/>
          </reference>
        </references>
      </pivotArea>
    </format>
    <format dxfId="445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3"/>
          </reference>
        </references>
      </pivotArea>
    </format>
    <format dxfId="44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4"/>
          </reference>
        </references>
      </pivotArea>
    </format>
    <format dxfId="44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5"/>
          </reference>
        </references>
      </pivotArea>
    </format>
    <format dxfId="442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6"/>
          </reference>
        </references>
      </pivotArea>
    </format>
    <format dxfId="44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7"/>
          </reference>
        </references>
      </pivotArea>
    </format>
    <format dxfId="44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8"/>
          </reference>
        </references>
      </pivotArea>
    </format>
    <format dxfId="43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9"/>
          </reference>
        </references>
      </pivotArea>
    </format>
    <format dxfId="43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0"/>
          </reference>
        </references>
      </pivotArea>
    </format>
    <format dxfId="43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1"/>
          </reference>
        </references>
      </pivotArea>
    </format>
    <format dxfId="436">
      <pivotArea dataOnly="0" labelOnly="1" fieldPosition="0">
        <references count="2">
          <reference field="6" count="1">
            <x v="2"/>
          </reference>
          <reference field="28" count="1" selected="0">
            <x v="262"/>
          </reference>
        </references>
      </pivotArea>
    </format>
    <format dxfId="435">
      <pivotArea collapsedLevelsAreSubtotals="1" fieldPosition="0">
        <references count="2">
          <reference field="4294967294" count="2">
            <x v="7"/>
            <x v="8"/>
          </reference>
          <reference field="0" count="0" selected="0"/>
        </references>
      </pivotArea>
    </format>
    <format dxfId="434">
      <pivotArea dataOnly="0" labelOnly="1" outline="0" fieldPosition="0">
        <references count="2">
          <reference field="4294967294" count="2">
            <x v="7"/>
            <x v="8"/>
          </reference>
          <reference field="0" count="0" selected="0"/>
        </references>
      </pivotArea>
    </format>
    <format dxfId="433">
      <pivotArea dataOnly="0" labelOnly="1" fieldPosition="0">
        <references count="2">
          <reference field="6" count="1">
            <x v="7"/>
          </reference>
          <reference field="28" count="1" selected="0">
            <x v="262"/>
          </reference>
        </references>
      </pivotArea>
    </format>
    <format dxfId="432">
      <pivotArea dataOnly="0" labelOnly="1" fieldPosition="0">
        <references count="1">
          <reference field="28" count="3">
            <x v="263"/>
            <x v="264"/>
            <x v="265"/>
          </reference>
        </references>
      </pivotArea>
    </format>
    <format dxfId="43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3"/>
          </reference>
        </references>
      </pivotArea>
    </format>
    <format dxfId="43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4"/>
          </reference>
        </references>
      </pivotArea>
    </format>
    <format dxfId="42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5"/>
          </reference>
        </references>
      </pivotArea>
    </format>
    <format dxfId="428">
      <pivotArea dataOnly="0" labelOnly="1" fieldPosition="0">
        <references count="1">
          <reference field="28" count="30"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</reference>
        </references>
      </pivotArea>
    </format>
    <format dxfId="42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6"/>
          </reference>
        </references>
      </pivotArea>
    </format>
    <format dxfId="42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67"/>
          </reference>
        </references>
      </pivotArea>
    </format>
    <format dxfId="425">
      <pivotArea dataOnly="0" labelOnly="1" fieldPosition="0">
        <references count="2">
          <reference field="6" count="4">
            <x v="0"/>
            <x v="2"/>
            <x v="3"/>
            <x v="11"/>
          </reference>
          <reference field="28" count="1" selected="0">
            <x v="268"/>
          </reference>
        </references>
      </pivotArea>
    </format>
    <format dxfId="424">
      <pivotArea dataOnly="0" labelOnly="1" fieldPosition="0">
        <references count="2">
          <reference field="6" count="4">
            <x v="0"/>
            <x v="2"/>
            <x v="3"/>
            <x v="11"/>
          </reference>
          <reference field="28" count="1" selected="0">
            <x v="269"/>
          </reference>
        </references>
      </pivotArea>
    </format>
    <format dxfId="42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70"/>
          </reference>
        </references>
      </pivotArea>
    </format>
    <format dxfId="42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1"/>
          </reference>
        </references>
      </pivotArea>
    </format>
    <format dxfId="42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2"/>
          </reference>
        </references>
      </pivotArea>
    </format>
    <format dxfId="420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3"/>
          </reference>
        </references>
      </pivotArea>
    </format>
    <format dxfId="419">
      <pivotArea dataOnly="0" labelOnly="1" fieldPosition="0">
        <references count="2">
          <reference field="6" count="4">
            <x v="0"/>
            <x v="2"/>
            <x v="3"/>
            <x v="12"/>
          </reference>
          <reference field="28" count="1" selected="0">
            <x v="274"/>
          </reference>
        </references>
      </pivotArea>
    </format>
    <format dxfId="418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5"/>
          </reference>
        </references>
      </pivotArea>
    </format>
    <format dxfId="417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6"/>
          </reference>
        </references>
      </pivotArea>
    </format>
    <format dxfId="416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7"/>
          </reference>
        </references>
      </pivotArea>
    </format>
    <format dxfId="41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8"/>
          </reference>
        </references>
      </pivotArea>
    </format>
    <format dxfId="41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9"/>
          </reference>
        </references>
      </pivotArea>
    </format>
    <format dxfId="413">
      <pivotArea dataOnly="0" labelOnly="1" fieldPosition="0">
        <references count="2">
          <reference field="6" count="1">
            <x v="2"/>
          </reference>
          <reference field="28" count="1" selected="0">
            <x v="280"/>
          </reference>
        </references>
      </pivotArea>
    </format>
    <format dxfId="41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1"/>
          </reference>
        </references>
      </pivotArea>
    </format>
    <format dxfId="41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2"/>
          </reference>
        </references>
      </pivotArea>
    </format>
    <format dxfId="41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3"/>
          </reference>
        </references>
      </pivotArea>
    </format>
    <format dxfId="40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4"/>
          </reference>
        </references>
      </pivotArea>
    </format>
    <format dxfId="40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85"/>
          </reference>
        </references>
      </pivotArea>
    </format>
    <format dxfId="40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86"/>
          </reference>
        </references>
      </pivotArea>
    </format>
    <format dxfId="40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87"/>
          </reference>
        </references>
      </pivotArea>
    </format>
    <format dxfId="405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8"/>
          </reference>
        </references>
      </pivotArea>
    </format>
    <format dxfId="40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9"/>
          </reference>
        </references>
      </pivotArea>
    </format>
    <format dxfId="40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0"/>
          </reference>
        </references>
      </pivotArea>
    </format>
    <format dxfId="40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1"/>
          </reference>
        </references>
      </pivotArea>
    </format>
    <format dxfId="40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92"/>
          </reference>
        </references>
      </pivotArea>
    </format>
    <format dxfId="40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93"/>
          </reference>
        </references>
      </pivotArea>
    </format>
    <format dxfId="39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94"/>
          </reference>
        </references>
      </pivotArea>
    </format>
    <format dxfId="39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5"/>
          </reference>
        </references>
      </pivotArea>
    </format>
    <format dxfId="397">
      <pivotArea dataOnly="0" labelOnly="1" fieldPosition="0">
        <references count="2">
          <reference field="6" count="1">
            <x v="0"/>
          </reference>
          <reference field="28" count="1" selected="0">
            <x v="277"/>
          </reference>
        </references>
      </pivotArea>
    </format>
    <format dxfId="396">
      <pivotArea dataOnly="0" labelOnly="1" fieldPosition="0">
        <references count="2">
          <reference field="6" count="1">
            <x v="3"/>
          </reference>
          <reference field="28" count="1" selected="0">
            <x v="280"/>
          </reference>
        </references>
      </pivotArea>
    </format>
    <format dxfId="395">
      <pivotArea dataOnly="0" labelOnly="1" fieldPosition="0">
        <references count="1">
          <reference field="28" count="31"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</reference>
        </references>
      </pivotArea>
    </format>
    <format dxfId="39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6"/>
          </reference>
        </references>
      </pivotArea>
    </format>
    <format dxfId="39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7"/>
          </reference>
        </references>
      </pivotArea>
    </format>
    <format dxfId="39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8"/>
          </reference>
        </references>
      </pivotArea>
    </format>
    <format dxfId="39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99"/>
          </reference>
        </references>
      </pivotArea>
    </format>
    <format dxfId="39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00"/>
          </reference>
        </references>
      </pivotArea>
    </format>
    <format dxfId="38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01"/>
          </reference>
        </references>
      </pivotArea>
    </format>
    <format dxfId="38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02"/>
          </reference>
        </references>
      </pivotArea>
    </format>
    <format dxfId="387">
      <pivotArea dataOnly="0" labelOnly="1" fieldPosition="0">
        <references count="2">
          <reference field="6" count="4">
            <x v="0"/>
            <x v="2"/>
            <x v="3"/>
            <x v="8"/>
          </reference>
          <reference field="28" count="1" selected="0">
            <x v="303"/>
          </reference>
        </references>
      </pivotArea>
    </format>
    <format dxfId="38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04"/>
          </reference>
        </references>
      </pivotArea>
    </format>
    <format dxfId="38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05"/>
          </reference>
        </references>
      </pivotArea>
    </format>
    <format dxfId="38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06"/>
          </reference>
        </references>
      </pivotArea>
    </format>
    <format dxfId="383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07"/>
          </reference>
        </references>
      </pivotArea>
    </format>
    <format dxfId="382">
      <pivotArea dataOnly="0" labelOnly="1" fieldPosition="0">
        <references count="2">
          <reference field="6" count="4">
            <x v="1"/>
            <x v="2"/>
            <x v="3"/>
            <x v="13"/>
          </reference>
          <reference field="28" count="1" selected="0">
            <x v="308"/>
          </reference>
        </references>
      </pivotArea>
    </format>
    <format dxfId="381">
      <pivotArea dataOnly="0" labelOnly="1" fieldPosition="0">
        <references count="2">
          <reference field="6" count="4">
            <x v="0"/>
            <x v="1"/>
            <x v="2"/>
            <x v="3"/>
          </reference>
          <reference field="28" count="1" selected="0">
            <x v="309"/>
          </reference>
        </references>
      </pivotArea>
    </format>
    <format dxfId="38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10"/>
          </reference>
        </references>
      </pivotArea>
    </format>
    <format dxfId="37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11"/>
          </reference>
        </references>
      </pivotArea>
    </format>
    <format dxfId="37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12"/>
          </reference>
        </references>
      </pivotArea>
    </format>
    <format dxfId="37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13"/>
          </reference>
        </references>
      </pivotArea>
    </format>
    <format dxfId="376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14"/>
          </reference>
        </references>
      </pivotArea>
    </format>
    <format dxfId="375">
      <pivotArea dataOnly="0" labelOnly="1" fieldPosition="0">
        <references count="2">
          <reference field="6" count="3">
            <x v="2"/>
            <x v="3"/>
            <x v="13"/>
          </reference>
          <reference field="28" count="1" selected="0">
            <x v="315"/>
          </reference>
        </references>
      </pivotArea>
    </format>
    <format dxfId="37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16"/>
          </reference>
        </references>
      </pivotArea>
    </format>
    <format dxfId="373">
      <pivotArea dataOnly="0" labelOnly="1" fieldPosition="0">
        <references count="2">
          <reference field="6" count="4">
            <x v="0"/>
            <x v="2"/>
            <x v="3"/>
            <x v="8"/>
          </reference>
          <reference field="28" count="1" selected="0">
            <x v="317"/>
          </reference>
        </references>
      </pivotArea>
    </format>
    <format dxfId="37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18"/>
          </reference>
        </references>
      </pivotArea>
    </format>
    <format dxfId="371">
      <pivotArea dataOnly="0" labelOnly="1" fieldPosition="0">
        <references count="2">
          <reference field="6" count="3">
            <x v="2"/>
            <x v="3"/>
            <x v="9"/>
          </reference>
          <reference field="28" count="1" selected="0">
            <x v="319"/>
          </reference>
        </references>
      </pivotArea>
    </format>
    <format dxfId="37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0"/>
          </reference>
        </references>
      </pivotArea>
    </format>
    <format dxfId="36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1"/>
          </reference>
        </references>
      </pivotArea>
    </format>
    <format dxfId="368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22"/>
          </reference>
        </references>
      </pivotArea>
    </format>
    <format dxfId="36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23"/>
          </reference>
        </references>
      </pivotArea>
    </format>
    <format dxfId="36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24"/>
          </reference>
        </references>
      </pivotArea>
    </format>
    <format dxfId="365">
      <pivotArea dataOnly="0" labelOnly="1" fieldPosition="0">
        <references count="2">
          <reference field="6" count="4">
            <x v="0"/>
            <x v="2"/>
            <x v="3"/>
            <x v="13"/>
          </reference>
          <reference field="28" count="1" selected="0">
            <x v="325"/>
          </reference>
        </references>
      </pivotArea>
    </format>
    <format dxfId="36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26"/>
          </reference>
        </references>
      </pivotArea>
    </format>
    <format dxfId="363">
      <pivotArea dataOnly="0" labelOnly="1" fieldPosition="0">
        <references count="1">
          <reference field="28" count="30"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36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7"/>
          </reference>
        </references>
      </pivotArea>
    </format>
    <format dxfId="36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8"/>
          </reference>
        </references>
      </pivotArea>
    </format>
    <format dxfId="360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29"/>
          </reference>
        </references>
      </pivotArea>
    </format>
    <format dxfId="35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0"/>
          </reference>
        </references>
      </pivotArea>
    </format>
    <format dxfId="358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1"/>
          </reference>
        </references>
      </pivotArea>
    </format>
    <format dxfId="35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2"/>
          </reference>
        </references>
      </pivotArea>
    </format>
    <format dxfId="356">
      <pivotArea dataOnly="0" labelOnly="1" fieldPosition="0">
        <references count="2">
          <reference field="6" count="4">
            <x v="0"/>
            <x v="2"/>
            <x v="3"/>
            <x v="13"/>
          </reference>
          <reference field="28" count="1" selected="0">
            <x v="333"/>
          </reference>
        </references>
      </pivotArea>
    </format>
    <format dxfId="35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34"/>
          </reference>
        </references>
      </pivotArea>
    </format>
    <format dxfId="35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35"/>
          </reference>
        </references>
      </pivotArea>
    </format>
    <format dxfId="353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6"/>
          </reference>
        </references>
      </pivotArea>
    </format>
    <format dxfId="35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7"/>
          </reference>
        </references>
      </pivotArea>
    </format>
    <format dxfId="35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8"/>
          </reference>
        </references>
      </pivotArea>
    </format>
    <format dxfId="350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9"/>
          </reference>
        </references>
      </pivotArea>
    </format>
    <format dxfId="34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0"/>
          </reference>
        </references>
      </pivotArea>
    </format>
    <format dxfId="34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1"/>
          </reference>
        </references>
      </pivotArea>
    </format>
    <format dxfId="34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2"/>
          </reference>
        </references>
      </pivotArea>
    </format>
    <format dxfId="346">
      <pivotArea dataOnly="0" labelOnly="1" fieldPosition="0">
        <references count="2">
          <reference field="6" count="1">
            <x v="7"/>
          </reference>
          <reference field="28" count="1" selected="0">
            <x v="343"/>
          </reference>
        </references>
      </pivotArea>
    </format>
    <format dxfId="345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44"/>
          </reference>
        </references>
      </pivotArea>
    </format>
    <format dxfId="34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5"/>
          </reference>
        </references>
      </pivotArea>
    </format>
    <format dxfId="343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346"/>
          </reference>
        </references>
      </pivotArea>
    </format>
    <format dxfId="34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7"/>
          </reference>
        </references>
      </pivotArea>
    </format>
    <format dxfId="34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8"/>
          </reference>
        </references>
      </pivotArea>
    </format>
    <format dxfId="340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349"/>
          </reference>
        </references>
      </pivotArea>
    </format>
    <format dxfId="339">
      <pivotArea dataOnly="0" labelOnly="1" fieldPosition="0">
        <references count="2">
          <reference field="6" count="3">
            <x v="1"/>
            <x v="2"/>
            <x v="3"/>
          </reference>
          <reference field="28" count="1" selected="0">
            <x v="350"/>
          </reference>
        </references>
      </pivotArea>
    </format>
    <format dxfId="33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51"/>
          </reference>
        </references>
      </pivotArea>
    </format>
    <format dxfId="33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52"/>
          </reference>
        </references>
      </pivotArea>
    </format>
    <format dxfId="336">
      <pivotArea dataOnly="0" labelOnly="1" fieldPosition="0">
        <references count="2">
          <reference field="6" count="3">
            <x v="2"/>
            <x v="3"/>
            <x v="14"/>
          </reference>
          <reference field="28" count="1" selected="0">
            <x v="353"/>
          </reference>
        </references>
      </pivotArea>
    </format>
    <format dxfId="335">
      <pivotArea dataOnly="0" labelOnly="1" fieldPosition="0">
        <references count="2">
          <reference field="6" count="5">
            <x v="0"/>
            <x v="1"/>
            <x v="2"/>
            <x v="3"/>
            <x v="14"/>
          </reference>
          <reference field="28" count="1" selected="0">
            <x v="354"/>
          </reference>
        </references>
      </pivotArea>
    </format>
    <format dxfId="33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55"/>
          </reference>
        </references>
      </pivotArea>
    </format>
    <format dxfId="333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56"/>
          </reference>
        </references>
      </pivotArea>
    </format>
    <format dxfId="332">
      <pivotArea dataOnly="0" labelOnly="1" fieldPosition="0">
        <references count="2">
          <reference field="6" count="1">
            <x v="0"/>
          </reference>
          <reference field="28" count="1" selected="0">
            <x v="344"/>
          </reference>
        </references>
      </pivotArea>
    </format>
    <format dxfId="331">
      <pivotArea dataOnly="0" labelOnly="1" fieldPosition="0">
        <references count="2">
          <reference field="6" count="1">
            <x v="1"/>
          </reference>
          <reference field="28" count="1" selected="0">
            <x v="355"/>
          </reference>
        </references>
      </pivotArea>
    </format>
    <format dxfId="330">
      <pivotArea dataOnly="0" labelOnly="1" fieldPosition="0">
        <references count="2">
          <reference field="6" count="1">
            <x v="1"/>
          </reference>
          <reference field="28" count="1" selected="0">
            <x v="356"/>
          </reference>
        </references>
      </pivotArea>
    </format>
    <format dxfId="329">
      <pivotArea dataOnly="0" labelOnly="1" fieldPosition="0">
        <references count="1">
          <reference field="28" count="3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328">
      <pivotArea dataOnly="0" labelOnly="1" fieldPosition="0">
        <references count="2">
          <reference field="6" count="4">
            <x v="0"/>
            <x v="2"/>
            <x v="4"/>
            <x v="7"/>
          </reference>
          <reference field="28" count="1" selected="0">
            <x v="52"/>
          </reference>
        </references>
      </pivotArea>
    </format>
    <format dxfId="327">
      <pivotArea field="0" type="button" dataOnly="0" labelOnly="1" outline="0" axis="axisRow" fieldPosition="0"/>
    </format>
    <format dxfId="326">
      <pivotArea dataOnly="0" labelOnly="1" fieldPosition="0">
        <references count="2">
          <reference field="6" count="4">
            <x v="0"/>
            <x v="2"/>
            <x v="3"/>
            <x v="8"/>
          </reference>
          <reference field="28" count="1" selected="0">
            <x v="22"/>
          </reference>
        </references>
      </pivotArea>
    </format>
    <format dxfId="325">
      <pivotArea dataOnly="0" labelOnly="1" fieldPosition="0">
        <references count="2">
          <reference field="6" count="3">
            <x v="0"/>
            <x v="2"/>
            <x v="8"/>
          </reference>
          <reference field="28" count="1" selected="0">
            <x v="23"/>
          </reference>
        </references>
      </pivotArea>
    </format>
    <format dxfId="32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"/>
          </reference>
        </references>
      </pivotArea>
    </format>
    <format dxfId="323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"/>
          </reference>
        </references>
      </pivotArea>
    </format>
    <format dxfId="322">
      <pivotArea dataOnly="0" labelOnly="1" fieldPosition="0">
        <references count="2">
          <reference field="6" count="4">
            <x v="2"/>
            <x v="3"/>
            <x v="4"/>
            <x v="8"/>
          </reference>
          <reference field="28" count="1" selected="0">
            <x v="26"/>
          </reference>
        </references>
      </pivotArea>
    </format>
    <format dxfId="321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27"/>
          </reference>
        </references>
      </pivotArea>
    </format>
    <format dxfId="320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28"/>
          </reference>
        </references>
      </pivotArea>
    </format>
    <format dxfId="319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29"/>
          </reference>
        </references>
      </pivotArea>
    </format>
    <format dxfId="318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0"/>
          </reference>
        </references>
      </pivotArea>
    </format>
    <format dxfId="317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1"/>
          </reference>
        </references>
      </pivotArea>
    </format>
    <format dxfId="316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2"/>
          </reference>
        </references>
      </pivotArea>
    </format>
    <format dxfId="315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33"/>
          </reference>
        </references>
      </pivotArea>
    </format>
    <format dxfId="314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4"/>
          </reference>
        </references>
      </pivotArea>
    </format>
    <format dxfId="313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35"/>
          </reference>
        </references>
      </pivotArea>
    </format>
    <format dxfId="312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6"/>
          </reference>
        </references>
      </pivotArea>
    </format>
    <format dxfId="311">
      <pivotArea dataOnly="0" labelOnly="1" fieldPosition="0">
        <references count="2">
          <reference field="6" count="4">
            <x v="2"/>
            <x v="3"/>
            <x v="4"/>
            <x v="8"/>
          </reference>
          <reference field="28" count="1" selected="0">
            <x v="37"/>
          </reference>
        </references>
      </pivotArea>
    </format>
    <format dxfId="310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8"/>
          </reference>
        </references>
      </pivotArea>
    </format>
    <format dxfId="309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9"/>
          </reference>
        </references>
      </pivotArea>
    </format>
    <format dxfId="308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40"/>
          </reference>
        </references>
      </pivotArea>
    </format>
    <format dxfId="307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1"/>
          </reference>
        </references>
      </pivotArea>
    </format>
    <format dxfId="306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2"/>
          </reference>
        </references>
      </pivotArea>
    </format>
    <format dxfId="305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3"/>
          </reference>
        </references>
      </pivotArea>
    </format>
    <format dxfId="304">
      <pivotArea dataOnly="0" labelOnly="1" fieldPosition="0">
        <references count="2">
          <reference field="6" count="5">
            <x v="2"/>
            <x v="3"/>
            <x v="4"/>
            <x v="8"/>
            <x v="9"/>
          </reference>
          <reference field="28" count="1" selected="0">
            <x v="44"/>
          </reference>
        </references>
      </pivotArea>
    </format>
    <format dxfId="303">
      <pivotArea dataOnly="0" labelOnly="1" fieldPosition="0">
        <references count="2">
          <reference field="6" count="3">
            <x v="2"/>
            <x v="7"/>
            <x v="8"/>
          </reference>
          <reference field="28" count="1" selected="0">
            <x v="45"/>
          </reference>
        </references>
      </pivotArea>
    </format>
    <format dxfId="302">
      <pivotArea dataOnly="0" labelOnly="1" fieldPosition="0">
        <references count="2">
          <reference field="6" count="3">
            <x v="2"/>
            <x v="7"/>
            <x v="8"/>
          </reference>
          <reference field="28" count="1" selected="0">
            <x v="46"/>
          </reference>
        </references>
      </pivotArea>
    </format>
    <format dxfId="301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47"/>
          </reference>
        </references>
      </pivotArea>
    </format>
    <format dxfId="300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8"/>
          </reference>
        </references>
      </pivotArea>
    </format>
    <format dxfId="299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9"/>
          </reference>
        </references>
      </pivotArea>
    </format>
    <format dxfId="298">
      <pivotArea dataOnly="0" labelOnly="1" fieldPosition="0">
        <references count="2">
          <reference field="6" count="3">
            <x v="2"/>
            <x v="4"/>
            <x v="8"/>
          </reference>
          <reference field="28" count="1" selected="0">
            <x v="50"/>
          </reference>
        </references>
      </pivotArea>
    </format>
    <format dxfId="297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51"/>
          </reference>
        </references>
      </pivotArea>
    </format>
    <format dxfId="296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5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7">
      <autoFilter ref="A1">
        <filterColumn colId="0">
          <customFilters and="1">
            <customFilter operator="greaterThanOrEqual" val="46044"/>
            <customFilter operator="lessThanOrEqual" val="4607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56078-8E67-4ED1-9F17-C9B413E6DD9A}" name="TablaDinámica1" cacheId="7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.">
  <location ref="A3:DT298" firstHeaderRow="1" firstDataRow="3" firstDataCol="1"/>
  <pivotFields count="30">
    <pivotField showAll="0"/>
    <pivotField axis="axisRow" showAll="0">
      <items count="51">
        <item x="2"/>
        <item x="5"/>
        <item x="9"/>
        <item x="7"/>
        <item x="0"/>
        <item x="8"/>
        <item x="1"/>
        <item x="6"/>
        <item x="11"/>
        <item x="4"/>
        <item x="3"/>
        <item x="12"/>
        <item x="36"/>
        <item x="10"/>
        <item x="13"/>
        <item x="14"/>
        <item x="15"/>
        <item x="16"/>
        <item x="17"/>
        <item x="18"/>
        <item x="19"/>
        <item x="20"/>
        <item x="21"/>
        <item m="1" x="42"/>
        <item x="22"/>
        <item m="1" x="49"/>
        <item x="25"/>
        <item m="1" x="48"/>
        <item m="1" x="37"/>
        <item x="23"/>
        <item m="1" x="46"/>
        <item x="24"/>
        <item m="1" x="47"/>
        <item x="26"/>
        <item x="27"/>
        <item x="29"/>
        <item m="1" x="44"/>
        <item m="1" x="45"/>
        <item x="30"/>
        <item m="1" x="43"/>
        <item m="1" x="40"/>
        <item x="32"/>
        <item m="1" x="41"/>
        <item x="28"/>
        <item x="31"/>
        <item x="33"/>
        <item x="34"/>
        <item x="35"/>
        <item m="1" x="39"/>
        <item m="1" x="38"/>
        <item t="default"/>
      </items>
    </pivotField>
    <pivotField showAll="0"/>
    <pivotField numFmtId="16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30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69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4"/>
        <item t="default"/>
      </items>
    </pivotField>
    <pivotField numFmtId="164" showAll="0"/>
    <pivotField numFmtId="165" showAll="0"/>
    <pivotField axis="axisCol" showAll="0">
      <items count="17">
        <item x="1"/>
        <item x="2"/>
        <item x="0"/>
        <item x="4"/>
        <item x="3"/>
        <item x="15"/>
        <item x="1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showAll="0"/>
    <pivotField dataField="1" showAll="0"/>
    <pivotField dataField="1" numFmtId="165" showAll="0"/>
    <pivotField dataField="1" numFmtId="165" showAll="0"/>
    <pivotField dataField="1" showAll="0"/>
    <pivotField dataField="1" numFmtId="165" showAll="0"/>
    <pivotField dataField="1" numFmtId="165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sd="0"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sd="0"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-2"/>
  </rowFields>
  <rowItems count="293">
    <i>
      <x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3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9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10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18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3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4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4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>
      <x v="4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  <i t="grand" i="19">
      <x/>
    </i>
  </rowItems>
  <colFields count="2">
    <field x="28"/>
    <field x="6"/>
  </colFields>
  <colItems count="123">
    <i>
      <x v="22"/>
      <x/>
    </i>
    <i r="1">
      <x v="2"/>
    </i>
    <i r="1">
      <x v="3"/>
    </i>
    <i r="1">
      <x v="8"/>
    </i>
    <i>
      <x v="23"/>
      <x/>
    </i>
    <i r="1">
      <x v="2"/>
    </i>
    <i r="1">
      <x v="8"/>
    </i>
    <i>
      <x v="24"/>
      <x v="2"/>
    </i>
    <i r="1">
      <x v="7"/>
    </i>
    <i>
      <x v="25"/>
      <x v="2"/>
    </i>
    <i r="1">
      <x v="7"/>
    </i>
    <i>
      <x v="26"/>
      <x v="2"/>
    </i>
    <i r="1">
      <x v="3"/>
    </i>
    <i r="1">
      <x v="4"/>
    </i>
    <i r="1">
      <x v="8"/>
    </i>
    <i>
      <x v="27"/>
      <x/>
    </i>
    <i r="1">
      <x v="2"/>
    </i>
    <i r="1">
      <x v="4"/>
    </i>
    <i r="1">
      <x v="8"/>
    </i>
    <i>
      <x v="28"/>
      <x/>
    </i>
    <i r="1">
      <x v="2"/>
    </i>
    <i r="1">
      <x v="3"/>
    </i>
    <i r="1">
      <x v="4"/>
    </i>
    <i r="1">
      <x v="8"/>
    </i>
    <i>
      <x v="29"/>
      <x/>
    </i>
    <i r="1">
      <x v="2"/>
    </i>
    <i r="1">
      <x v="3"/>
    </i>
    <i r="1">
      <x v="4"/>
    </i>
    <i r="1">
      <x v="8"/>
    </i>
    <i>
      <x v="30"/>
      <x/>
    </i>
    <i r="1">
      <x v="2"/>
    </i>
    <i r="1">
      <x v="4"/>
    </i>
    <i r="1">
      <x v="8"/>
    </i>
    <i>
      <x v="31"/>
      <x v="2"/>
    </i>
    <i r="1">
      <x v="4"/>
    </i>
    <i r="1">
      <x v="7"/>
    </i>
    <i r="1">
      <x v="8"/>
    </i>
    <i>
      <x v="32"/>
      <x v="2"/>
    </i>
    <i r="1">
      <x v="4"/>
    </i>
    <i r="1">
      <x v="7"/>
    </i>
    <i r="1">
      <x v="8"/>
    </i>
    <i>
      <x v="33"/>
      <x/>
    </i>
    <i r="1">
      <x v="2"/>
    </i>
    <i r="1">
      <x v="3"/>
    </i>
    <i r="1">
      <x v="4"/>
    </i>
    <i r="1">
      <x v="8"/>
    </i>
    <i>
      <x v="34"/>
      <x/>
    </i>
    <i r="1">
      <x v="2"/>
    </i>
    <i r="1">
      <x v="4"/>
    </i>
    <i r="1">
      <x v="8"/>
    </i>
    <i>
      <x v="35"/>
      <x/>
    </i>
    <i r="1">
      <x v="2"/>
    </i>
    <i r="1">
      <x v="3"/>
    </i>
    <i r="1">
      <x v="4"/>
    </i>
    <i r="1">
      <x v="8"/>
    </i>
    <i>
      <x v="36"/>
      <x/>
    </i>
    <i r="1">
      <x v="2"/>
    </i>
    <i r="1">
      <x v="4"/>
    </i>
    <i r="1">
      <x v="8"/>
    </i>
    <i>
      <x v="37"/>
      <x v="2"/>
    </i>
    <i r="1">
      <x v="3"/>
    </i>
    <i r="1">
      <x v="4"/>
    </i>
    <i r="1">
      <x v="8"/>
    </i>
    <i>
      <x v="38"/>
      <x v="2"/>
    </i>
    <i r="1">
      <x v="4"/>
    </i>
    <i r="1">
      <x v="7"/>
    </i>
    <i r="1">
      <x v="8"/>
    </i>
    <i>
      <x v="39"/>
      <x v="2"/>
    </i>
    <i r="1">
      <x v="4"/>
    </i>
    <i r="1">
      <x v="7"/>
    </i>
    <i r="1">
      <x v="8"/>
    </i>
    <i>
      <x v="40"/>
      <x/>
    </i>
    <i r="1">
      <x v="2"/>
    </i>
    <i r="1">
      <x v="3"/>
    </i>
    <i r="1">
      <x v="4"/>
    </i>
    <i r="1">
      <x v="8"/>
    </i>
    <i>
      <x v="41"/>
      <x/>
    </i>
    <i r="1">
      <x v="2"/>
    </i>
    <i r="1">
      <x v="4"/>
    </i>
    <i r="1">
      <x v="8"/>
    </i>
    <i>
      <x v="42"/>
      <x/>
    </i>
    <i r="1">
      <x v="2"/>
    </i>
    <i r="1">
      <x v="4"/>
    </i>
    <i r="1">
      <x v="8"/>
    </i>
    <i>
      <x v="43"/>
      <x/>
    </i>
    <i r="1">
      <x v="2"/>
    </i>
    <i r="1">
      <x v="4"/>
    </i>
    <i r="1">
      <x v="8"/>
    </i>
    <i>
      <x v="44"/>
      <x v="2"/>
    </i>
    <i r="1">
      <x v="3"/>
    </i>
    <i r="1">
      <x v="4"/>
    </i>
    <i r="1">
      <x v="8"/>
    </i>
    <i r="1">
      <x v="9"/>
    </i>
    <i>
      <x v="45"/>
      <x v="2"/>
    </i>
    <i r="1">
      <x v="7"/>
    </i>
    <i r="1">
      <x v="8"/>
    </i>
    <i>
      <x v="46"/>
      <x v="2"/>
    </i>
    <i r="1">
      <x v="7"/>
    </i>
    <i r="1">
      <x v="8"/>
    </i>
    <i>
      <x v="47"/>
      <x/>
    </i>
    <i r="1">
      <x v="2"/>
    </i>
    <i r="1">
      <x v="3"/>
    </i>
    <i r="1">
      <x v="4"/>
    </i>
    <i r="1">
      <x v="8"/>
    </i>
    <i>
      <x v="48"/>
      <x/>
    </i>
    <i r="1">
      <x v="2"/>
    </i>
    <i r="1">
      <x v="4"/>
    </i>
    <i r="1">
      <x v="8"/>
    </i>
    <i>
      <x v="49"/>
      <x/>
    </i>
    <i r="1">
      <x v="2"/>
    </i>
    <i r="1">
      <x v="4"/>
    </i>
    <i r="1">
      <x v="8"/>
    </i>
    <i>
      <x v="50"/>
      <x v="2"/>
    </i>
    <i r="1">
      <x v="4"/>
    </i>
    <i r="1">
      <x v="8"/>
    </i>
    <i>
      <x v="51"/>
      <x/>
    </i>
    <i r="1">
      <x v="2"/>
    </i>
    <i r="1">
      <x v="4"/>
    </i>
    <i r="1">
      <x v="8"/>
    </i>
    <i>
      <x v="52"/>
      <x v="2"/>
    </i>
    <i r="1">
      <x v="4"/>
    </i>
    <i r="1">
      <x v="7"/>
    </i>
    <i t="grand">
      <x/>
    </i>
  </colItems>
  <dataFields count="20">
    <dataField name="Suma de Despacho / Retiro" fld="7" baseField="0" baseItem="0"/>
    <dataField name="Suma de Entrada &lt; 19:30" fld="8" baseField="0" baseItem="0" numFmtId="165"/>
    <dataField name="Suma de Salida &gt; 19:30" fld="9" baseField="0" baseItem="0" numFmtId="165"/>
    <dataField name="Suma de Feria Semana 01" fld="10" baseField="0" baseItem="0" numFmtId="165"/>
    <dataField name="Suma de Feria Semana 02" fld="11" baseField="0" baseItem="0" numFmtId="165"/>
    <dataField name="Suma de Fuera Radio Normal" fld="12" baseField="0" baseItem="0"/>
    <dataField name="Suma de Fuera Radio V Región" fld="13" baseField="0" baseItem="0"/>
    <dataField name="Suma de Sabado" fld="14" baseField="0" baseItem="0" numFmtId="165"/>
    <dataField name="Suma de Aux Sabado Semana 02" fld="26" baseField="0" baseItem="0"/>
    <dataField name="Suma de Domingo" fld="15" baseField="0" baseItem="0" numFmtId="165"/>
    <dataField name="Suma de Aux Domingo Semana 02" fld="27" baseField="0" baseItem="0"/>
    <dataField name="Suma de Viajes Por Cliente" fld="16" baseField="0" baseItem="0"/>
    <dataField name="Suma de Sábado &gt; 16:00" fld="17" baseField="0" baseItem="0" numFmtId="165"/>
    <dataField name="Suma de Domingo &gt; 16:00" fld="18" baseField="0" baseItem="0" numFmtId="165"/>
    <dataField name="Suma de Secado" fld="20" baseField="0" baseItem="0"/>
    <dataField name="Suma de Evento" fld="21" baseField="0" baseItem="0"/>
    <dataField name="Suma de Punto de Agua" fld="22" baseField="0" baseItem="0"/>
    <dataField name="Suma de Basurero Grande " fld="23" baseField="0" baseItem="0"/>
    <dataField name="Suma de Basurero chico" fld="24" baseField="0" baseItem="0"/>
    <dataField name="Suma de Fosa" fld="25" baseField="0" baseItem="0"/>
  </dataFields>
  <formats count="296">
    <format dxfId="295">
      <pivotArea dataOnly="0" labelOnly="1" fieldPosition="0">
        <references count="1">
          <reference field="28" count="15"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94">
      <pivotArea dataOnly="0" labelOnly="1" fieldPosition="0">
        <references count="1">
          <reference field="28" count="1">
            <x v="128"/>
          </reference>
        </references>
      </pivotArea>
    </format>
    <format dxfId="293">
      <pivotArea dataOnly="0" labelOnly="1" fieldPosition="0">
        <references count="1">
          <reference field="28" count="1">
            <x v="129"/>
          </reference>
        </references>
      </pivotArea>
    </format>
    <format dxfId="292">
      <pivotArea dataOnly="0" labelOnly="1" fieldPosition="0">
        <references count="1">
          <reference field="28" count="1">
            <x v="130"/>
          </reference>
        </references>
      </pivotArea>
    </format>
    <format dxfId="291">
      <pivotArea dataOnly="0" labelOnly="1" fieldPosition="0">
        <references count="1">
          <reference field="28" count="1">
            <x v="131"/>
          </reference>
        </references>
      </pivotArea>
    </format>
    <format dxfId="290">
      <pivotArea dataOnly="0" labelOnly="1" fieldPosition="0">
        <references count="1">
          <reference field="28" count="1">
            <x v="132"/>
          </reference>
        </references>
      </pivotArea>
    </format>
    <format dxfId="289">
      <pivotArea dataOnly="0" labelOnly="1" fieldPosition="0">
        <references count="1">
          <reference field="28" count="1">
            <x v="134"/>
          </reference>
        </references>
      </pivotArea>
    </format>
    <format dxfId="288">
      <pivotArea dataOnly="0" labelOnly="1" fieldPosition="0">
        <references count="1">
          <reference field="28" count="1">
            <x v="122"/>
          </reference>
        </references>
      </pivotArea>
    </format>
    <format dxfId="287">
      <pivotArea dataOnly="0" labelOnly="1" fieldPosition="0">
        <references count="1">
          <reference field="28" count="1">
            <x v="124"/>
          </reference>
        </references>
      </pivotArea>
    </format>
    <format dxfId="286">
      <pivotArea dataOnly="0" labelOnly="1" fieldPosition="0">
        <references count="1">
          <reference field="28" count="1">
            <x v="125"/>
          </reference>
        </references>
      </pivotArea>
    </format>
    <format dxfId="285">
      <pivotArea dataOnly="0" labelOnly="1" fieldPosition="0">
        <references count="1">
          <reference field="28" count="1">
            <x v="133"/>
          </reference>
        </references>
      </pivotArea>
    </format>
    <format dxfId="284">
      <pivotArea dataOnly="0" labelOnly="1" fieldPosition="0">
        <references count="1">
          <reference field="28" count="1">
            <x v="0"/>
          </reference>
        </references>
      </pivotArea>
    </format>
    <format dxfId="283">
      <pivotArea dataOnly="0" labelOnly="1" fieldPosition="0">
        <references count="1">
          <reference field="28" count="1">
            <x v="135"/>
          </reference>
        </references>
      </pivotArea>
    </format>
    <format dxfId="282">
      <pivotArea dataOnly="0" labelOnly="1" fieldPosition="0">
        <references count="1">
          <reference field="28" count="1">
            <x v="136"/>
          </reference>
        </references>
      </pivotArea>
    </format>
    <format dxfId="281">
      <pivotArea dataOnly="0" labelOnly="1" fieldPosition="0">
        <references count="1">
          <reference field="28" count="1">
            <x v="137"/>
          </reference>
        </references>
      </pivotArea>
    </format>
    <format dxfId="280">
      <pivotArea dataOnly="0" labelOnly="1" fieldPosition="0">
        <references count="1">
          <reference field="28" count="1">
            <x v="138"/>
          </reference>
        </references>
      </pivotArea>
    </format>
    <format dxfId="279">
      <pivotArea dataOnly="0" labelOnly="1" fieldPosition="0">
        <references count="1">
          <reference field="28" count="1">
            <x v="139"/>
          </reference>
        </references>
      </pivotArea>
    </format>
    <format dxfId="278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3"/>
          </reference>
        </references>
      </pivotArea>
    </format>
    <format dxfId="277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4"/>
          </reference>
        </references>
      </pivotArea>
    </format>
    <format dxfId="276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5"/>
          </reference>
        </references>
      </pivotArea>
    </format>
    <format dxfId="275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16"/>
          </reference>
        </references>
      </pivotArea>
    </format>
    <format dxfId="274">
      <pivotArea dataOnly="0" labelOnly="1" fieldPosition="0">
        <references count="2">
          <reference field="6" count="1">
            <x v="2"/>
          </reference>
          <reference field="28" count="1" selected="0">
            <x v="117"/>
          </reference>
        </references>
      </pivotArea>
    </format>
    <format dxfId="273">
      <pivotArea dataOnly="0" labelOnly="1" fieldPosition="0">
        <references count="2">
          <reference field="6" count="1">
            <x v="2"/>
          </reference>
          <reference field="28" count="1" selected="0">
            <x v="118"/>
          </reference>
        </references>
      </pivotArea>
    </format>
    <format dxfId="272">
      <pivotArea dataOnly="0" labelOnly="1" fieldPosition="0">
        <references count="2">
          <reference field="6" count="2">
            <x v="1"/>
            <x v="2"/>
          </reference>
          <reference field="28" count="1" selected="0">
            <x v="119"/>
          </reference>
        </references>
      </pivotArea>
    </format>
    <format dxfId="271">
      <pivotArea dataOnly="0" labelOnly="1" fieldPosition="0">
        <references count="2">
          <reference field="6" count="2">
            <x v="1"/>
            <x v="2"/>
          </reference>
          <reference field="28" count="1" selected="0">
            <x v="120"/>
          </reference>
        </references>
      </pivotArea>
    </format>
    <format dxfId="270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21"/>
          </reference>
        </references>
      </pivotArea>
    </format>
    <format dxfId="269">
      <pivotArea dataOnly="0" labelOnly="1" fieldPosition="0">
        <references count="2">
          <reference field="6" count="1">
            <x v="2"/>
          </reference>
          <reference field="28" count="1" selected="0">
            <x v="122"/>
          </reference>
        </references>
      </pivotArea>
    </format>
    <format dxfId="268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23"/>
          </reference>
        </references>
      </pivotArea>
    </format>
    <format dxfId="267">
      <pivotArea dataOnly="0" labelOnly="1" fieldPosition="0">
        <references count="2">
          <reference field="6" count="1">
            <x v="2"/>
          </reference>
          <reference field="28" count="1" selected="0">
            <x v="124"/>
          </reference>
        </references>
      </pivotArea>
    </format>
    <format dxfId="266">
      <pivotArea dataOnly="0" labelOnly="1" fieldPosition="0">
        <references count="2">
          <reference field="6" count="1">
            <x v="2"/>
          </reference>
          <reference field="28" count="1" selected="0">
            <x v="125"/>
          </reference>
        </references>
      </pivotArea>
    </format>
    <format dxfId="265">
      <pivotArea dataOnly="0" labelOnly="1" fieldPosition="0">
        <references count="2">
          <reference field="6" count="3">
            <x v="1"/>
            <x v="2"/>
            <x v="4"/>
          </reference>
          <reference field="28" count="1" selected="0">
            <x v="126"/>
          </reference>
        </references>
      </pivotArea>
    </format>
    <format dxfId="264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7"/>
          </reference>
        </references>
      </pivotArea>
    </format>
    <format dxfId="263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8"/>
          </reference>
        </references>
      </pivotArea>
    </format>
    <format dxfId="262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29"/>
          </reference>
        </references>
      </pivotArea>
    </format>
    <format dxfId="261">
      <pivotArea dataOnly="0" labelOnly="1" fieldPosition="0">
        <references count="2">
          <reference field="6" count="4">
            <x v="0"/>
            <x v="1"/>
            <x v="2"/>
            <x v="4"/>
          </reference>
          <reference field="28" count="1" selected="0">
            <x v="130"/>
          </reference>
        </references>
      </pivotArea>
    </format>
    <format dxfId="260">
      <pivotArea dataOnly="0" labelOnly="1" fieldPosition="0">
        <references count="2">
          <reference field="6" count="1">
            <x v="2"/>
          </reference>
          <reference field="28" count="1" selected="0">
            <x v="131"/>
          </reference>
        </references>
      </pivotArea>
    </format>
    <format dxfId="259">
      <pivotArea dataOnly="0" labelOnly="1" fieldPosition="0">
        <references count="2">
          <reference field="6" count="1">
            <x v="2"/>
          </reference>
          <reference field="28" count="1" selected="0">
            <x v="132"/>
          </reference>
        </references>
      </pivotArea>
    </format>
    <format dxfId="258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28" count="1" selected="0">
            <x v="133"/>
          </reference>
        </references>
      </pivotArea>
    </format>
    <format dxfId="257">
      <pivotArea dataOnly="0" labelOnly="1" fieldPosition="0">
        <references count="2">
          <reference field="6" count="3">
            <x v="1"/>
            <x v="2"/>
            <x v="4"/>
          </reference>
          <reference field="28" count="1" selected="0">
            <x v="134"/>
          </reference>
        </references>
      </pivotArea>
    </format>
    <format dxfId="256">
      <pivotArea dataOnly="0" labelOnly="1" fieldPosition="0">
        <references count="2">
          <reference field="6" count="1">
            <x v="2"/>
          </reference>
          <reference field="28" count="1" selected="0">
            <x v="135"/>
          </reference>
        </references>
      </pivotArea>
    </format>
    <format dxfId="255">
      <pivotArea dataOnly="0" labelOnly="1" fieldPosition="0">
        <references count="2">
          <reference field="6" count="1">
            <x v="2"/>
          </reference>
          <reference field="28" count="1" selected="0">
            <x v="136"/>
          </reference>
        </references>
      </pivotArea>
    </format>
    <format dxfId="254">
      <pivotArea dataOnly="0" labelOnly="1" fieldPosition="0">
        <references count="2">
          <reference field="6" count="1">
            <x v="0"/>
          </reference>
          <reference field="28" count="1" selected="0">
            <x v="137"/>
          </reference>
        </references>
      </pivotArea>
    </format>
    <format dxfId="253">
      <pivotArea dataOnly="0" labelOnly="1" fieldPosition="0">
        <references count="2">
          <reference field="6" count="1">
            <x v="2"/>
          </reference>
          <reference field="28" count="1" selected="0">
            <x v="138"/>
          </reference>
        </references>
      </pivotArea>
    </format>
    <format dxfId="252">
      <pivotArea dataOnly="0" labelOnly="1" fieldPosition="0">
        <references count="2">
          <reference field="6" count="1">
            <x v="2"/>
          </reference>
          <reference field="28" count="1" selected="0">
            <x v="139"/>
          </reference>
        </references>
      </pivotArea>
    </format>
    <format dxfId="251">
      <pivotArea dataOnly="0" labelOnly="1" fieldPosition="0">
        <references count="1">
          <reference field="28" count="1">
            <x v="123"/>
          </reference>
        </references>
      </pivotArea>
    </format>
    <format dxfId="250">
      <pivotArea dataOnly="0" labelOnly="1" fieldPosition="0">
        <references count="2">
          <reference field="6" count="1">
            <x v="2"/>
          </reference>
          <reference field="28" count="1" selected="0">
            <x v="113"/>
          </reference>
        </references>
      </pivotArea>
    </format>
    <format dxfId="249">
      <pivotArea dataOnly="0" labelOnly="1" fieldPosition="0">
        <references count="1">
          <reference field="28" count="25"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61"/>
            <x v="162"/>
            <x v="163"/>
            <x v="164"/>
            <x v="165"/>
            <x v="168"/>
            <x v="169"/>
            <x v="170"/>
            <x v="171"/>
          </reference>
        </references>
      </pivotArea>
    </format>
    <format dxfId="248">
      <pivotArea dataOnly="0" labelOnly="1" fieldPosition="0">
        <references count="2">
          <reference field="6" count="1">
            <x v="2"/>
          </reference>
          <reference field="28" count="1" selected="0">
            <x v="143"/>
          </reference>
        </references>
      </pivotArea>
    </format>
    <format dxfId="247">
      <pivotArea dataOnly="0" labelOnly="1" fieldPosition="0">
        <references count="2">
          <reference field="6" count="1">
            <x v="0"/>
          </reference>
          <reference field="28" count="1" selected="0">
            <x v="144"/>
          </reference>
        </references>
      </pivotArea>
    </format>
    <format dxfId="246">
      <pivotArea dataOnly="0" labelOnly="1" fieldPosition="0">
        <references count="2">
          <reference field="6" count="1">
            <x v="2"/>
          </reference>
          <reference field="28" count="1" selected="0">
            <x v="145"/>
          </reference>
        </references>
      </pivotArea>
    </format>
    <format dxfId="245">
      <pivotArea dataOnly="0" labelOnly="1" fieldPosition="0">
        <references count="2">
          <reference field="6" count="1">
            <x v="2"/>
          </reference>
          <reference field="28" count="1" selected="0">
            <x v="146"/>
          </reference>
        </references>
      </pivotArea>
    </format>
    <format dxfId="244">
      <pivotArea dataOnly="0" labelOnly="1" fieldPosition="0">
        <references count="2">
          <reference field="6" count="1">
            <x v="2"/>
          </reference>
          <reference field="28" count="1" selected="0">
            <x v="147"/>
          </reference>
        </references>
      </pivotArea>
    </format>
    <format dxfId="243">
      <pivotArea dataOnly="0" labelOnly="1" fieldPosition="0">
        <references count="2">
          <reference field="6" count="1">
            <x v="2"/>
          </reference>
          <reference field="28" count="1" selected="0">
            <x v="148"/>
          </reference>
        </references>
      </pivotArea>
    </format>
    <format dxfId="242">
      <pivotArea dataOnly="0" labelOnly="1" fieldPosition="0">
        <references count="2">
          <reference field="6" count="1">
            <x v="2"/>
          </reference>
          <reference field="28" count="1" selected="0">
            <x v="149"/>
          </reference>
        </references>
      </pivotArea>
    </format>
    <format dxfId="241">
      <pivotArea dataOnly="0" labelOnly="1" fieldPosition="0">
        <references count="2">
          <reference field="6" count="1">
            <x v="2"/>
          </reference>
          <reference field="28" count="1" selected="0">
            <x v="150"/>
          </reference>
        </references>
      </pivotArea>
    </format>
    <format dxfId="240">
      <pivotArea dataOnly="0" labelOnly="1" fieldPosition="0">
        <references count="2">
          <reference field="6" count="1">
            <x v="0"/>
          </reference>
          <reference field="28" count="1" selected="0">
            <x v="151"/>
          </reference>
        </references>
      </pivotArea>
    </format>
    <format dxfId="239">
      <pivotArea dataOnly="0" labelOnly="1" fieldPosition="0">
        <references count="2">
          <reference field="6" count="1">
            <x v="2"/>
          </reference>
          <reference field="28" count="1" selected="0">
            <x v="152"/>
          </reference>
        </references>
      </pivotArea>
    </format>
    <format dxfId="238">
      <pivotArea dataOnly="0" labelOnly="1" fieldPosition="0">
        <references count="2">
          <reference field="6" count="1">
            <x v="2"/>
          </reference>
          <reference field="28" count="1" selected="0">
            <x v="153"/>
          </reference>
        </references>
      </pivotArea>
    </format>
    <format dxfId="237">
      <pivotArea dataOnly="0" labelOnly="1" fieldPosition="0">
        <references count="2">
          <reference field="6" count="1">
            <x v="2"/>
          </reference>
          <reference field="28" count="1" selected="0">
            <x v="154"/>
          </reference>
        </references>
      </pivotArea>
    </format>
    <format dxfId="236">
      <pivotArea dataOnly="0" labelOnly="1" fieldPosition="0">
        <references count="2">
          <reference field="6" count="1">
            <x v="2"/>
          </reference>
          <reference field="28" count="1" selected="0">
            <x v="155"/>
          </reference>
        </references>
      </pivotArea>
    </format>
    <format dxfId="235">
      <pivotArea dataOnly="0" labelOnly="1" fieldPosition="0">
        <references count="2">
          <reference field="6" count="1">
            <x v="2"/>
          </reference>
          <reference field="28" count="1" selected="0">
            <x v="156"/>
          </reference>
        </references>
      </pivotArea>
    </format>
    <format dxfId="234">
      <pivotArea dataOnly="0" labelOnly="1" fieldPosition="0">
        <references count="2">
          <reference field="6" count="1">
            <x v="2"/>
          </reference>
          <reference field="28" count="1" selected="0">
            <x v="157"/>
          </reference>
        </references>
      </pivotArea>
    </format>
    <format dxfId="233">
      <pivotArea dataOnly="0" labelOnly="1" fieldPosition="0">
        <references count="2">
          <reference field="6" count="1">
            <x v="2"/>
          </reference>
          <reference field="28" count="1" selected="0">
            <x v="158"/>
          </reference>
        </references>
      </pivotArea>
    </format>
    <format dxfId="232">
      <pivotArea dataOnly="0" labelOnly="1" fieldPosition="0">
        <references count="2">
          <reference field="6" count="1">
            <x v="0"/>
          </reference>
          <reference field="28" count="1" selected="0">
            <x v="161"/>
          </reference>
        </references>
      </pivotArea>
    </format>
    <format dxfId="231">
      <pivotArea dataOnly="0" labelOnly="1" fieldPosition="0">
        <references count="2">
          <reference field="6" count="1">
            <x v="2"/>
          </reference>
          <reference field="28" count="1" selected="0">
            <x v="162"/>
          </reference>
        </references>
      </pivotArea>
    </format>
    <format dxfId="230">
      <pivotArea dataOnly="0" labelOnly="1" fieldPosition="0">
        <references count="2">
          <reference field="6" count="1">
            <x v="2"/>
          </reference>
          <reference field="28" count="1" selected="0">
            <x v="163"/>
          </reference>
        </references>
      </pivotArea>
    </format>
    <format dxfId="229">
      <pivotArea dataOnly="0" labelOnly="1" fieldPosition="0">
        <references count="2">
          <reference field="6" count="1">
            <x v="2"/>
          </reference>
          <reference field="28" count="1" selected="0">
            <x v="164"/>
          </reference>
        </references>
      </pivotArea>
    </format>
    <format dxfId="228">
      <pivotArea dataOnly="0" labelOnly="1" fieldPosition="0">
        <references count="2">
          <reference field="6" count="1">
            <x v="2"/>
          </reference>
          <reference field="28" count="1" selected="0">
            <x v="165"/>
          </reference>
        </references>
      </pivotArea>
    </format>
    <format dxfId="227">
      <pivotArea dataOnly="0" labelOnly="1" fieldPosition="0">
        <references count="2">
          <reference field="6" count="1">
            <x v="2"/>
          </reference>
          <reference field="28" count="1" selected="0">
            <x v="168"/>
          </reference>
        </references>
      </pivotArea>
    </format>
    <format dxfId="226">
      <pivotArea dataOnly="0" labelOnly="1" fieldPosition="0">
        <references count="2">
          <reference field="6" count="1">
            <x v="2"/>
          </reference>
          <reference field="28" count="1" selected="0">
            <x v="169"/>
          </reference>
        </references>
      </pivotArea>
    </format>
    <format dxfId="225">
      <pivotArea dataOnly="0" labelOnly="1" fieldPosition="0">
        <references count="2">
          <reference field="6" count="1">
            <x v="2"/>
          </reference>
          <reference field="28" count="1" selected="0">
            <x v="170"/>
          </reference>
        </references>
      </pivotArea>
    </format>
    <format dxfId="224">
      <pivotArea dataOnly="0" labelOnly="1" fieldPosition="0">
        <references count="2">
          <reference field="6" count="1">
            <x v="2"/>
          </reference>
          <reference field="28" count="1" selected="0">
            <x v="171"/>
          </reference>
        </references>
      </pivotArea>
    </format>
    <format dxfId="223">
      <pivotArea dataOnly="0" labelOnly="1" fieldPosition="0">
        <references count="1">
          <reference field="28" count="2">
            <x v="166"/>
            <x v="167"/>
          </reference>
        </references>
      </pivotArea>
    </format>
    <format dxfId="222">
      <pivotArea dataOnly="0" labelOnly="1" fieldPosition="0">
        <references count="2">
          <reference field="6" count="1">
            <x v="2"/>
          </reference>
          <reference field="28" count="1" selected="0">
            <x v="166"/>
          </reference>
        </references>
      </pivotArea>
    </format>
    <format dxfId="221">
      <pivotArea dataOnly="0" labelOnly="1" fieldPosition="0">
        <references count="2">
          <reference field="6" count="1">
            <x v="2"/>
          </reference>
          <reference field="28" count="1" selected="0">
            <x v="167"/>
          </reference>
        </references>
      </pivotArea>
    </format>
    <format dxfId="220">
      <pivotArea dataOnly="0" labelOnly="1" fieldPosition="0">
        <references count="1">
          <reference field="28" count="21">
            <x v="174"/>
            <x v="175"/>
            <x v="176"/>
            <x v="177"/>
            <x v="178"/>
            <x v="179"/>
            <x v="180"/>
            <x v="181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</reference>
        </references>
      </pivotArea>
    </format>
    <format dxfId="219">
      <pivotArea dataOnly="0" labelOnly="1" fieldPosition="0">
        <references count="1">
          <reference field="28" count="1">
            <x v="182"/>
          </reference>
        </references>
      </pivotArea>
    </format>
    <format dxfId="218">
      <pivotArea dataOnly="0" labelOnly="1" fieldPosition="0">
        <references count="1">
          <reference field="28" count="7">
            <x v="196"/>
            <x v="197"/>
            <x v="198"/>
            <x v="199"/>
            <x v="200"/>
            <x v="201"/>
            <x v="202"/>
          </reference>
        </references>
      </pivotArea>
    </format>
    <format dxfId="217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74"/>
          </reference>
        </references>
      </pivotArea>
    </format>
    <format dxfId="216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75"/>
          </reference>
        </references>
      </pivotArea>
    </format>
    <format dxfId="215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76"/>
          </reference>
        </references>
      </pivotArea>
    </format>
    <format dxfId="214">
      <pivotArea dataOnly="0" labelOnly="1" fieldPosition="0">
        <references count="2">
          <reference field="6" count="4">
            <x v="0"/>
            <x v="1"/>
            <x v="2"/>
            <x v="6"/>
          </reference>
          <reference field="28" count="1" selected="0">
            <x v="177"/>
          </reference>
        </references>
      </pivotArea>
    </format>
    <format dxfId="213">
      <pivotArea dataOnly="0" labelOnly="1" fieldPosition="0">
        <references count="2">
          <reference field="6" count="4">
            <x v="1"/>
            <x v="2"/>
            <x v="4"/>
            <x v="6"/>
          </reference>
          <reference field="28" count="1" selected="0">
            <x v="178"/>
          </reference>
        </references>
      </pivotArea>
    </format>
    <format dxfId="212">
      <pivotArea dataOnly="0" labelOnly="1" fieldPosition="0">
        <references count="2">
          <reference field="6" count="4">
            <x v="1"/>
            <x v="2"/>
            <x v="4"/>
            <x v="6"/>
          </reference>
          <reference field="28" count="1" selected="0">
            <x v="179"/>
          </reference>
        </references>
      </pivotArea>
    </format>
    <format dxfId="211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0"/>
          </reference>
        </references>
      </pivotArea>
    </format>
    <format dxfId="210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1"/>
          </reference>
        </references>
      </pivotArea>
    </format>
    <format dxfId="209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82"/>
          </reference>
        </references>
      </pivotArea>
    </format>
    <format dxfId="208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83"/>
          </reference>
        </references>
      </pivotArea>
    </format>
    <format dxfId="207">
      <pivotArea dataOnly="0" labelOnly="1" fieldPosition="0">
        <references count="2">
          <reference field="6" count="4">
            <x v="0"/>
            <x v="1"/>
            <x v="2"/>
            <x v="8"/>
          </reference>
          <reference field="28" count="1" selected="0">
            <x v="184"/>
          </reference>
        </references>
      </pivotArea>
    </format>
    <format dxfId="206">
      <pivotArea dataOnly="0" labelOnly="1" fieldPosition="0">
        <references count="2">
          <reference field="6" count="2">
            <x v="1"/>
            <x v="2"/>
          </reference>
          <reference field="28" count="1" selected="0">
            <x v="185"/>
          </reference>
        </references>
      </pivotArea>
    </format>
    <format dxfId="205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86"/>
          </reference>
        </references>
      </pivotArea>
    </format>
    <format dxfId="204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7"/>
          </reference>
        </references>
      </pivotArea>
    </format>
    <format dxfId="203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88"/>
          </reference>
        </references>
      </pivotArea>
    </format>
    <format dxfId="202">
      <pivotArea dataOnly="0" labelOnly="1" fieldPosition="0">
        <references count="2">
          <reference field="6" count="3">
            <x v="1"/>
            <x v="2"/>
            <x v="6"/>
          </reference>
          <reference field="28" count="1" selected="0">
            <x v="189"/>
          </reference>
        </references>
      </pivotArea>
    </format>
    <format dxfId="201">
      <pivotArea dataOnly="0" labelOnly="1" fieldPosition="0">
        <references count="2">
          <reference field="6" count="4">
            <x v="0"/>
            <x v="1"/>
            <x v="2"/>
            <x v="6"/>
          </reference>
          <reference field="28" count="1" selected="0">
            <x v="190"/>
          </reference>
        </references>
      </pivotArea>
    </format>
    <format dxfId="200">
      <pivotArea dataOnly="0" labelOnly="1" fieldPosition="0">
        <references count="2">
          <reference field="6" count="4">
            <x v="1"/>
            <x v="2"/>
            <x v="6"/>
            <x v="8"/>
          </reference>
          <reference field="28" count="1" selected="0">
            <x v="191"/>
          </reference>
        </references>
      </pivotArea>
    </format>
    <format dxfId="199">
      <pivotArea dataOnly="0" labelOnly="1" fieldPosition="0">
        <references count="2">
          <reference field="6" count="3">
            <x v="0"/>
            <x v="1"/>
            <x v="2"/>
          </reference>
          <reference field="28" count="1" selected="0">
            <x v="192"/>
          </reference>
        </references>
      </pivotArea>
    </format>
    <format dxfId="198">
      <pivotArea dataOnly="0" labelOnly="1" fieldPosition="0">
        <references count="2">
          <reference field="6" count="2">
            <x v="2"/>
            <x v="6"/>
          </reference>
          <reference field="28" count="1" selected="0">
            <x v="193"/>
          </reference>
        </references>
      </pivotArea>
    </format>
    <format dxfId="197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94"/>
          </reference>
        </references>
      </pivotArea>
    </format>
    <format dxfId="196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195"/>
          </reference>
        </references>
      </pivotArea>
    </format>
    <format dxfId="195">
      <pivotArea dataOnly="0" labelOnly="1" fieldPosition="0">
        <references count="2">
          <reference field="6" count="3">
            <x v="2"/>
            <x v="4"/>
            <x v="6"/>
          </reference>
          <reference field="28" count="1" selected="0">
            <x v="196"/>
          </reference>
        </references>
      </pivotArea>
    </format>
    <format dxfId="194">
      <pivotArea dataOnly="0" labelOnly="1" fieldPosition="0">
        <references count="2">
          <reference field="6" count="4">
            <x v="0"/>
            <x v="2"/>
            <x v="4"/>
            <x v="6"/>
          </reference>
          <reference field="28" count="1" selected="0">
            <x v="197"/>
          </reference>
        </references>
      </pivotArea>
    </format>
    <format dxfId="193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198"/>
          </reference>
        </references>
      </pivotArea>
    </format>
    <format dxfId="192">
      <pivotArea dataOnly="0" labelOnly="1" fieldPosition="0">
        <references count="2">
          <reference field="6" count="5">
            <x v="0"/>
            <x v="2"/>
            <x v="4"/>
            <x v="6"/>
            <x v="8"/>
          </reference>
          <reference field="28" count="1" selected="0">
            <x v="199"/>
          </reference>
        </references>
      </pivotArea>
    </format>
    <format dxfId="191">
      <pivotArea dataOnly="0" labelOnly="1" fieldPosition="0">
        <references count="2">
          <reference field="6" count="4">
            <x v="0"/>
            <x v="2"/>
            <x v="4"/>
            <x v="6"/>
          </reference>
          <reference field="28" count="1" selected="0">
            <x v="200"/>
          </reference>
        </references>
      </pivotArea>
    </format>
    <format dxfId="190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1"/>
          </reference>
        </references>
      </pivotArea>
    </format>
    <format dxfId="189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2"/>
          </reference>
        </references>
      </pivotArea>
    </format>
    <format dxfId="188">
      <pivotArea dataOnly="0" labelOnly="1" fieldPosition="0">
        <references count="1">
          <reference field="28" count="1">
            <x v="203"/>
          </reference>
        </references>
      </pivotArea>
    </format>
    <format dxfId="187">
      <pivotArea dataOnly="0" labelOnly="1" fieldPosition="0">
        <references count="2">
          <reference field="6" count="1">
            <x v="6"/>
          </reference>
          <reference field="28" count="1" selected="0">
            <x v="203"/>
          </reference>
        </references>
      </pivotArea>
    </format>
    <format dxfId="186">
      <pivotArea dataOnly="0" labelOnly="1" fieldPosition="0">
        <references count="1">
          <reference field="28" count="21"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</reference>
        </references>
      </pivotArea>
    </format>
    <format dxfId="185">
      <pivotArea dataOnly="0" labelOnly="1" fieldPosition="0">
        <references count="1">
          <reference field="28" count="6">
            <x v="225"/>
            <x v="226"/>
            <x v="227"/>
            <x v="228"/>
            <x v="229"/>
            <x v="230"/>
          </reference>
        </references>
      </pivotArea>
    </format>
    <format dxfId="184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204"/>
          </reference>
        </references>
      </pivotArea>
    </format>
    <format dxfId="183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205"/>
          </reference>
        </references>
      </pivotArea>
    </format>
    <format dxfId="182">
      <pivotArea dataOnly="0" labelOnly="1" fieldPosition="0">
        <references count="2">
          <reference field="6" count="3">
            <x v="2"/>
            <x v="3"/>
            <x v="4"/>
          </reference>
          <reference field="28" count="1" selected="0">
            <x v="206"/>
          </reference>
        </references>
      </pivotArea>
    </format>
    <format dxfId="181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207"/>
          </reference>
        </references>
      </pivotArea>
    </format>
    <format dxfId="180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8"/>
          </reference>
        </references>
      </pivotArea>
    </format>
    <format dxfId="179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209"/>
          </reference>
        </references>
      </pivotArea>
    </format>
    <format dxfId="178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10"/>
          </reference>
        </references>
      </pivotArea>
    </format>
    <format dxfId="17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1"/>
          </reference>
        </references>
      </pivotArea>
    </format>
    <format dxfId="17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2"/>
          </reference>
        </references>
      </pivotArea>
    </format>
    <format dxfId="175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13"/>
          </reference>
        </references>
      </pivotArea>
    </format>
    <format dxfId="17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4"/>
          </reference>
        </references>
      </pivotArea>
    </format>
    <format dxfId="173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15"/>
          </reference>
        </references>
      </pivotArea>
    </format>
    <format dxfId="17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16"/>
          </reference>
        </references>
      </pivotArea>
    </format>
    <format dxfId="17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7"/>
          </reference>
        </references>
      </pivotArea>
    </format>
    <format dxfId="17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8"/>
          </reference>
        </references>
      </pivotArea>
    </format>
    <format dxfId="16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19"/>
          </reference>
        </references>
      </pivotArea>
    </format>
    <format dxfId="168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20"/>
          </reference>
        </references>
      </pivotArea>
    </format>
    <format dxfId="16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21"/>
          </reference>
        </references>
      </pivotArea>
    </format>
    <format dxfId="166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22"/>
          </reference>
        </references>
      </pivotArea>
    </format>
    <format dxfId="16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23"/>
          </reference>
        </references>
      </pivotArea>
    </format>
    <format dxfId="16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24"/>
          </reference>
        </references>
      </pivotArea>
    </format>
    <format dxfId="16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25"/>
          </reference>
        </references>
      </pivotArea>
    </format>
    <format dxfId="16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26"/>
          </reference>
        </references>
      </pivotArea>
    </format>
    <format dxfId="16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27"/>
          </reference>
        </references>
      </pivotArea>
    </format>
    <format dxfId="16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28"/>
          </reference>
        </references>
      </pivotArea>
    </format>
    <format dxfId="15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29"/>
          </reference>
        </references>
      </pivotArea>
    </format>
    <format dxfId="15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30"/>
          </reference>
        </references>
      </pivotArea>
    </format>
    <format dxfId="157">
      <pivotArea dataOnly="0" labelOnly="1" fieldPosition="0">
        <references count="1">
          <reference field="28" count="1">
            <x v="231"/>
          </reference>
        </references>
      </pivotArea>
    </format>
    <format dxfId="15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31"/>
          </reference>
        </references>
      </pivotArea>
    </format>
    <format dxfId="155">
      <pivotArea dataOnly="0" labelOnly="1" fieldPosition="0">
        <references count="1">
          <reference field="28" count="3">
            <x v="232"/>
            <x v="233"/>
            <x v="234"/>
          </reference>
        </references>
      </pivotArea>
    </format>
    <format dxfId="15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32"/>
          </reference>
        </references>
      </pivotArea>
    </format>
    <format dxfId="15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33"/>
          </reference>
        </references>
      </pivotArea>
    </format>
    <format dxfId="152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34"/>
          </reference>
        </references>
      </pivotArea>
    </format>
    <format dxfId="151">
      <pivotArea dataOnly="0" labelOnly="1" fieldPosition="0">
        <references count="1">
          <reference field="28" count="28"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</reference>
        </references>
      </pivotArea>
    </format>
    <format dxfId="150">
      <pivotArea dataOnly="0" labelOnly="1" fieldPosition="0">
        <references count="2">
          <reference field="6" count="3">
            <x v="2"/>
            <x v="3"/>
            <x v="9"/>
          </reference>
          <reference field="28" count="1" selected="0">
            <x v="235"/>
          </reference>
        </references>
      </pivotArea>
    </format>
    <format dxfId="14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36"/>
          </reference>
        </references>
      </pivotArea>
    </format>
    <format dxfId="14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37"/>
          </reference>
        </references>
      </pivotArea>
    </format>
    <format dxfId="147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38"/>
          </reference>
        </references>
      </pivotArea>
    </format>
    <format dxfId="14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39"/>
          </reference>
        </references>
      </pivotArea>
    </format>
    <format dxfId="145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0"/>
          </reference>
        </references>
      </pivotArea>
    </format>
    <format dxfId="144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1"/>
          </reference>
        </references>
      </pivotArea>
    </format>
    <format dxfId="14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2"/>
          </reference>
        </references>
      </pivotArea>
    </format>
    <format dxfId="14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3"/>
          </reference>
        </references>
      </pivotArea>
    </format>
    <format dxfId="14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4"/>
          </reference>
        </references>
      </pivotArea>
    </format>
    <format dxfId="140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5"/>
          </reference>
        </references>
      </pivotArea>
    </format>
    <format dxfId="139">
      <pivotArea dataOnly="0" labelOnly="1" fieldPosition="0">
        <references count="2">
          <reference field="6" count="4">
            <x v="0"/>
            <x v="2"/>
            <x v="3"/>
            <x v="10"/>
          </reference>
          <reference field="28" count="1" selected="0">
            <x v="246"/>
          </reference>
        </references>
      </pivotArea>
    </format>
    <format dxfId="13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7"/>
          </reference>
        </references>
      </pivotArea>
    </format>
    <format dxfId="13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48"/>
          </reference>
        </references>
      </pivotArea>
    </format>
    <format dxfId="13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49"/>
          </reference>
        </references>
      </pivotArea>
    </format>
    <format dxfId="13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0"/>
          </reference>
        </references>
      </pivotArea>
    </format>
    <format dxfId="13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1"/>
          </reference>
        </references>
      </pivotArea>
    </format>
    <format dxfId="133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2"/>
          </reference>
        </references>
      </pivotArea>
    </format>
    <format dxfId="13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3"/>
          </reference>
        </references>
      </pivotArea>
    </format>
    <format dxfId="13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4"/>
          </reference>
        </references>
      </pivotArea>
    </format>
    <format dxfId="13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55"/>
          </reference>
        </references>
      </pivotArea>
    </format>
    <format dxfId="129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6"/>
          </reference>
        </references>
      </pivotArea>
    </format>
    <format dxfId="12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7"/>
          </reference>
        </references>
      </pivotArea>
    </format>
    <format dxfId="12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8"/>
          </reference>
        </references>
      </pivotArea>
    </format>
    <format dxfId="126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59"/>
          </reference>
        </references>
      </pivotArea>
    </format>
    <format dxfId="125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0"/>
          </reference>
        </references>
      </pivotArea>
    </format>
    <format dxfId="12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1"/>
          </reference>
        </references>
      </pivotArea>
    </format>
    <format dxfId="123">
      <pivotArea dataOnly="0" labelOnly="1" fieldPosition="0">
        <references count="2">
          <reference field="6" count="1">
            <x v="2"/>
          </reference>
          <reference field="28" count="1" selected="0">
            <x v="262"/>
          </reference>
        </references>
      </pivotArea>
    </format>
    <format dxfId="122">
      <pivotArea dataOnly="0" labelOnly="1" fieldPosition="0">
        <references count="2">
          <reference field="6" count="1">
            <x v="7"/>
          </reference>
          <reference field="28" count="1" selected="0">
            <x v="262"/>
          </reference>
        </references>
      </pivotArea>
    </format>
    <format dxfId="121">
      <pivotArea dataOnly="0" labelOnly="1" fieldPosition="0">
        <references count="1">
          <reference field="28" count="3">
            <x v="263"/>
            <x v="264"/>
            <x v="265"/>
          </reference>
        </references>
      </pivotArea>
    </format>
    <format dxfId="12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3"/>
          </reference>
        </references>
      </pivotArea>
    </format>
    <format dxfId="11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4"/>
          </reference>
        </references>
      </pivotArea>
    </format>
    <format dxfId="11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65"/>
          </reference>
        </references>
      </pivotArea>
    </format>
    <format dxfId="117">
      <pivotArea dataOnly="0" labelOnly="1" fieldPosition="0">
        <references count="1">
          <reference field="28" count="30"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</reference>
        </references>
      </pivotArea>
    </format>
    <format dxfId="11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66"/>
          </reference>
        </references>
      </pivotArea>
    </format>
    <format dxfId="115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67"/>
          </reference>
        </references>
      </pivotArea>
    </format>
    <format dxfId="114">
      <pivotArea dataOnly="0" labelOnly="1" fieldPosition="0">
        <references count="2">
          <reference field="6" count="4">
            <x v="0"/>
            <x v="2"/>
            <x v="3"/>
            <x v="11"/>
          </reference>
          <reference field="28" count="1" selected="0">
            <x v="268"/>
          </reference>
        </references>
      </pivotArea>
    </format>
    <format dxfId="113">
      <pivotArea dataOnly="0" labelOnly="1" fieldPosition="0">
        <references count="2">
          <reference field="6" count="4">
            <x v="0"/>
            <x v="2"/>
            <x v="3"/>
            <x v="11"/>
          </reference>
          <reference field="28" count="1" selected="0">
            <x v="269"/>
          </reference>
        </references>
      </pivotArea>
    </format>
    <format dxfId="11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70"/>
          </reference>
        </references>
      </pivotArea>
    </format>
    <format dxfId="11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1"/>
          </reference>
        </references>
      </pivotArea>
    </format>
    <format dxfId="11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2"/>
          </reference>
        </references>
      </pivotArea>
    </format>
    <format dxfId="109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3"/>
          </reference>
        </references>
      </pivotArea>
    </format>
    <format dxfId="108">
      <pivotArea dataOnly="0" labelOnly="1" fieldPosition="0">
        <references count="2">
          <reference field="6" count="4">
            <x v="0"/>
            <x v="2"/>
            <x v="3"/>
            <x v="12"/>
          </reference>
          <reference field="28" count="1" selected="0">
            <x v="274"/>
          </reference>
        </references>
      </pivotArea>
    </format>
    <format dxfId="107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5"/>
          </reference>
        </references>
      </pivotArea>
    </format>
    <format dxfId="106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6"/>
          </reference>
        </references>
      </pivotArea>
    </format>
    <format dxfId="105">
      <pivotArea dataOnly="0" labelOnly="1" fieldPosition="0">
        <references count="2">
          <reference field="6" count="3">
            <x v="2"/>
            <x v="3"/>
            <x v="12"/>
          </reference>
          <reference field="28" count="1" selected="0">
            <x v="277"/>
          </reference>
        </references>
      </pivotArea>
    </format>
    <format dxfId="104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8"/>
          </reference>
        </references>
      </pivotArea>
    </format>
    <format dxfId="103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79"/>
          </reference>
        </references>
      </pivotArea>
    </format>
    <format dxfId="102">
      <pivotArea dataOnly="0" labelOnly="1" fieldPosition="0">
        <references count="2">
          <reference field="6" count="1">
            <x v="2"/>
          </reference>
          <reference field="28" count="1" selected="0">
            <x v="280"/>
          </reference>
        </references>
      </pivotArea>
    </format>
    <format dxfId="10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1"/>
          </reference>
        </references>
      </pivotArea>
    </format>
    <format dxfId="100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2"/>
          </reference>
        </references>
      </pivotArea>
    </format>
    <format dxfId="9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3"/>
          </reference>
        </references>
      </pivotArea>
    </format>
    <format dxfId="9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4"/>
          </reference>
        </references>
      </pivotArea>
    </format>
    <format dxfId="9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85"/>
          </reference>
        </references>
      </pivotArea>
    </format>
    <format dxfId="96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86"/>
          </reference>
        </references>
      </pivotArea>
    </format>
    <format dxfId="95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87"/>
          </reference>
        </references>
      </pivotArea>
    </format>
    <format dxfId="94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8"/>
          </reference>
        </references>
      </pivotArea>
    </format>
    <format dxfId="9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89"/>
          </reference>
        </references>
      </pivotArea>
    </format>
    <format dxfId="9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0"/>
          </reference>
        </references>
      </pivotArea>
    </format>
    <format dxfId="9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1"/>
          </reference>
        </references>
      </pivotArea>
    </format>
    <format dxfId="9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92"/>
          </reference>
        </references>
      </pivotArea>
    </format>
    <format dxfId="8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93"/>
          </reference>
        </references>
      </pivotArea>
    </format>
    <format dxfId="88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294"/>
          </reference>
        </references>
      </pivotArea>
    </format>
    <format dxfId="87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295"/>
          </reference>
        </references>
      </pivotArea>
    </format>
    <format dxfId="86">
      <pivotArea dataOnly="0" labelOnly="1" fieldPosition="0">
        <references count="2">
          <reference field="6" count="1">
            <x v="0"/>
          </reference>
          <reference field="28" count="1" selected="0">
            <x v="277"/>
          </reference>
        </references>
      </pivotArea>
    </format>
    <format dxfId="85">
      <pivotArea dataOnly="0" labelOnly="1" fieldPosition="0">
        <references count="1">
          <reference field="28" count="7">
            <x v="299"/>
            <x v="300"/>
            <x v="305"/>
            <x v="306"/>
            <x v="307"/>
            <x v="320"/>
            <x v="321"/>
          </reference>
        </references>
      </pivotArea>
    </format>
    <format dxfId="84">
      <pivotArea dataOnly="0" labelOnly="1" fieldPosition="0">
        <references count="2">
          <reference field="6" count="1">
            <x v="2"/>
          </reference>
          <reference field="28" count="1" selected="0">
            <x v="299"/>
          </reference>
        </references>
      </pivotArea>
    </format>
    <format dxfId="83">
      <pivotArea dataOnly="0" labelOnly="1" fieldPosition="0">
        <references count="2">
          <reference field="6" count="1">
            <x v="2"/>
          </reference>
          <reference field="28" count="1" selected="0">
            <x v="300"/>
          </reference>
        </references>
      </pivotArea>
    </format>
    <format dxfId="82">
      <pivotArea dataOnly="0" labelOnly="1" fieldPosition="0">
        <references count="2">
          <reference field="6" count="1">
            <x v="2"/>
          </reference>
          <reference field="28" count="1" selected="0">
            <x v="305"/>
          </reference>
        </references>
      </pivotArea>
    </format>
    <format dxfId="81">
      <pivotArea dataOnly="0" labelOnly="1" fieldPosition="0">
        <references count="2">
          <reference field="6" count="1">
            <x v="2"/>
          </reference>
          <reference field="28" count="1" selected="0">
            <x v="306"/>
          </reference>
        </references>
      </pivotArea>
    </format>
    <format dxfId="80">
      <pivotArea dataOnly="0" labelOnly="1" fieldPosition="0">
        <references count="2">
          <reference field="6" count="1">
            <x v="2"/>
          </reference>
          <reference field="28" count="1" selected="0">
            <x v="307"/>
          </reference>
        </references>
      </pivotArea>
    </format>
    <format dxfId="79">
      <pivotArea dataOnly="0" labelOnly="1" fieldPosition="0">
        <references count="2">
          <reference field="6" count="1">
            <x v="2"/>
          </reference>
          <reference field="28" count="1" selected="0">
            <x v="320"/>
          </reference>
        </references>
      </pivotArea>
    </format>
    <format dxfId="78">
      <pivotArea dataOnly="0" labelOnly="1" fieldPosition="0">
        <references count="2">
          <reference field="6" count="1">
            <x v="2"/>
          </reference>
          <reference field="28" count="1" selected="0">
            <x v="321"/>
          </reference>
        </references>
      </pivotArea>
    </format>
    <format dxfId="77">
      <pivotArea dataOnly="0" labelOnly="1" fieldPosition="0">
        <references count="1">
          <reference field="28" count="30"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76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7"/>
          </reference>
        </references>
      </pivotArea>
    </format>
    <format dxfId="7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28"/>
          </reference>
        </references>
      </pivotArea>
    </format>
    <format dxfId="74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29"/>
          </reference>
        </references>
      </pivotArea>
    </format>
    <format dxfId="7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0"/>
          </reference>
        </references>
      </pivotArea>
    </format>
    <format dxfId="72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1"/>
          </reference>
        </references>
      </pivotArea>
    </format>
    <format dxfId="7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2"/>
          </reference>
        </references>
      </pivotArea>
    </format>
    <format dxfId="70">
      <pivotArea dataOnly="0" labelOnly="1" fieldPosition="0">
        <references count="2">
          <reference field="6" count="4">
            <x v="0"/>
            <x v="2"/>
            <x v="3"/>
            <x v="13"/>
          </reference>
          <reference field="28" count="1" selected="0">
            <x v="333"/>
          </reference>
        </references>
      </pivotArea>
    </format>
    <format dxfId="69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34"/>
          </reference>
        </references>
      </pivotArea>
    </format>
    <format dxfId="6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35"/>
          </reference>
        </references>
      </pivotArea>
    </format>
    <format dxfId="67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6"/>
          </reference>
        </references>
      </pivotArea>
    </format>
    <format dxfId="6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7"/>
          </reference>
        </references>
      </pivotArea>
    </format>
    <format dxfId="65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38"/>
          </reference>
        </references>
      </pivotArea>
    </format>
    <format dxfId="64">
      <pivotArea dataOnly="0" labelOnly="1" fieldPosition="0">
        <references count="2">
          <reference field="6" count="2">
            <x v="2"/>
            <x v="3"/>
          </reference>
          <reference field="28" count="1" selected="0">
            <x v="339"/>
          </reference>
        </references>
      </pivotArea>
    </format>
    <format dxfId="63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0"/>
          </reference>
        </references>
      </pivotArea>
    </format>
    <format dxfId="62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1"/>
          </reference>
        </references>
      </pivotArea>
    </format>
    <format dxfId="6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2"/>
          </reference>
        </references>
      </pivotArea>
    </format>
    <format dxfId="60">
      <pivotArea dataOnly="0" labelOnly="1" fieldPosition="0">
        <references count="2">
          <reference field="6" count="1">
            <x v="7"/>
          </reference>
          <reference field="28" count="1" selected="0">
            <x v="343"/>
          </reference>
        </references>
      </pivotArea>
    </format>
    <format dxfId="59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4"/>
          </reference>
        </references>
      </pivotArea>
    </format>
    <format dxfId="58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5"/>
          </reference>
        </references>
      </pivotArea>
    </format>
    <format dxfId="57">
      <pivotArea dataOnly="0" labelOnly="1" fieldPosition="0">
        <references count="2">
          <reference field="6" count="4">
            <x v="0"/>
            <x v="2"/>
            <x v="3"/>
            <x v="4"/>
          </reference>
          <reference field="28" count="1" selected="0">
            <x v="346"/>
          </reference>
        </references>
      </pivotArea>
    </format>
    <format dxfId="56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47"/>
          </reference>
        </references>
      </pivotArea>
    </format>
    <format dxfId="55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48"/>
          </reference>
        </references>
      </pivotArea>
    </format>
    <format dxfId="54">
      <pivotArea dataOnly="0" labelOnly="1" fieldPosition="0">
        <references count="2">
          <reference field="6" count="3">
            <x v="1"/>
            <x v="2"/>
            <x v="7"/>
          </reference>
          <reference field="28" count="1" selected="0">
            <x v="349"/>
          </reference>
        </references>
      </pivotArea>
    </format>
    <format dxfId="53">
      <pivotArea dataOnly="0" labelOnly="1" fieldPosition="0">
        <references count="2">
          <reference field="6" count="3">
            <x v="1"/>
            <x v="2"/>
            <x v="3"/>
          </reference>
          <reference field="28" count="1" selected="0">
            <x v="350"/>
          </reference>
        </references>
      </pivotArea>
    </format>
    <format dxfId="52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51"/>
          </reference>
        </references>
      </pivotArea>
    </format>
    <format dxfId="51">
      <pivotArea dataOnly="0" labelOnly="1" fieldPosition="0">
        <references count="2">
          <reference field="6" count="3">
            <x v="0"/>
            <x v="2"/>
            <x v="3"/>
          </reference>
          <reference field="28" count="1" selected="0">
            <x v="352"/>
          </reference>
        </references>
      </pivotArea>
    </format>
    <format dxfId="50">
      <pivotArea dataOnly="0" labelOnly="1" fieldPosition="0">
        <references count="2">
          <reference field="6" count="3">
            <x v="2"/>
            <x v="3"/>
            <x v="14"/>
          </reference>
          <reference field="28" count="1" selected="0">
            <x v="353"/>
          </reference>
        </references>
      </pivotArea>
    </format>
    <format dxfId="49">
      <pivotArea dataOnly="0" labelOnly="1" fieldPosition="0">
        <references count="2">
          <reference field="6" count="5">
            <x v="0"/>
            <x v="1"/>
            <x v="2"/>
            <x v="3"/>
            <x v="14"/>
          </reference>
          <reference field="28" count="1" selected="0">
            <x v="354"/>
          </reference>
        </references>
      </pivotArea>
    </format>
    <format dxfId="48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55"/>
          </reference>
        </references>
      </pivotArea>
    </format>
    <format dxfId="47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356"/>
          </reference>
        </references>
      </pivotArea>
    </format>
    <format dxfId="46">
      <pivotArea dataOnly="0" labelOnly="1" fieldPosition="0">
        <references count="2">
          <reference field="6" count="1">
            <x v="4"/>
          </reference>
          <reference field="28" count="1" selected="0">
            <x v="350"/>
          </reference>
        </references>
      </pivotArea>
    </format>
    <format dxfId="45">
      <pivotArea dataOnly="0" labelOnly="1" fieldPosition="0">
        <references count="2">
          <reference field="6" count="1">
            <x v="4"/>
          </reference>
          <reference field="28" count="1" selected="0">
            <x v="351"/>
          </reference>
        </references>
      </pivotArea>
    </format>
    <format dxfId="44">
      <pivotArea dataOnly="0" labelOnly="1" fieldPosition="0">
        <references count="2">
          <reference field="6" count="1">
            <x v="4"/>
          </reference>
          <reference field="28" count="1" selected="0">
            <x v="352"/>
          </reference>
        </references>
      </pivotArea>
    </format>
    <format dxfId="43">
      <pivotArea dataOnly="0" labelOnly="1" fieldPosition="0">
        <references count="2">
          <reference field="6" count="1">
            <x v="4"/>
          </reference>
          <reference field="28" count="1" selected="0">
            <x v="353"/>
          </reference>
        </references>
      </pivotArea>
    </format>
    <format dxfId="42">
      <pivotArea dataOnly="0" labelOnly="1" fieldPosition="0">
        <references count="2">
          <reference field="6" count="1">
            <x v="4"/>
          </reference>
          <reference field="28" count="1" selected="0">
            <x v="354"/>
          </reference>
        </references>
      </pivotArea>
    </format>
    <format dxfId="41">
      <pivotArea dataOnly="0" labelOnly="1" fieldPosition="0">
        <references count="2">
          <reference field="6" count="1">
            <x v="4"/>
          </reference>
          <reference field="28" count="1" selected="0">
            <x v="355"/>
          </reference>
        </references>
      </pivotArea>
    </format>
    <format dxfId="40">
      <pivotArea dataOnly="0" labelOnly="1" fieldPosition="0">
        <references count="2">
          <reference field="6" count="1">
            <x v="4"/>
          </reference>
          <reference field="28" count="1" selected="0">
            <x v="356"/>
          </reference>
        </references>
      </pivotArea>
    </format>
    <format dxfId="39">
      <pivotArea collapsedLevelsAreSubtotals="1" fieldPosition="0">
        <references count="2">
          <reference field="4294967294" count="1">
            <x v="4"/>
          </reference>
          <reference field="1" count="0" selected="0"/>
        </references>
      </pivotArea>
    </format>
    <format dxfId="38">
      <pivotArea dataOnly="0" labelOnly="1" outline="0" fieldPosition="0">
        <references count="2">
          <reference field="4294967294" count="1">
            <x v="4"/>
          </reference>
          <reference field="1" count="0" selected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grandCol="1" outline="0" fieldPosition="0"/>
    </format>
    <format dxfId="35">
      <pivotArea dataOnly="0" labelOnly="1" fieldPosition="0">
        <references count="1">
          <reference field="28" count="31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34">
      <pivotArea dataOnly="0" labelOnly="1" grandCol="1" outline="0" fieldPosition="0"/>
    </format>
    <format dxfId="33">
      <pivotArea dataOnly="0" labelOnly="1" fieldPosition="0">
        <references count="2">
          <reference field="6" count="4">
            <x v="0"/>
            <x v="2"/>
            <x v="3"/>
            <x v="8"/>
          </reference>
          <reference field="28" count="1" selected="0">
            <x v="22"/>
          </reference>
        </references>
      </pivotArea>
    </format>
    <format dxfId="32">
      <pivotArea dataOnly="0" labelOnly="1" fieldPosition="0">
        <references count="2">
          <reference field="6" count="3">
            <x v="0"/>
            <x v="2"/>
            <x v="8"/>
          </reference>
          <reference field="28" count="1" selected="0">
            <x v="23"/>
          </reference>
        </references>
      </pivotArea>
    </format>
    <format dxfId="31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4"/>
          </reference>
        </references>
      </pivotArea>
    </format>
    <format dxfId="30">
      <pivotArea dataOnly="0" labelOnly="1" fieldPosition="0">
        <references count="2">
          <reference field="6" count="2">
            <x v="2"/>
            <x v="7"/>
          </reference>
          <reference field="28" count="1" selected="0">
            <x v="25"/>
          </reference>
        </references>
      </pivotArea>
    </format>
    <format dxfId="29">
      <pivotArea dataOnly="0" labelOnly="1" fieldPosition="0">
        <references count="2">
          <reference field="6" count="4">
            <x v="2"/>
            <x v="3"/>
            <x v="4"/>
            <x v="8"/>
          </reference>
          <reference field="28" count="1" selected="0">
            <x v="26"/>
          </reference>
        </references>
      </pivotArea>
    </format>
    <format dxfId="28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27"/>
          </reference>
        </references>
      </pivotArea>
    </format>
    <format dxfId="27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28"/>
          </reference>
        </references>
      </pivotArea>
    </format>
    <format dxfId="26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29"/>
          </reference>
        </references>
      </pivotArea>
    </format>
    <format dxfId="25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0"/>
          </reference>
        </references>
      </pivotArea>
    </format>
    <format dxfId="24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1"/>
          </reference>
        </references>
      </pivotArea>
    </format>
    <format dxfId="23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2"/>
          </reference>
        </references>
      </pivotArea>
    </format>
    <format dxfId="22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33"/>
          </reference>
        </references>
      </pivotArea>
    </format>
    <format dxfId="21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4"/>
          </reference>
        </references>
      </pivotArea>
    </format>
    <format dxfId="20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35"/>
          </reference>
        </references>
      </pivotArea>
    </format>
    <format dxfId="19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36"/>
          </reference>
        </references>
      </pivotArea>
    </format>
    <format dxfId="18">
      <pivotArea dataOnly="0" labelOnly="1" fieldPosition="0">
        <references count="2">
          <reference field="6" count="4">
            <x v="2"/>
            <x v="3"/>
            <x v="4"/>
            <x v="8"/>
          </reference>
          <reference field="28" count="1" selected="0">
            <x v="37"/>
          </reference>
        </references>
      </pivotArea>
    </format>
    <format dxfId="17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8"/>
          </reference>
        </references>
      </pivotArea>
    </format>
    <format dxfId="16">
      <pivotArea dataOnly="0" labelOnly="1" fieldPosition="0">
        <references count="2">
          <reference field="6" count="4">
            <x v="2"/>
            <x v="4"/>
            <x v="7"/>
            <x v="8"/>
          </reference>
          <reference field="28" count="1" selected="0">
            <x v="39"/>
          </reference>
        </references>
      </pivotArea>
    </format>
    <format dxfId="15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40"/>
          </reference>
        </references>
      </pivotArea>
    </format>
    <format dxfId="14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1"/>
          </reference>
        </references>
      </pivotArea>
    </format>
    <format dxfId="13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2"/>
          </reference>
        </references>
      </pivotArea>
    </format>
    <format dxfId="12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3"/>
          </reference>
        </references>
      </pivotArea>
    </format>
    <format dxfId="11">
      <pivotArea dataOnly="0" labelOnly="1" fieldPosition="0">
        <references count="2">
          <reference field="6" count="4">
            <x v="2"/>
            <x v="4"/>
            <x v="8"/>
            <x v="9"/>
          </reference>
          <reference field="28" count="1" selected="0">
            <x v="44"/>
          </reference>
        </references>
      </pivotArea>
    </format>
    <format dxfId="10">
      <pivotArea dataOnly="0" labelOnly="1" fieldPosition="0">
        <references count="2">
          <reference field="6" count="3">
            <x v="2"/>
            <x v="7"/>
            <x v="8"/>
          </reference>
          <reference field="28" count="1" selected="0">
            <x v="45"/>
          </reference>
        </references>
      </pivotArea>
    </format>
    <format dxfId="9">
      <pivotArea dataOnly="0" labelOnly="1" fieldPosition="0">
        <references count="2">
          <reference field="6" count="3">
            <x v="2"/>
            <x v="7"/>
            <x v="8"/>
          </reference>
          <reference field="28" count="1" selected="0">
            <x v="46"/>
          </reference>
        </references>
      </pivotArea>
    </format>
    <format dxfId="8">
      <pivotArea dataOnly="0" labelOnly="1" fieldPosition="0">
        <references count="2">
          <reference field="6" count="5">
            <x v="0"/>
            <x v="2"/>
            <x v="3"/>
            <x v="4"/>
            <x v="8"/>
          </reference>
          <reference field="28" count="1" selected="0">
            <x v="47"/>
          </reference>
        </references>
      </pivotArea>
    </format>
    <format dxfId="7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8"/>
          </reference>
        </references>
      </pivotArea>
    </format>
    <format dxfId="6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49"/>
          </reference>
        </references>
      </pivotArea>
    </format>
    <format dxfId="5">
      <pivotArea dataOnly="0" labelOnly="1" fieldPosition="0">
        <references count="2">
          <reference field="6" count="3">
            <x v="2"/>
            <x v="4"/>
            <x v="8"/>
          </reference>
          <reference field="28" count="1" selected="0">
            <x v="50"/>
          </reference>
        </references>
      </pivotArea>
    </format>
    <format dxfId="4">
      <pivotArea dataOnly="0" labelOnly="1" fieldPosition="0">
        <references count="2">
          <reference field="6" count="4">
            <x v="0"/>
            <x v="2"/>
            <x v="4"/>
            <x v="8"/>
          </reference>
          <reference field="28" count="1" selected="0">
            <x v="51"/>
          </reference>
        </references>
      </pivotArea>
    </format>
    <format dxfId="3">
      <pivotArea dataOnly="0" labelOnly="1" fieldPosition="0">
        <references count="2">
          <reference field="6" count="3">
            <x v="2"/>
            <x v="4"/>
            <x v="7"/>
          </reference>
          <reference field="28" count="1" selected="0">
            <x v="52"/>
          </reference>
        </references>
      </pivotArea>
    </format>
    <format dxfId="2">
      <pivotArea dataOnly="0" labelOnly="1" fieldPosition="0">
        <references count="2">
          <reference field="6" count="1">
            <x v="3"/>
          </reference>
          <reference field="28" count="1" selected="0">
            <x v="44"/>
          </reference>
        </references>
      </pivotArea>
    </format>
    <format dxfId="1">
      <pivotArea dataOnly="0" labelOnly="1" fieldPosition="0">
        <references count="2">
          <reference field="6" count="1">
            <x v="3"/>
          </reference>
          <reference field="28" count="1" selected="0">
            <x v="28"/>
          </reference>
        </references>
      </pivotArea>
    </format>
    <format dxfId="0">
      <pivotArea dataOnly="0" labelOnly="1" fieldPosition="0">
        <references count="2">
          <reference field="6" count="1">
            <x v="3"/>
          </reference>
          <reference field="28" count="1" selected="0">
            <x v="29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6">
      <autoFilter ref="A1">
        <filterColumn colId="0">
          <customFilters and="1">
            <customFilter operator="greaterThanOrEqual" val="46044"/>
            <customFilter operator="lessThanOrEqual" val="4607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9487-D11C-4A8D-AF5C-169907250FD4}">
  <dimension ref="A3:AG46"/>
  <sheetViews>
    <sheetView workbookViewId="0">
      <selection activeCell="D4" sqref="D4"/>
    </sheetView>
  </sheetViews>
  <sheetFormatPr baseColWidth="10" defaultColWidth="36" defaultRowHeight="15" x14ac:dyDescent="0.25"/>
  <cols>
    <col min="1" max="1" width="36.140625" bestFit="1" customWidth="1"/>
    <col min="2" max="32" width="5.5703125" bestFit="1" customWidth="1"/>
    <col min="33" max="34" width="3.7109375" bestFit="1" customWidth="1"/>
    <col min="35" max="35" width="5.5703125" bestFit="1" customWidth="1"/>
    <col min="36" max="38" width="3.7109375" bestFit="1" customWidth="1"/>
    <col min="39" max="39" width="5.5703125" bestFit="1" customWidth="1"/>
    <col min="40" max="42" width="3.7109375" bestFit="1" customWidth="1"/>
    <col min="43" max="43" width="5.5703125" bestFit="1" customWidth="1"/>
    <col min="44" max="44" width="4" bestFit="1" customWidth="1"/>
    <col min="45" max="47" width="3.7109375" bestFit="1" customWidth="1"/>
    <col min="48" max="48" width="5.5703125" bestFit="1" customWidth="1"/>
    <col min="49" max="49" width="4" bestFit="1" customWidth="1"/>
    <col min="50" max="51" width="3.7109375" bestFit="1" customWidth="1"/>
    <col min="52" max="52" width="5.5703125" bestFit="1" customWidth="1"/>
    <col min="53" max="53" width="4" bestFit="1" customWidth="1"/>
    <col min="54" max="56" width="3.7109375" bestFit="1" customWidth="1"/>
    <col min="57" max="57" width="5.5703125" bestFit="1" customWidth="1"/>
    <col min="58" max="58" width="4" bestFit="1" customWidth="1"/>
    <col min="59" max="60" width="3.7109375" bestFit="1" customWidth="1"/>
    <col min="61" max="61" width="5.5703125" bestFit="1" customWidth="1"/>
    <col min="62" max="64" width="3.7109375" bestFit="1" customWidth="1"/>
    <col min="65" max="65" width="5.5703125" bestFit="1" customWidth="1"/>
    <col min="66" max="68" width="3.7109375" bestFit="1" customWidth="1"/>
    <col min="69" max="69" width="5.5703125" bestFit="1" customWidth="1"/>
    <col min="70" max="72" width="3.7109375" bestFit="1" customWidth="1"/>
    <col min="73" max="73" width="5.5703125" bestFit="1" customWidth="1"/>
    <col min="74" max="77" width="3.7109375" bestFit="1" customWidth="1"/>
    <col min="78" max="78" width="5.5703125" bestFit="1" customWidth="1"/>
    <col min="79" max="79" width="4" bestFit="1" customWidth="1"/>
    <col min="80" max="81" width="3.7109375" bestFit="1" customWidth="1"/>
    <col min="82" max="82" width="5.5703125" bestFit="1" customWidth="1"/>
    <col min="83" max="83" width="4" bestFit="1" customWidth="1"/>
    <col min="84" max="85" width="3.7109375" bestFit="1" customWidth="1"/>
    <col min="86" max="86" width="5.5703125" bestFit="1" customWidth="1"/>
    <col min="87" max="87" width="4" bestFit="1" customWidth="1"/>
    <col min="88" max="89" width="3.7109375" bestFit="1" customWidth="1"/>
    <col min="90" max="90" width="5.5703125" bestFit="1" customWidth="1"/>
    <col min="91" max="94" width="3.7109375" bestFit="1" customWidth="1"/>
    <col min="95" max="95" width="5.5703125" bestFit="1" customWidth="1"/>
    <col min="96" max="97" width="3.7109375" bestFit="1" customWidth="1"/>
    <col min="98" max="98" width="5.5703125" bestFit="1" customWidth="1"/>
    <col min="99" max="100" width="3.7109375" bestFit="1" customWidth="1"/>
    <col min="101" max="101" width="5.5703125" bestFit="1" customWidth="1"/>
    <col min="102" max="105" width="3.7109375" bestFit="1" customWidth="1"/>
    <col min="106" max="106" width="5.5703125" bestFit="1" customWidth="1"/>
    <col min="107" max="107" width="4" bestFit="1" customWidth="1"/>
    <col min="108" max="109" width="3.7109375" bestFit="1" customWidth="1"/>
    <col min="110" max="110" width="5.5703125" bestFit="1" customWidth="1"/>
    <col min="111" max="111" width="4" bestFit="1" customWidth="1"/>
    <col min="112" max="113" width="3.7109375" bestFit="1" customWidth="1"/>
    <col min="114" max="114" width="5.5703125" bestFit="1" customWidth="1"/>
    <col min="115" max="116" width="3.7109375" bestFit="1" customWidth="1"/>
    <col min="117" max="117" width="5.5703125" bestFit="1" customWidth="1"/>
    <col min="118" max="118" width="4" bestFit="1" customWidth="1"/>
    <col min="119" max="120" width="3.7109375" bestFit="1" customWidth="1"/>
    <col min="121" max="121" width="5.5703125" bestFit="1" customWidth="1"/>
    <col min="122" max="123" width="3.7109375" bestFit="1" customWidth="1"/>
    <col min="124" max="124" width="9.42578125" bestFit="1" customWidth="1"/>
  </cols>
  <sheetData>
    <row r="3" spans="1:33" x14ac:dyDescent="0.25">
      <c r="B3" s="4" t="s">
        <v>168</v>
      </c>
    </row>
    <row r="4" spans="1:33" ht="66" x14ac:dyDescent="0.25">
      <c r="B4" s="7" t="s">
        <v>1549</v>
      </c>
      <c r="C4" s="7" t="s">
        <v>1550</v>
      </c>
      <c r="D4" s="7" t="s">
        <v>1551</v>
      </c>
      <c r="E4" s="7" t="s">
        <v>1552</v>
      </c>
      <c r="F4" s="7" t="s">
        <v>1553</v>
      </c>
      <c r="G4" s="7" t="s">
        <v>1554</v>
      </c>
      <c r="H4" s="7" t="s">
        <v>1555</v>
      </c>
      <c r="I4" s="7" t="s">
        <v>1556</v>
      </c>
      <c r="J4" s="7" t="s">
        <v>1557</v>
      </c>
      <c r="K4" s="7" t="s">
        <v>1558</v>
      </c>
      <c r="L4" s="7" t="s">
        <v>1559</v>
      </c>
      <c r="M4" s="7" t="s">
        <v>1560</v>
      </c>
      <c r="N4" s="7" t="s">
        <v>1561</v>
      </c>
      <c r="O4" s="7" t="s">
        <v>1562</v>
      </c>
      <c r="P4" s="7" t="s">
        <v>1563</v>
      </c>
      <c r="Q4" s="7" t="s">
        <v>1564</v>
      </c>
      <c r="R4" s="7" t="s">
        <v>1565</v>
      </c>
      <c r="S4" s="7" t="s">
        <v>1566</v>
      </c>
      <c r="T4" s="7" t="s">
        <v>1567</v>
      </c>
      <c r="U4" s="7" t="s">
        <v>1568</v>
      </c>
      <c r="V4" s="7" t="s">
        <v>1569</v>
      </c>
      <c r="W4" s="7" t="s">
        <v>1570</v>
      </c>
      <c r="X4" s="7" t="s">
        <v>1571</v>
      </c>
      <c r="Y4" s="7" t="s">
        <v>1572</v>
      </c>
      <c r="Z4" s="7" t="s">
        <v>1573</v>
      </c>
      <c r="AA4" s="7" t="s">
        <v>1574</v>
      </c>
      <c r="AB4" s="7" t="s">
        <v>1575</v>
      </c>
      <c r="AC4" s="7" t="s">
        <v>1576</v>
      </c>
      <c r="AD4" s="7" t="s">
        <v>1577</v>
      </c>
      <c r="AE4" s="7" t="s">
        <v>1585</v>
      </c>
      <c r="AF4" s="7" t="s">
        <v>1578</v>
      </c>
      <c r="AG4" s="10" t="s">
        <v>130</v>
      </c>
    </row>
    <row r="5" spans="1:33" ht="102.75" x14ac:dyDescent="0.25">
      <c r="A5" s="4" t="s">
        <v>167</v>
      </c>
      <c r="B5" s="7" t="s">
        <v>48</v>
      </c>
      <c r="C5" s="7" t="s">
        <v>23</v>
      </c>
      <c r="D5" s="7" t="s">
        <v>378</v>
      </c>
      <c r="E5" s="7" t="s">
        <v>378</v>
      </c>
      <c r="F5" s="7" t="s">
        <v>129</v>
      </c>
      <c r="G5" s="7" t="s">
        <v>129</v>
      </c>
      <c r="H5" s="7" t="s">
        <v>129</v>
      </c>
      <c r="I5" s="7" t="s">
        <v>129</v>
      </c>
      <c r="J5" s="7" t="s">
        <v>129</v>
      </c>
      <c r="K5" s="7" t="s">
        <v>129</v>
      </c>
      <c r="L5" s="7" t="s">
        <v>129</v>
      </c>
      <c r="M5" s="7" t="s">
        <v>129</v>
      </c>
      <c r="N5" s="7" t="s">
        <v>129</v>
      </c>
      <c r="O5" s="7" t="s">
        <v>129</v>
      </c>
      <c r="P5" s="7" t="s">
        <v>129</v>
      </c>
      <c r="Q5" s="7" t="s">
        <v>129</v>
      </c>
      <c r="R5" s="7" t="s">
        <v>129</v>
      </c>
      <c r="S5" s="7" t="s">
        <v>129</v>
      </c>
      <c r="T5" s="7" t="s">
        <v>129</v>
      </c>
      <c r="U5" s="7" t="s">
        <v>129</v>
      </c>
      <c r="V5" s="7" t="s">
        <v>129</v>
      </c>
      <c r="W5" s="7" t="s">
        <v>129</v>
      </c>
      <c r="X5" s="7" t="s">
        <v>129</v>
      </c>
      <c r="Y5" s="7" t="s">
        <v>378</v>
      </c>
      <c r="Z5" s="7" t="s">
        <v>378</v>
      </c>
      <c r="AA5" s="7" t="s">
        <v>23</v>
      </c>
      <c r="AB5" s="7" t="s">
        <v>23</v>
      </c>
      <c r="AC5" s="7" t="s">
        <v>23</v>
      </c>
      <c r="AD5" s="7" t="s">
        <v>23</v>
      </c>
      <c r="AE5" s="7" t="s">
        <v>48</v>
      </c>
      <c r="AF5" s="7" t="s">
        <v>23</v>
      </c>
      <c r="AG5" s="10"/>
    </row>
    <row r="6" spans="1:33" x14ac:dyDescent="0.25">
      <c r="A6" s="5" t="s">
        <v>56</v>
      </c>
    </row>
    <row r="7" spans="1:33" x14ac:dyDescent="0.25">
      <c r="A7" s="6" t="s">
        <v>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20</v>
      </c>
      <c r="AC7">
        <v>34</v>
      </c>
      <c r="AD7">
        <v>22</v>
      </c>
      <c r="AE7">
        <v>0</v>
      </c>
      <c r="AF7">
        <v>0</v>
      </c>
      <c r="AG7">
        <v>76</v>
      </c>
    </row>
    <row r="8" spans="1:33" x14ac:dyDescent="0.25">
      <c r="A8" s="6" t="s">
        <v>134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x14ac:dyDescent="0.25">
      <c r="A9" s="6" t="s">
        <v>136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5">
      <c r="A10" s="6" t="s">
        <v>138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0</v>
      </c>
      <c r="AE10" s="2">
        <v>0</v>
      </c>
      <c r="AF10" s="2">
        <v>0</v>
      </c>
      <c r="AG10" s="2">
        <v>1</v>
      </c>
    </row>
    <row r="11" spans="1:33" x14ac:dyDescent="0.25">
      <c r="A11" s="6" t="s">
        <v>140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  <c r="AF11" s="2">
        <v>0</v>
      </c>
      <c r="AG11" s="2">
        <v>2</v>
      </c>
    </row>
    <row r="12" spans="1:33" x14ac:dyDescent="0.25">
      <c r="A12" s="6" t="s">
        <v>142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</row>
    <row r="13" spans="1:33" x14ac:dyDescent="0.25">
      <c r="A13" s="6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 s="6" t="s">
        <v>146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1</v>
      </c>
    </row>
    <row r="15" spans="1:33" x14ac:dyDescent="0.25">
      <c r="A15" s="6" t="s">
        <v>454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s="6" t="s">
        <v>148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5">
      <c r="A17" s="6" t="s">
        <v>456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 s="6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2</v>
      </c>
    </row>
    <row r="19" spans="1:33" x14ac:dyDescent="0.25">
      <c r="A19" s="6" t="s">
        <v>152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1</v>
      </c>
    </row>
    <row r="20" spans="1:33" x14ac:dyDescent="0.25">
      <c r="A20" s="6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5">
      <c r="A21" s="6" t="s">
        <v>156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 s="6" t="s">
        <v>158</v>
      </c>
      <c r="B22">
        <v>0</v>
      </c>
      <c r="C22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58</v>
      </c>
    </row>
    <row r="23" spans="1:33" x14ac:dyDescent="0.25">
      <c r="A23" s="6" t="s">
        <v>160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</row>
    <row r="24" spans="1:33" x14ac:dyDescent="0.25">
      <c r="A24" s="6" t="s">
        <v>162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 s="6" t="s">
        <v>164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 s="6" t="s">
        <v>166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 s="5" t="s">
        <v>132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20</v>
      </c>
      <c r="AC27">
        <v>34</v>
      </c>
      <c r="AD27">
        <v>22</v>
      </c>
      <c r="AE27">
        <v>0</v>
      </c>
      <c r="AF27">
        <v>0</v>
      </c>
      <c r="AG27">
        <v>76</v>
      </c>
    </row>
    <row r="28" spans="1:33" x14ac:dyDescent="0.25">
      <c r="A28" s="5" t="s">
        <v>133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25">
      <c r="A29" s="5" t="s">
        <v>135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x14ac:dyDescent="0.25">
      <c r="A30" s="5" t="s">
        <v>137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1</v>
      </c>
    </row>
    <row r="31" spans="1:33" x14ac:dyDescent="0.25">
      <c r="A31" s="5" t="s">
        <v>139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>
        <v>1</v>
      </c>
      <c r="AE31" s="2">
        <v>0</v>
      </c>
      <c r="AF31" s="2">
        <v>0</v>
      </c>
      <c r="AG31" s="2">
        <v>2</v>
      </c>
    </row>
    <row r="32" spans="1:33" x14ac:dyDescent="0.25">
      <c r="A32" s="5" t="s">
        <v>141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</row>
    <row r="33" spans="1:33" x14ac:dyDescent="0.25">
      <c r="A33" s="5" t="s">
        <v>143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s="5" t="s">
        <v>145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</v>
      </c>
      <c r="AG34" s="2">
        <v>1</v>
      </c>
    </row>
    <row r="35" spans="1:33" x14ac:dyDescent="0.25">
      <c r="A35" s="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s="5" t="s">
        <v>147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25">
      <c r="A37" s="5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 s="5" t="s">
        <v>149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2</v>
      </c>
    </row>
    <row r="39" spans="1:33" x14ac:dyDescent="0.25">
      <c r="A39" s="5" t="s">
        <v>151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1</v>
      </c>
    </row>
    <row r="40" spans="1:33" x14ac:dyDescent="0.25">
      <c r="A40" s="5" t="s">
        <v>153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x14ac:dyDescent="0.25">
      <c r="A41" s="5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 s="5" t="s">
        <v>157</v>
      </c>
      <c r="B42">
        <v>0</v>
      </c>
      <c r="C42">
        <v>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58</v>
      </c>
    </row>
    <row r="43" spans="1:33" x14ac:dyDescent="0.25">
      <c r="A43" s="5" t="s">
        <v>159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 s="5" t="s">
        <v>161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s="5" t="s">
        <v>163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s="5" t="s">
        <v>165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6574-9C04-4A49-BFF9-5165ACA4A96A}">
  <dimension ref="A3:DT298"/>
  <sheetViews>
    <sheetView topLeftCell="A13" workbookViewId="0">
      <selection activeCell="I2" sqref="I2"/>
    </sheetView>
  </sheetViews>
  <sheetFormatPr baseColWidth="10" defaultColWidth="36" defaultRowHeight="15" x14ac:dyDescent="0.25"/>
  <cols>
    <col min="1" max="1" width="36.140625" bestFit="1" customWidth="1"/>
    <col min="2" max="2" width="5.5703125" bestFit="1" customWidth="1"/>
    <col min="3" max="3" width="4" bestFit="1" customWidth="1"/>
    <col min="4" max="5" width="3.7109375" bestFit="1" customWidth="1"/>
    <col min="6" max="6" width="5.5703125" bestFit="1" customWidth="1"/>
    <col min="7" max="7" width="4" bestFit="1" customWidth="1"/>
    <col min="8" max="8" width="3.7109375" bestFit="1" customWidth="1"/>
    <col min="9" max="9" width="5.5703125" bestFit="1" customWidth="1"/>
    <col min="10" max="10" width="3.7109375" bestFit="1" customWidth="1"/>
    <col min="11" max="11" width="5.5703125" bestFit="1" customWidth="1"/>
    <col min="12" max="12" width="3.7109375" bestFit="1" customWidth="1"/>
    <col min="13" max="13" width="5.5703125" bestFit="1" customWidth="1"/>
    <col min="14" max="16" width="3.7109375" bestFit="1" customWidth="1"/>
    <col min="17" max="17" width="5.5703125" bestFit="1" customWidth="1"/>
    <col min="18" max="18" width="4" bestFit="1" customWidth="1"/>
    <col min="19" max="20" width="3.7109375" bestFit="1" customWidth="1"/>
    <col min="21" max="21" width="5.5703125" bestFit="1" customWidth="1"/>
    <col min="22" max="22" width="4" bestFit="1" customWidth="1"/>
    <col min="23" max="25" width="3.7109375" bestFit="1" customWidth="1"/>
    <col min="26" max="26" width="5.5703125" bestFit="1" customWidth="1"/>
    <col min="27" max="27" width="4" bestFit="1" customWidth="1"/>
    <col min="28" max="30" width="3.7109375" bestFit="1" customWidth="1"/>
    <col min="31" max="31" width="5.5703125" bestFit="1" customWidth="1"/>
    <col min="32" max="32" width="4" bestFit="1" customWidth="1"/>
    <col min="33" max="34" width="3.7109375" bestFit="1" customWidth="1"/>
    <col min="35" max="35" width="5.5703125" bestFit="1" customWidth="1"/>
    <col min="36" max="38" width="3.7109375" bestFit="1" customWidth="1"/>
    <col min="39" max="39" width="5.5703125" bestFit="1" customWidth="1"/>
    <col min="40" max="42" width="3.7109375" bestFit="1" customWidth="1"/>
    <col min="43" max="43" width="5.5703125" bestFit="1" customWidth="1"/>
    <col min="44" max="44" width="4" bestFit="1" customWidth="1"/>
    <col min="45" max="47" width="3.7109375" bestFit="1" customWidth="1"/>
    <col min="48" max="48" width="5.5703125" bestFit="1" customWidth="1"/>
    <col min="49" max="49" width="4" bestFit="1" customWidth="1"/>
    <col min="50" max="51" width="3.7109375" bestFit="1" customWidth="1"/>
    <col min="52" max="52" width="5.5703125" bestFit="1" customWidth="1"/>
    <col min="53" max="53" width="4" bestFit="1" customWidth="1"/>
    <col min="54" max="56" width="3.7109375" bestFit="1" customWidth="1"/>
    <col min="57" max="57" width="5.5703125" bestFit="1" customWidth="1"/>
    <col min="58" max="58" width="4" bestFit="1" customWidth="1"/>
    <col min="59" max="60" width="3.7109375" bestFit="1" customWidth="1"/>
    <col min="61" max="61" width="5.5703125" bestFit="1" customWidth="1"/>
    <col min="62" max="64" width="3.7109375" bestFit="1" customWidth="1"/>
    <col min="65" max="65" width="5.5703125" bestFit="1" customWidth="1"/>
    <col min="66" max="68" width="3.7109375" bestFit="1" customWidth="1"/>
    <col min="69" max="69" width="5.5703125" bestFit="1" customWidth="1"/>
    <col min="70" max="72" width="3.7109375" bestFit="1" customWidth="1"/>
    <col min="73" max="73" width="5.5703125" bestFit="1" customWidth="1"/>
    <col min="74" max="77" width="3.7109375" bestFit="1" customWidth="1"/>
    <col min="78" max="78" width="5.5703125" bestFit="1" customWidth="1"/>
    <col min="79" max="79" width="4" bestFit="1" customWidth="1"/>
    <col min="80" max="81" width="3.7109375" bestFit="1" customWidth="1"/>
    <col min="82" max="82" width="5.5703125" bestFit="1" customWidth="1"/>
    <col min="83" max="83" width="4" bestFit="1" customWidth="1"/>
    <col min="84" max="85" width="3.7109375" bestFit="1" customWidth="1"/>
    <col min="86" max="86" width="5.5703125" bestFit="1" customWidth="1"/>
    <col min="87" max="87" width="4" bestFit="1" customWidth="1"/>
    <col min="88" max="89" width="3.7109375" bestFit="1" customWidth="1"/>
    <col min="90" max="90" width="5.5703125" bestFit="1" customWidth="1"/>
    <col min="91" max="94" width="3.7109375" bestFit="1" customWidth="1"/>
    <col min="95" max="95" width="5.5703125" bestFit="1" customWidth="1"/>
    <col min="96" max="97" width="3.7109375" bestFit="1" customWidth="1"/>
    <col min="98" max="98" width="5.5703125" bestFit="1" customWidth="1"/>
    <col min="99" max="100" width="3.7109375" bestFit="1" customWidth="1"/>
    <col min="101" max="101" width="5.5703125" bestFit="1" customWidth="1"/>
    <col min="102" max="105" width="3.7109375" bestFit="1" customWidth="1"/>
    <col min="106" max="106" width="5.5703125" bestFit="1" customWidth="1"/>
    <col min="107" max="107" width="4" bestFit="1" customWidth="1"/>
    <col min="108" max="109" width="3.7109375" bestFit="1" customWidth="1"/>
    <col min="110" max="110" width="5.5703125" bestFit="1" customWidth="1"/>
    <col min="111" max="111" width="4" bestFit="1" customWidth="1"/>
    <col min="112" max="113" width="3.7109375" bestFit="1" customWidth="1"/>
    <col min="114" max="114" width="5.5703125" bestFit="1" customWidth="1"/>
    <col min="115" max="116" width="3.7109375" bestFit="1" customWidth="1"/>
    <col min="117" max="117" width="5.5703125" bestFit="1" customWidth="1"/>
    <col min="118" max="118" width="4" bestFit="1" customWidth="1"/>
    <col min="119" max="120" width="3.7109375" bestFit="1" customWidth="1"/>
    <col min="121" max="121" width="5.5703125" bestFit="1" customWidth="1"/>
    <col min="122" max="123" width="3.7109375" bestFit="1" customWidth="1"/>
    <col min="124" max="124" width="5" bestFit="1" customWidth="1"/>
  </cols>
  <sheetData>
    <row r="3" spans="1:124" x14ac:dyDescent="0.25">
      <c r="B3" s="4" t="s">
        <v>168</v>
      </c>
    </row>
    <row r="4" spans="1:124" s="7" customFormat="1" ht="66" x14ac:dyDescent="0.25">
      <c r="A4"/>
      <c r="B4" s="7" t="s">
        <v>1549</v>
      </c>
      <c r="F4" s="7" t="s">
        <v>1550</v>
      </c>
      <c r="I4" s="7" t="s">
        <v>1551</v>
      </c>
      <c r="K4" s="7" t="s">
        <v>1552</v>
      </c>
      <c r="M4" s="7" t="s">
        <v>1553</v>
      </c>
      <c r="Q4" s="7" t="s">
        <v>1554</v>
      </c>
      <c r="U4" s="7" t="s">
        <v>1555</v>
      </c>
      <c r="Z4" s="7" t="s">
        <v>1556</v>
      </c>
      <c r="AE4" s="7" t="s">
        <v>1557</v>
      </c>
      <c r="AI4" s="7" t="s">
        <v>1558</v>
      </c>
      <c r="AM4" s="7" t="s">
        <v>1559</v>
      </c>
      <c r="AQ4" s="7" t="s">
        <v>1560</v>
      </c>
      <c r="AV4" s="7" t="s">
        <v>1561</v>
      </c>
      <c r="AZ4" s="7" t="s">
        <v>1562</v>
      </c>
      <c r="BE4" s="7" t="s">
        <v>1563</v>
      </c>
      <c r="BI4" s="7" t="s">
        <v>1564</v>
      </c>
      <c r="BM4" s="7" t="s">
        <v>1565</v>
      </c>
      <c r="BQ4" s="7" t="s">
        <v>1566</v>
      </c>
      <c r="BU4" s="7" t="s">
        <v>1567</v>
      </c>
      <c r="BZ4" s="7" t="s">
        <v>1568</v>
      </c>
      <c r="CD4" s="7" t="s">
        <v>1569</v>
      </c>
      <c r="CH4" s="7" t="s">
        <v>1570</v>
      </c>
      <c r="CL4" s="7" t="s">
        <v>1571</v>
      </c>
      <c r="CQ4" s="7" t="s">
        <v>1572</v>
      </c>
      <c r="CT4" s="7" t="s">
        <v>1573</v>
      </c>
      <c r="CW4" s="7" t="s">
        <v>1574</v>
      </c>
      <c r="DB4" s="7" t="s">
        <v>1575</v>
      </c>
      <c r="DF4" s="7" t="s">
        <v>1576</v>
      </c>
      <c r="DJ4" s="7" t="s">
        <v>1577</v>
      </c>
      <c r="DM4" s="7" t="s">
        <v>1585</v>
      </c>
      <c r="DQ4" s="7" t="s">
        <v>1578</v>
      </c>
      <c r="DT4" s="7" t="s">
        <v>130</v>
      </c>
    </row>
    <row r="5" spans="1:124" s="7" customFormat="1" ht="102.75" x14ac:dyDescent="0.25">
      <c r="A5" s="4" t="s">
        <v>167</v>
      </c>
      <c r="B5" s="7" t="s">
        <v>48</v>
      </c>
      <c r="C5" s="7" t="s">
        <v>23</v>
      </c>
      <c r="D5" s="7" t="s">
        <v>572</v>
      </c>
      <c r="E5" s="7" t="s">
        <v>409</v>
      </c>
      <c r="F5" s="7" t="s">
        <v>48</v>
      </c>
      <c r="G5" s="7" t="s">
        <v>23</v>
      </c>
      <c r="H5" s="7" t="s">
        <v>409</v>
      </c>
      <c r="I5" s="7" t="s">
        <v>23</v>
      </c>
      <c r="J5" s="7" t="s">
        <v>378</v>
      </c>
      <c r="K5" s="7" t="s">
        <v>23</v>
      </c>
      <c r="L5" s="7" t="s">
        <v>378</v>
      </c>
      <c r="M5" s="7" t="s">
        <v>23</v>
      </c>
      <c r="N5" s="7" t="s">
        <v>572</v>
      </c>
      <c r="O5" s="7" t="s">
        <v>129</v>
      </c>
      <c r="P5" s="7" t="s">
        <v>409</v>
      </c>
      <c r="Q5" s="7" t="s">
        <v>48</v>
      </c>
      <c r="R5" s="7" t="s">
        <v>23</v>
      </c>
      <c r="S5" s="7" t="s">
        <v>129</v>
      </c>
      <c r="T5" s="7" t="s">
        <v>409</v>
      </c>
      <c r="U5" s="7" t="s">
        <v>48</v>
      </c>
      <c r="V5" s="7" t="s">
        <v>23</v>
      </c>
      <c r="W5" s="7" t="s">
        <v>572</v>
      </c>
      <c r="X5" s="7" t="s">
        <v>129</v>
      </c>
      <c r="Y5" s="7" t="s">
        <v>409</v>
      </c>
      <c r="Z5" s="7" t="s">
        <v>48</v>
      </c>
      <c r="AA5" s="7" t="s">
        <v>23</v>
      </c>
      <c r="AB5" s="7" t="s">
        <v>572</v>
      </c>
      <c r="AC5" s="7" t="s">
        <v>129</v>
      </c>
      <c r="AD5" s="7" t="s">
        <v>409</v>
      </c>
      <c r="AE5" s="7" t="s">
        <v>48</v>
      </c>
      <c r="AF5" s="7" t="s">
        <v>23</v>
      </c>
      <c r="AG5" s="7" t="s">
        <v>129</v>
      </c>
      <c r="AH5" s="7" t="s">
        <v>409</v>
      </c>
      <c r="AI5" s="7" t="s">
        <v>23</v>
      </c>
      <c r="AJ5" s="7" t="s">
        <v>129</v>
      </c>
      <c r="AK5" s="7" t="s">
        <v>378</v>
      </c>
      <c r="AL5" s="7" t="s">
        <v>409</v>
      </c>
      <c r="AM5" s="7" t="s">
        <v>23</v>
      </c>
      <c r="AN5" s="7" t="s">
        <v>129</v>
      </c>
      <c r="AO5" s="7" t="s">
        <v>378</v>
      </c>
      <c r="AP5" s="7" t="s">
        <v>409</v>
      </c>
      <c r="AQ5" s="7" t="s">
        <v>48</v>
      </c>
      <c r="AR5" s="7" t="s">
        <v>23</v>
      </c>
      <c r="AS5" s="7" t="s">
        <v>572</v>
      </c>
      <c r="AT5" s="7" t="s">
        <v>129</v>
      </c>
      <c r="AU5" s="7" t="s">
        <v>409</v>
      </c>
      <c r="AV5" s="7" t="s">
        <v>48</v>
      </c>
      <c r="AW5" s="7" t="s">
        <v>23</v>
      </c>
      <c r="AX5" s="7" t="s">
        <v>129</v>
      </c>
      <c r="AY5" s="7" t="s">
        <v>409</v>
      </c>
      <c r="AZ5" s="7" t="s">
        <v>48</v>
      </c>
      <c r="BA5" s="7" t="s">
        <v>23</v>
      </c>
      <c r="BB5" s="7" t="s">
        <v>572</v>
      </c>
      <c r="BC5" s="7" t="s">
        <v>129</v>
      </c>
      <c r="BD5" s="7" t="s">
        <v>409</v>
      </c>
      <c r="BE5" s="7" t="s">
        <v>48</v>
      </c>
      <c r="BF5" s="7" t="s">
        <v>23</v>
      </c>
      <c r="BG5" s="7" t="s">
        <v>129</v>
      </c>
      <c r="BH5" s="7" t="s">
        <v>409</v>
      </c>
      <c r="BI5" s="7" t="s">
        <v>23</v>
      </c>
      <c r="BJ5" s="7" t="s">
        <v>572</v>
      </c>
      <c r="BK5" s="7" t="s">
        <v>129</v>
      </c>
      <c r="BL5" s="7" t="s">
        <v>409</v>
      </c>
      <c r="BM5" s="7" t="s">
        <v>23</v>
      </c>
      <c r="BN5" s="7" t="s">
        <v>129</v>
      </c>
      <c r="BO5" s="7" t="s">
        <v>378</v>
      </c>
      <c r="BP5" s="7" t="s">
        <v>409</v>
      </c>
      <c r="BQ5" s="7" t="s">
        <v>23</v>
      </c>
      <c r="BR5" s="7" t="s">
        <v>129</v>
      </c>
      <c r="BS5" s="7" t="s">
        <v>378</v>
      </c>
      <c r="BT5" s="7" t="s">
        <v>409</v>
      </c>
      <c r="BU5" s="7" t="s">
        <v>48</v>
      </c>
      <c r="BV5" s="7" t="s">
        <v>23</v>
      </c>
      <c r="BW5" s="7" t="s">
        <v>572</v>
      </c>
      <c r="BX5" s="7" t="s">
        <v>129</v>
      </c>
      <c r="BY5" s="7" t="s">
        <v>409</v>
      </c>
      <c r="BZ5" s="7" t="s">
        <v>48</v>
      </c>
      <c r="CA5" s="7" t="s">
        <v>23</v>
      </c>
      <c r="CB5" s="7" t="s">
        <v>129</v>
      </c>
      <c r="CC5" s="7" t="s">
        <v>409</v>
      </c>
      <c r="CD5" s="7" t="s">
        <v>48</v>
      </c>
      <c r="CE5" s="7" t="s">
        <v>23</v>
      </c>
      <c r="CF5" s="7" t="s">
        <v>129</v>
      </c>
      <c r="CG5" s="7" t="s">
        <v>409</v>
      </c>
      <c r="CH5" s="7" t="s">
        <v>48</v>
      </c>
      <c r="CI5" s="7" t="s">
        <v>23</v>
      </c>
      <c r="CJ5" s="7" t="s">
        <v>129</v>
      </c>
      <c r="CK5" s="7" t="s">
        <v>409</v>
      </c>
      <c r="CL5" s="7" t="s">
        <v>23</v>
      </c>
      <c r="CM5" s="7" t="s">
        <v>572</v>
      </c>
      <c r="CN5" s="7" t="s">
        <v>129</v>
      </c>
      <c r="CO5" s="7" t="s">
        <v>409</v>
      </c>
      <c r="CP5" s="7" t="s">
        <v>614</v>
      </c>
      <c r="CQ5" s="7" t="s">
        <v>23</v>
      </c>
      <c r="CR5" s="7" t="s">
        <v>378</v>
      </c>
      <c r="CS5" s="7" t="s">
        <v>409</v>
      </c>
      <c r="CT5" s="7" t="s">
        <v>23</v>
      </c>
      <c r="CU5" s="7" t="s">
        <v>378</v>
      </c>
      <c r="CV5" s="7" t="s">
        <v>409</v>
      </c>
      <c r="CW5" s="7" t="s">
        <v>48</v>
      </c>
      <c r="CX5" s="7" t="s">
        <v>23</v>
      </c>
      <c r="CY5" s="7" t="s">
        <v>572</v>
      </c>
      <c r="CZ5" s="7" t="s">
        <v>129</v>
      </c>
      <c r="DA5" s="7" t="s">
        <v>409</v>
      </c>
      <c r="DB5" s="7" t="s">
        <v>48</v>
      </c>
      <c r="DC5" s="7" t="s">
        <v>23</v>
      </c>
      <c r="DD5" s="7" t="s">
        <v>129</v>
      </c>
      <c r="DE5" s="7" t="s">
        <v>409</v>
      </c>
      <c r="DF5" s="7" t="s">
        <v>48</v>
      </c>
      <c r="DG5" s="7" t="s">
        <v>23</v>
      </c>
      <c r="DH5" s="7" t="s">
        <v>129</v>
      </c>
      <c r="DI5" s="7" t="s">
        <v>409</v>
      </c>
      <c r="DJ5" s="7" t="s">
        <v>23</v>
      </c>
      <c r="DK5" s="7" t="s">
        <v>129</v>
      </c>
      <c r="DL5" s="7" t="s">
        <v>409</v>
      </c>
      <c r="DM5" s="7" t="s">
        <v>48</v>
      </c>
      <c r="DN5" s="7" t="s">
        <v>23</v>
      </c>
      <c r="DO5" s="7" t="s">
        <v>129</v>
      </c>
      <c r="DP5" s="7" t="s">
        <v>409</v>
      </c>
      <c r="DQ5" s="7" t="s">
        <v>23</v>
      </c>
      <c r="DR5" s="7" t="s">
        <v>129</v>
      </c>
      <c r="DS5" s="7" t="s">
        <v>378</v>
      </c>
    </row>
    <row r="6" spans="1:124" x14ac:dyDescent="0.25">
      <c r="A6" s="5" t="s">
        <v>30</v>
      </c>
    </row>
    <row r="7" spans="1:124" x14ac:dyDescent="0.25">
      <c r="A7" s="6" t="s">
        <v>131</v>
      </c>
      <c r="C7">
        <v>44</v>
      </c>
      <c r="G7">
        <v>32</v>
      </c>
      <c r="I7">
        <v>0</v>
      </c>
      <c r="K7">
        <v>0</v>
      </c>
      <c r="M7">
        <v>13</v>
      </c>
      <c r="R7">
        <v>36</v>
      </c>
      <c r="V7">
        <v>40</v>
      </c>
      <c r="AA7">
        <v>2</v>
      </c>
      <c r="AF7">
        <v>39</v>
      </c>
      <c r="AK7">
        <v>0</v>
      </c>
      <c r="AO7">
        <v>0</v>
      </c>
      <c r="AR7">
        <v>0</v>
      </c>
      <c r="AV7">
        <v>0</v>
      </c>
      <c r="BA7">
        <v>40</v>
      </c>
      <c r="BF7">
        <v>24</v>
      </c>
      <c r="BI7">
        <v>30</v>
      </c>
      <c r="BM7">
        <v>0</v>
      </c>
      <c r="BQ7">
        <v>0</v>
      </c>
      <c r="BW7">
        <v>0</v>
      </c>
      <c r="CA7">
        <v>36</v>
      </c>
      <c r="CD7">
        <v>0</v>
      </c>
      <c r="CI7">
        <v>36</v>
      </c>
      <c r="CL7">
        <v>47</v>
      </c>
      <c r="CQ7">
        <v>0</v>
      </c>
      <c r="CT7">
        <v>0</v>
      </c>
      <c r="CX7">
        <v>0</v>
      </c>
      <c r="DC7">
        <v>20</v>
      </c>
      <c r="DF7">
        <v>0</v>
      </c>
      <c r="DJ7">
        <v>38</v>
      </c>
      <c r="DN7">
        <v>18</v>
      </c>
      <c r="DQ7">
        <v>0</v>
      </c>
      <c r="DT7">
        <v>495</v>
      </c>
    </row>
    <row r="8" spans="1:124" x14ac:dyDescent="0.25">
      <c r="A8" s="6" t="s">
        <v>134</v>
      </c>
      <c r="B8" s="2"/>
      <c r="C8" s="2">
        <v>0</v>
      </c>
      <c r="D8" s="2"/>
      <c r="E8" s="2"/>
      <c r="F8" s="2"/>
      <c r="G8" s="2">
        <v>0</v>
      </c>
      <c r="H8" s="2"/>
      <c r="I8" s="2">
        <v>0</v>
      </c>
      <c r="J8" s="2"/>
      <c r="K8" s="2">
        <v>0</v>
      </c>
      <c r="L8" s="2"/>
      <c r="M8" s="2">
        <v>0</v>
      </c>
      <c r="N8" s="2"/>
      <c r="O8" s="2"/>
      <c r="P8" s="2"/>
      <c r="Q8" s="2"/>
      <c r="R8" s="2">
        <v>0</v>
      </c>
      <c r="S8" s="2"/>
      <c r="T8" s="2"/>
      <c r="U8" s="2"/>
      <c r="V8" s="2">
        <v>0</v>
      </c>
      <c r="W8" s="2"/>
      <c r="X8" s="2"/>
      <c r="Y8" s="2"/>
      <c r="Z8" s="2"/>
      <c r="AA8" s="2">
        <v>0</v>
      </c>
      <c r="AB8" s="2"/>
      <c r="AC8" s="2"/>
      <c r="AD8" s="2"/>
      <c r="AE8" s="2"/>
      <c r="AF8" s="2">
        <v>0</v>
      </c>
      <c r="AG8" s="2"/>
      <c r="AH8" s="2"/>
      <c r="AI8" s="2"/>
      <c r="AJ8" s="2"/>
      <c r="AK8" s="2">
        <v>0</v>
      </c>
      <c r="AL8" s="2"/>
      <c r="AM8" s="2"/>
      <c r="AN8" s="2"/>
      <c r="AO8" s="2">
        <v>0</v>
      </c>
      <c r="AP8" s="2"/>
      <c r="AQ8" s="2"/>
      <c r="AR8" s="2">
        <v>0</v>
      </c>
      <c r="AS8" s="2"/>
      <c r="AT8" s="2"/>
      <c r="AU8" s="2"/>
      <c r="AV8" s="2">
        <v>0</v>
      </c>
      <c r="AW8" s="2"/>
      <c r="AX8" s="2"/>
      <c r="AY8" s="2"/>
      <c r="AZ8" s="2"/>
      <c r="BA8" s="2">
        <v>0</v>
      </c>
      <c r="BB8" s="2"/>
      <c r="BC8" s="2"/>
      <c r="BD8" s="2"/>
      <c r="BE8" s="2"/>
      <c r="BF8" s="2">
        <v>0</v>
      </c>
      <c r="BG8" s="2"/>
      <c r="BH8" s="2"/>
      <c r="BI8" s="2">
        <v>0</v>
      </c>
      <c r="BJ8" s="2"/>
      <c r="BK8" s="2"/>
      <c r="BL8" s="2"/>
      <c r="BM8" s="2">
        <v>0</v>
      </c>
      <c r="BN8" s="2"/>
      <c r="BO8" s="2"/>
      <c r="BP8" s="2"/>
      <c r="BQ8" s="2">
        <v>0</v>
      </c>
      <c r="BR8" s="2"/>
      <c r="BS8" s="2"/>
      <c r="BT8" s="2"/>
      <c r="BU8" s="2"/>
      <c r="BV8" s="2"/>
      <c r="BW8" s="2">
        <v>0</v>
      </c>
      <c r="BX8" s="2"/>
      <c r="BY8" s="2"/>
      <c r="BZ8" s="2"/>
      <c r="CA8" s="2">
        <v>0</v>
      </c>
      <c r="CB8" s="2"/>
      <c r="CC8" s="2"/>
      <c r="CD8" s="2">
        <v>0</v>
      </c>
      <c r="CE8" s="2"/>
      <c r="CF8" s="2"/>
      <c r="CG8" s="2"/>
      <c r="CH8" s="2"/>
      <c r="CI8" s="2">
        <v>0</v>
      </c>
      <c r="CJ8" s="2"/>
      <c r="CK8" s="2"/>
      <c r="CL8" s="2">
        <v>0</v>
      </c>
      <c r="CM8" s="2"/>
      <c r="CN8" s="2"/>
      <c r="CO8" s="2"/>
      <c r="CP8" s="2"/>
      <c r="CQ8" s="2">
        <v>0</v>
      </c>
      <c r="CR8" s="2"/>
      <c r="CS8" s="2"/>
      <c r="CT8" s="2">
        <v>0</v>
      </c>
      <c r="CU8" s="2"/>
      <c r="CV8" s="2"/>
      <c r="CW8" s="2"/>
      <c r="CX8" s="2">
        <v>0</v>
      </c>
      <c r="CY8" s="2"/>
      <c r="CZ8" s="2"/>
      <c r="DA8" s="2"/>
      <c r="DB8" s="2"/>
      <c r="DC8" s="2">
        <v>0</v>
      </c>
      <c r="DD8" s="2"/>
      <c r="DE8" s="2"/>
      <c r="DF8" s="2">
        <v>0</v>
      </c>
      <c r="DG8" s="2"/>
      <c r="DH8" s="2"/>
      <c r="DI8" s="2"/>
      <c r="DJ8" s="2">
        <v>0</v>
      </c>
      <c r="DK8" s="2"/>
      <c r="DL8" s="2"/>
      <c r="DM8" s="2"/>
      <c r="DN8" s="2">
        <v>0</v>
      </c>
      <c r="DO8" s="2"/>
      <c r="DP8" s="2"/>
      <c r="DQ8" s="2">
        <v>0</v>
      </c>
      <c r="DR8" s="2"/>
      <c r="DS8" s="2"/>
      <c r="DT8" s="2">
        <v>0</v>
      </c>
    </row>
    <row r="9" spans="1:124" x14ac:dyDescent="0.25">
      <c r="A9" s="6" t="s">
        <v>136</v>
      </c>
      <c r="B9" s="2"/>
      <c r="C9" s="2">
        <v>0</v>
      </c>
      <c r="D9" s="2"/>
      <c r="E9" s="2"/>
      <c r="F9" s="2"/>
      <c r="G9" s="2">
        <v>2</v>
      </c>
      <c r="H9" s="2"/>
      <c r="I9" s="2">
        <v>0</v>
      </c>
      <c r="J9" s="2"/>
      <c r="K9" s="2">
        <v>0</v>
      </c>
      <c r="L9" s="2"/>
      <c r="M9" s="2">
        <v>0</v>
      </c>
      <c r="N9" s="2"/>
      <c r="O9" s="2"/>
      <c r="P9" s="2"/>
      <c r="Q9" s="2"/>
      <c r="R9" s="2">
        <v>0</v>
      </c>
      <c r="S9" s="2"/>
      <c r="T9" s="2"/>
      <c r="U9" s="2"/>
      <c r="V9" s="2">
        <v>0</v>
      </c>
      <c r="W9" s="2"/>
      <c r="X9" s="2"/>
      <c r="Y9" s="2"/>
      <c r="Z9" s="2"/>
      <c r="AA9" s="2">
        <v>0</v>
      </c>
      <c r="AB9" s="2"/>
      <c r="AC9" s="2"/>
      <c r="AD9" s="2"/>
      <c r="AE9" s="2"/>
      <c r="AF9" s="2">
        <v>0</v>
      </c>
      <c r="AG9" s="2"/>
      <c r="AH9" s="2"/>
      <c r="AI9" s="2"/>
      <c r="AJ9" s="2"/>
      <c r="AK9" s="2">
        <v>0</v>
      </c>
      <c r="AL9" s="2"/>
      <c r="AM9" s="2"/>
      <c r="AN9" s="2"/>
      <c r="AO9" s="2">
        <v>0</v>
      </c>
      <c r="AP9" s="2"/>
      <c r="AQ9" s="2"/>
      <c r="AR9" s="2">
        <v>0</v>
      </c>
      <c r="AS9" s="2"/>
      <c r="AT9" s="2"/>
      <c r="AU9" s="2"/>
      <c r="AV9" s="2">
        <v>0</v>
      </c>
      <c r="AW9" s="2"/>
      <c r="AX9" s="2"/>
      <c r="AY9" s="2"/>
      <c r="AZ9" s="2"/>
      <c r="BA9" s="2">
        <v>0</v>
      </c>
      <c r="BB9" s="2"/>
      <c r="BC9" s="2"/>
      <c r="BD9" s="2"/>
      <c r="BE9" s="2"/>
      <c r="BF9" s="2">
        <v>1</v>
      </c>
      <c r="BG9" s="2"/>
      <c r="BH9" s="2"/>
      <c r="BI9" s="2">
        <v>0</v>
      </c>
      <c r="BJ9" s="2"/>
      <c r="BK9" s="2"/>
      <c r="BL9" s="2"/>
      <c r="BM9" s="2">
        <v>0</v>
      </c>
      <c r="BN9" s="2"/>
      <c r="BO9" s="2"/>
      <c r="BP9" s="2"/>
      <c r="BQ9" s="2">
        <v>0</v>
      </c>
      <c r="BR9" s="2"/>
      <c r="BS9" s="2"/>
      <c r="BT9" s="2"/>
      <c r="BU9" s="2"/>
      <c r="BV9" s="2"/>
      <c r="BW9" s="2">
        <v>0</v>
      </c>
      <c r="BX9" s="2"/>
      <c r="BY9" s="2"/>
      <c r="BZ9" s="2"/>
      <c r="CA9" s="2">
        <v>0</v>
      </c>
      <c r="CB9" s="2"/>
      <c r="CC9" s="2"/>
      <c r="CD9" s="2">
        <v>0</v>
      </c>
      <c r="CE9" s="2"/>
      <c r="CF9" s="2"/>
      <c r="CG9" s="2"/>
      <c r="CH9" s="2"/>
      <c r="CI9" s="2">
        <v>0</v>
      </c>
      <c r="CJ9" s="2"/>
      <c r="CK9" s="2"/>
      <c r="CL9" s="2">
        <v>0</v>
      </c>
      <c r="CM9" s="2"/>
      <c r="CN9" s="2"/>
      <c r="CO9" s="2"/>
      <c r="CP9" s="2"/>
      <c r="CQ9" s="2">
        <v>0</v>
      </c>
      <c r="CR9" s="2"/>
      <c r="CS9" s="2"/>
      <c r="CT9" s="2">
        <v>0</v>
      </c>
      <c r="CU9" s="2"/>
      <c r="CV9" s="2"/>
      <c r="CW9" s="2"/>
      <c r="CX9" s="2">
        <v>0</v>
      </c>
      <c r="CY9" s="2"/>
      <c r="CZ9" s="2"/>
      <c r="DA9" s="2"/>
      <c r="DB9" s="2"/>
      <c r="DC9" s="2">
        <v>0</v>
      </c>
      <c r="DD9" s="2"/>
      <c r="DE9" s="2"/>
      <c r="DF9" s="2">
        <v>0</v>
      </c>
      <c r="DG9" s="2"/>
      <c r="DH9" s="2"/>
      <c r="DI9" s="2"/>
      <c r="DJ9" s="2">
        <v>0</v>
      </c>
      <c r="DK9" s="2"/>
      <c r="DL9" s="2"/>
      <c r="DM9" s="2"/>
      <c r="DN9" s="2">
        <v>0</v>
      </c>
      <c r="DO9" s="2"/>
      <c r="DP9" s="2"/>
      <c r="DQ9" s="2">
        <v>0</v>
      </c>
      <c r="DR9" s="2"/>
      <c r="DS9" s="2"/>
      <c r="DT9" s="2">
        <v>3</v>
      </c>
    </row>
    <row r="10" spans="1:124" x14ac:dyDescent="0.25">
      <c r="A10" s="6" t="s">
        <v>138</v>
      </c>
      <c r="B10" s="2"/>
      <c r="C10" s="2">
        <v>2</v>
      </c>
      <c r="D10" s="2"/>
      <c r="E10" s="2"/>
      <c r="F10" s="2"/>
      <c r="G10" s="2">
        <v>2</v>
      </c>
      <c r="H10" s="2"/>
      <c r="I10" s="2">
        <v>0</v>
      </c>
      <c r="J10" s="2"/>
      <c r="K10" s="2">
        <v>0</v>
      </c>
      <c r="L10" s="2"/>
      <c r="M10" s="2">
        <v>0</v>
      </c>
      <c r="N10" s="2"/>
      <c r="O10" s="2"/>
      <c r="P10" s="2"/>
      <c r="Q10" s="2"/>
      <c r="R10" s="2">
        <v>1</v>
      </c>
      <c r="S10" s="2"/>
      <c r="T10" s="2"/>
      <c r="U10" s="2"/>
      <c r="V10" s="2">
        <v>1</v>
      </c>
      <c r="W10" s="2"/>
      <c r="X10" s="2"/>
      <c r="Y10" s="2"/>
      <c r="Z10" s="2"/>
      <c r="AA10" s="2">
        <v>0</v>
      </c>
      <c r="AB10" s="2"/>
      <c r="AC10" s="2"/>
      <c r="AD10" s="2"/>
      <c r="AE10" s="2"/>
      <c r="AF10" s="2">
        <v>1</v>
      </c>
      <c r="AG10" s="2"/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/>
      <c r="AQ10" s="2"/>
      <c r="AR10" s="2">
        <v>0</v>
      </c>
      <c r="AS10" s="2"/>
      <c r="AT10" s="2"/>
      <c r="AU10" s="2"/>
      <c r="AV10" s="2">
        <v>0</v>
      </c>
      <c r="AW10" s="2"/>
      <c r="AX10" s="2"/>
      <c r="AY10" s="2"/>
      <c r="AZ10" s="2"/>
      <c r="BA10" s="2">
        <v>1</v>
      </c>
      <c r="BB10" s="2"/>
      <c r="BC10" s="2"/>
      <c r="BD10" s="2"/>
      <c r="BE10" s="2"/>
      <c r="BF10" s="2">
        <v>0</v>
      </c>
      <c r="BG10" s="2"/>
      <c r="BH10" s="2"/>
      <c r="BI10" s="2">
        <v>0</v>
      </c>
      <c r="BJ10" s="2"/>
      <c r="BK10" s="2"/>
      <c r="BL10" s="2"/>
      <c r="BM10" s="2">
        <v>0</v>
      </c>
      <c r="BN10" s="2"/>
      <c r="BO10" s="2"/>
      <c r="BP10" s="2"/>
      <c r="BQ10" s="2">
        <v>0</v>
      </c>
      <c r="BR10" s="2"/>
      <c r="BS10" s="2"/>
      <c r="BT10" s="2"/>
      <c r="BU10" s="2"/>
      <c r="BV10" s="2"/>
      <c r="BW10" s="2">
        <v>0</v>
      </c>
      <c r="BX10" s="2"/>
      <c r="BY10" s="2"/>
      <c r="BZ10" s="2"/>
      <c r="CA10" s="2">
        <v>1</v>
      </c>
      <c r="CB10" s="2"/>
      <c r="CC10" s="2"/>
      <c r="CD10" s="2">
        <v>0</v>
      </c>
      <c r="CE10" s="2"/>
      <c r="CF10" s="2"/>
      <c r="CG10" s="2"/>
      <c r="CH10" s="2"/>
      <c r="CI10" s="2">
        <v>1</v>
      </c>
      <c r="CJ10" s="2"/>
      <c r="CK10" s="2"/>
      <c r="CL10" s="2">
        <v>1</v>
      </c>
      <c r="CM10" s="2"/>
      <c r="CN10" s="2"/>
      <c r="CO10" s="2"/>
      <c r="CP10" s="2"/>
      <c r="CQ10" s="2">
        <v>0</v>
      </c>
      <c r="CR10" s="2"/>
      <c r="CS10" s="2"/>
      <c r="CT10" s="2">
        <v>0</v>
      </c>
      <c r="CU10" s="2"/>
      <c r="CV10" s="2"/>
      <c r="CW10" s="2"/>
      <c r="CX10" s="2">
        <v>0</v>
      </c>
      <c r="CY10" s="2"/>
      <c r="CZ10" s="2"/>
      <c r="DA10" s="2"/>
      <c r="DB10" s="2"/>
      <c r="DC10" s="2">
        <v>1</v>
      </c>
      <c r="DD10" s="2"/>
      <c r="DE10" s="2"/>
      <c r="DF10" s="2">
        <v>0</v>
      </c>
      <c r="DG10" s="2"/>
      <c r="DH10" s="2"/>
      <c r="DI10" s="2"/>
      <c r="DJ10" s="2">
        <v>1</v>
      </c>
      <c r="DK10" s="2"/>
      <c r="DL10" s="2"/>
      <c r="DM10" s="2"/>
      <c r="DN10" s="2">
        <v>1</v>
      </c>
      <c r="DO10" s="2"/>
      <c r="DP10" s="2"/>
      <c r="DQ10" s="2">
        <v>0</v>
      </c>
      <c r="DR10" s="2"/>
      <c r="DS10" s="2"/>
      <c r="DT10" s="2">
        <v>14</v>
      </c>
    </row>
    <row r="11" spans="1:124" x14ac:dyDescent="0.25">
      <c r="A11" s="6" t="s">
        <v>140</v>
      </c>
      <c r="B11" s="2"/>
      <c r="C11" s="2">
        <v>0</v>
      </c>
      <c r="D11" s="2"/>
      <c r="E11" s="2"/>
      <c r="F11" s="2"/>
      <c r="G11" s="2">
        <v>0</v>
      </c>
      <c r="H11" s="2"/>
      <c r="I11" s="2">
        <v>0</v>
      </c>
      <c r="J11" s="2"/>
      <c r="K11" s="2">
        <v>0</v>
      </c>
      <c r="L11" s="2"/>
      <c r="M11" s="2">
        <v>0</v>
      </c>
      <c r="N11" s="2"/>
      <c r="O11" s="2"/>
      <c r="P11" s="2"/>
      <c r="Q11" s="2"/>
      <c r="R11" s="2">
        <v>0</v>
      </c>
      <c r="S11" s="2"/>
      <c r="T11" s="2"/>
      <c r="U11" s="2"/>
      <c r="V11" s="2">
        <v>0</v>
      </c>
      <c r="W11" s="2"/>
      <c r="X11" s="2"/>
      <c r="Y11" s="2"/>
      <c r="Z11" s="2"/>
      <c r="AA11" s="2">
        <v>0</v>
      </c>
      <c r="AB11" s="2"/>
      <c r="AC11" s="2"/>
      <c r="AD11" s="2"/>
      <c r="AE11" s="2"/>
      <c r="AF11" s="2">
        <v>0</v>
      </c>
      <c r="AG11" s="2"/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/>
      <c r="AQ11" s="2"/>
      <c r="AR11" s="2">
        <v>0</v>
      </c>
      <c r="AS11" s="2"/>
      <c r="AT11" s="2"/>
      <c r="AU11" s="2"/>
      <c r="AV11" s="2">
        <v>0</v>
      </c>
      <c r="AW11" s="2"/>
      <c r="AX11" s="2"/>
      <c r="AY11" s="2"/>
      <c r="AZ11" s="2"/>
      <c r="BA11" s="2">
        <v>0</v>
      </c>
      <c r="BB11" s="2"/>
      <c r="BC11" s="2"/>
      <c r="BD11" s="2"/>
      <c r="BE11" s="2"/>
      <c r="BF11" s="2">
        <v>1</v>
      </c>
      <c r="BG11" s="2"/>
      <c r="BH11" s="2"/>
      <c r="BI11" s="2">
        <v>1</v>
      </c>
      <c r="BJ11" s="2"/>
      <c r="BK11" s="2"/>
      <c r="BL11" s="2"/>
      <c r="BM11" s="2">
        <v>0</v>
      </c>
      <c r="BN11" s="2"/>
      <c r="BO11" s="2"/>
      <c r="BP11" s="2"/>
      <c r="BQ11" s="2">
        <v>0</v>
      </c>
      <c r="BR11" s="2"/>
      <c r="BS11" s="2"/>
      <c r="BT11" s="2"/>
      <c r="BU11" s="2"/>
      <c r="BV11" s="2"/>
      <c r="BW11" s="2">
        <v>0</v>
      </c>
      <c r="BX11" s="2"/>
      <c r="BY11" s="2"/>
      <c r="BZ11" s="2"/>
      <c r="CA11" s="2">
        <v>0</v>
      </c>
      <c r="CB11" s="2"/>
      <c r="CC11" s="2"/>
      <c r="CD11" s="2">
        <v>0</v>
      </c>
      <c r="CE11" s="2"/>
      <c r="CF11" s="2"/>
      <c r="CG11" s="2"/>
      <c r="CH11" s="2"/>
      <c r="CI11" s="2">
        <v>0</v>
      </c>
      <c r="CJ11" s="2"/>
      <c r="CK11" s="2"/>
      <c r="CL11" s="2">
        <v>0</v>
      </c>
      <c r="CM11" s="2"/>
      <c r="CN11" s="2"/>
      <c r="CO11" s="2"/>
      <c r="CP11" s="2"/>
      <c r="CQ11" s="2">
        <v>0</v>
      </c>
      <c r="CR11" s="2"/>
      <c r="CS11" s="2"/>
      <c r="CT11" s="2">
        <v>0</v>
      </c>
      <c r="CU11" s="2"/>
      <c r="CV11" s="2"/>
      <c r="CW11" s="2"/>
      <c r="CX11" s="2">
        <v>0</v>
      </c>
      <c r="CY11" s="2"/>
      <c r="CZ11" s="2"/>
      <c r="DA11" s="2"/>
      <c r="DB11" s="2"/>
      <c r="DC11" s="2">
        <v>0</v>
      </c>
      <c r="DD11" s="2"/>
      <c r="DE11" s="2"/>
      <c r="DF11" s="2">
        <v>0</v>
      </c>
      <c r="DG11" s="2"/>
      <c r="DH11" s="2"/>
      <c r="DI11" s="2"/>
      <c r="DJ11" s="2">
        <v>0</v>
      </c>
      <c r="DK11" s="2"/>
      <c r="DL11" s="2"/>
      <c r="DM11" s="2"/>
      <c r="DN11" s="2">
        <v>0</v>
      </c>
      <c r="DO11" s="2"/>
      <c r="DP11" s="2"/>
      <c r="DQ11" s="2">
        <v>0</v>
      </c>
      <c r="DR11" s="2"/>
      <c r="DS11" s="2"/>
      <c r="DT11" s="2">
        <v>2</v>
      </c>
    </row>
    <row r="12" spans="1:124" x14ac:dyDescent="0.25">
      <c r="A12" s="6" t="s">
        <v>142</v>
      </c>
      <c r="C12">
        <v>0</v>
      </c>
      <c r="G12">
        <v>0</v>
      </c>
      <c r="I12">
        <v>0</v>
      </c>
      <c r="K12">
        <v>1</v>
      </c>
      <c r="M12">
        <v>0</v>
      </c>
      <c r="R12">
        <v>0</v>
      </c>
      <c r="V12">
        <v>0</v>
      </c>
      <c r="AA12">
        <v>0</v>
      </c>
      <c r="AF12">
        <v>0</v>
      </c>
      <c r="AK12">
        <v>0</v>
      </c>
      <c r="AO12">
        <v>0</v>
      </c>
      <c r="AR12">
        <v>0</v>
      </c>
      <c r="AV12">
        <v>0</v>
      </c>
      <c r="BA12">
        <v>0</v>
      </c>
      <c r="BF12">
        <v>0</v>
      </c>
      <c r="BI12">
        <v>0</v>
      </c>
      <c r="BM12">
        <v>0</v>
      </c>
      <c r="BQ12">
        <v>0</v>
      </c>
      <c r="BW12">
        <v>0</v>
      </c>
      <c r="CA12">
        <v>0</v>
      </c>
      <c r="CD12">
        <v>0</v>
      </c>
      <c r="CI12">
        <v>0</v>
      </c>
      <c r="CL12">
        <v>0</v>
      </c>
      <c r="CQ12">
        <v>0</v>
      </c>
      <c r="CT12">
        <v>0</v>
      </c>
      <c r="CX12">
        <v>0</v>
      </c>
      <c r="DC12">
        <v>0</v>
      </c>
      <c r="DF12">
        <v>0</v>
      </c>
      <c r="DJ12">
        <v>0</v>
      </c>
      <c r="DN12">
        <v>0</v>
      </c>
      <c r="DQ12">
        <v>0</v>
      </c>
      <c r="DT12">
        <v>1</v>
      </c>
    </row>
    <row r="13" spans="1:124" x14ac:dyDescent="0.25">
      <c r="A13" s="6" t="s">
        <v>144</v>
      </c>
      <c r="C13">
        <v>0</v>
      </c>
      <c r="G13">
        <v>0</v>
      </c>
      <c r="I13">
        <v>0</v>
      </c>
      <c r="K13">
        <v>0</v>
      </c>
      <c r="M13">
        <v>0</v>
      </c>
      <c r="R13">
        <v>0</v>
      </c>
      <c r="V13">
        <v>0</v>
      </c>
      <c r="AA13">
        <v>0</v>
      </c>
      <c r="AF13">
        <v>0</v>
      </c>
      <c r="AK13">
        <v>0</v>
      </c>
      <c r="AO13">
        <v>0</v>
      </c>
      <c r="AR13">
        <v>0</v>
      </c>
      <c r="AV13">
        <v>0</v>
      </c>
      <c r="BA13">
        <v>0</v>
      </c>
      <c r="BF13">
        <v>0</v>
      </c>
      <c r="BI13">
        <v>0</v>
      </c>
      <c r="BM13">
        <v>0</v>
      </c>
      <c r="BQ13">
        <v>0</v>
      </c>
      <c r="BW13">
        <v>0</v>
      </c>
      <c r="CA13">
        <v>1</v>
      </c>
      <c r="CD13">
        <v>0</v>
      </c>
      <c r="CI13">
        <v>1</v>
      </c>
      <c r="CL13">
        <v>0</v>
      </c>
      <c r="CQ13">
        <v>0</v>
      </c>
      <c r="CT13">
        <v>0</v>
      </c>
      <c r="CX13">
        <v>0</v>
      </c>
      <c r="DC13">
        <v>0</v>
      </c>
      <c r="DF13">
        <v>0</v>
      </c>
      <c r="DJ13">
        <v>0</v>
      </c>
      <c r="DN13">
        <v>0</v>
      </c>
      <c r="DQ13">
        <v>0</v>
      </c>
      <c r="DT13">
        <v>2</v>
      </c>
    </row>
    <row r="14" spans="1:124" x14ac:dyDescent="0.25">
      <c r="A14" s="6" t="s">
        <v>146</v>
      </c>
      <c r="B14" s="2"/>
      <c r="C14" s="2">
        <v>0</v>
      </c>
      <c r="D14" s="2"/>
      <c r="E14" s="2"/>
      <c r="F14" s="2"/>
      <c r="G14" s="2">
        <v>0</v>
      </c>
      <c r="H14" s="2"/>
      <c r="I14" s="2">
        <v>1</v>
      </c>
      <c r="J14" s="2"/>
      <c r="K14" s="2">
        <v>0</v>
      </c>
      <c r="L14" s="2"/>
      <c r="M14" s="2">
        <v>0</v>
      </c>
      <c r="N14" s="2"/>
      <c r="O14" s="2"/>
      <c r="P14" s="2"/>
      <c r="Q14" s="2"/>
      <c r="R14" s="2">
        <v>0</v>
      </c>
      <c r="S14" s="2"/>
      <c r="T14" s="2"/>
      <c r="U14" s="2"/>
      <c r="V14" s="2">
        <v>0</v>
      </c>
      <c r="W14" s="2"/>
      <c r="X14" s="2"/>
      <c r="Y14" s="2"/>
      <c r="Z14" s="2"/>
      <c r="AA14" s="2">
        <v>0</v>
      </c>
      <c r="AB14" s="2"/>
      <c r="AC14" s="2"/>
      <c r="AD14" s="2"/>
      <c r="AE14" s="2"/>
      <c r="AF14" s="2">
        <v>0</v>
      </c>
      <c r="AG14" s="2"/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/>
      <c r="AQ14" s="2"/>
      <c r="AR14" s="2">
        <v>0</v>
      </c>
      <c r="AS14" s="2"/>
      <c r="AT14" s="2"/>
      <c r="AU14" s="2"/>
      <c r="AV14" s="2">
        <v>0</v>
      </c>
      <c r="AW14" s="2"/>
      <c r="AX14" s="2"/>
      <c r="AY14" s="2"/>
      <c r="AZ14" s="2"/>
      <c r="BA14" s="2">
        <v>0</v>
      </c>
      <c r="BB14" s="2"/>
      <c r="BC14" s="2"/>
      <c r="BD14" s="2"/>
      <c r="BE14" s="2"/>
      <c r="BF14" s="2">
        <v>0</v>
      </c>
      <c r="BG14" s="2"/>
      <c r="BH14" s="2"/>
      <c r="BI14" s="2">
        <v>0</v>
      </c>
      <c r="BJ14" s="2"/>
      <c r="BK14" s="2"/>
      <c r="BL14" s="2"/>
      <c r="BM14" s="2">
        <v>1</v>
      </c>
      <c r="BN14" s="2"/>
      <c r="BO14" s="2"/>
      <c r="BP14" s="2"/>
      <c r="BQ14" s="2">
        <v>0</v>
      </c>
      <c r="BR14" s="2"/>
      <c r="BS14" s="2"/>
      <c r="BT14" s="2"/>
      <c r="BU14" s="2"/>
      <c r="BV14" s="2"/>
      <c r="BW14" s="2">
        <v>0</v>
      </c>
      <c r="BX14" s="2"/>
      <c r="BY14" s="2"/>
      <c r="BZ14" s="2"/>
      <c r="CA14" s="2">
        <v>0</v>
      </c>
      <c r="CB14" s="2"/>
      <c r="CC14" s="2"/>
      <c r="CD14" s="2">
        <v>0</v>
      </c>
      <c r="CE14" s="2"/>
      <c r="CF14" s="2"/>
      <c r="CG14" s="2"/>
      <c r="CH14" s="2"/>
      <c r="CI14" s="2">
        <v>0</v>
      </c>
      <c r="CJ14" s="2"/>
      <c r="CK14" s="2"/>
      <c r="CL14" s="2">
        <v>0</v>
      </c>
      <c r="CM14" s="2"/>
      <c r="CN14" s="2"/>
      <c r="CO14" s="2"/>
      <c r="CP14" s="2"/>
      <c r="CQ14" s="2">
        <v>1</v>
      </c>
      <c r="CR14" s="2"/>
      <c r="CS14" s="2"/>
      <c r="CT14" s="2">
        <v>0</v>
      </c>
      <c r="CU14" s="2"/>
      <c r="CV14" s="2"/>
      <c r="CW14" s="2"/>
      <c r="CX14" s="2">
        <v>0</v>
      </c>
      <c r="CY14" s="2"/>
      <c r="CZ14" s="2"/>
      <c r="DA14" s="2"/>
      <c r="DB14" s="2"/>
      <c r="DC14" s="2">
        <v>0</v>
      </c>
      <c r="DD14" s="2"/>
      <c r="DE14" s="2"/>
      <c r="DF14" s="2">
        <v>0</v>
      </c>
      <c r="DG14" s="2"/>
      <c r="DH14" s="2"/>
      <c r="DI14" s="2"/>
      <c r="DJ14" s="2">
        <v>0</v>
      </c>
      <c r="DK14" s="2"/>
      <c r="DL14" s="2"/>
      <c r="DM14" s="2"/>
      <c r="DN14" s="2">
        <v>0</v>
      </c>
      <c r="DO14" s="2"/>
      <c r="DP14" s="2"/>
      <c r="DQ14" s="2">
        <v>1</v>
      </c>
      <c r="DR14" s="2"/>
      <c r="DS14" s="2"/>
      <c r="DT14" s="2">
        <v>4</v>
      </c>
    </row>
    <row r="15" spans="1:124" x14ac:dyDescent="0.25">
      <c r="A15" s="6" t="s">
        <v>454</v>
      </c>
      <c r="C15">
        <v>0</v>
      </c>
      <c r="G15">
        <v>0</v>
      </c>
      <c r="I15">
        <v>0</v>
      </c>
      <c r="K15">
        <v>0</v>
      </c>
      <c r="M15">
        <v>0</v>
      </c>
      <c r="R15">
        <v>0</v>
      </c>
      <c r="V15">
        <v>0</v>
      </c>
      <c r="AA15">
        <v>0</v>
      </c>
      <c r="AF15">
        <v>0</v>
      </c>
      <c r="AK15">
        <v>0</v>
      </c>
      <c r="AO15">
        <v>0</v>
      </c>
      <c r="AR15">
        <v>0</v>
      </c>
      <c r="AV15">
        <v>0</v>
      </c>
      <c r="BA15">
        <v>0</v>
      </c>
      <c r="BF15">
        <v>0</v>
      </c>
      <c r="BI15">
        <v>0</v>
      </c>
      <c r="BM15">
        <v>0</v>
      </c>
      <c r="BQ15">
        <v>0</v>
      </c>
      <c r="BW15">
        <v>0</v>
      </c>
      <c r="CA15">
        <v>0</v>
      </c>
      <c r="CD15">
        <v>0</v>
      </c>
      <c r="CI15">
        <v>0</v>
      </c>
      <c r="CL15">
        <v>0</v>
      </c>
      <c r="CQ15">
        <v>0</v>
      </c>
      <c r="CT15">
        <v>0</v>
      </c>
      <c r="CX15">
        <v>0</v>
      </c>
      <c r="DC15">
        <v>0</v>
      </c>
      <c r="DF15">
        <v>0</v>
      </c>
      <c r="DJ15">
        <v>0</v>
      </c>
      <c r="DN15">
        <v>0</v>
      </c>
      <c r="DQ15">
        <v>1</v>
      </c>
      <c r="DT15">
        <v>1</v>
      </c>
    </row>
    <row r="16" spans="1:124" x14ac:dyDescent="0.25">
      <c r="A16" s="6" t="s">
        <v>148</v>
      </c>
      <c r="B16" s="2"/>
      <c r="C16" s="2">
        <v>0</v>
      </c>
      <c r="D16" s="2"/>
      <c r="E16" s="2"/>
      <c r="F16" s="2"/>
      <c r="G16" s="2">
        <v>0</v>
      </c>
      <c r="H16" s="2"/>
      <c r="I16" s="2">
        <v>0</v>
      </c>
      <c r="J16" s="2"/>
      <c r="K16" s="2">
        <v>1</v>
      </c>
      <c r="L16" s="2"/>
      <c r="M16" s="2">
        <v>0</v>
      </c>
      <c r="N16" s="2"/>
      <c r="O16" s="2"/>
      <c r="P16" s="2"/>
      <c r="Q16" s="2"/>
      <c r="R16" s="2">
        <v>0</v>
      </c>
      <c r="S16" s="2"/>
      <c r="T16" s="2"/>
      <c r="U16" s="2"/>
      <c r="V16" s="2">
        <v>0</v>
      </c>
      <c r="W16" s="2"/>
      <c r="X16" s="2"/>
      <c r="Y16" s="2"/>
      <c r="Z16" s="2"/>
      <c r="AA16" s="2">
        <v>0</v>
      </c>
      <c r="AB16" s="2"/>
      <c r="AC16" s="2"/>
      <c r="AD16" s="2"/>
      <c r="AE16" s="2"/>
      <c r="AF16" s="2">
        <v>0</v>
      </c>
      <c r="AG16" s="2"/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/>
      <c r="AQ16" s="2"/>
      <c r="AR16" s="2">
        <v>0</v>
      </c>
      <c r="AS16" s="2"/>
      <c r="AT16" s="2"/>
      <c r="AU16" s="2"/>
      <c r="AV16" s="2">
        <v>0</v>
      </c>
      <c r="AW16" s="2"/>
      <c r="AX16" s="2"/>
      <c r="AY16" s="2"/>
      <c r="AZ16" s="2"/>
      <c r="BA16" s="2">
        <v>0</v>
      </c>
      <c r="BB16" s="2"/>
      <c r="BC16" s="2"/>
      <c r="BD16" s="2"/>
      <c r="BE16" s="2"/>
      <c r="BF16" s="2">
        <v>0</v>
      </c>
      <c r="BG16" s="2"/>
      <c r="BH16" s="2"/>
      <c r="BI16" s="2">
        <v>0</v>
      </c>
      <c r="BJ16" s="2"/>
      <c r="BK16" s="2"/>
      <c r="BL16" s="2"/>
      <c r="BM16" s="2">
        <v>0</v>
      </c>
      <c r="BN16" s="2"/>
      <c r="BO16" s="2"/>
      <c r="BP16" s="2"/>
      <c r="BQ16" s="2">
        <v>1</v>
      </c>
      <c r="BR16" s="2"/>
      <c r="BS16" s="2"/>
      <c r="BT16" s="2"/>
      <c r="BU16" s="2"/>
      <c r="BV16" s="2"/>
      <c r="BW16" s="2">
        <v>0</v>
      </c>
      <c r="BX16" s="2"/>
      <c r="BY16" s="2"/>
      <c r="BZ16" s="2"/>
      <c r="CA16" s="2">
        <v>0</v>
      </c>
      <c r="CB16" s="2"/>
      <c r="CC16" s="2"/>
      <c r="CD16" s="2">
        <v>0</v>
      </c>
      <c r="CE16" s="2"/>
      <c r="CF16" s="2"/>
      <c r="CG16" s="2"/>
      <c r="CH16" s="2"/>
      <c r="CI16" s="2">
        <v>0</v>
      </c>
      <c r="CJ16" s="2"/>
      <c r="CK16" s="2"/>
      <c r="CL16" s="2">
        <v>0</v>
      </c>
      <c r="CM16" s="2"/>
      <c r="CN16" s="2"/>
      <c r="CO16" s="2"/>
      <c r="CP16" s="2"/>
      <c r="CQ16" s="2">
        <v>0</v>
      </c>
      <c r="CR16" s="2"/>
      <c r="CS16" s="2"/>
      <c r="CT16" s="2">
        <v>1</v>
      </c>
      <c r="CU16" s="2"/>
      <c r="CV16" s="2"/>
      <c r="CW16" s="2"/>
      <c r="CX16" s="2">
        <v>0</v>
      </c>
      <c r="CY16" s="2"/>
      <c r="CZ16" s="2"/>
      <c r="DA16" s="2"/>
      <c r="DB16" s="2"/>
      <c r="DC16" s="2">
        <v>0</v>
      </c>
      <c r="DD16" s="2"/>
      <c r="DE16" s="2"/>
      <c r="DF16" s="2">
        <v>0</v>
      </c>
      <c r="DG16" s="2"/>
      <c r="DH16" s="2"/>
      <c r="DI16" s="2"/>
      <c r="DJ16" s="2">
        <v>0</v>
      </c>
      <c r="DK16" s="2"/>
      <c r="DL16" s="2"/>
      <c r="DM16" s="2"/>
      <c r="DN16" s="2">
        <v>0</v>
      </c>
      <c r="DO16" s="2"/>
      <c r="DP16" s="2"/>
      <c r="DQ16" s="2">
        <v>0</v>
      </c>
      <c r="DR16" s="2"/>
      <c r="DS16" s="2"/>
      <c r="DT16" s="2">
        <v>3</v>
      </c>
    </row>
    <row r="17" spans="1:124" x14ac:dyDescent="0.25">
      <c r="A17" s="6" t="s">
        <v>456</v>
      </c>
      <c r="C17">
        <v>0</v>
      </c>
      <c r="G17">
        <v>0</v>
      </c>
      <c r="I17">
        <v>0</v>
      </c>
      <c r="K17">
        <v>0</v>
      </c>
      <c r="M17">
        <v>0</v>
      </c>
      <c r="R17">
        <v>0</v>
      </c>
      <c r="V17">
        <v>0</v>
      </c>
      <c r="AA17">
        <v>0</v>
      </c>
      <c r="AF17">
        <v>0</v>
      </c>
      <c r="AK17">
        <v>0</v>
      </c>
      <c r="AO17">
        <v>0</v>
      </c>
      <c r="AR17">
        <v>0</v>
      </c>
      <c r="AV17">
        <v>0</v>
      </c>
      <c r="BA17">
        <v>0</v>
      </c>
      <c r="BF17">
        <v>0</v>
      </c>
      <c r="BI17">
        <v>0</v>
      </c>
      <c r="BM17">
        <v>0</v>
      </c>
      <c r="BQ17">
        <v>0</v>
      </c>
      <c r="BW17">
        <v>0</v>
      </c>
      <c r="CA17">
        <v>0</v>
      </c>
      <c r="CD17">
        <v>0</v>
      </c>
      <c r="CI17">
        <v>0</v>
      </c>
      <c r="CL17">
        <v>0</v>
      </c>
      <c r="CQ17">
        <v>0</v>
      </c>
      <c r="CT17">
        <v>0</v>
      </c>
      <c r="CX17">
        <v>0</v>
      </c>
      <c r="DC17">
        <v>0</v>
      </c>
      <c r="DF17">
        <v>0</v>
      </c>
      <c r="DJ17">
        <v>0</v>
      </c>
      <c r="DN17">
        <v>0</v>
      </c>
      <c r="DQ17">
        <v>0</v>
      </c>
      <c r="DT17">
        <v>0</v>
      </c>
    </row>
    <row r="18" spans="1:124" x14ac:dyDescent="0.25">
      <c r="A18" s="6" t="s">
        <v>150</v>
      </c>
      <c r="C18">
        <v>0</v>
      </c>
      <c r="G18">
        <v>0</v>
      </c>
      <c r="I18">
        <v>0</v>
      </c>
      <c r="K18">
        <v>2</v>
      </c>
      <c r="M18">
        <v>0</v>
      </c>
      <c r="R18">
        <v>0</v>
      </c>
      <c r="V18">
        <v>1</v>
      </c>
      <c r="AA18">
        <v>0</v>
      </c>
      <c r="AF18">
        <v>0</v>
      </c>
      <c r="AK18">
        <v>0</v>
      </c>
      <c r="AO18">
        <v>0</v>
      </c>
      <c r="AR18">
        <v>0</v>
      </c>
      <c r="AV18">
        <v>0</v>
      </c>
      <c r="BA18">
        <v>0</v>
      </c>
      <c r="BF18">
        <v>0</v>
      </c>
      <c r="BI18">
        <v>0</v>
      </c>
      <c r="BM18">
        <v>0</v>
      </c>
      <c r="BQ18">
        <v>13</v>
      </c>
      <c r="BW18">
        <v>0</v>
      </c>
      <c r="CA18">
        <v>1</v>
      </c>
      <c r="CD18">
        <v>0</v>
      </c>
      <c r="CI18">
        <v>0</v>
      </c>
      <c r="CL18">
        <v>0</v>
      </c>
      <c r="CQ18">
        <v>4</v>
      </c>
      <c r="CT18">
        <v>6</v>
      </c>
      <c r="CX18">
        <v>0</v>
      </c>
      <c r="DC18">
        <v>0</v>
      </c>
      <c r="DF18">
        <v>0</v>
      </c>
      <c r="DJ18">
        <v>2</v>
      </c>
      <c r="DN18">
        <v>0</v>
      </c>
      <c r="DQ18">
        <v>1</v>
      </c>
      <c r="DT18">
        <v>30</v>
      </c>
    </row>
    <row r="19" spans="1:124" x14ac:dyDescent="0.25">
      <c r="A19" s="6" t="s">
        <v>152</v>
      </c>
      <c r="B19" s="2"/>
      <c r="C19" s="2">
        <v>0</v>
      </c>
      <c r="D19" s="2"/>
      <c r="E19" s="2"/>
      <c r="F19" s="2"/>
      <c r="G19" s="2">
        <v>0</v>
      </c>
      <c r="H19" s="2"/>
      <c r="I19" s="2">
        <v>1</v>
      </c>
      <c r="J19" s="2"/>
      <c r="K19" s="2">
        <v>0</v>
      </c>
      <c r="L19" s="2"/>
      <c r="M19" s="2">
        <v>0</v>
      </c>
      <c r="N19" s="2"/>
      <c r="O19" s="2"/>
      <c r="P19" s="2"/>
      <c r="Q19" s="2"/>
      <c r="R19" s="2">
        <v>0</v>
      </c>
      <c r="S19" s="2"/>
      <c r="T19" s="2"/>
      <c r="U19" s="2"/>
      <c r="V19" s="2">
        <v>0</v>
      </c>
      <c r="W19" s="2"/>
      <c r="X19" s="2"/>
      <c r="Y19" s="2"/>
      <c r="Z19" s="2"/>
      <c r="AA19" s="2">
        <v>0</v>
      </c>
      <c r="AB19" s="2"/>
      <c r="AC19" s="2"/>
      <c r="AD19" s="2"/>
      <c r="AE19" s="2"/>
      <c r="AF19" s="2">
        <v>0</v>
      </c>
      <c r="AG19" s="2"/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/>
      <c r="AQ19" s="2"/>
      <c r="AR19" s="2">
        <v>0</v>
      </c>
      <c r="AS19" s="2"/>
      <c r="AT19" s="2"/>
      <c r="AU19" s="2"/>
      <c r="AV19" s="2">
        <v>0</v>
      </c>
      <c r="AW19" s="2"/>
      <c r="AX19" s="2"/>
      <c r="AY19" s="2"/>
      <c r="AZ19" s="2"/>
      <c r="BA19" s="2">
        <v>0</v>
      </c>
      <c r="BB19" s="2"/>
      <c r="BC19" s="2"/>
      <c r="BD19" s="2"/>
      <c r="BE19" s="2"/>
      <c r="BF19" s="2">
        <v>0</v>
      </c>
      <c r="BG19" s="2"/>
      <c r="BH19" s="2"/>
      <c r="BI19" s="2">
        <v>0</v>
      </c>
      <c r="BJ19" s="2"/>
      <c r="BK19" s="2"/>
      <c r="BL19" s="2"/>
      <c r="BM19" s="2">
        <v>1</v>
      </c>
      <c r="BN19" s="2"/>
      <c r="BO19" s="2"/>
      <c r="BP19" s="2"/>
      <c r="BQ19" s="2">
        <v>0</v>
      </c>
      <c r="BR19" s="2"/>
      <c r="BS19" s="2"/>
      <c r="BT19" s="2"/>
      <c r="BU19" s="2"/>
      <c r="BV19" s="2"/>
      <c r="BW19" s="2">
        <v>0</v>
      </c>
      <c r="BX19" s="2"/>
      <c r="BY19" s="2"/>
      <c r="BZ19" s="2"/>
      <c r="CA19" s="2">
        <v>0</v>
      </c>
      <c r="CB19" s="2"/>
      <c r="CC19" s="2"/>
      <c r="CD19" s="2">
        <v>0</v>
      </c>
      <c r="CE19" s="2"/>
      <c r="CF19" s="2"/>
      <c r="CG19" s="2"/>
      <c r="CH19" s="2"/>
      <c r="CI19" s="2">
        <v>0</v>
      </c>
      <c r="CJ19" s="2"/>
      <c r="CK19" s="2"/>
      <c r="CL19" s="2">
        <v>0</v>
      </c>
      <c r="CM19" s="2"/>
      <c r="CN19" s="2"/>
      <c r="CO19" s="2"/>
      <c r="CP19" s="2"/>
      <c r="CQ19" s="2">
        <v>1</v>
      </c>
      <c r="CR19" s="2"/>
      <c r="CS19" s="2"/>
      <c r="CT19" s="2">
        <v>0</v>
      </c>
      <c r="CU19" s="2"/>
      <c r="CV19" s="2"/>
      <c r="CW19" s="2"/>
      <c r="CX19" s="2">
        <v>0</v>
      </c>
      <c r="CY19" s="2"/>
      <c r="CZ19" s="2"/>
      <c r="DA19" s="2"/>
      <c r="DB19" s="2"/>
      <c r="DC19" s="2">
        <v>0</v>
      </c>
      <c r="DD19" s="2"/>
      <c r="DE19" s="2"/>
      <c r="DF19" s="2">
        <v>0</v>
      </c>
      <c r="DG19" s="2"/>
      <c r="DH19" s="2"/>
      <c r="DI19" s="2"/>
      <c r="DJ19" s="2">
        <v>0</v>
      </c>
      <c r="DK19" s="2"/>
      <c r="DL19" s="2"/>
      <c r="DM19" s="2"/>
      <c r="DN19" s="2">
        <v>0</v>
      </c>
      <c r="DO19" s="2"/>
      <c r="DP19" s="2"/>
      <c r="DQ19" s="2">
        <v>1</v>
      </c>
      <c r="DR19" s="2"/>
      <c r="DS19" s="2"/>
      <c r="DT19" s="2">
        <v>4</v>
      </c>
    </row>
    <row r="20" spans="1:124" x14ac:dyDescent="0.25">
      <c r="A20" s="6" t="s">
        <v>154</v>
      </c>
      <c r="B20" s="2"/>
      <c r="C20" s="2">
        <v>0</v>
      </c>
      <c r="D20" s="2"/>
      <c r="E20" s="2"/>
      <c r="F20" s="2"/>
      <c r="G20" s="2">
        <v>0</v>
      </c>
      <c r="H20" s="2"/>
      <c r="I20" s="2">
        <v>0</v>
      </c>
      <c r="J20" s="2"/>
      <c r="K20" s="2">
        <v>1</v>
      </c>
      <c r="L20" s="2"/>
      <c r="M20" s="2">
        <v>0</v>
      </c>
      <c r="N20" s="2"/>
      <c r="O20" s="2"/>
      <c r="P20" s="2"/>
      <c r="Q20" s="2"/>
      <c r="R20" s="2">
        <v>0</v>
      </c>
      <c r="S20" s="2"/>
      <c r="T20" s="2"/>
      <c r="U20" s="2"/>
      <c r="V20" s="2">
        <v>0</v>
      </c>
      <c r="W20" s="2"/>
      <c r="X20" s="2"/>
      <c r="Y20" s="2"/>
      <c r="Z20" s="2"/>
      <c r="AA20" s="2">
        <v>0</v>
      </c>
      <c r="AB20" s="2"/>
      <c r="AC20" s="2"/>
      <c r="AD20" s="2"/>
      <c r="AE20" s="2"/>
      <c r="AF20" s="2">
        <v>0</v>
      </c>
      <c r="AG20" s="2"/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/>
      <c r="AQ20" s="2"/>
      <c r="AR20" s="2">
        <v>0</v>
      </c>
      <c r="AS20" s="2"/>
      <c r="AT20" s="2"/>
      <c r="AU20" s="2"/>
      <c r="AV20" s="2">
        <v>0</v>
      </c>
      <c r="AW20" s="2"/>
      <c r="AX20" s="2"/>
      <c r="AY20" s="2"/>
      <c r="AZ20" s="2"/>
      <c r="BA20" s="2">
        <v>0</v>
      </c>
      <c r="BB20" s="2"/>
      <c r="BC20" s="2"/>
      <c r="BD20" s="2"/>
      <c r="BE20" s="2"/>
      <c r="BF20" s="2">
        <v>0</v>
      </c>
      <c r="BG20" s="2"/>
      <c r="BH20" s="2"/>
      <c r="BI20" s="2">
        <v>0</v>
      </c>
      <c r="BJ20" s="2"/>
      <c r="BK20" s="2"/>
      <c r="BL20" s="2"/>
      <c r="BM20" s="2">
        <v>0</v>
      </c>
      <c r="BN20" s="2"/>
      <c r="BO20" s="2"/>
      <c r="BP20" s="2"/>
      <c r="BQ20" s="2">
        <v>1</v>
      </c>
      <c r="BR20" s="2"/>
      <c r="BS20" s="2"/>
      <c r="BT20" s="2"/>
      <c r="BU20" s="2"/>
      <c r="BV20" s="2"/>
      <c r="BW20" s="2">
        <v>0</v>
      </c>
      <c r="BX20" s="2"/>
      <c r="BY20" s="2"/>
      <c r="BZ20" s="2"/>
      <c r="CA20" s="2">
        <v>0</v>
      </c>
      <c r="CB20" s="2"/>
      <c r="CC20" s="2"/>
      <c r="CD20" s="2">
        <v>0</v>
      </c>
      <c r="CE20" s="2"/>
      <c r="CF20" s="2"/>
      <c r="CG20" s="2"/>
      <c r="CH20" s="2"/>
      <c r="CI20" s="2">
        <v>0</v>
      </c>
      <c r="CJ20" s="2"/>
      <c r="CK20" s="2"/>
      <c r="CL20" s="2">
        <v>0</v>
      </c>
      <c r="CM20" s="2"/>
      <c r="CN20" s="2"/>
      <c r="CO20" s="2"/>
      <c r="CP20" s="2"/>
      <c r="CQ20" s="2">
        <v>0</v>
      </c>
      <c r="CR20" s="2"/>
      <c r="CS20" s="2"/>
      <c r="CT20" s="2">
        <v>1</v>
      </c>
      <c r="CU20" s="2"/>
      <c r="CV20" s="2"/>
      <c r="CW20" s="2"/>
      <c r="CX20" s="2">
        <v>0</v>
      </c>
      <c r="CY20" s="2"/>
      <c r="CZ20" s="2"/>
      <c r="DA20" s="2"/>
      <c r="DB20" s="2"/>
      <c r="DC20" s="2">
        <v>0</v>
      </c>
      <c r="DD20" s="2"/>
      <c r="DE20" s="2"/>
      <c r="DF20" s="2">
        <v>0</v>
      </c>
      <c r="DG20" s="2"/>
      <c r="DH20" s="2"/>
      <c r="DI20" s="2"/>
      <c r="DJ20" s="2">
        <v>0</v>
      </c>
      <c r="DK20" s="2"/>
      <c r="DL20" s="2"/>
      <c r="DM20" s="2"/>
      <c r="DN20" s="2">
        <v>0</v>
      </c>
      <c r="DO20" s="2"/>
      <c r="DP20" s="2"/>
      <c r="DQ20" s="2">
        <v>0</v>
      </c>
      <c r="DR20" s="2"/>
      <c r="DS20" s="2"/>
      <c r="DT20" s="2">
        <v>3</v>
      </c>
    </row>
    <row r="21" spans="1:124" x14ac:dyDescent="0.25">
      <c r="A21" s="6" t="s">
        <v>156</v>
      </c>
      <c r="C21">
        <v>0</v>
      </c>
      <c r="G21">
        <v>0</v>
      </c>
      <c r="I21">
        <v>18</v>
      </c>
      <c r="K21">
        <v>0</v>
      </c>
      <c r="M21">
        <v>0</v>
      </c>
      <c r="R21">
        <v>0</v>
      </c>
      <c r="V21">
        <v>0</v>
      </c>
      <c r="AA21">
        <v>0</v>
      </c>
      <c r="AF21">
        <v>0</v>
      </c>
      <c r="AK21">
        <v>0</v>
      </c>
      <c r="AO21">
        <v>0</v>
      </c>
      <c r="AR21">
        <v>0</v>
      </c>
      <c r="AV21">
        <v>0</v>
      </c>
      <c r="BA21">
        <v>0</v>
      </c>
      <c r="BF21">
        <v>0</v>
      </c>
      <c r="BI21">
        <v>0</v>
      </c>
      <c r="BM21">
        <v>0</v>
      </c>
      <c r="BQ21">
        <v>20</v>
      </c>
      <c r="BW21">
        <v>0</v>
      </c>
      <c r="CA21">
        <v>0</v>
      </c>
      <c r="CD21">
        <v>0</v>
      </c>
      <c r="CI21">
        <v>0</v>
      </c>
      <c r="CL21">
        <v>0</v>
      </c>
      <c r="CQ21">
        <v>0</v>
      </c>
      <c r="CT21">
        <v>0</v>
      </c>
      <c r="CX21">
        <v>0</v>
      </c>
      <c r="DC21">
        <v>0</v>
      </c>
      <c r="DF21">
        <v>0</v>
      </c>
      <c r="DJ21">
        <v>0</v>
      </c>
      <c r="DN21">
        <v>0</v>
      </c>
      <c r="DQ21">
        <v>17</v>
      </c>
      <c r="DT21">
        <v>55</v>
      </c>
    </row>
    <row r="22" spans="1:124" x14ac:dyDescent="0.25">
      <c r="A22" s="6" t="s">
        <v>158</v>
      </c>
      <c r="C22">
        <v>0</v>
      </c>
      <c r="G22">
        <v>78</v>
      </c>
      <c r="I22">
        <v>0</v>
      </c>
      <c r="K22">
        <v>0</v>
      </c>
      <c r="M22">
        <v>0</v>
      </c>
      <c r="R22">
        <v>20</v>
      </c>
      <c r="V22">
        <v>0</v>
      </c>
      <c r="AA22">
        <v>18</v>
      </c>
      <c r="AF22">
        <v>22</v>
      </c>
      <c r="AK22">
        <v>0</v>
      </c>
      <c r="AO22">
        <v>0</v>
      </c>
      <c r="AR22">
        <v>27</v>
      </c>
      <c r="AV22">
        <v>0</v>
      </c>
      <c r="BA22">
        <v>5</v>
      </c>
      <c r="BF22">
        <v>44</v>
      </c>
      <c r="BI22">
        <v>1</v>
      </c>
      <c r="BM22">
        <v>0</v>
      </c>
      <c r="BQ22">
        <v>0</v>
      </c>
      <c r="BW22">
        <v>0</v>
      </c>
      <c r="CA22">
        <v>18</v>
      </c>
      <c r="CD22">
        <v>0</v>
      </c>
      <c r="CI22">
        <v>18</v>
      </c>
      <c r="CL22">
        <v>0</v>
      </c>
      <c r="CQ22">
        <v>0</v>
      </c>
      <c r="CT22">
        <v>0</v>
      </c>
      <c r="CX22">
        <v>14</v>
      </c>
      <c r="DC22">
        <v>4</v>
      </c>
      <c r="DF22">
        <v>0</v>
      </c>
      <c r="DJ22">
        <v>0</v>
      </c>
      <c r="DN22">
        <v>13</v>
      </c>
      <c r="DQ22">
        <v>0</v>
      </c>
      <c r="DT22">
        <v>282</v>
      </c>
    </row>
    <row r="23" spans="1:124" x14ac:dyDescent="0.25">
      <c r="A23" s="6" t="s">
        <v>160</v>
      </c>
      <c r="C23">
        <v>0</v>
      </c>
      <c r="G23">
        <v>10</v>
      </c>
      <c r="I23">
        <v>0</v>
      </c>
      <c r="K23">
        <v>0</v>
      </c>
      <c r="M23">
        <v>0</v>
      </c>
      <c r="R23">
        <v>0</v>
      </c>
      <c r="V23">
        <v>0</v>
      </c>
      <c r="AA23">
        <v>1</v>
      </c>
      <c r="AF23">
        <v>0</v>
      </c>
      <c r="AK23">
        <v>0</v>
      </c>
      <c r="AO23">
        <v>0</v>
      </c>
      <c r="AR23">
        <v>6</v>
      </c>
      <c r="AV23">
        <v>0</v>
      </c>
      <c r="BA23">
        <v>0</v>
      </c>
      <c r="BF23">
        <v>0</v>
      </c>
      <c r="BI23">
        <v>6</v>
      </c>
      <c r="BM23">
        <v>0</v>
      </c>
      <c r="BQ23">
        <v>0</v>
      </c>
      <c r="BW23">
        <v>0</v>
      </c>
      <c r="CA23">
        <v>4</v>
      </c>
      <c r="CD23">
        <v>0</v>
      </c>
      <c r="CI23">
        <v>4</v>
      </c>
      <c r="CL23">
        <v>0</v>
      </c>
      <c r="CQ23">
        <v>0</v>
      </c>
      <c r="CT23">
        <v>0</v>
      </c>
      <c r="CX23">
        <v>1</v>
      </c>
      <c r="DC23">
        <v>1</v>
      </c>
      <c r="DF23">
        <v>0</v>
      </c>
      <c r="DJ23">
        <v>0</v>
      </c>
      <c r="DN23">
        <v>0</v>
      </c>
      <c r="DQ23">
        <v>0</v>
      </c>
      <c r="DT23">
        <v>33</v>
      </c>
    </row>
    <row r="24" spans="1:124" x14ac:dyDescent="0.25">
      <c r="A24" s="6" t="s">
        <v>162</v>
      </c>
      <c r="C24">
        <v>0</v>
      </c>
      <c r="G24">
        <v>0</v>
      </c>
      <c r="I24">
        <v>0</v>
      </c>
      <c r="K24">
        <v>0</v>
      </c>
      <c r="M24">
        <v>0</v>
      </c>
      <c r="R24">
        <v>0</v>
      </c>
      <c r="V24">
        <v>0</v>
      </c>
      <c r="AA24">
        <v>0</v>
      </c>
      <c r="AF24">
        <v>0</v>
      </c>
      <c r="AK24">
        <v>0</v>
      </c>
      <c r="AO24">
        <v>0</v>
      </c>
      <c r="AR24">
        <v>0</v>
      </c>
      <c r="AV24">
        <v>0</v>
      </c>
      <c r="BA24">
        <v>0</v>
      </c>
      <c r="BF24">
        <v>0</v>
      </c>
      <c r="BI24">
        <v>0</v>
      </c>
      <c r="BM24">
        <v>0</v>
      </c>
      <c r="BQ24">
        <v>0</v>
      </c>
      <c r="BW24">
        <v>0</v>
      </c>
      <c r="CA24">
        <v>0</v>
      </c>
      <c r="CD24">
        <v>0</v>
      </c>
      <c r="CI24">
        <v>0</v>
      </c>
      <c r="CL24">
        <v>0</v>
      </c>
      <c r="CQ24">
        <v>0</v>
      </c>
      <c r="CT24">
        <v>0</v>
      </c>
      <c r="CX24">
        <v>0</v>
      </c>
      <c r="DC24">
        <v>0</v>
      </c>
      <c r="DF24">
        <v>0</v>
      </c>
      <c r="DJ24">
        <v>0</v>
      </c>
      <c r="DN24">
        <v>0</v>
      </c>
      <c r="DQ24">
        <v>0</v>
      </c>
      <c r="DT24">
        <v>0</v>
      </c>
    </row>
    <row r="25" spans="1:124" x14ac:dyDescent="0.25">
      <c r="A25" s="6" t="s">
        <v>164</v>
      </c>
      <c r="C25">
        <v>0</v>
      </c>
      <c r="G25">
        <v>0</v>
      </c>
      <c r="I25">
        <v>0</v>
      </c>
      <c r="K25">
        <v>0</v>
      </c>
      <c r="M25">
        <v>0</v>
      </c>
      <c r="R25">
        <v>0</v>
      </c>
      <c r="V25">
        <v>0</v>
      </c>
      <c r="AA25">
        <v>0</v>
      </c>
      <c r="AF25">
        <v>0</v>
      </c>
      <c r="AK25">
        <v>0</v>
      </c>
      <c r="AO25">
        <v>0</v>
      </c>
      <c r="AR25">
        <v>0</v>
      </c>
      <c r="AV25">
        <v>0</v>
      </c>
      <c r="BA25">
        <v>0</v>
      </c>
      <c r="BF25">
        <v>0</v>
      </c>
      <c r="BI25">
        <v>0</v>
      </c>
      <c r="BM25">
        <v>0</v>
      </c>
      <c r="BQ25">
        <v>0</v>
      </c>
      <c r="BW25">
        <v>0</v>
      </c>
      <c r="CA25">
        <v>0</v>
      </c>
      <c r="CD25">
        <v>0</v>
      </c>
      <c r="CI25">
        <v>0</v>
      </c>
      <c r="CL25">
        <v>0</v>
      </c>
      <c r="CQ25">
        <v>0</v>
      </c>
      <c r="CT25">
        <v>0</v>
      </c>
      <c r="CX25">
        <v>0</v>
      </c>
      <c r="DC25">
        <v>0</v>
      </c>
      <c r="DF25">
        <v>0</v>
      </c>
      <c r="DJ25">
        <v>0</v>
      </c>
      <c r="DN25">
        <v>0</v>
      </c>
      <c r="DQ25">
        <v>0</v>
      </c>
      <c r="DT25">
        <v>0</v>
      </c>
    </row>
    <row r="26" spans="1:124" x14ac:dyDescent="0.25">
      <c r="A26" s="6" t="s">
        <v>166</v>
      </c>
      <c r="C26">
        <v>0</v>
      </c>
      <c r="G26">
        <v>0</v>
      </c>
      <c r="I26">
        <v>0</v>
      </c>
      <c r="K26">
        <v>0</v>
      </c>
      <c r="M26">
        <v>0</v>
      </c>
      <c r="R26">
        <v>0</v>
      </c>
      <c r="V26">
        <v>0</v>
      </c>
      <c r="AA26">
        <v>0</v>
      </c>
      <c r="AF26">
        <v>0</v>
      </c>
      <c r="AK26">
        <v>0</v>
      </c>
      <c r="AO26">
        <v>0</v>
      </c>
      <c r="AR26">
        <v>0</v>
      </c>
      <c r="AV26">
        <v>0</v>
      </c>
      <c r="BA26">
        <v>0</v>
      </c>
      <c r="BF26">
        <v>0</v>
      </c>
      <c r="BI26">
        <v>0</v>
      </c>
      <c r="BM26">
        <v>0</v>
      </c>
      <c r="BQ26">
        <v>0</v>
      </c>
      <c r="BW26">
        <v>0</v>
      </c>
      <c r="CA26">
        <v>0</v>
      </c>
      <c r="CD26">
        <v>0</v>
      </c>
      <c r="CI26">
        <v>0</v>
      </c>
      <c r="CL26">
        <v>0</v>
      </c>
      <c r="CQ26">
        <v>0</v>
      </c>
      <c r="CT26">
        <v>0</v>
      </c>
      <c r="CX26">
        <v>0</v>
      </c>
      <c r="DC26">
        <v>0</v>
      </c>
      <c r="DF26">
        <v>0</v>
      </c>
      <c r="DJ26">
        <v>0</v>
      </c>
      <c r="DN26">
        <v>0</v>
      </c>
      <c r="DQ26">
        <v>0</v>
      </c>
      <c r="DT26">
        <v>0</v>
      </c>
    </row>
    <row r="27" spans="1:124" x14ac:dyDescent="0.25">
      <c r="A27" s="5" t="s">
        <v>52</v>
      </c>
    </row>
    <row r="28" spans="1:124" x14ac:dyDescent="0.25">
      <c r="A28" s="6" t="s">
        <v>131</v>
      </c>
      <c r="E28">
        <v>0</v>
      </c>
      <c r="H28">
        <v>0</v>
      </c>
      <c r="J28">
        <v>0</v>
      </c>
      <c r="L28">
        <v>0</v>
      </c>
      <c r="P28">
        <v>0</v>
      </c>
      <c r="T28">
        <v>0</v>
      </c>
      <c r="Y28">
        <v>0</v>
      </c>
      <c r="AD28">
        <v>0</v>
      </c>
      <c r="AH28">
        <v>0</v>
      </c>
      <c r="AK28">
        <v>0</v>
      </c>
      <c r="AO28">
        <v>0</v>
      </c>
      <c r="AU28">
        <v>0</v>
      </c>
      <c r="AY28">
        <v>0</v>
      </c>
      <c r="BD28">
        <v>0</v>
      </c>
      <c r="BH28">
        <v>0</v>
      </c>
      <c r="BL28">
        <v>0</v>
      </c>
      <c r="BO28">
        <v>0</v>
      </c>
      <c r="BS28">
        <v>0</v>
      </c>
      <c r="BY28">
        <v>0</v>
      </c>
      <c r="CC28">
        <v>0</v>
      </c>
      <c r="CG28">
        <v>0</v>
      </c>
      <c r="CK28">
        <v>0</v>
      </c>
      <c r="CO28">
        <v>0</v>
      </c>
      <c r="CR28">
        <v>0</v>
      </c>
      <c r="CU28">
        <v>0</v>
      </c>
      <c r="DA28">
        <v>0</v>
      </c>
      <c r="DE28">
        <v>0</v>
      </c>
      <c r="DI28">
        <v>0</v>
      </c>
      <c r="DL28">
        <v>0</v>
      </c>
      <c r="DP28">
        <v>0</v>
      </c>
      <c r="DS28">
        <v>0</v>
      </c>
      <c r="DT28">
        <v>0</v>
      </c>
    </row>
    <row r="29" spans="1:124" x14ac:dyDescent="0.25">
      <c r="A29" s="6" t="s">
        <v>134</v>
      </c>
      <c r="B29" s="2"/>
      <c r="C29" s="2"/>
      <c r="D29" s="2"/>
      <c r="E29" s="2">
        <v>0</v>
      </c>
      <c r="F29" s="2"/>
      <c r="G29" s="2"/>
      <c r="H29" s="2">
        <v>0</v>
      </c>
      <c r="I29" s="2"/>
      <c r="J29" s="2">
        <v>0</v>
      </c>
      <c r="K29" s="2"/>
      <c r="L29" s="2">
        <v>0</v>
      </c>
      <c r="M29" s="2"/>
      <c r="N29" s="2"/>
      <c r="O29" s="2"/>
      <c r="P29" s="2">
        <v>0</v>
      </c>
      <c r="Q29" s="2"/>
      <c r="R29" s="2"/>
      <c r="S29" s="2"/>
      <c r="T29" s="2">
        <v>0</v>
      </c>
      <c r="U29" s="2"/>
      <c r="V29" s="2"/>
      <c r="W29" s="2"/>
      <c r="X29" s="2"/>
      <c r="Y29" s="2">
        <v>0</v>
      </c>
      <c r="Z29" s="2"/>
      <c r="AA29" s="2"/>
      <c r="AB29" s="2"/>
      <c r="AC29" s="2"/>
      <c r="AD29" s="2">
        <v>0</v>
      </c>
      <c r="AE29" s="2"/>
      <c r="AF29" s="2"/>
      <c r="AG29" s="2"/>
      <c r="AH29" s="2">
        <v>0</v>
      </c>
      <c r="AI29" s="2"/>
      <c r="AJ29" s="2"/>
      <c r="AK29" s="2">
        <v>0</v>
      </c>
      <c r="AL29" s="2"/>
      <c r="AM29" s="2"/>
      <c r="AN29" s="2"/>
      <c r="AO29" s="2">
        <v>0</v>
      </c>
      <c r="AP29" s="2"/>
      <c r="AQ29" s="2"/>
      <c r="AR29" s="2"/>
      <c r="AS29" s="2"/>
      <c r="AT29" s="2"/>
      <c r="AU29" s="2">
        <v>0</v>
      </c>
      <c r="AV29" s="2"/>
      <c r="AW29" s="2"/>
      <c r="AX29" s="2"/>
      <c r="AY29" s="2">
        <v>0</v>
      </c>
      <c r="AZ29" s="2"/>
      <c r="BA29" s="2"/>
      <c r="BB29" s="2"/>
      <c r="BC29" s="2"/>
      <c r="BD29" s="2">
        <v>0</v>
      </c>
      <c r="BE29" s="2"/>
      <c r="BF29" s="2"/>
      <c r="BG29" s="2"/>
      <c r="BH29" s="2">
        <v>0</v>
      </c>
      <c r="BI29" s="2"/>
      <c r="BJ29" s="2"/>
      <c r="BK29" s="2"/>
      <c r="BL29" s="2">
        <v>0</v>
      </c>
      <c r="BM29" s="2"/>
      <c r="BN29" s="2"/>
      <c r="BO29" s="2">
        <v>0</v>
      </c>
      <c r="BP29" s="2"/>
      <c r="BQ29" s="2"/>
      <c r="BR29" s="2"/>
      <c r="BS29" s="2">
        <v>0</v>
      </c>
      <c r="BT29" s="2"/>
      <c r="BU29" s="2"/>
      <c r="BV29" s="2"/>
      <c r="BW29" s="2"/>
      <c r="BX29" s="2"/>
      <c r="BY29" s="2">
        <v>0</v>
      </c>
      <c r="BZ29" s="2"/>
      <c r="CA29" s="2"/>
      <c r="CB29" s="2"/>
      <c r="CC29" s="2">
        <v>0</v>
      </c>
      <c r="CD29" s="2"/>
      <c r="CE29" s="2"/>
      <c r="CF29" s="2"/>
      <c r="CG29" s="2">
        <v>0</v>
      </c>
      <c r="CH29" s="2"/>
      <c r="CI29" s="2"/>
      <c r="CJ29" s="2"/>
      <c r="CK29" s="2">
        <v>0</v>
      </c>
      <c r="CL29" s="2"/>
      <c r="CM29" s="2"/>
      <c r="CN29" s="2"/>
      <c r="CO29" s="2">
        <v>0</v>
      </c>
      <c r="CP29" s="2"/>
      <c r="CQ29" s="2"/>
      <c r="CR29" s="2">
        <v>0</v>
      </c>
      <c r="CS29" s="2"/>
      <c r="CT29" s="2"/>
      <c r="CU29" s="2">
        <v>0</v>
      </c>
      <c r="CV29" s="2"/>
      <c r="CW29" s="2"/>
      <c r="CX29" s="2"/>
      <c r="CY29" s="2"/>
      <c r="CZ29" s="2"/>
      <c r="DA29" s="2">
        <v>0</v>
      </c>
      <c r="DB29" s="2"/>
      <c r="DC29" s="2"/>
      <c r="DD29" s="2"/>
      <c r="DE29" s="2">
        <v>0</v>
      </c>
      <c r="DF29" s="2"/>
      <c r="DG29" s="2"/>
      <c r="DH29" s="2"/>
      <c r="DI29" s="2">
        <v>0</v>
      </c>
      <c r="DJ29" s="2"/>
      <c r="DK29" s="2"/>
      <c r="DL29" s="2">
        <v>0</v>
      </c>
      <c r="DM29" s="2"/>
      <c r="DN29" s="2"/>
      <c r="DO29" s="2"/>
      <c r="DP29" s="2">
        <v>0</v>
      </c>
      <c r="DQ29" s="2"/>
      <c r="DR29" s="2"/>
      <c r="DS29" s="2">
        <v>0</v>
      </c>
      <c r="DT29" s="2">
        <v>0</v>
      </c>
    </row>
    <row r="30" spans="1:124" x14ac:dyDescent="0.25">
      <c r="A30" s="6" t="s">
        <v>136</v>
      </c>
      <c r="B30" s="2"/>
      <c r="C30" s="2"/>
      <c r="D30" s="2"/>
      <c r="E30" s="2">
        <v>0</v>
      </c>
      <c r="F30" s="2"/>
      <c r="G30" s="2"/>
      <c r="H30" s="2">
        <v>0</v>
      </c>
      <c r="I30" s="2"/>
      <c r="J30" s="2">
        <v>0</v>
      </c>
      <c r="K30" s="2"/>
      <c r="L30" s="2">
        <v>0</v>
      </c>
      <c r="M30" s="2"/>
      <c r="N30" s="2"/>
      <c r="O30" s="2"/>
      <c r="P30" s="2">
        <v>0</v>
      </c>
      <c r="Q30" s="2"/>
      <c r="R30" s="2"/>
      <c r="S30" s="2"/>
      <c r="T30" s="2">
        <v>0</v>
      </c>
      <c r="U30" s="2"/>
      <c r="V30" s="2"/>
      <c r="W30" s="2"/>
      <c r="X30" s="2"/>
      <c r="Y30" s="2">
        <v>0</v>
      </c>
      <c r="Z30" s="2"/>
      <c r="AA30" s="2"/>
      <c r="AB30" s="2"/>
      <c r="AC30" s="2"/>
      <c r="AD30" s="2">
        <v>0</v>
      </c>
      <c r="AE30" s="2"/>
      <c r="AF30" s="2"/>
      <c r="AG30" s="2"/>
      <c r="AH30" s="2">
        <v>0</v>
      </c>
      <c r="AI30" s="2"/>
      <c r="AJ30" s="2"/>
      <c r="AK30" s="2">
        <v>0</v>
      </c>
      <c r="AL30" s="2"/>
      <c r="AM30" s="2"/>
      <c r="AN30" s="2"/>
      <c r="AO30" s="2">
        <v>0</v>
      </c>
      <c r="AP30" s="2"/>
      <c r="AQ30" s="2"/>
      <c r="AR30" s="2"/>
      <c r="AS30" s="2"/>
      <c r="AT30" s="2"/>
      <c r="AU30" s="2">
        <v>0</v>
      </c>
      <c r="AV30" s="2"/>
      <c r="AW30" s="2"/>
      <c r="AX30" s="2"/>
      <c r="AY30" s="2">
        <v>0</v>
      </c>
      <c r="AZ30" s="2"/>
      <c r="BA30" s="2"/>
      <c r="BB30" s="2"/>
      <c r="BC30" s="2"/>
      <c r="BD30" s="2">
        <v>0</v>
      </c>
      <c r="BE30" s="2"/>
      <c r="BF30" s="2"/>
      <c r="BG30" s="2"/>
      <c r="BH30" s="2">
        <v>0</v>
      </c>
      <c r="BI30" s="2"/>
      <c r="BJ30" s="2"/>
      <c r="BK30" s="2"/>
      <c r="BL30" s="2">
        <v>0</v>
      </c>
      <c r="BM30" s="2"/>
      <c r="BN30" s="2"/>
      <c r="BO30" s="2">
        <v>0</v>
      </c>
      <c r="BP30" s="2"/>
      <c r="BQ30" s="2"/>
      <c r="BR30" s="2"/>
      <c r="BS30" s="2">
        <v>0</v>
      </c>
      <c r="BT30" s="2"/>
      <c r="BU30" s="2"/>
      <c r="BV30" s="2"/>
      <c r="BW30" s="2"/>
      <c r="BX30" s="2"/>
      <c r="BY30" s="2">
        <v>0</v>
      </c>
      <c r="BZ30" s="2"/>
      <c r="CA30" s="2"/>
      <c r="CB30" s="2"/>
      <c r="CC30" s="2">
        <v>0</v>
      </c>
      <c r="CD30" s="2"/>
      <c r="CE30" s="2"/>
      <c r="CF30" s="2"/>
      <c r="CG30" s="2">
        <v>0</v>
      </c>
      <c r="CH30" s="2"/>
      <c r="CI30" s="2"/>
      <c r="CJ30" s="2"/>
      <c r="CK30" s="2">
        <v>0</v>
      </c>
      <c r="CL30" s="2"/>
      <c r="CM30" s="2"/>
      <c r="CN30" s="2"/>
      <c r="CO30" s="2">
        <v>0</v>
      </c>
      <c r="CP30" s="2"/>
      <c r="CQ30" s="2"/>
      <c r="CR30" s="2">
        <v>0</v>
      </c>
      <c r="CS30" s="2"/>
      <c r="CT30" s="2"/>
      <c r="CU30" s="2">
        <v>0</v>
      </c>
      <c r="CV30" s="2"/>
      <c r="CW30" s="2"/>
      <c r="CX30" s="2"/>
      <c r="CY30" s="2"/>
      <c r="CZ30" s="2"/>
      <c r="DA30" s="2">
        <v>0</v>
      </c>
      <c r="DB30" s="2"/>
      <c r="DC30" s="2"/>
      <c r="DD30" s="2"/>
      <c r="DE30" s="2">
        <v>0</v>
      </c>
      <c r="DF30" s="2"/>
      <c r="DG30" s="2"/>
      <c r="DH30" s="2"/>
      <c r="DI30" s="2">
        <v>0</v>
      </c>
      <c r="DJ30" s="2"/>
      <c r="DK30" s="2"/>
      <c r="DL30" s="2">
        <v>0</v>
      </c>
      <c r="DM30" s="2"/>
      <c r="DN30" s="2"/>
      <c r="DO30" s="2"/>
      <c r="DP30" s="2">
        <v>0</v>
      </c>
      <c r="DQ30" s="2"/>
      <c r="DR30" s="2"/>
      <c r="DS30" s="2">
        <v>0</v>
      </c>
      <c r="DT30" s="2">
        <v>0</v>
      </c>
    </row>
    <row r="31" spans="1:124" x14ac:dyDescent="0.25">
      <c r="A31" s="6" t="s">
        <v>138</v>
      </c>
      <c r="B31" s="2"/>
      <c r="C31" s="2"/>
      <c r="D31" s="2"/>
      <c r="E31" s="2">
        <v>0</v>
      </c>
      <c r="F31" s="2"/>
      <c r="G31" s="2"/>
      <c r="H31" s="2">
        <v>0</v>
      </c>
      <c r="I31" s="2"/>
      <c r="J31" s="2">
        <v>0</v>
      </c>
      <c r="K31" s="2"/>
      <c r="L31" s="2">
        <v>0</v>
      </c>
      <c r="M31" s="2"/>
      <c r="N31" s="2"/>
      <c r="O31" s="2"/>
      <c r="P31" s="2">
        <v>0</v>
      </c>
      <c r="Q31" s="2"/>
      <c r="R31" s="2"/>
      <c r="S31" s="2"/>
      <c r="T31" s="2">
        <v>0</v>
      </c>
      <c r="U31" s="2"/>
      <c r="V31" s="2"/>
      <c r="W31" s="2"/>
      <c r="X31" s="2"/>
      <c r="Y31" s="2">
        <v>0</v>
      </c>
      <c r="Z31" s="2"/>
      <c r="AA31" s="2"/>
      <c r="AB31" s="2"/>
      <c r="AC31" s="2"/>
      <c r="AD31" s="2">
        <v>0</v>
      </c>
      <c r="AE31" s="2"/>
      <c r="AF31" s="2"/>
      <c r="AG31" s="2"/>
      <c r="AH31" s="2">
        <v>0</v>
      </c>
      <c r="AI31" s="2"/>
      <c r="AJ31" s="2"/>
      <c r="AK31" s="2">
        <v>0</v>
      </c>
      <c r="AL31" s="2"/>
      <c r="AM31" s="2"/>
      <c r="AN31" s="2"/>
      <c r="AO31" s="2">
        <v>0</v>
      </c>
      <c r="AP31" s="2"/>
      <c r="AQ31" s="2"/>
      <c r="AR31" s="2"/>
      <c r="AS31" s="2"/>
      <c r="AT31" s="2"/>
      <c r="AU31" s="2">
        <v>0</v>
      </c>
      <c r="AV31" s="2"/>
      <c r="AW31" s="2"/>
      <c r="AX31" s="2"/>
      <c r="AY31" s="2">
        <v>0</v>
      </c>
      <c r="AZ31" s="2"/>
      <c r="BA31" s="2"/>
      <c r="BB31" s="2"/>
      <c r="BC31" s="2"/>
      <c r="BD31" s="2">
        <v>0</v>
      </c>
      <c r="BE31" s="2"/>
      <c r="BF31" s="2"/>
      <c r="BG31" s="2"/>
      <c r="BH31" s="2">
        <v>0</v>
      </c>
      <c r="BI31" s="2"/>
      <c r="BJ31" s="2"/>
      <c r="BK31" s="2"/>
      <c r="BL31" s="2">
        <v>0</v>
      </c>
      <c r="BM31" s="2"/>
      <c r="BN31" s="2"/>
      <c r="BO31" s="2">
        <v>0</v>
      </c>
      <c r="BP31" s="2"/>
      <c r="BQ31" s="2"/>
      <c r="BR31" s="2"/>
      <c r="BS31" s="2">
        <v>0</v>
      </c>
      <c r="BT31" s="2"/>
      <c r="BU31" s="2"/>
      <c r="BV31" s="2"/>
      <c r="BW31" s="2"/>
      <c r="BX31" s="2"/>
      <c r="BY31" s="2">
        <v>0</v>
      </c>
      <c r="BZ31" s="2"/>
      <c r="CA31" s="2"/>
      <c r="CB31" s="2"/>
      <c r="CC31" s="2">
        <v>0</v>
      </c>
      <c r="CD31" s="2"/>
      <c r="CE31" s="2"/>
      <c r="CF31" s="2"/>
      <c r="CG31" s="2">
        <v>0</v>
      </c>
      <c r="CH31" s="2"/>
      <c r="CI31" s="2"/>
      <c r="CJ31" s="2"/>
      <c r="CK31" s="2">
        <v>0</v>
      </c>
      <c r="CL31" s="2"/>
      <c r="CM31" s="2"/>
      <c r="CN31" s="2"/>
      <c r="CO31" s="2">
        <v>0</v>
      </c>
      <c r="CP31" s="2"/>
      <c r="CQ31" s="2"/>
      <c r="CR31" s="2">
        <v>0</v>
      </c>
      <c r="CS31" s="2"/>
      <c r="CT31" s="2"/>
      <c r="CU31" s="2">
        <v>0</v>
      </c>
      <c r="CV31" s="2"/>
      <c r="CW31" s="2"/>
      <c r="CX31" s="2"/>
      <c r="CY31" s="2"/>
      <c r="CZ31" s="2"/>
      <c r="DA31" s="2">
        <v>0</v>
      </c>
      <c r="DB31" s="2"/>
      <c r="DC31" s="2"/>
      <c r="DD31" s="2"/>
      <c r="DE31" s="2">
        <v>0</v>
      </c>
      <c r="DF31" s="2"/>
      <c r="DG31" s="2"/>
      <c r="DH31" s="2"/>
      <c r="DI31" s="2">
        <v>0</v>
      </c>
      <c r="DJ31" s="2"/>
      <c r="DK31" s="2"/>
      <c r="DL31" s="2">
        <v>0</v>
      </c>
      <c r="DM31" s="2"/>
      <c r="DN31" s="2"/>
      <c r="DO31" s="2"/>
      <c r="DP31" s="2">
        <v>0</v>
      </c>
      <c r="DQ31" s="2"/>
      <c r="DR31" s="2"/>
      <c r="DS31" s="2">
        <v>0</v>
      </c>
      <c r="DT31" s="2">
        <v>0</v>
      </c>
    </row>
    <row r="32" spans="1:124" x14ac:dyDescent="0.25">
      <c r="A32" s="6" t="s">
        <v>140</v>
      </c>
      <c r="B32" s="2"/>
      <c r="C32" s="2"/>
      <c r="D32" s="2"/>
      <c r="E32" s="2">
        <v>0</v>
      </c>
      <c r="F32" s="2"/>
      <c r="G32" s="2"/>
      <c r="H32" s="2">
        <v>0</v>
      </c>
      <c r="I32" s="2"/>
      <c r="J32" s="2">
        <v>0</v>
      </c>
      <c r="K32" s="2"/>
      <c r="L32" s="2">
        <v>0</v>
      </c>
      <c r="M32" s="2"/>
      <c r="N32" s="2"/>
      <c r="O32" s="2"/>
      <c r="P32" s="2">
        <v>0</v>
      </c>
      <c r="Q32" s="2"/>
      <c r="R32" s="2"/>
      <c r="S32" s="2"/>
      <c r="T32" s="2">
        <v>0</v>
      </c>
      <c r="U32" s="2"/>
      <c r="V32" s="2"/>
      <c r="W32" s="2"/>
      <c r="X32" s="2"/>
      <c r="Y32" s="2">
        <v>0</v>
      </c>
      <c r="Z32" s="2"/>
      <c r="AA32" s="2"/>
      <c r="AB32" s="2"/>
      <c r="AC32" s="2"/>
      <c r="AD32" s="2">
        <v>0</v>
      </c>
      <c r="AE32" s="2"/>
      <c r="AF32" s="2"/>
      <c r="AG32" s="2"/>
      <c r="AH32" s="2">
        <v>0</v>
      </c>
      <c r="AI32" s="2"/>
      <c r="AJ32" s="2"/>
      <c r="AK32" s="2">
        <v>0</v>
      </c>
      <c r="AL32" s="2"/>
      <c r="AM32" s="2"/>
      <c r="AN32" s="2"/>
      <c r="AO32" s="2">
        <v>0</v>
      </c>
      <c r="AP32" s="2"/>
      <c r="AQ32" s="2"/>
      <c r="AR32" s="2"/>
      <c r="AS32" s="2"/>
      <c r="AT32" s="2"/>
      <c r="AU32" s="2">
        <v>0</v>
      </c>
      <c r="AV32" s="2"/>
      <c r="AW32" s="2"/>
      <c r="AX32" s="2"/>
      <c r="AY32" s="2">
        <v>0</v>
      </c>
      <c r="AZ32" s="2"/>
      <c r="BA32" s="2"/>
      <c r="BB32" s="2"/>
      <c r="BC32" s="2"/>
      <c r="BD32" s="2">
        <v>0</v>
      </c>
      <c r="BE32" s="2"/>
      <c r="BF32" s="2"/>
      <c r="BG32" s="2"/>
      <c r="BH32" s="2">
        <v>0</v>
      </c>
      <c r="BI32" s="2"/>
      <c r="BJ32" s="2"/>
      <c r="BK32" s="2"/>
      <c r="BL32" s="2">
        <v>0</v>
      </c>
      <c r="BM32" s="2"/>
      <c r="BN32" s="2"/>
      <c r="BO32" s="2">
        <v>0</v>
      </c>
      <c r="BP32" s="2"/>
      <c r="BQ32" s="2"/>
      <c r="BR32" s="2"/>
      <c r="BS32" s="2">
        <v>0</v>
      </c>
      <c r="BT32" s="2"/>
      <c r="BU32" s="2"/>
      <c r="BV32" s="2"/>
      <c r="BW32" s="2"/>
      <c r="BX32" s="2"/>
      <c r="BY32" s="2">
        <v>0</v>
      </c>
      <c r="BZ32" s="2"/>
      <c r="CA32" s="2"/>
      <c r="CB32" s="2"/>
      <c r="CC32" s="2">
        <v>0</v>
      </c>
      <c r="CD32" s="2"/>
      <c r="CE32" s="2"/>
      <c r="CF32" s="2"/>
      <c r="CG32" s="2">
        <v>0</v>
      </c>
      <c r="CH32" s="2"/>
      <c r="CI32" s="2"/>
      <c r="CJ32" s="2"/>
      <c r="CK32" s="2">
        <v>0</v>
      </c>
      <c r="CL32" s="2"/>
      <c r="CM32" s="2"/>
      <c r="CN32" s="2"/>
      <c r="CO32" s="2">
        <v>0</v>
      </c>
      <c r="CP32" s="2"/>
      <c r="CQ32" s="2"/>
      <c r="CR32" s="2">
        <v>0</v>
      </c>
      <c r="CS32" s="2"/>
      <c r="CT32" s="2"/>
      <c r="CU32" s="2">
        <v>0</v>
      </c>
      <c r="CV32" s="2"/>
      <c r="CW32" s="2"/>
      <c r="CX32" s="2"/>
      <c r="CY32" s="2"/>
      <c r="CZ32" s="2"/>
      <c r="DA32" s="2">
        <v>0</v>
      </c>
      <c r="DB32" s="2"/>
      <c r="DC32" s="2"/>
      <c r="DD32" s="2"/>
      <c r="DE32" s="2">
        <v>0</v>
      </c>
      <c r="DF32" s="2"/>
      <c r="DG32" s="2"/>
      <c r="DH32" s="2"/>
      <c r="DI32" s="2">
        <v>0</v>
      </c>
      <c r="DJ32" s="2"/>
      <c r="DK32" s="2"/>
      <c r="DL32" s="2">
        <v>0</v>
      </c>
      <c r="DM32" s="2"/>
      <c r="DN32" s="2"/>
      <c r="DO32" s="2"/>
      <c r="DP32" s="2">
        <v>0</v>
      </c>
      <c r="DQ32" s="2"/>
      <c r="DR32" s="2"/>
      <c r="DS32" s="2">
        <v>0</v>
      </c>
      <c r="DT32" s="2">
        <v>0</v>
      </c>
    </row>
    <row r="33" spans="1:124" x14ac:dyDescent="0.25">
      <c r="A33" s="6" t="s">
        <v>142</v>
      </c>
      <c r="E33">
        <v>0</v>
      </c>
      <c r="H33">
        <v>0</v>
      </c>
      <c r="J33">
        <v>0</v>
      </c>
      <c r="L33">
        <v>0</v>
      </c>
      <c r="P33">
        <v>0</v>
      </c>
      <c r="T33">
        <v>0</v>
      </c>
      <c r="Y33">
        <v>0</v>
      </c>
      <c r="AD33">
        <v>0</v>
      </c>
      <c r="AH33">
        <v>0</v>
      </c>
      <c r="AK33">
        <v>0</v>
      </c>
      <c r="AO33">
        <v>0</v>
      </c>
      <c r="AU33">
        <v>0</v>
      </c>
      <c r="AY33">
        <v>0</v>
      </c>
      <c r="BD33">
        <v>0</v>
      </c>
      <c r="BH33">
        <v>0</v>
      </c>
      <c r="BL33">
        <v>0</v>
      </c>
      <c r="BO33">
        <v>0</v>
      </c>
      <c r="BS33">
        <v>0</v>
      </c>
      <c r="BY33">
        <v>0</v>
      </c>
      <c r="CC33">
        <v>0</v>
      </c>
      <c r="CG33">
        <v>0</v>
      </c>
      <c r="CK33">
        <v>0</v>
      </c>
      <c r="CO33">
        <v>0</v>
      </c>
      <c r="CR33">
        <v>0</v>
      </c>
      <c r="CU33">
        <v>0</v>
      </c>
      <c r="DA33">
        <v>0</v>
      </c>
      <c r="DE33">
        <v>0</v>
      </c>
      <c r="DI33">
        <v>0</v>
      </c>
      <c r="DL33">
        <v>0</v>
      </c>
      <c r="DP33">
        <v>0</v>
      </c>
      <c r="DS33">
        <v>0</v>
      </c>
      <c r="DT33">
        <v>0</v>
      </c>
    </row>
    <row r="34" spans="1:124" x14ac:dyDescent="0.25">
      <c r="A34" s="6" t="s">
        <v>144</v>
      </c>
      <c r="E34">
        <v>0</v>
      </c>
      <c r="H34">
        <v>0</v>
      </c>
      <c r="J34">
        <v>0</v>
      </c>
      <c r="L34">
        <v>0</v>
      </c>
      <c r="P34">
        <v>0</v>
      </c>
      <c r="T34">
        <v>0</v>
      </c>
      <c r="Y34">
        <v>0</v>
      </c>
      <c r="AD34">
        <v>0</v>
      </c>
      <c r="AH34">
        <v>0</v>
      </c>
      <c r="AK34">
        <v>0</v>
      </c>
      <c r="AO34">
        <v>0</v>
      </c>
      <c r="AU34">
        <v>0</v>
      </c>
      <c r="AY34">
        <v>0</v>
      </c>
      <c r="BD34">
        <v>0</v>
      </c>
      <c r="BH34">
        <v>0</v>
      </c>
      <c r="BL34">
        <v>0</v>
      </c>
      <c r="BO34">
        <v>0</v>
      </c>
      <c r="BS34">
        <v>0</v>
      </c>
      <c r="BY34">
        <v>0</v>
      </c>
      <c r="CC34">
        <v>0</v>
      </c>
      <c r="CG34">
        <v>0</v>
      </c>
      <c r="CK34">
        <v>0</v>
      </c>
      <c r="CO34">
        <v>0</v>
      </c>
      <c r="CR34">
        <v>0</v>
      </c>
      <c r="CU34">
        <v>0</v>
      </c>
      <c r="DA34">
        <v>0</v>
      </c>
      <c r="DE34">
        <v>0</v>
      </c>
      <c r="DI34">
        <v>0</v>
      </c>
      <c r="DL34">
        <v>0</v>
      </c>
      <c r="DP34">
        <v>0</v>
      </c>
      <c r="DS34">
        <v>0</v>
      </c>
      <c r="DT34">
        <v>0</v>
      </c>
    </row>
    <row r="35" spans="1:124" x14ac:dyDescent="0.25">
      <c r="A35" s="6" t="s">
        <v>146</v>
      </c>
      <c r="B35" s="2"/>
      <c r="C35" s="2"/>
      <c r="D35" s="2"/>
      <c r="E35" s="2">
        <v>0</v>
      </c>
      <c r="F35" s="2"/>
      <c r="G35" s="2"/>
      <c r="H35" s="2">
        <v>0</v>
      </c>
      <c r="I35" s="2"/>
      <c r="J35" s="2">
        <v>0</v>
      </c>
      <c r="K35" s="2"/>
      <c r="L35" s="2">
        <v>0</v>
      </c>
      <c r="M35" s="2"/>
      <c r="N35" s="2"/>
      <c r="O35" s="2"/>
      <c r="P35" s="2">
        <v>0</v>
      </c>
      <c r="Q35" s="2"/>
      <c r="R35" s="2"/>
      <c r="S35" s="2"/>
      <c r="T35" s="2">
        <v>0</v>
      </c>
      <c r="U35" s="2"/>
      <c r="V35" s="2"/>
      <c r="W35" s="2"/>
      <c r="X35" s="2"/>
      <c r="Y35" s="2">
        <v>0</v>
      </c>
      <c r="Z35" s="2"/>
      <c r="AA35" s="2"/>
      <c r="AB35" s="2"/>
      <c r="AC35" s="2"/>
      <c r="AD35" s="2">
        <v>0</v>
      </c>
      <c r="AE35" s="2"/>
      <c r="AF35" s="2"/>
      <c r="AG35" s="2"/>
      <c r="AH35" s="2">
        <v>0</v>
      </c>
      <c r="AI35" s="2"/>
      <c r="AJ35" s="2"/>
      <c r="AK35" s="2">
        <v>0</v>
      </c>
      <c r="AL35" s="2"/>
      <c r="AM35" s="2"/>
      <c r="AN35" s="2"/>
      <c r="AO35" s="2">
        <v>0</v>
      </c>
      <c r="AP35" s="2"/>
      <c r="AQ35" s="2"/>
      <c r="AR35" s="2"/>
      <c r="AS35" s="2"/>
      <c r="AT35" s="2"/>
      <c r="AU35" s="2">
        <v>0</v>
      </c>
      <c r="AV35" s="2"/>
      <c r="AW35" s="2"/>
      <c r="AX35" s="2"/>
      <c r="AY35" s="2">
        <v>0</v>
      </c>
      <c r="AZ35" s="2"/>
      <c r="BA35" s="2"/>
      <c r="BB35" s="2"/>
      <c r="BC35" s="2"/>
      <c r="BD35" s="2">
        <v>0</v>
      </c>
      <c r="BE35" s="2"/>
      <c r="BF35" s="2"/>
      <c r="BG35" s="2"/>
      <c r="BH35" s="2">
        <v>0</v>
      </c>
      <c r="BI35" s="2"/>
      <c r="BJ35" s="2"/>
      <c r="BK35" s="2"/>
      <c r="BL35" s="2">
        <v>0</v>
      </c>
      <c r="BM35" s="2"/>
      <c r="BN35" s="2"/>
      <c r="BO35" s="2">
        <v>0</v>
      </c>
      <c r="BP35" s="2"/>
      <c r="BQ35" s="2"/>
      <c r="BR35" s="2"/>
      <c r="BS35" s="2">
        <v>0</v>
      </c>
      <c r="BT35" s="2"/>
      <c r="BU35" s="2"/>
      <c r="BV35" s="2"/>
      <c r="BW35" s="2"/>
      <c r="BX35" s="2"/>
      <c r="BY35" s="2">
        <v>0</v>
      </c>
      <c r="BZ35" s="2"/>
      <c r="CA35" s="2"/>
      <c r="CB35" s="2"/>
      <c r="CC35" s="2">
        <v>0</v>
      </c>
      <c r="CD35" s="2"/>
      <c r="CE35" s="2"/>
      <c r="CF35" s="2"/>
      <c r="CG35" s="2">
        <v>0</v>
      </c>
      <c r="CH35" s="2"/>
      <c r="CI35" s="2"/>
      <c r="CJ35" s="2"/>
      <c r="CK35" s="2">
        <v>0</v>
      </c>
      <c r="CL35" s="2"/>
      <c r="CM35" s="2"/>
      <c r="CN35" s="2"/>
      <c r="CO35" s="2">
        <v>0</v>
      </c>
      <c r="CP35" s="2"/>
      <c r="CQ35" s="2"/>
      <c r="CR35" s="2">
        <v>0</v>
      </c>
      <c r="CS35" s="2"/>
      <c r="CT35" s="2"/>
      <c r="CU35" s="2">
        <v>0</v>
      </c>
      <c r="CV35" s="2"/>
      <c r="CW35" s="2"/>
      <c r="CX35" s="2"/>
      <c r="CY35" s="2"/>
      <c r="CZ35" s="2"/>
      <c r="DA35" s="2">
        <v>0</v>
      </c>
      <c r="DB35" s="2"/>
      <c r="DC35" s="2"/>
      <c r="DD35" s="2"/>
      <c r="DE35" s="2">
        <v>0</v>
      </c>
      <c r="DF35" s="2"/>
      <c r="DG35" s="2"/>
      <c r="DH35" s="2"/>
      <c r="DI35" s="2">
        <v>0</v>
      </c>
      <c r="DJ35" s="2"/>
      <c r="DK35" s="2"/>
      <c r="DL35" s="2">
        <v>0</v>
      </c>
      <c r="DM35" s="2"/>
      <c r="DN35" s="2"/>
      <c r="DO35" s="2"/>
      <c r="DP35" s="2">
        <v>0</v>
      </c>
      <c r="DQ35" s="2"/>
      <c r="DR35" s="2"/>
      <c r="DS35" s="2">
        <v>0</v>
      </c>
      <c r="DT35" s="2">
        <v>0</v>
      </c>
    </row>
    <row r="36" spans="1:124" x14ac:dyDescent="0.25">
      <c r="A36" s="6" t="s">
        <v>454</v>
      </c>
      <c r="E36">
        <v>0</v>
      </c>
      <c r="H36">
        <v>0</v>
      </c>
      <c r="J36">
        <v>0</v>
      </c>
      <c r="L36">
        <v>0</v>
      </c>
      <c r="P36">
        <v>0</v>
      </c>
      <c r="T36">
        <v>0</v>
      </c>
      <c r="Y36">
        <v>0</v>
      </c>
      <c r="AD36">
        <v>0</v>
      </c>
      <c r="AH36">
        <v>0</v>
      </c>
      <c r="AK36">
        <v>0</v>
      </c>
      <c r="AO36">
        <v>0</v>
      </c>
      <c r="AU36">
        <v>0</v>
      </c>
      <c r="AY36">
        <v>0</v>
      </c>
      <c r="BD36">
        <v>0</v>
      </c>
      <c r="BH36">
        <v>0</v>
      </c>
      <c r="BL36">
        <v>0</v>
      </c>
      <c r="BO36">
        <v>0</v>
      </c>
      <c r="BS36">
        <v>0</v>
      </c>
      <c r="BY36">
        <v>0</v>
      </c>
      <c r="CC36">
        <v>0</v>
      </c>
      <c r="CG36">
        <v>0</v>
      </c>
      <c r="CK36">
        <v>0</v>
      </c>
      <c r="CO36">
        <v>0</v>
      </c>
      <c r="CR36">
        <v>0</v>
      </c>
      <c r="CU36">
        <v>0</v>
      </c>
      <c r="DA36">
        <v>0</v>
      </c>
      <c r="DE36">
        <v>0</v>
      </c>
      <c r="DI36">
        <v>0</v>
      </c>
      <c r="DL36">
        <v>0</v>
      </c>
      <c r="DP36">
        <v>0</v>
      </c>
      <c r="DS36">
        <v>0</v>
      </c>
      <c r="DT36">
        <v>0</v>
      </c>
    </row>
    <row r="37" spans="1:124" x14ac:dyDescent="0.25">
      <c r="A37" s="6" t="s">
        <v>148</v>
      </c>
      <c r="B37" s="2"/>
      <c r="C37" s="2"/>
      <c r="D37" s="2"/>
      <c r="E37" s="2">
        <v>0</v>
      </c>
      <c r="F37" s="2"/>
      <c r="G37" s="2"/>
      <c r="H37" s="2">
        <v>0</v>
      </c>
      <c r="I37" s="2"/>
      <c r="J37" s="2">
        <v>0</v>
      </c>
      <c r="K37" s="2"/>
      <c r="L37" s="2">
        <v>0</v>
      </c>
      <c r="M37" s="2"/>
      <c r="N37" s="2"/>
      <c r="O37" s="2"/>
      <c r="P37" s="2">
        <v>0</v>
      </c>
      <c r="Q37" s="2"/>
      <c r="R37" s="2"/>
      <c r="S37" s="2"/>
      <c r="T37" s="2">
        <v>0</v>
      </c>
      <c r="U37" s="2"/>
      <c r="V37" s="2"/>
      <c r="W37" s="2"/>
      <c r="X37" s="2"/>
      <c r="Y37" s="2">
        <v>0</v>
      </c>
      <c r="Z37" s="2"/>
      <c r="AA37" s="2"/>
      <c r="AB37" s="2"/>
      <c r="AC37" s="2"/>
      <c r="AD37" s="2">
        <v>0</v>
      </c>
      <c r="AE37" s="2"/>
      <c r="AF37" s="2"/>
      <c r="AG37" s="2"/>
      <c r="AH37" s="2">
        <v>0</v>
      </c>
      <c r="AI37" s="2"/>
      <c r="AJ37" s="2"/>
      <c r="AK37" s="2">
        <v>0</v>
      </c>
      <c r="AL37" s="2"/>
      <c r="AM37" s="2"/>
      <c r="AN37" s="2"/>
      <c r="AO37" s="2">
        <v>0</v>
      </c>
      <c r="AP37" s="2"/>
      <c r="AQ37" s="2"/>
      <c r="AR37" s="2"/>
      <c r="AS37" s="2"/>
      <c r="AT37" s="2"/>
      <c r="AU37" s="2">
        <v>0</v>
      </c>
      <c r="AV37" s="2"/>
      <c r="AW37" s="2"/>
      <c r="AX37" s="2"/>
      <c r="AY37" s="2">
        <v>0</v>
      </c>
      <c r="AZ37" s="2"/>
      <c r="BA37" s="2"/>
      <c r="BB37" s="2"/>
      <c r="BC37" s="2"/>
      <c r="BD37" s="2">
        <v>0</v>
      </c>
      <c r="BE37" s="2"/>
      <c r="BF37" s="2"/>
      <c r="BG37" s="2"/>
      <c r="BH37" s="2">
        <v>0</v>
      </c>
      <c r="BI37" s="2"/>
      <c r="BJ37" s="2"/>
      <c r="BK37" s="2"/>
      <c r="BL37" s="2">
        <v>0</v>
      </c>
      <c r="BM37" s="2"/>
      <c r="BN37" s="2"/>
      <c r="BO37" s="2">
        <v>0</v>
      </c>
      <c r="BP37" s="2"/>
      <c r="BQ37" s="2"/>
      <c r="BR37" s="2"/>
      <c r="BS37" s="2">
        <v>0</v>
      </c>
      <c r="BT37" s="2"/>
      <c r="BU37" s="2"/>
      <c r="BV37" s="2"/>
      <c r="BW37" s="2"/>
      <c r="BX37" s="2"/>
      <c r="BY37" s="2">
        <v>0</v>
      </c>
      <c r="BZ37" s="2"/>
      <c r="CA37" s="2"/>
      <c r="CB37" s="2"/>
      <c r="CC37" s="2">
        <v>0</v>
      </c>
      <c r="CD37" s="2"/>
      <c r="CE37" s="2"/>
      <c r="CF37" s="2"/>
      <c r="CG37" s="2">
        <v>0</v>
      </c>
      <c r="CH37" s="2"/>
      <c r="CI37" s="2"/>
      <c r="CJ37" s="2"/>
      <c r="CK37" s="2">
        <v>0</v>
      </c>
      <c r="CL37" s="2"/>
      <c r="CM37" s="2"/>
      <c r="CN37" s="2"/>
      <c r="CO37" s="2">
        <v>0</v>
      </c>
      <c r="CP37" s="2"/>
      <c r="CQ37" s="2"/>
      <c r="CR37" s="2">
        <v>0</v>
      </c>
      <c r="CS37" s="2"/>
      <c r="CT37" s="2"/>
      <c r="CU37" s="2">
        <v>0</v>
      </c>
      <c r="CV37" s="2"/>
      <c r="CW37" s="2"/>
      <c r="CX37" s="2"/>
      <c r="CY37" s="2"/>
      <c r="CZ37" s="2"/>
      <c r="DA37" s="2">
        <v>0</v>
      </c>
      <c r="DB37" s="2"/>
      <c r="DC37" s="2"/>
      <c r="DD37" s="2"/>
      <c r="DE37" s="2">
        <v>0</v>
      </c>
      <c r="DF37" s="2"/>
      <c r="DG37" s="2"/>
      <c r="DH37" s="2"/>
      <c r="DI37" s="2">
        <v>0</v>
      </c>
      <c r="DJ37" s="2"/>
      <c r="DK37" s="2"/>
      <c r="DL37" s="2">
        <v>0</v>
      </c>
      <c r="DM37" s="2"/>
      <c r="DN37" s="2"/>
      <c r="DO37" s="2"/>
      <c r="DP37" s="2">
        <v>0</v>
      </c>
      <c r="DQ37" s="2"/>
      <c r="DR37" s="2"/>
      <c r="DS37" s="2">
        <v>0</v>
      </c>
      <c r="DT37" s="2">
        <v>0</v>
      </c>
    </row>
    <row r="38" spans="1:124" x14ac:dyDescent="0.25">
      <c r="A38" s="6" t="s">
        <v>456</v>
      </c>
      <c r="E38">
        <v>0</v>
      </c>
      <c r="H38">
        <v>0</v>
      </c>
      <c r="J38">
        <v>0</v>
      </c>
      <c r="L38">
        <v>0</v>
      </c>
      <c r="P38">
        <v>0</v>
      </c>
      <c r="T38">
        <v>0</v>
      </c>
      <c r="Y38">
        <v>0</v>
      </c>
      <c r="AD38">
        <v>0</v>
      </c>
      <c r="AH38">
        <v>0</v>
      </c>
      <c r="AK38">
        <v>0</v>
      </c>
      <c r="AO38">
        <v>0</v>
      </c>
      <c r="AU38">
        <v>0</v>
      </c>
      <c r="AY38">
        <v>0</v>
      </c>
      <c r="BD38">
        <v>0</v>
      </c>
      <c r="BH38">
        <v>0</v>
      </c>
      <c r="BL38">
        <v>0</v>
      </c>
      <c r="BO38">
        <v>0</v>
      </c>
      <c r="BS38">
        <v>0</v>
      </c>
      <c r="BY38">
        <v>0</v>
      </c>
      <c r="CC38">
        <v>0</v>
      </c>
      <c r="CG38">
        <v>0</v>
      </c>
      <c r="CK38">
        <v>0</v>
      </c>
      <c r="CO38">
        <v>0</v>
      </c>
      <c r="CR38">
        <v>0</v>
      </c>
      <c r="CU38">
        <v>0</v>
      </c>
      <c r="DA38">
        <v>0</v>
      </c>
      <c r="DE38">
        <v>0</v>
      </c>
      <c r="DI38">
        <v>0</v>
      </c>
      <c r="DL38">
        <v>0</v>
      </c>
      <c r="DP38">
        <v>0</v>
      </c>
      <c r="DS38">
        <v>0</v>
      </c>
      <c r="DT38">
        <v>0</v>
      </c>
    </row>
    <row r="39" spans="1:124" x14ac:dyDescent="0.25">
      <c r="A39" s="6" t="s">
        <v>150</v>
      </c>
      <c r="E39">
        <v>0</v>
      </c>
      <c r="H39">
        <v>0</v>
      </c>
      <c r="J39">
        <v>0</v>
      </c>
      <c r="L39">
        <v>0</v>
      </c>
      <c r="P39">
        <v>0</v>
      </c>
      <c r="T39">
        <v>0</v>
      </c>
      <c r="Y39">
        <v>0</v>
      </c>
      <c r="AD39">
        <v>0</v>
      </c>
      <c r="AH39">
        <v>0</v>
      </c>
      <c r="AK39">
        <v>0</v>
      </c>
      <c r="AO39">
        <v>0</v>
      </c>
      <c r="AU39">
        <v>0</v>
      </c>
      <c r="AY39">
        <v>0</v>
      </c>
      <c r="BD39">
        <v>0</v>
      </c>
      <c r="BH39">
        <v>0</v>
      </c>
      <c r="BL39">
        <v>0</v>
      </c>
      <c r="BO39">
        <v>0</v>
      </c>
      <c r="BS39">
        <v>0</v>
      </c>
      <c r="BY39">
        <v>0</v>
      </c>
      <c r="CC39">
        <v>0</v>
      </c>
      <c r="CG39">
        <v>0</v>
      </c>
      <c r="CK39">
        <v>0</v>
      </c>
      <c r="CO39">
        <v>0</v>
      </c>
      <c r="CR39">
        <v>0</v>
      </c>
      <c r="CU39">
        <v>0</v>
      </c>
      <c r="DA39">
        <v>0</v>
      </c>
      <c r="DE39">
        <v>0</v>
      </c>
      <c r="DI39">
        <v>0</v>
      </c>
      <c r="DL39">
        <v>0</v>
      </c>
      <c r="DP39">
        <v>0</v>
      </c>
      <c r="DS39">
        <v>0</v>
      </c>
      <c r="DT39">
        <v>0</v>
      </c>
    </row>
    <row r="40" spans="1:124" x14ac:dyDescent="0.25">
      <c r="A40" s="6" t="s">
        <v>152</v>
      </c>
      <c r="B40" s="2"/>
      <c r="C40" s="2"/>
      <c r="D40" s="2"/>
      <c r="E40" s="2">
        <v>0</v>
      </c>
      <c r="F40" s="2"/>
      <c r="G40" s="2"/>
      <c r="H40" s="2">
        <v>0</v>
      </c>
      <c r="I40" s="2"/>
      <c r="J40" s="2">
        <v>0</v>
      </c>
      <c r="K40" s="2"/>
      <c r="L40" s="2">
        <v>0</v>
      </c>
      <c r="M40" s="2"/>
      <c r="N40" s="2"/>
      <c r="O40" s="2"/>
      <c r="P40" s="2">
        <v>0</v>
      </c>
      <c r="Q40" s="2"/>
      <c r="R40" s="2"/>
      <c r="S40" s="2"/>
      <c r="T40" s="2">
        <v>0</v>
      </c>
      <c r="U40" s="2"/>
      <c r="V40" s="2"/>
      <c r="W40" s="2"/>
      <c r="X40" s="2"/>
      <c r="Y40" s="2">
        <v>0</v>
      </c>
      <c r="Z40" s="2"/>
      <c r="AA40" s="2"/>
      <c r="AB40" s="2"/>
      <c r="AC40" s="2"/>
      <c r="AD40" s="2">
        <v>0</v>
      </c>
      <c r="AE40" s="2"/>
      <c r="AF40" s="2"/>
      <c r="AG40" s="2"/>
      <c r="AH40" s="2">
        <v>0</v>
      </c>
      <c r="AI40" s="2"/>
      <c r="AJ40" s="2"/>
      <c r="AK40" s="2">
        <v>0</v>
      </c>
      <c r="AL40" s="2"/>
      <c r="AM40" s="2"/>
      <c r="AN40" s="2"/>
      <c r="AO40" s="2">
        <v>0</v>
      </c>
      <c r="AP40" s="2"/>
      <c r="AQ40" s="2"/>
      <c r="AR40" s="2"/>
      <c r="AS40" s="2"/>
      <c r="AT40" s="2"/>
      <c r="AU40" s="2">
        <v>0</v>
      </c>
      <c r="AV40" s="2"/>
      <c r="AW40" s="2"/>
      <c r="AX40" s="2"/>
      <c r="AY40" s="2">
        <v>0</v>
      </c>
      <c r="AZ40" s="2"/>
      <c r="BA40" s="2"/>
      <c r="BB40" s="2"/>
      <c r="BC40" s="2"/>
      <c r="BD40" s="2">
        <v>0</v>
      </c>
      <c r="BE40" s="2"/>
      <c r="BF40" s="2"/>
      <c r="BG40" s="2"/>
      <c r="BH40" s="2">
        <v>0</v>
      </c>
      <c r="BI40" s="2"/>
      <c r="BJ40" s="2"/>
      <c r="BK40" s="2"/>
      <c r="BL40" s="2">
        <v>0</v>
      </c>
      <c r="BM40" s="2"/>
      <c r="BN40" s="2"/>
      <c r="BO40" s="2">
        <v>0</v>
      </c>
      <c r="BP40" s="2"/>
      <c r="BQ40" s="2"/>
      <c r="BR40" s="2"/>
      <c r="BS40" s="2">
        <v>0</v>
      </c>
      <c r="BT40" s="2"/>
      <c r="BU40" s="2"/>
      <c r="BV40" s="2"/>
      <c r="BW40" s="2"/>
      <c r="BX40" s="2"/>
      <c r="BY40" s="2">
        <v>0</v>
      </c>
      <c r="BZ40" s="2"/>
      <c r="CA40" s="2"/>
      <c r="CB40" s="2"/>
      <c r="CC40" s="2">
        <v>0</v>
      </c>
      <c r="CD40" s="2"/>
      <c r="CE40" s="2"/>
      <c r="CF40" s="2"/>
      <c r="CG40" s="2">
        <v>0</v>
      </c>
      <c r="CH40" s="2"/>
      <c r="CI40" s="2"/>
      <c r="CJ40" s="2"/>
      <c r="CK40" s="2">
        <v>0</v>
      </c>
      <c r="CL40" s="2"/>
      <c r="CM40" s="2"/>
      <c r="CN40" s="2"/>
      <c r="CO40" s="2">
        <v>0</v>
      </c>
      <c r="CP40" s="2"/>
      <c r="CQ40" s="2"/>
      <c r="CR40" s="2">
        <v>0</v>
      </c>
      <c r="CS40" s="2"/>
      <c r="CT40" s="2"/>
      <c r="CU40" s="2">
        <v>0</v>
      </c>
      <c r="CV40" s="2"/>
      <c r="CW40" s="2"/>
      <c r="CX40" s="2"/>
      <c r="CY40" s="2"/>
      <c r="CZ40" s="2"/>
      <c r="DA40" s="2">
        <v>0</v>
      </c>
      <c r="DB40" s="2"/>
      <c r="DC40" s="2"/>
      <c r="DD40" s="2"/>
      <c r="DE40" s="2">
        <v>0</v>
      </c>
      <c r="DF40" s="2"/>
      <c r="DG40" s="2"/>
      <c r="DH40" s="2"/>
      <c r="DI40" s="2">
        <v>0</v>
      </c>
      <c r="DJ40" s="2"/>
      <c r="DK40" s="2"/>
      <c r="DL40" s="2">
        <v>0</v>
      </c>
      <c r="DM40" s="2"/>
      <c r="DN40" s="2"/>
      <c r="DO40" s="2"/>
      <c r="DP40" s="2">
        <v>0</v>
      </c>
      <c r="DQ40" s="2"/>
      <c r="DR40" s="2"/>
      <c r="DS40" s="2">
        <v>0</v>
      </c>
      <c r="DT40" s="2">
        <v>0</v>
      </c>
    </row>
    <row r="41" spans="1:124" x14ac:dyDescent="0.25">
      <c r="A41" s="6" t="s">
        <v>154</v>
      </c>
      <c r="B41" s="2"/>
      <c r="C41" s="2"/>
      <c r="D41" s="2"/>
      <c r="E41" s="2">
        <v>0</v>
      </c>
      <c r="F41" s="2"/>
      <c r="G41" s="2"/>
      <c r="H41" s="2">
        <v>0</v>
      </c>
      <c r="I41" s="2"/>
      <c r="J41" s="2">
        <v>0</v>
      </c>
      <c r="K41" s="2"/>
      <c r="L41" s="2">
        <v>0</v>
      </c>
      <c r="M41" s="2"/>
      <c r="N41" s="2"/>
      <c r="O41" s="2"/>
      <c r="P41" s="2">
        <v>0</v>
      </c>
      <c r="Q41" s="2"/>
      <c r="R41" s="2"/>
      <c r="S41" s="2"/>
      <c r="T41" s="2">
        <v>0</v>
      </c>
      <c r="U41" s="2"/>
      <c r="V41" s="2"/>
      <c r="W41" s="2"/>
      <c r="X41" s="2"/>
      <c r="Y41" s="2">
        <v>0</v>
      </c>
      <c r="Z41" s="2"/>
      <c r="AA41" s="2"/>
      <c r="AB41" s="2"/>
      <c r="AC41" s="2"/>
      <c r="AD41" s="2">
        <v>0</v>
      </c>
      <c r="AE41" s="2"/>
      <c r="AF41" s="2"/>
      <c r="AG41" s="2"/>
      <c r="AH41" s="2">
        <v>0</v>
      </c>
      <c r="AI41" s="2"/>
      <c r="AJ41" s="2"/>
      <c r="AK41" s="2">
        <v>0</v>
      </c>
      <c r="AL41" s="2"/>
      <c r="AM41" s="2"/>
      <c r="AN41" s="2"/>
      <c r="AO41" s="2">
        <v>0</v>
      </c>
      <c r="AP41" s="2"/>
      <c r="AQ41" s="2"/>
      <c r="AR41" s="2"/>
      <c r="AS41" s="2"/>
      <c r="AT41" s="2"/>
      <c r="AU41" s="2">
        <v>0</v>
      </c>
      <c r="AV41" s="2"/>
      <c r="AW41" s="2"/>
      <c r="AX41" s="2"/>
      <c r="AY41" s="2">
        <v>0</v>
      </c>
      <c r="AZ41" s="2"/>
      <c r="BA41" s="2"/>
      <c r="BB41" s="2"/>
      <c r="BC41" s="2"/>
      <c r="BD41" s="2">
        <v>0</v>
      </c>
      <c r="BE41" s="2"/>
      <c r="BF41" s="2"/>
      <c r="BG41" s="2"/>
      <c r="BH41" s="2">
        <v>0</v>
      </c>
      <c r="BI41" s="2"/>
      <c r="BJ41" s="2"/>
      <c r="BK41" s="2"/>
      <c r="BL41" s="2">
        <v>0</v>
      </c>
      <c r="BM41" s="2"/>
      <c r="BN41" s="2"/>
      <c r="BO41" s="2">
        <v>0</v>
      </c>
      <c r="BP41" s="2"/>
      <c r="BQ41" s="2"/>
      <c r="BR41" s="2"/>
      <c r="BS41" s="2">
        <v>0</v>
      </c>
      <c r="BT41" s="2"/>
      <c r="BU41" s="2"/>
      <c r="BV41" s="2"/>
      <c r="BW41" s="2"/>
      <c r="BX41" s="2"/>
      <c r="BY41" s="2">
        <v>0</v>
      </c>
      <c r="BZ41" s="2"/>
      <c r="CA41" s="2"/>
      <c r="CB41" s="2"/>
      <c r="CC41" s="2">
        <v>0</v>
      </c>
      <c r="CD41" s="2"/>
      <c r="CE41" s="2"/>
      <c r="CF41" s="2"/>
      <c r="CG41" s="2">
        <v>0</v>
      </c>
      <c r="CH41" s="2"/>
      <c r="CI41" s="2"/>
      <c r="CJ41" s="2"/>
      <c r="CK41" s="2">
        <v>0</v>
      </c>
      <c r="CL41" s="2"/>
      <c r="CM41" s="2"/>
      <c r="CN41" s="2"/>
      <c r="CO41" s="2">
        <v>0</v>
      </c>
      <c r="CP41" s="2"/>
      <c r="CQ41" s="2"/>
      <c r="CR41" s="2">
        <v>0</v>
      </c>
      <c r="CS41" s="2"/>
      <c r="CT41" s="2"/>
      <c r="CU41" s="2">
        <v>0</v>
      </c>
      <c r="CV41" s="2"/>
      <c r="CW41" s="2"/>
      <c r="CX41" s="2"/>
      <c r="CY41" s="2"/>
      <c r="CZ41" s="2"/>
      <c r="DA41" s="2">
        <v>0</v>
      </c>
      <c r="DB41" s="2"/>
      <c r="DC41" s="2"/>
      <c r="DD41" s="2"/>
      <c r="DE41" s="2">
        <v>0</v>
      </c>
      <c r="DF41" s="2"/>
      <c r="DG41" s="2"/>
      <c r="DH41" s="2"/>
      <c r="DI41" s="2">
        <v>0</v>
      </c>
      <c r="DJ41" s="2"/>
      <c r="DK41" s="2"/>
      <c r="DL41" s="2">
        <v>0</v>
      </c>
      <c r="DM41" s="2"/>
      <c r="DN41" s="2"/>
      <c r="DO41" s="2"/>
      <c r="DP41" s="2">
        <v>0</v>
      </c>
      <c r="DQ41" s="2"/>
      <c r="DR41" s="2"/>
      <c r="DS41" s="2">
        <v>0</v>
      </c>
      <c r="DT41" s="2">
        <v>0</v>
      </c>
    </row>
    <row r="42" spans="1:124" x14ac:dyDescent="0.25">
      <c r="A42" s="6" t="s">
        <v>156</v>
      </c>
      <c r="E42">
        <v>0</v>
      </c>
      <c r="H42">
        <v>0</v>
      </c>
      <c r="J42">
        <v>0</v>
      </c>
      <c r="L42">
        <v>0</v>
      </c>
      <c r="P42">
        <v>0</v>
      </c>
      <c r="T42">
        <v>0</v>
      </c>
      <c r="Y42">
        <v>0</v>
      </c>
      <c r="AD42">
        <v>0</v>
      </c>
      <c r="AH42">
        <v>0</v>
      </c>
      <c r="AK42">
        <v>0</v>
      </c>
      <c r="AO42">
        <v>0</v>
      </c>
      <c r="AU42">
        <v>0</v>
      </c>
      <c r="AY42">
        <v>0</v>
      </c>
      <c r="BD42">
        <v>0</v>
      </c>
      <c r="BH42">
        <v>0</v>
      </c>
      <c r="BL42">
        <v>0</v>
      </c>
      <c r="BO42">
        <v>0</v>
      </c>
      <c r="BS42">
        <v>0</v>
      </c>
      <c r="BY42">
        <v>0</v>
      </c>
      <c r="CC42">
        <v>0</v>
      </c>
      <c r="CG42">
        <v>0</v>
      </c>
      <c r="CK42">
        <v>0</v>
      </c>
      <c r="CO42">
        <v>0</v>
      </c>
      <c r="CR42">
        <v>0</v>
      </c>
      <c r="CU42">
        <v>0</v>
      </c>
      <c r="DA42">
        <v>0</v>
      </c>
      <c r="DE42">
        <v>0</v>
      </c>
      <c r="DI42">
        <v>0</v>
      </c>
      <c r="DL42">
        <v>0</v>
      </c>
      <c r="DP42">
        <v>0</v>
      </c>
      <c r="DS42">
        <v>0</v>
      </c>
      <c r="DT42">
        <v>0</v>
      </c>
    </row>
    <row r="43" spans="1:124" x14ac:dyDescent="0.25">
      <c r="A43" s="6" t="s">
        <v>158</v>
      </c>
      <c r="E43">
        <v>0</v>
      </c>
      <c r="H43">
        <v>0</v>
      </c>
      <c r="J43">
        <v>0</v>
      </c>
      <c r="L43">
        <v>0</v>
      </c>
      <c r="P43">
        <v>0</v>
      </c>
      <c r="T43">
        <v>0</v>
      </c>
      <c r="Y43">
        <v>0</v>
      </c>
      <c r="AD43">
        <v>0</v>
      </c>
      <c r="AH43">
        <v>0</v>
      </c>
      <c r="AK43">
        <v>0</v>
      </c>
      <c r="AO43">
        <v>0</v>
      </c>
      <c r="AU43">
        <v>0</v>
      </c>
      <c r="AY43">
        <v>0</v>
      </c>
      <c r="BD43">
        <v>0</v>
      </c>
      <c r="BH43">
        <v>0</v>
      </c>
      <c r="BL43">
        <v>0</v>
      </c>
      <c r="BO43">
        <v>0</v>
      </c>
      <c r="BS43">
        <v>0</v>
      </c>
      <c r="BY43">
        <v>0</v>
      </c>
      <c r="CC43">
        <v>0</v>
      </c>
      <c r="CG43">
        <v>0</v>
      </c>
      <c r="CK43">
        <v>0</v>
      </c>
      <c r="CO43">
        <v>0</v>
      </c>
      <c r="CR43">
        <v>0</v>
      </c>
      <c r="CU43">
        <v>0</v>
      </c>
      <c r="DA43">
        <v>0</v>
      </c>
      <c r="DE43">
        <v>0</v>
      </c>
      <c r="DI43">
        <v>0</v>
      </c>
      <c r="DL43">
        <v>0</v>
      </c>
      <c r="DP43">
        <v>0</v>
      </c>
      <c r="DS43">
        <v>0</v>
      </c>
      <c r="DT43">
        <v>0</v>
      </c>
    </row>
    <row r="44" spans="1:124" x14ac:dyDescent="0.25">
      <c r="A44" s="6" t="s">
        <v>160</v>
      </c>
      <c r="E44">
        <v>0</v>
      </c>
      <c r="H44">
        <v>0</v>
      </c>
      <c r="J44">
        <v>0</v>
      </c>
      <c r="L44">
        <v>0</v>
      </c>
      <c r="P44">
        <v>0</v>
      </c>
      <c r="T44">
        <v>0</v>
      </c>
      <c r="Y44">
        <v>0</v>
      </c>
      <c r="AD44">
        <v>0</v>
      </c>
      <c r="AH44">
        <v>0</v>
      </c>
      <c r="AK44">
        <v>0</v>
      </c>
      <c r="AO44">
        <v>0</v>
      </c>
      <c r="AU44">
        <v>0</v>
      </c>
      <c r="AY44">
        <v>0</v>
      </c>
      <c r="BD44">
        <v>0</v>
      </c>
      <c r="BH44">
        <v>0</v>
      </c>
      <c r="BL44">
        <v>0</v>
      </c>
      <c r="BO44">
        <v>0</v>
      </c>
      <c r="BS44">
        <v>0</v>
      </c>
      <c r="BY44">
        <v>0</v>
      </c>
      <c r="CC44">
        <v>0</v>
      </c>
      <c r="CG44">
        <v>0</v>
      </c>
      <c r="CK44">
        <v>0</v>
      </c>
      <c r="CO44">
        <v>0</v>
      </c>
      <c r="CR44">
        <v>0</v>
      </c>
      <c r="CU44">
        <v>0</v>
      </c>
      <c r="DA44">
        <v>0</v>
      </c>
      <c r="DE44">
        <v>0</v>
      </c>
      <c r="DI44">
        <v>0</v>
      </c>
      <c r="DL44">
        <v>0</v>
      </c>
      <c r="DP44">
        <v>0</v>
      </c>
      <c r="DS44">
        <v>0</v>
      </c>
      <c r="DT44">
        <v>0</v>
      </c>
    </row>
    <row r="45" spans="1:124" x14ac:dyDescent="0.25">
      <c r="A45" s="6" t="s">
        <v>162</v>
      </c>
      <c r="E45">
        <v>0</v>
      </c>
      <c r="H45">
        <v>0</v>
      </c>
      <c r="J45">
        <v>0</v>
      </c>
      <c r="L45">
        <v>0</v>
      </c>
      <c r="P45">
        <v>0</v>
      </c>
      <c r="T45">
        <v>0</v>
      </c>
      <c r="Y45">
        <v>0</v>
      </c>
      <c r="AD45">
        <v>0</v>
      </c>
      <c r="AH45">
        <v>0</v>
      </c>
      <c r="AK45">
        <v>0</v>
      </c>
      <c r="AO45">
        <v>0</v>
      </c>
      <c r="AU45">
        <v>0</v>
      </c>
      <c r="AY45">
        <v>0</v>
      </c>
      <c r="BD45">
        <v>0</v>
      </c>
      <c r="BH45">
        <v>0</v>
      </c>
      <c r="BL45">
        <v>0</v>
      </c>
      <c r="BO45">
        <v>0</v>
      </c>
      <c r="BS45">
        <v>0</v>
      </c>
      <c r="BY45">
        <v>0</v>
      </c>
      <c r="CC45">
        <v>0</v>
      </c>
      <c r="CG45">
        <v>0</v>
      </c>
      <c r="CK45">
        <v>0</v>
      </c>
      <c r="CO45">
        <v>0</v>
      </c>
      <c r="CR45">
        <v>0</v>
      </c>
      <c r="CU45">
        <v>0</v>
      </c>
      <c r="DA45">
        <v>0</v>
      </c>
      <c r="DE45">
        <v>0</v>
      </c>
      <c r="DI45">
        <v>0</v>
      </c>
      <c r="DL45">
        <v>0</v>
      </c>
      <c r="DP45">
        <v>0</v>
      </c>
      <c r="DS45">
        <v>0</v>
      </c>
      <c r="DT45">
        <v>0</v>
      </c>
    </row>
    <row r="46" spans="1:124" x14ac:dyDescent="0.25">
      <c r="A46" s="6" t="s">
        <v>164</v>
      </c>
      <c r="E46">
        <v>0</v>
      </c>
      <c r="H46">
        <v>0</v>
      </c>
      <c r="J46">
        <v>0</v>
      </c>
      <c r="L46">
        <v>0</v>
      </c>
      <c r="P46">
        <v>0</v>
      </c>
      <c r="T46">
        <v>0</v>
      </c>
      <c r="Y46">
        <v>0</v>
      </c>
      <c r="AD46">
        <v>0</v>
      </c>
      <c r="AH46">
        <v>0</v>
      </c>
      <c r="AK46">
        <v>0</v>
      </c>
      <c r="AO46">
        <v>0</v>
      </c>
      <c r="AU46">
        <v>0</v>
      </c>
      <c r="AY46">
        <v>0</v>
      </c>
      <c r="BD46">
        <v>0</v>
      </c>
      <c r="BH46">
        <v>0</v>
      </c>
      <c r="BL46">
        <v>0</v>
      </c>
      <c r="BO46">
        <v>0</v>
      </c>
      <c r="BS46">
        <v>0</v>
      </c>
      <c r="BY46">
        <v>0</v>
      </c>
      <c r="CC46">
        <v>0</v>
      </c>
      <c r="CG46">
        <v>0</v>
      </c>
      <c r="CK46">
        <v>0</v>
      </c>
      <c r="CO46">
        <v>0</v>
      </c>
      <c r="CR46">
        <v>0</v>
      </c>
      <c r="CU46">
        <v>0</v>
      </c>
      <c r="DA46">
        <v>0</v>
      </c>
      <c r="DE46">
        <v>0</v>
      </c>
      <c r="DI46">
        <v>0</v>
      </c>
      <c r="DL46">
        <v>0</v>
      </c>
      <c r="DP46">
        <v>0</v>
      </c>
      <c r="DS46">
        <v>0</v>
      </c>
      <c r="DT46">
        <v>0</v>
      </c>
    </row>
    <row r="47" spans="1:124" x14ac:dyDescent="0.25">
      <c r="A47" s="6" t="s">
        <v>166</v>
      </c>
      <c r="E47">
        <v>0</v>
      </c>
      <c r="H47">
        <v>0</v>
      </c>
      <c r="J47">
        <v>0</v>
      </c>
      <c r="L47">
        <v>0</v>
      </c>
      <c r="P47">
        <v>0</v>
      </c>
      <c r="T47">
        <v>0</v>
      </c>
      <c r="Y47">
        <v>0</v>
      </c>
      <c r="AD47">
        <v>0</v>
      </c>
      <c r="AH47">
        <v>0</v>
      </c>
      <c r="AK47">
        <v>0</v>
      </c>
      <c r="AO47">
        <v>0</v>
      </c>
      <c r="AU47">
        <v>0</v>
      </c>
      <c r="AY47">
        <v>0</v>
      </c>
      <c r="BD47">
        <v>0</v>
      </c>
      <c r="BH47">
        <v>0</v>
      </c>
      <c r="BL47">
        <v>0</v>
      </c>
      <c r="BO47">
        <v>0</v>
      </c>
      <c r="BS47">
        <v>0</v>
      </c>
      <c r="BY47">
        <v>0</v>
      </c>
      <c r="CC47">
        <v>0</v>
      </c>
      <c r="CG47">
        <v>0</v>
      </c>
      <c r="CK47">
        <v>0</v>
      </c>
      <c r="CO47">
        <v>0</v>
      </c>
      <c r="CR47">
        <v>0</v>
      </c>
      <c r="CU47">
        <v>0</v>
      </c>
      <c r="DA47">
        <v>0</v>
      </c>
      <c r="DE47">
        <v>0</v>
      </c>
      <c r="DI47">
        <v>0</v>
      </c>
      <c r="DL47">
        <v>0</v>
      </c>
      <c r="DP47">
        <v>0</v>
      </c>
      <c r="DS47">
        <v>0</v>
      </c>
      <c r="DT47">
        <v>0</v>
      </c>
    </row>
    <row r="48" spans="1:124" x14ac:dyDescent="0.25">
      <c r="A48" s="5" t="s">
        <v>21</v>
      </c>
    </row>
    <row r="49" spans="1:124" x14ac:dyDescent="0.25">
      <c r="A49" s="6" t="s">
        <v>131</v>
      </c>
      <c r="C49">
        <v>32</v>
      </c>
      <c r="G49">
        <v>36</v>
      </c>
      <c r="I49">
        <v>0</v>
      </c>
      <c r="K49">
        <v>0</v>
      </c>
      <c r="M49">
        <v>5</v>
      </c>
      <c r="R49">
        <v>29</v>
      </c>
      <c r="V49">
        <v>42</v>
      </c>
      <c r="AA49">
        <v>26</v>
      </c>
      <c r="AF49">
        <v>26</v>
      </c>
      <c r="AK49">
        <v>0</v>
      </c>
      <c r="AO49">
        <v>0</v>
      </c>
      <c r="AS49">
        <v>0</v>
      </c>
      <c r="AW49">
        <v>45</v>
      </c>
      <c r="AZ49">
        <v>0</v>
      </c>
      <c r="BF49">
        <v>37</v>
      </c>
      <c r="BI49">
        <v>36</v>
      </c>
      <c r="BM49">
        <v>0</v>
      </c>
      <c r="BQ49">
        <v>0</v>
      </c>
      <c r="BW49">
        <v>0</v>
      </c>
      <c r="CA49">
        <v>16</v>
      </c>
      <c r="CE49">
        <v>36</v>
      </c>
      <c r="CH49">
        <v>0</v>
      </c>
      <c r="CM49">
        <v>0</v>
      </c>
      <c r="CR49">
        <v>0</v>
      </c>
      <c r="CU49">
        <v>0</v>
      </c>
      <c r="CX49">
        <v>12</v>
      </c>
      <c r="DC49">
        <v>33</v>
      </c>
      <c r="DF49">
        <v>0</v>
      </c>
      <c r="DJ49">
        <v>20</v>
      </c>
      <c r="DN49">
        <v>22</v>
      </c>
      <c r="DQ49">
        <v>0</v>
      </c>
      <c r="DT49">
        <v>453</v>
      </c>
    </row>
    <row r="50" spans="1:124" x14ac:dyDescent="0.25">
      <c r="A50" s="6" t="s">
        <v>134</v>
      </c>
      <c r="B50" s="2"/>
      <c r="C50" s="2">
        <v>0</v>
      </c>
      <c r="D50" s="2"/>
      <c r="E50" s="2"/>
      <c r="F50" s="2"/>
      <c r="G50" s="2">
        <v>0</v>
      </c>
      <c r="H50" s="2"/>
      <c r="I50" s="2">
        <v>0</v>
      </c>
      <c r="J50" s="2"/>
      <c r="K50" s="2">
        <v>0</v>
      </c>
      <c r="L50" s="2"/>
      <c r="M50" s="2">
        <v>0</v>
      </c>
      <c r="N50" s="2"/>
      <c r="O50" s="2"/>
      <c r="P50" s="2"/>
      <c r="Q50" s="2"/>
      <c r="R50" s="2">
        <v>0</v>
      </c>
      <c r="S50" s="2"/>
      <c r="T50" s="2"/>
      <c r="U50" s="2"/>
      <c r="V50" s="2">
        <v>0</v>
      </c>
      <c r="W50" s="2"/>
      <c r="X50" s="2"/>
      <c r="Y50" s="2"/>
      <c r="Z50" s="2"/>
      <c r="AA50" s="2">
        <v>0</v>
      </c>
      <c r="AB50" s="2"/>
      <c r="AC50" s="2"/>
      <c r="AD50" s="2"/>
      <c r="AE50" s="2"/>
      <c r="AF50" s="2">
        <v>0</v>
      </c>
      <c r="AG50" s="2"/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/>
      <c r="AQ50" s="2"/>
      <c r="AR50" s="2"/>
      <c r="AS50" s="2">
        <v>0</v>
      </c>
      <c r="AT50" s="2"/>
      <c r="AU50" s="2"/>
      <c r="AV50" s="2"/>
      <c r="AW50" s="2">
        <v>0</v>
      </c>
      <c r="AX50" s="2"/>
      <c r="AY50" s="2"/>
      <c r="AZ50" s="2">
        <v>0</v>
      </c>
      <c r="BA50" s="2"/>
      <c r="BB50" s="2"/>
      <c r="BC50" s="2"/>
      <c r="BD50" s="2"/>
      <c r="BE50" s="2"/>
      <c r="BF50" s="2">
        <v>0</v>
      </c>
      <c r="BG50" s="2"/>
      <c r="BH50" s="2"/>
      <c r="BI50" s="2">
        <v>0</v>
      </c>
      <c r="BJ50" s="2"/>
      <c r="BK50" s="2"/>
      <c r="BL50" s="2"/>
      <c r="BM50" s="2">
        <v>0</v>
      </c>
      <c r="BN50" s="2"/>
      <c r="BO50" s="2"/>
      <c r="BP50" s="2"/>
      <c r="BQ50" s="2">
        <v>0</v>
      </c>
      <c r="BR50" s="2"/>
      <c r="BS50" s="2"/>
      <c r="BT50" s="2"/>
      <c r="BU50" s="2"/>
      <c r="BV50" s="2"/>
      <c r="BW50" s="2">
        <v>0</v>
      </c>
      <c r="BX50" s="2"/>
      <c r="BY50" s="2"/>
      <c r="BZ50" s="2"/>
      <c r="CA50" s="2">
        <v>0</v>
      </c>
      <c r="CB50" s="2"/>
      <c r="CC50" s="2"/>
      <c r="CD50" s="2"/>
      <c r="CE50" s="2">
        <v>0</v>
      </c>
      <c r="CF50" s="2"/>
      <c r="CG50" s="2"/>
      <c r="CH50" s="2">
        <v>0</v>
      </c>
      <c r="CI50" s="2"/>
      <c r="CJ50" s="2"/>
      <c r="CK50" s="2"/>
      <c r="CL50" s="2"/>
      <c r="CM50" s="2">
        <v>0</v>
      </c>
      <c r="CN50" s="2"/>
      <c r="CO50" s="2"/>
      <c r="CP50" s="2"/>
      <c r="CQ50" s="2"/>
      <c r="CR50" s="2">
        <v>0</v>
      </c>
      <c r="CS50" s="2"/>
      <c r="CT50" s="2"/>
      <c r="CU50" s="2">
        <v>0</v>
      </c>
      <c r="CV50" s="2"/>
      <c r="CW50" s="2"/>
      <c r="CX50" s="2">
        <v>0</v>
      </c>
      <c r="CY50" s="2"/>
      <c r="CZ50" s="2"/>
      <c r="DA50" s="2"/>
      <c r="DB50" s="2"/>
      <c r="DC50" s="2">
        <v>0</v>
      </c>
      <c r="DD50" s="2"/>
      <c r="DE50" s="2"/>
      <c r="DF50" s="2">
        <v>0</v>
      </c>
      <c r="DG50" s="2"/>
      <c r="DH50" s="2"/>
      <c r="DI50" s="2"/>
      <c r="DJ50" s="2">
        <v>0</v>
      </c>
      <c r="DK50" s="2"/>
      <c r="DL50" s="2"/>
      <c r="DM50" s="2"/>
      <c r="DN50" s="2">
        <v>0</v>
      </c>
      <c r="DO50" s="2"/>
      <c r="DP50" s="2"/>
      <c r="DQ50" s="2">
        <v>0</v>
      </c>
      <c r="DR50" s="2"/>
      <c r="DS50" s="2"/>
      <c r="DT50" s="2">
        <v>0</v>
      </c>
    </row>
    <row r="51" spans="1:124" x14ac:dyDescent="0.25">
      <c r="A51" s="6" t="s">
        <v>136</v>
      </c>
      <c r="B51" s="2"/>
      <c r="C51" s="2">
        <v>0</v>
      </c>
      <c r="D51" s="2"/>
      <c r="E51" s="2"/>
      <c r="F51" s="2"/>
      <c r="G51" s="2">
        <v>0</v>
      </c>
      <c r="H51" s="2"/>
      <c r="I51" s="2">
        <v>0</v>
      </c>
      <c r="J51" s="2"/>
      <c r="K51" s="2">
        <v>0</v>
      </c>
      <c r="L51" s="2"/>
      <c r="M51" s="2">
        <v>0</v>
      </c>
      <c r="N51" s="2"/>
      <c r="O51" s="2"/>
      <c r="P51" s="2"/>
      <c r="Q51" s="2"/>
      <c r="R51" s="2">
        <v>0</v>
      </c>
      <c r="S51" s="2"/>
      <c r="T51" s="2"/>
      <c r="U51" s="2"/>
      <c r="V51" s="2">
        <v>0</v>
      </c>
      <c r="W51" s="2"/>
      <c r="X51" s="2"/>
      <c r="Y51" s="2"/>
      <c r="Z51" s="2"/>
      <c r="AA51" s="2">
        <v>0</v>
      </c>
      <c r="AB51" s="2"/>
      <c r="AC51" s="2"/>
      <c r="AD51" s="2"/>
      <c r="AE51" s="2"/>
      <c r="AF51" s="2">
        <v>0</v>
      </c>
      <c r="AG51" s="2"/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/>
      <c r="AQ51" s="2"/>
      <c r="AR51" s="2"/>
      <c r="AS51" s="2">
        <v>0</v>
      </c>
      <c r="AT51" s="2"/>
      <c r="AU51" s="2"/>
      <c r="AV51" s="2"/>
      <c r="AW51" s="2">
        <v>0</v>
      </c>
      <c r="AX51" s="2"/>
      <c r="AY51" s="2"/>
      <c r="AZ51" s="2">
        <v>0</v>
      </c>
      <c r="BA51" s="2"/>
      <c r="BB51" s="2"/>
      <c r="BC51" s="2"/>
      <c r="BD51" s="2"/>
      <c r="BE51" s="2"/>
      <c r="BF51" s="2">
        <v>1</v>
      </c>
      <c r="BG51" s="2"/>
      <c r="BH51" s="2"/>
      <c r="BI51" s="2">
        <v>0</v>
      </c>
      <c r="BJ51" s="2"/>
      <c r="BK51" s="2"/>
      <c r="BL51" s="2"/>
      <c r="BM51" s="2">
        <v>0</v>
      </c>
      <c r="BN51" s="2"/>
      <c r="BO51" s="2"/>
      <c r="BP51" s="2"/>
      <c r="BQ51" s="2">
        <v>0</v>
      </c>
      <c r="BR51" s="2"/>
      <c r="BS51" s="2"/>
      <c r="BT51" s="2"/>
      <c r="BU51" s="2"/>
      <c r="BV51" s="2"/>
      <c r="BW51" s="2">
        <v>0</v>
      </c>
      <c r="BX51" s="2"/>
      <c r="BY51" s="2"/>
      <c r="BZ51" s="2"/>
      <c r="CA51" s="2">
        <v>0</v>
      </c>
      <c r="CB51" s="2"/>
      <c r="CC51" s="2"/>
      <c r="CD51" s="2"/>
      <c r="CE51" s="2">
        <v>0</v>
      </c>
      <c r="CF51" s="2"/>
      <c r="CG51" s="2"/>
      <c r="CH51" s="2">
        <v>0</v>
      </c>
      <c r="CI51" s="2"/>
      <c r="CJ51" s="2"/>
      <c r="CK51" s="2"/>
      <c r="CL51" s="2"/>
      <c r="CM51" s="2">
        <v>0</v>
      </c>
      <c r="CN51" s="2"/>
      <c r="CO51" s="2"/>
      <c r="CP51" s="2"/>
      <c r="CQ51" s="2"/>
      <c r="CR51" s="2">
        <v>0</v>
      </c>
      <c r="CS51" s="2"/>
      <c r="CT51" s="2"/>
      <c r="CU51" s="2">
        <v>0</v>
      </c>
      <c r="CV51" s="2"/>
      <c r="CW51" s="2"/>
      <c r="CX51" s="2">
        <v>0</v>
      </c>
      <c r="CY51" s="2"/>
      <c r="CZ51" s="2"/>
      <c r="DA51" s="2"/>
      <c r="DB51" s="2"/>
      <c r="DC51" s="2">
        <v>0</v>
      </c>
      <c r="DD51" s="2"/>
      <c r="DE51" s="2"/>
      <c r="DF51" s="2">
        <v>0</v>
      </c>
      <c r="DG51" s="2"/>
      <c r="DH51" s="2"/>
      <c r="DI51" s="2"/>
      <c r="DJ51" s="2">
        <v>0</v>
      </c>
      <c r="DK51" s="2"/>
      <c r="DL51" s="2"/>
      <c r="DM51" s="2"/>
      <c r="DN51" s="2">
        <v>0</v>
      </c>
      <c r="DO51" s="2"/>
      <c r="DP51" s="2"/>
      <c r="DQ51" s="2">
        <v>0</v>
      </c>
      <c r="DR51" s="2"/>
      <c r="DS51" s="2"/>
      <c r="DT51" s="2">
        <v>1</v>
      </c>
    </row>
    <row r="52" spans="1:124" x14ac:dyDescent="0.25">
      <c r="A52" s="6" t="s">
        <v>138</v>
      </c>
      <c r="B52" s="2"/>
      <c r="C52" s="2">
        <v>1</v>
      </c>
      <c r="D52" s="2"/>
      <c r="E52" s="2"/>
      <c r="F52" s="2"/>
      <c r="G52" s="2">
        <v>2</v>
      </c>
      <c r="H52" s="2"/>
      <c r="I52" s="2">
        <v>0</v>
      </c>
      <c r="J52" s="2"/>
      <c r="K52" s="2">
        <v>0</v>
      </c>
      <c r="L52" s="2"/>
      <c r="M52" s="2">
        <v>0</v>
      </c>
      <c r="N52" s="2"/>
      <c r="O52" s="2"/>
      <c r="P52" s="2"/>
      <c r="Q52" s="2"/>
      <c r="R52" s="2">
        <v>0</v>
      </c>
      <c r="S52" s="2"/>
      <c r="T52" s="2"/>
      <c r="U52" s="2"/>
      <c r="V52" s="2">
        <v>1</v>
      </c>
      <c r="W52" s="2"/>
      <c r="X52" s="2"/>
      <c r="Y52" s="2"/>
      <c r="Z52" s="2"/>
      <c r="AA52" s="2">
        <v>0</v>
      </c>
      <c r="AB52" s="2"/>
      <c r="AC52" s="2"/>
      <c r="AD52" s="2"/>
      <c r="AE52" s="2"/>
      <c r="AF52" s="2">
        <v>0</v>
      </c>
      <c r="AG52" s="2"/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/>
      <c r="AQ52" s="2"/>
      <c r="AR52" s="2"/>
      <c r="AS52" s="2">
        <v>0</v>
      </c>
      <c r="AT52" s="2"/>
      <c r="AU52" s="2"/>
      <c r="AV52" s="2"/>
      <c r="AW52" s="2">
        <v>1</v>
      </c>
      <c r="AX52" s="2"/>
      <c r="AY52" s="2"/>
      <c r="AZ52" s="2">
        <v>0</v>
      </c>
      <c r="BA52" s="2"/>
      <c r="BB52" s="2"/>
      <c r="BC52" s="2"/>
      <c r="BD52" s="2"/>
      <c r="BE52" s="2"/>
      <c r="BF52" s="2">
        <v>1</v>
      </c>
      <c r="BG52" s="2"/>
      <c r="BH52" s="2"/>
      <c r="BI52" s="2">
        <v>1</v>
      </c>
      <c r="BJ52" s="2"/>
      <c r="BK52" s="2"/>
      <c r="BL52" s="2"/>
      <c r="BM52" s="2">
        <v>0</v>
      </c>
      <c r="BN52" s="2"/>
      <c r="BO52" s="2"/>
      <c r="BP52" s="2"/>
      <c r="BQ52" s="2">
        <v>0</v>
      </c>
      <c r="BR52" s="2"/>
      <c r="BS52" s="2"/>
      <c r="BT52" s="2"/>
      <c r="BU52" s="2"/>
      <c r="BV52" s="2"/>
      <c r="BW52" s="2">
        <v>0</v>
      </c>
      <c r="BX52" s="2"/>
      <c r="BY52" s="2"/>
      <c r="BZ52" s="2"/>
      <c r="CA52" s="2">
        <v>1</v>
      </c>
      <c r="CB52" s="2"/>
      <c r="CC52" s="2"/>
      <c r="CD52" s="2"/>
      <c r="CE52" s="2">
        <v>1</v>
      </c>
      <c r="CF52" s="2"/>
      <c r="CG52" s="2"/>
      <c r="CH52" s="2">
        <v>0</v>
      </c>
      <c r="CI52" s="2"/>
      <c r="CJ52" s="2"/>
      <c r="CK52" s="2"/>
      <c r="CL52" s="2"/>
      <c r="CM52" s="2">
        <v>0</v>
      </c>
      <c r="CN52" s="2"/>
      <c r="CO52" s="2"/>
      <c r="CP52" s="2"/>
      <c r="CQ52" s="2"/>
      <c r="CR52" s="2">
        <v>0</v>
      </c>
      <c r="CS52" s="2"/>
      <c r="CT52" s="2"/>
      <c r="CU52" s="2">
        <v>0</v>
      </c>
      <c r="CV52" s="2"/>
      <c r="CW52" s="2"/>
      <c r="CX52" s="2">
        <v>0</v>
      </c>
      <c r="CY52" s="2"/>
      <c r="CZ52" s="2"/>
      <c r="DA52" s="2"/>
      <c r="DB52" s="2"/>
      <c r="DC52" s="2">
        <v>1</v>
      </c>
      <c r="DD52" s="2"/>
      <c r="DE52" s="2"/>
      <c r="DF52" s="2">
        <v>0</v>
      </c>
      <c r="DG52" s="2"/>
      <c r="DH52" s="2"/>
      <c r="DI52" s="2"/>
      <c r="DJ52" s="2">
        <v>1</v>
      </c>
      <c r="DK52" s="2"/>
      <c r="DL52" s="2"/>
      <c r="DM52" s="2"/>
      <c r="DN52" s="2">
        <v>1</v>
      </c>
      <c r="DO52" s="2"/>
      <c r="DP52" s="2"/>
      <c r="DQ52" s="2">
        <v>0</v>
      </c>
      <c r="DR52" s="2"/>
      <c r="DS52" s="2"/>
      <c r="DT52" s="2">
        <v>12</v>
      </c>
    </row>
    <row r="53" spans="1:124" x14ac:dyDescent="0.25">
      <c r="A53" s="6" t="s">
        <v>140</v>
      </c>
      <c r="B53" s="2"/>
      <c r="C53" s="2">
        <v>0</v>
      </c>
      <c r="D53" s="2"/>
      <c r="E53" s="2"/>
      <c r="F53" s="2"/>
      <c r="G53" s="2">
        <v>0</v>
      </c>
      <c r="H53" s="2"/>
      <c r="I53" s="2">
        <v>0</v>
      </c>
      <c r="J53" s="2"/>
      <c r="K53" s="2">
        <v>0</v>
      </c>
      <c r="L53" s="2"/>
      <c r="M53" s="2">
        <v>0</v>
      </c>
      <c r="N53" s="2"/>
      <c r="O53" s="2"/>
      <c r="P53" s="2"/>
      <c r="Q53" s="2"/>
      <c r="R53" s="2">
        <v>1</v>
      </c>
      <c r="S53" s="2"/>
      <c r="T53" s="2"/>
      <c r="U53" s="2"/>
      <c r="V53" s="2">
        <v>0</v>
      </c>
      <c r="W53" s="2"/>
      <c r="X53" s="2"/>
      <c r="Y53" s="2"/>
      <c r="Z53" s="2"/>
      <c r="AA53" s="2">
        <v>1</v>
      </c>
      <c r="AB53" s="2"/>
      <c r="AC53" s="2"/>
      <c r="AD53" s="2"/>
      <c r="AE53" s="2"/>
      <c r="AF53" s="2">
        <v>1</v>
      </c>
      <c r="AG53" s="2"/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/>
      <c r="AQ53" s="2"/>
      <c r="AR53" s="2"/>
      <c r="AS53" s="2">
        <v>0</v>
      </c>
      <c r="AT53" s="2"/>
      <c r="AU53" s="2"/>
      <c r="AV53" s="2"/>
      <c r="AW53" s="2">
        <v>0</v>
      </c>
      <c r="AX53" s="2"/>
      <c r="AY53" s="2"/>
      <c r="AZ53" s="2">
        <v>0</v>
      </c>
      <c r="BA53" s="2"/>
      <c r="BB53" s="2"/>
      <c r="BC53" s="2"/>
      <c r="BD53" s="2"/>
      <c r="BE53" s="2"/>
      <c r="BF53" s="2">
        <v>0</v>
      </c>
      <c r="BG53" s="2"/>
      <c r="BH53" s="2"/>
      <c r="BI53" s="2">
        <v>0</v>
      </c>
      <c r="BJ53" s="2"/>
      <c r="BK53" s="2"/>
      <c r="BL53" s="2"/>
      <c r="BM53" s="2">
        <v>0</v>
      </c>
      <c r="BN53" s="2"/>
      <c r="BO53" s="2"/>
      <c r="BP53" s="2"/>
      <c r="BQ53" s="2">
        <v>0</v>
      </c>
      <c r="BR53" s="2"/>
      <c r="BS53" s="2"/>
      <c r="BT53" s="2"/>
      <c r="BU53" s="2"/>
      <c r="BV53" s="2"/>
      <c r="BW53" s="2">
        <v>0</v>
      </c>
      <c r="BX53" s="2"/>
      <c r="BY53" s="2"/>
      <c r="BZ53" s="2"/>
      <c r="CA53" s="2">
        <v>0</v>
      </c>
      <c r="CB53" s="2"/>
      <c r="CC53" s="2"/>
      <c r="CD53" s="2"/>
      <c r="CE53" s="2">
        <v>0</v>
      </c>
      <c r="CF53" s="2"/>
      <c r="CG53" s="2"/>
      <c r="CH53" s="2">
        <v>0</v>
      </c>
      <c r="CI53" s="2"/>
      <c r="CJ53" s="2"/>
      <c r="CK53" s="2"/>
      <c r="CL53" s="2"/>
      <c r="CM53" s="2">
        <v>0</v>
      </c>
      <c r="CN53" s="2"/>
      <c r="CO53" s="2"/>
      <c r="CP53" s="2"/>
      <c r="CQ53" s="2"/>
      <c r="CR53" s="2">
        <v>0</v>
      </c>
      <c r="CS53" s="2"/>
      <c r="CT53" s="2"/>
      <c r="CU53" s="2">
        <v>0</v>
      </c>
      <c r="CV53" s="2"/>
      <c r="CW53" s="2"/>
      <c r="CX53" s="2">
        <v>0</v>
      </c>
      <c r="CY53" s="2"/>
      <c r="CZ53" s="2"/>
      <c r="DA53" s="2"/>
      <c r="DB53" s="2"/>
      <c r="DC53" s="2">
        <v>0</v>
      </c>
      <c r="DD53" s="2"/>
      <c r="DE53" s="2"/>
      <c r="DF53" s="2">
        <v>0</v>
      </c>
      <c r="DG53" s="2"/>
      <c r="DH53" s="2"/>
      <c r="DI53" s="2"/>
      <c r="DJ53" s="2">
        <v>0</v>
      </c>
      <c r="DK53" s="2"/>
      <c r="DL53" s="2"/>
      <c r="DM53" s="2"/>
      <c r="DN53" s="2">
        <v>0</v>
      </c>
      <c r="DO53" s="2"/>
      <c r="DP53" s="2"/>
      <c r="DQ53" s="2">
        <v>0</v>
      </c>
      <c r="DR53" s="2"/>
      <c r="DS53" s="2"/>
      <c r="DT53" s="2">
        <v>3</v>
      </c>
    </row>
    <row r="54" spans="1:124" x14ac:dyDescent="0.25">
      <c r="A54" s="6" t="s">
        <v>142</v>
      </c>
      <c r="C54">
        <v>0</v>
      </c>
      <c r="G54">
        <v>0</v>
      </c>
      <c r="I54">
        <v>0</v>
      </c>
      <c r="K54">
        <v>1</v>
      </c>
      <c r="M54">
        <v>1</v>
      </c>
      <c r="R54">
        <v>1</v>
      </c>
      <c r="V54">
        <v>0</v>
      </c>
      <c r="AA54">
        <v>1</v>
      </c>
      <c r="AF54">
        <v>0</v>
      </c>
      <c r="AK54">
        <v>0</v>
      </c>
      <c r="AO54">
        <v>0</v>
      </c>
      <c r="AS54">
        <v>0</v>
      </c>
      <c r="AW54">
        <v>1</v>
      </c>
      <c r="AZ54">
        <v>0</v>
      </c>
      <c r="BF54">
        <v>0</v>
      </c>
      <c r="BI54">
        <v>0</v>
      </c>
      <c r="BM54">
        <v>0</v>
      </c>
      <c r="BQ54">
        <v>0</v>
      </c>
      <c r="BW54">
        <v>0</v>
      </c>
      <c r="CA54">
        <v>0</v>
      </c>
      <c r="CE54">
        <v>0</v>
      </c>
      <c r="CH54">
        <v>0</v>
      </c>
      <c r="CM54">
        <v>0</v>
      </c>
      <c r="CR54">
        <v>0</v>
      </c>
      <c r="CU54">
        <v>0</v>
      </c>
      <c r="CX54">
        <v>1</v>
      </c>
      <c r="DC54">
        <v>0</v>
      </c>
      <c r="DF54">
        <v>0</v>
      </c>
      <c r="DJ54">
        <v>0</v>
      </c>
      <c r="DN54">
        <v>0</v>
      </c>
      <c r="DQ54">
        <v>0</v>
      </c>
      <c r="DT54">
        <v>6</v>
      </c>
    </row>
    <row r="55" spans="1:124" x14ac:dyDescent="0.25">
      <c r="A55" s="6" t="s">
        <v>144</v>
      </c>
      <c r="C55">
        <v>0</v>
      </c>
      <c r="G55">
        <v>0</v>
      </c>
      <c r="I55">
        <v>0</v>
      </c>
      <c r="K55">
        <v>0</v>
      </c>
      <c r="M55">
        <v>0</v>
      </c>
      <c r="R55">
        <v>0</v>
      </c>
      <c r="V55">
        <v>0</v>
      </c>
      <c r="AA55">
        <v>0</v>
      </c>
      <c r="AF55">
        <v>0</v>
      </c>
      <c r="AK55">
        <v>0</v>
      </c>
      <c r="AO55">
        <v>0</v>
      </c>
      <c r="AS55">
        <v>0</v>
      </c>
      <c r="AW55">
        <v>0</v>
      </c>
      <c r="AZ55">
        <v>0</v>
      </c>
      <c r="BF55">
        <v>0</v>
      </c>
      <c r="BI55">
        <v>0</v>
      </c>
      <c r="BM55">
        <v>0</v>
      </c>
      <c r="BQ55">
        <v>0</v>
      </c>
      <c r="BW55">
        <v>0</v>
      </c>
      <c r="CA55">
        <v>1</v>
      </c>
      <c r="CE55">
        <v>0</v>
      </c>
      <c r="CH55">
        <v>0</v>
      </c>
      <c r="CM55">
        <v>0</v>
      </c>
      <c r="CR55">
        <v>0</v>
      </c>
      <c r="CU55">
        <v>0</v>
      </c>
      <c r="CX55">
        <v>0</v>
      </c>
      <c r="DC55">
        <v>0</v>
      </c>
      <c r="DF55">
        <v>0</v>
      </c>
      <c r="DJ55">
        <v>0</v>
      </c>
      <c r="DN55">
        <v>0</v>
      </c>
      <c r="DQ55">
        <v>0</v>
      </c>
      <c r="DT55">
        <v>1</v>
      </c>
    </row>
    <row r="56" spans="1:124" x14ac:dyDescent="0.25">
      <c r="A56" s="6" t="s">
        <v>146</v>
      </c>
      <c r="B56" s="2"/>
      <c r="C56" s="2">
        <v>0</v>
      </c>
      <c r="D56" s="2"/>
      <c r="E56" s="2"/>
      <c r="F56" s="2"/>
      <c r="G56" s="2">
        <v>0</v>
      </c>
      <c r="H56" s="2"/>
      <c r="I56" s="2">
        <v>1</v>
      </c>
      <c r="J56" s="2"/>
      <c r="K56" s="2">
        <v>0</v>
      </c>
      <c r="L56" s="2"/>
      <c r="M56" s="2">
        <v>0</v>
      </c>
      <c r="N56" s="2"/>
      <c r="O56" s="2"/>
      <c r="P56" s="2"/>
      <c r="Q56" s="2"/>
      <c r="R56" s="2">
        <v>0</v>
      </c>
      <c r="S56" s="2"/>
      <c r="T56" s="2"/>
      <c r="U56" s="2"/>
      <c r="V56" s="2">
        <v>0</v>
      </c>
      <c r="W56" s="2"/>
      <c r="X56" s="2"/>
      <c r="Y56" s="2"/>
      <c r="Z56" s="2"/>
      <c r="AA56" s="2">
        <v>0</v>
      </c>
      <c r="AB56" s="2"/>
      <c r="AC56" s="2"/>
      <c r="AD56" s="2"/>
      <c r="AE56" s="2"/>
      <c r="AF56" s="2">
        <v>0</v>
      </c>
      <c r="AG56" s="2"/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/>
      <c r="AQ56" s="2"/>
      <c r="AR56" s="2"/>
      <c r="AS56" s="2">
        <v>0</v>
      </c>
      <c r="AT56" s="2"/>
      <c r="AU56" s="2"/>
      <c r="AV56" s="2"/>
      <c r="AW56" s="2">
        <v>0</v>
      </c>
      <c r="AX56" s="2"/>
      <c r="AY56" s="2"/>
      <c r="AZ56" s="2">
        <v>0</v>
      </c>
      <c r="BA56" s="2"/>
      <c r="BB56" s="2"/>
      <c r="BC56" s="2"/>
      <c r="BD56" s="2"/>
      <c r="BE56" s="2"/>
      <c r="BF56" s="2">
        <v>0</v>
      </c>
      <c r="BG56" s="2"/>
      <c r="BH56" s="2"/>
      <c r="BI56" s="2">
        <v>0</v>
      </c>
      <c r="BJ56" s="2"/>
      <c r="BK56" s="2"/>
      <c r="BL56" s="2"/>
      <c r="BM56" s="2">
        <v>1</v>
      </c>
      <c r="BN56" s="2"/>
      <c r="BO56" s="2"/>
      <c r="BP56" s="2"/>
      <c r="BQ56" s="2">
        <v>0</v>
      </c>
      <c r="BR56" s="2"/>
      <c r="BS56" s="2"/>
      <c r="BT56" s="2"/>
      <c r="BU56" s="2"/>
      <c r="BV56" s="2"/>
      <c r="BW56" s="2">
        <v>0</v>
      </c>
      <c r="BX56" s="2"/>
      <c r="BY56" s="2"/>
      <c r="BZ56" s="2"/>
      <c r="CA56" s="2">
        <v>0</v>
      </c>
      <c r="CB56" s="2"/>
      <c r="CC56" s="2"/>
      <c r="CD56" s="2"/>
      <c r="CE56" s="2">
        <v>0</v>
      </c>
      <c r="CF56" s="2"/>
      <c r="CG56" s="2"/>
      <c r="CH56" s="2">
        <v>0</v>
      </c>
      <c r="CI56" s="2"/>
      <c r="CJ56" s="2"/>
      <c r="CK56" s="2"/>
      <c r="CL56" s="2"/>
      <c r="CM56" s="2">
        <v>0</v>
      </c>
      <c r="CN56" s="2"/>
      <c r="CO56" s="2"/>
      <c r="CP56" s="2"/>
      <c r="CQ56" s="2"/>
      <c r="CR56" s="2">
        <v>0</v>
      </c>
      <c r="CS56" s="2"/>
      <c r="CT56" s="2"/>
      <c r="CU56" s="2">
        <v>0</v>
      </c>
      <c r="CV56" s="2"/>
      <c r="CW56" s="2"/>
      <c r="CX56" s="2">
        <v>0</v>
      </c>
      <c r="CY56" s="2"/>
      <c r="CZ56" s="2"/>
      <c r="DA56" s="2"/>
      <c r="DB56" s="2"/>
      <c r="DC56" s="2">
        <v>0</v>
      </c>
      <c r="DD56" s="2"/>
      <c r="DE56" s="2"/>
      <c r="DF56" s="2">
        <v>0</v>
      </c>
      <c r="DG56" s="2"/>
      <c r="DH56" s="2"/>
      <c r="DI56" s="2"/>
      <c r="DJ56" s="2">
        <v>0</v>
      </c>
      <c r="DK56" s="2"/>
      <c r="DL56" s="2"/>
      <c r="DM56" s="2"/>
      <c r="DN56" s="2">
        <v>0</v>
      </c>
      <c r="DO56" s="2"/>
      <c r="DP56" s="2"/>
      <c r="DQ56" s="2">
        <v>1</v>
      </c>
      <c r="DR56" s="2"/>
      <c r="DS56" s="2"/>
      <c r="DT56" s="2">
        <v>3</v>
      </c>
    </row>
    <row r="57" spans="1:124" x14ac:dyDescent="0.25">
      <c r="A57" s="6" t="s">
        <v>454</v>
      </c>
      <c r="C57">
        <v>0</v>
      </c>
      <c r="G57">
        <v>0</v>
      </c>
      <c r="I57">
        <v>1</v>
      </c>
      <c r="K57">
        <v>0</v>
      </c>
      <c r="M57">
        <v>0</v>
      </c>
      <c r="R57">
        <v>0</v>
      </c>
      <c r="V57">
        <v>0</v>
      </c>
      <c r="AA57">
        <v>0</v>
      </c>
      <c r="AF57">
        <v>0</v>
      </c>
      <c r="AK57">
        <v>0</v>
      </c>
      <c r="AO57">
        <v>0</v>
      </c>
      <c r="AS57">
        <v>0</v>
      </c>
      <c r="AW57">
        <v>0</v>
      </c>
      <c r="AZ57">
        <v>0</v>
      </c>
      <c r="BF57">
        <v>0</v>
      </c>
      <c r="BI57">
        <v>0</v>
      </c>
      <c r="BM57">
        <v>0</v>
      </c>
      <c r="BQ57">
        <v>0</v>
      </c>
      <c r="BW57">
        <v>0</v>
      </c>
      <c r="CA57">
        <v>0</v>
      </c>
      <c r="CE57">
        <v>0</v>
      </c>
      <c r="CH57">
        <v>0</v>
      </c>
      <c r="CM57">
        <v>0</v>
      </c>
      <c r="CR57">
        <v>0</v>
      </c>
      <c r="CU57">
        <v>0</v>
      </c>
      <c r="CX57">
        <v>0</v>
      </c>
      <c r="DC57">
        <v>0</v>
      </c>
      <c r="DF57">
        <v>0</v>
      </c>
      <c r="DJ57">
        <v>0</v>
      </c>
      <c r="DN57">
        <v>0</v>
      </c>
      <c r="DQ57">
        <v>0</v>
      </c>
      <c r="DT57">
        <v>1</v>
      </c>
    </row>
    <row r="58" spans="1:124" x14ac:dyDescent="0.25">
      <c r="A58" s="6" t="s">
        <v>148</v>
      </c>
      <c r="B58" s="2"/>
      <c r="C58" s="2">
        <v>0</v>
      </c>
      <c r="D58" s="2"/>
      <c r="E58" s="2"/>
      <c r="F58" s="2"/>
      <c r="G58" s="2">
        <v>0</v>
      </c>
      <c r="H58" s="2"/>
      <c r="I58" s="2">
        <v>0</v>
      </c>
      <c r="J58" s="2"/>
      <c r="K58" s="2">
        <v>1</v>
      </c>
      <c r="L58" s="2"/>
      <c r="M58" s="2">
        <v>0</v>
      </c>
      <c r="N58" s="2"/>
      <c r="O58" s="2"/>
      <c r="P58" s="2"/>
      <c r="Q58" s="2"/>
      <c r="R58" s="2">
        <v>0</v>
      </c>
      <c r="S58" s="2"/>
      <c r="T58" s="2"/>
      <c r="U58" s="2"/>
      <c r="V58" s="2">
        <v>0</v>
      </c>
      <c r="W58" s="2"/>
      <c r="X58" s="2"/>
      <c r="Y58" s="2"/>
      <c r="Z58" s="2"/>
      <c r="AA58" s="2">
        <v>0</v>
      </c>
      <c r="AB58" s="2"/>
      <c r="AC58" s="2"/>
      <c r="AD58" s="2"/>
      <c r="AE58" s="2"/>
      <c r="AF58" s="2">
        <v>0</v>
      </c>
      <c r="AG58" s="2"/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/>
      <c r="AQ58" s="2"/>
      <c r="AR58" s="2"/>
      <c r="AS58" s="2">
        <v>0</v>
      </c>
      <c r="AT58" s="2"/>
      <c r="AU58" s="2"/>
      <c r="AV58" s="2"/>
      <c r="AW58" s="2">
        <v>0</v>
      </c>
      <c r="AX58" s="2"/>
      <c r="AY58" s="2"/>
      <c r="AZ58" s="2">
        <v>0</v>
      </c>
      <c r="BA58" s="2"/>
      <c r="BB58" s="2"/>
      <c r="BC58" s="2"/>
      <c r="BD58" s="2"/>
      <c r="BE58" s="2"/>
      <c r="BF58" s="2">
        <v>0</v>
      </c>
      <c r="BG58" s="2"/>
      <c r="BH58" s="2"/>
      <c r="BI58" s="2">
        <v>0</v>
      </c>
      <c r="BJ58" s="2"/>
      <c r="BK58" s="2"/>
      <c r="BL58" s="2"/>
      <c r="BM58" s="2">
        <v>0</v>
      </c>
      <c r="BN58" s="2"/>
      <c r="BO58" s="2"/>
      <c r="BP58" s="2"/>
      <c r="BQ58" s="2">
        <v>1</v>
      </c>
      <c r="BR58" s="2"/>
      <c r="BS58" s="2"/>
      <c r="BT58" s="2"/>
      <c r="BU58" s="2"/>
      <c r="BV58" s="2"/>
      <c r="BW58" s="2">
        <v>0</v>
      </c>
      <c r="BX58" s="2"/>
      <c r="BY58" s="2"/>
      <c r="BZ58" s="2"/>
      <c r="CA58" s="2">
        <v>0</v>
      </c>
      <c r="CB58" s="2"/>
      <c r="CC58" s="2"/>
      <c r="CD58" s="2"/>
      <c r="CE58" s="2">
        <v>0</v>
      </c>
      <c r="CF58" s="2"/>
      <c r="CG58" s="2"/>
      <c r="CH58" s="2">
        <v>0</v>
      </c>
      <c r="CI58" s="2"/>
      <c r="CJ58" s="2"/>
      <c r="CK58" s="2"/>
      <c r="CL58" s="2"/>
      <c r="CM58" s="2">
        <v>0</v>
      </c>
      <c r="CN58" s="2"/>
      <c r="CO58" s="2"/>
      <c r="CP58" s="2"/>
      <c r="CQ58" s="2"/>
      <c r="CR58" s="2">
        <v>0</v>
      </c>
      <c r="CS58" s="2"/>
      <c r="CT58" s="2"/>
      <c r="CU58" s="2">
        <v>0</v>
      </c>
      <c r="CV58" s="2"/>
      <c r="CW58" s="2"/>
      <c r="CX58" s="2">
        <v>0</v>
      </c>
      <c r="CY58" s="2"/>
      <c r="CZ58" s="2"/>
      <c r="DA58" s="2"/>
      <c r="DB58" s="2"/>
      <c r="DC58" s="2">
        <v>0</v>
      </c>
      <c r="DD58" s="2"/>
      <c r="DE58" s="2"/>
      <c r="DF58" s="2">
        <v>0</v>
      </c>
      <c r="DG58" s="2"/>
      <c r="DH58" s="2"/>
      <c r="DI58" s="2"/>
      <c r="DJ58" s="2">
        <v>0</v>
      </c>
      <c r="DK58" s="2"/>
      <c r="DL58" s="2"/>
      <c r="DM58" s="2"/>
      <c r="DN58" s="2">
        <v>0</v>
      </c>
      <c r="DO58" s="2"/>
      <c r="DP58" s="2"/>
      <c r="DQ58" s="2">
        <v>0</v>
      </c>
      <c r="DR58" s="2"/>
      <c r="DS58" s="2"/>
      <c r="DT58" s="2">
        <v>2</v>
      </c>
    </row>
    <row r="59" spans="1:124" x14ac:dyDescent="0.25">
      <c r="A59" s="6" t="s">
        <v>456</v>
      </c>
      <c r="C59">
        <v>0</v>
      </c>
      <c r="G59">
        <v>0</v>
      </c>
      <c r="I59">
        <v>0</v>
      </c>
      <c r="K59">
        <v>0</v>
      </c>
      <c r="M59">
        <v>0</v>
      </c>
      <c r="R59">
        <v>0</v>
      </c>
      <c r="V59">
        <v>0</v>
      </c>
      <c r="AA59">
        <v>0</v>
      </c>
      <c r="AF59">
        <v>0</v>
      </c>
      <c r="AK59">
        <v>0</v>
      </c>
      <c r="AO59">
        <v>0</v>
      </c>
      <c r="AS59">
        <v>0</v>
      </c>
      <c r="AW59">
        <v>0</v>
      </c>
      <c r="AZ59">
        <v>0</v>
      </c>
      <c r="BF59">
        <v>0</v>
      </c>
      <c r="BI59">
        <v>0</v>
      </c>
      <c r="BM59">
        <v>0</v>
      </c>
      <c r="BQ59">
        <v>0</v>
      </c>
      <c r="BW59">
        <v>0</v>
      </c>
      <c r="CA59">
        <v>0</v>
      </c>
      <c r="CE59">
        <v>0</v>
      </c>
      <c r="CH59">
        <v>0</v>
      </c>
      <c r="CM59">
        <v>0</v>
      </c>
      <c r="CR59">
        <v>0</v>
      </c>
      <c r="CU59">
        <v>0</v>
      </c>
      <c r="CX59">
        <v>0</v>
      </c>
      <c r="DC59">
        <v>0</v>
      </c>
      <c r="DF59">
        <v>0</v>
      </c>
      <c r="DJ59">
        <v>0</v>
      </c>
      <c r="DN59">
        <v>0</v>
      </c>
      <c r="DQ59">
        <v>0</v>
      </c>
      <c r="DT59">
        <v>0</v>
      </c>
    </row>
    <row r="60" spans="1:124" x14ac:dyDescent="0.25">
      <c r="A60" s="6" t="s">
        <v>150</v>
      </c>
      <c r="C60">
        <v>2</v>
      </c>
      <c r="G60">
        <v>0</v>
      </c>
      <c r="I60">
        <v>6</v>
      </c>
      <c r="K60">
        <v>1</v>
      </c>
      <c r="M60">
        <v>0</v>
      </c>
      <c r="R60">
        <v>0</v>
      </c>
      <c r="V60">
        <v>0</v>
      </c>
      <c r="AA60">
        <v>0</v>
      </c>
      <c r="AF60">
        <v>0</v>
      </c>
      <c r="AK60">
        <v>0</v>
      </c>
      <c r="AO60">
        <v>0</v>
      </c>
      <c r="AS60">
        <v>0</v>
      </c>
      <c r="AW60">
        <v>0</v>
      </c>
      <c r="AZ60">
        <v>0</v>
      </c>
      <c r="BF60">
        <v>0</v>
      </c>
      <c r="BI60">
        <v>0</v>
      </c>
      <c r="BM60">
        <v>0</v>
      </c>
      <c r="BQ60">
        <v>6</v>
      </c>
      <c r="BW60">
        <v>0</v>
      </c>
      <c r="CA60">
        <v>0</v>
      </c>
      <c r="CE60">
        <v>0</v>
      </c>
      <c r="CH60">
        <v>0</v>
      </c>
      <c r="CM60">
        <v>0</v>
      </c>
      <c r="CR60">
        <v>0</v>
      </c>
      <c r="CU60">
        <v>0</v>
      </c>
      <c r="CX60">
        <v>0</v>
      </c>
      <c r="DC60">
        <v>0</v>
      </c>
      <c r="DF60">
        <v>0</v>
      </c>
      <c r="DJ60">
        <v>1</v>
      </c>
      <c r="DN60">
        <v>0</v>
      </c>
      <c r="DQ60">
        <v>3</v>
      </c>
      <c r="DT60">
        <v>19</v>
      </c>
    </row>
    <row r="61" spans="1:124" x14ac:dyDescent="0.25">
      <c r="A61" s="6" t="s">
        <v>152</v>
      </c>
      <c r="B61" s="2"/>
      <c r="C61" s="2">
        <v>0</v>
      </c>
      <c r="D61" s="2"/>
      <c r="E61" s="2"/>
      <c r="F61" s="2"/>
      <c r="G61" s="2">
        <v>0</v>
      </c>
      <c r="H61" s="2"/>
      <c r="I61" s="2">
        <v>1</v>
      </c>
      <c r="J61" s="2"/>
      <c r="K61" s="2">
        <v>0</v>
      </c>
      <c r="L61" s="2"/>
      <c r="M61" s="2">
        <v>0</v>
      </c>
      <c r="N61" s="2"/>
      <c r="O61" s="2"/>
      <c r="P61" s="2"/>
      <c r="Q61" s="2"/>
      <c r="R61" s="2">
        <v>0</v>
      </c>
      <c r="S61" s="2"/>
      <c r="T61" s="2"/>
      <c r="U61" s="2"/>
      <c r="V61" s="2">
        <v>0</v>
      </c>
      <c r="W61" s="2"/>
      <c r="X61" s="2"/>
      <c r="Y61" s="2"/>
      <c r="Z61" s="2"/>
      <c r="AA61" s="2">
        <v>0</v>
      </c>
      <c r="AB61" s="2"/>
      <c r="AC61" s="2"/>
      <c r="AD61" s="2"/>
      <c r="AE61" s="2"/>
      <c r="AF61" s="2">
        <v>0</v>
      </c>
      <c r="AG61" s="2"/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/>
      <c r="AQ61" s="2"/>
      <c r="AR61" s="2"/>
      <c r="AS61" s="2">
        <v>0</v>
      </c>
      <c r="AT61" s="2"/>
      <c r="AU61" s="2"/>
      <c r="AV61" s="2"/>
      <c r="AW61" s="2">
        <v>0</v>
      </c>
      <c r="AX61" s="2"/>
      <c r="AY61" s="2"/>
      <c r="AZ61" s="2">
        <v>0</v>
      </c>
      <c r="BA61" s="2"/>
      <c r="BB61" s="2"/>
      <c r="BC61" s="2"/>
      <c r="BD61" s="2"/>
      <c r="BE61" s="2"/>
      <c r="BF61" s="2">
        <v>0</v>
      </c>
      <c r="BG61" s="2"/>
      <c r="BH61" s="2"/>
      <c r="BI61" s="2">
        <v>0</v>
      </c>
      <c r="BJ61" s="2"/>
      <c r="BK61" s="2"/>
      <c r="BL61" s="2"/>
      <c r="BM61" s="2">
        <v>1</v>
      </c>
      <c r="BN61" s="2"/>
      <c r="BO61" s="2"/>
      <c r="BP61" s="2"/>
      <c r="BQ61" s="2">
        <v>0</v>
      </c>
      <c r="BR61" s="2"/>
      <c r="BS61" s="2"/>
      <c r="BT61" s="2"/>
      <c r="BU61" s="2"/>
      <c r="BV61" s="2"/>
      <c r="BW61" s="2">
        <v>0</v>
      </c>
      <c r="BX61" s="2"/>
      <c r="BY61" s="2"/>
      <c r="BZ61" s="2"/>
      <c r="CA61" s="2">
        <v>0</v>
      </c>
      <c r="CB61" s="2"/>
      <c r="CC61" s="2"/>
      <c r="CD61" s="2"/>
      <c r="CE61" s="2">
        <v>0</v>
      </c>
      <c r="CF61" s="2"/>
      <c r="CG61" s="2"/>
      <c r="CH61" s="2">
        <v>0</v>
      </c>
      <c r="CI61" s="2"/>
      <c r="CJ61" s="2"/>
      <c r="CK61" s="2"/>
      <c r="CL61" s="2"/>
      <c r="CM61" s="2">
        <v>0</v>
      </c>
      <c r="CN61" s="2"/>
      <c r="CO61" s="2"/>
      <c r="CP61" s="2"/>
      <c r="CQ61" s="2"/>
      <c r="CR61" s="2">
        <v>0</v>
      </c>
      <c r="CS61" s="2"/>
      <c r="CT61" s="2"/>
      <c r="CU61" s="2">
        <v>0</v>
      </c>
      <c r="CV61" s="2"/>
      <c r="CW61" s="2"/>
      <c r="CX61" s="2">
        <v>0</v>
      </c>
      <c r="CY61" s="2"/>
      <c r="CZ61" s="2"/>
      <c r="DA61" s="2"/>
      <c r="DB61" s="2"/>
      <c r="DC61" s="2">
        <v>0</v>
      </c>
      <c r="DD61" s="2"/>
      <c r="DE61" s="2"/>
      <c r="DF61" s="2">
        <v>0</v>
      </c>
      <c r="DG61" s="2"/>
      <c r="DH61" s="2"/>
      <c r="DI61" s="2"/>
      <c r="DJ61" s="2">
        <v>0</v>
      </c>
      <c r="DK61" s="2"/>
      <c r="DL61" s="2"/>
      <c r="DM61" s="2"/>
      <c r="DN61" s="2">
        <v>0</v>
      </c>
      <c r="DO61" s="2"/>
      <c r="DP61" s="2"/>
      <c r="DQ61" s="2">
        <v>1</v>
      </c>
      <c r="DR61" s="2"/>
      <c r="DS61" s="2"/>
      <c r="DT61" s="2">
        <v>3</v>
      </c>
    </row>
    <row r="62" spans="1:124" x14ac:dyDescent="0.25">
      <c r="A62" s="6" t="s">
        <v>154</v>
      </c>
      <c r="B62" s="2"/>
      <c r="C62" s="2">
        <v>0</v>
      </c>
      <c r="D62" s="2"/>
      <c r="E62" s="2"/>
      <c r="F62" s="2"/>
      <c r="G62" s="2">
        <v>0</v>
      </c>
      <c r="H62" s="2"/>
      <c r="I62" s="2">
        <v>0</v>
      </c>
      <c r="J62" s="2"/>
      <c r="K62" s="2">
        <v>1</v>
      </c>
      <c r="L62" s="2"/>
      <c r="M62" s="2">
        <v>0</v>
      </c>
      <c r="N62" s="2"/>
      <c r="O62" s="2"/>
      <c r="P62" s="2"/>
      <c r="Q62" s="2"/>
      <c r="R62" s="2">
        <v>0</v>
      </c>
      <c r="S62" s="2"/>
      <c r="T62" s="2"/>
      <c r="U62" s="2"/>
      <c r="V62" s="2">
        <v>0</v>
      </c>
      <c r="W62" s="2"/>
      <c r="X62" s="2"/>
      <c r="Y62" s="2"/>
      <c r="Z62" s="2"/>
      <c r="AA62" s="2">
        <v>0</v>
      </c>
      <c r="AB62" s="2"/>
      <c r="AC62" s="2"/>
      <c r="AD62" s="2"/>
      <c r="AE62" s="2"/>
      <c r="AF62" s="2">
        <v>0</v>
      </c>
      <c r="AG62" s="2"/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/>
      <c r="AQ62" s="2"/>
      <c r="AR62" s="2"/>
      <c r="AS62" s="2">
        <v>0</v>
      </c>
      <c r="AT62" s="2"/>
      <c r="AU62" s="2"/>
      <c r="AV62" s="2"/>
      <c r="AW62" s="2">
        <v>0</v>
      </c>
      <c r="AX62" s="2"/>
      <c r="AY62" s="2"/>
      <c r="AZ62" s="2">
        <v>0</v>
      </c>
      <c r="BA62" s="2"/>
      <c r="BB62" s="2"/>
      <c r="BC62" s="2"/>
      <c r="BD62" s="2"/>
      <c r="BE62" s="2"/>
      <c r="BF62" s="2">
        <v>0</v>
      </c>
      <c r="BG62" s="2"/>
      <c r="BH62" s="2"/>
      <c r="BI62" s="2">
        <v>0</v>
      </c>
      <c r="BJ62" s="2"/>
      <c r="BK62" s="2"/>
      <c r="BL62" s="2"/>
      <c r="BM62" s="2">
        <v>0</v>
      </c>
      <c r="BN62" s="2"/>
      <c r="BO62" s="2"/>
      <c r="BP62" s="2"/>
      <c r="BQ62" s="2">
        <v>1</v>
      </c>
      <c r="BR62" s="2"/>
      <c r="BS62" s="2"/>
      <c r="BT62" s="2"/>
      <c r="BU62" s="2"/>
      <c r="BV62" s="2"/>
      <c r="BW62" s="2">
        <v>0</v>
      </c>
      <c r="BX62" s="2"/>
      <c r="BY62" s="2"/>
      <c r="BZ62" s="2"/>
      <c r="CA62" s="2">
        <v>0</v>
      </c>
      <c r="CB62" s="2"/>
      <c r="CC62" s="2"/>
      <c r="CD62" s="2"/>
      <c r="CE62" s="2">
        <v>0</v>
      </c>
      <c r="CF62" s="2"/>
      <c r="CG62" s="2"/>
      <c r="CH62" s="2">
        <v>0</v>
      </c>
      <c r="CI62" s="2"/>
      <c r="CJ62" s="2"/>
      <c r="CK62" s="2"/>
      <c r="CL62" s="2"/>
      <c r="CM62" s="2">
        <v>0</v>
      </c>
      <c r="CN62" s="2"/>
      <c r="CO62" s="2"/>
      <c r="CP62" s="2"/>
      <c r="CQ62" s="2"/>
      <c r="CR62" s="2">
        <v>0</v>
      </c>
      <c r="CS62" s="2"/>
      <c r="CT62" s="2"/>
      <c r="CU62" s="2">
        <v>0</v>
      </c>
      <c r="CV62" s="2"/>
      <c r="CW62" s="2"/>
      <c r="CX62" s="2">
        <v>0</v>
      </c>
      <c r="CY62" s="2"/>
      <c r="CZ62" s="2"/>
      <c r="DA62" s="2"/>
      <c r="DB62" s="2"/>
      <c r="DC62" s="2">
        <v>0</v>
      </c>
      <c r="DD62" s="2"/>
      <c r="DE62" s="2"/>
      <c r="DF62" s="2">
        <v>0</v>
      </c>
      <c r="DG62" s="2"/>
      <c r="DH62" s="2"/>
      <c r="DI62" s="2"/>
      <c r="DJ62" s="2">
        <v>0</v>
      </c>
      <c r="DK62" s="2"/>
      <c r="DL62" s="2"/>
      <c r="DM62" s="2"/>
      <c r="DN62" s="2">
        <v>0</v>
      </c>
      <c r="DO62" s="2"/>
      <c r="DP62" s="2"/>
      <c r="DQ62" s="2">
        <v>0</v>
      </c>
      <c r="DR62" s="2"/>
      <c r="DS62" s="2"/>
      <c r="DT62" s="2">
        <v>2</v>
      </c>
    </row>
    <row r="63" spans="1:124" x14ac:dyDescent="0.25">
      <c r="A63" s="6" t="s">
        <v>156</v>
      </c>
      <c r="C63">
        <v>0</v>
      </c>
      <c r="G63">
        <v>0</v>
      </c>
      <c r="I63">
        <v>23</v>
      </c>
      <c r="K63">
        <v>0</v>
      </c>
      <c r="M63">
        <v>0</v>
      </c>
      <c r="R63">
        <v>0</v>
      </c>
      <c r="V63">
        <v>0</v>
      </c>
      <c r="AA63">
        <v>0</v>
      </c>
      <c r="AF63">
        <v>0</v>
      </c>
      <c r="AK63">
        <v>0</v>
      </c>
      <c r="AO63">
        <v>0</v>
      </c>
      <c r="AS63">
        <v>0</v>
      </c>
      <c r="AW63">
        <v>0</v>
      </c>
      <c r="AZ63">
        <v>0</v>
      </c>
      <c r="BF63">
        <v>0</v>
      </c>
      <c r="BI63">
        <v>0</v>
      </c>
      <c r="BM63">
        <v>0</v>
      </c>
      <c r="BQ63">
        <v>0</v>
      </c>
      <c r="BW63">
        <v>0</v>
      </c>
      <c r="CA63">
        <v>0</v>
      </c>
      <c r="CE63">
        <v>0</v>
      </c>
      <c r="CH63">
        <v>0</v>
      </c>
      <c r="CM63">
        <v>0</v>
      </c>
      <c r="CR63">
        <v>0</v>
      </c>
      <c r="CU63">
        <v>0</v>
      </c>
      <c r="CX63">
        <v>0</v>
      </c>
      <c r="DC63">
        <v>0</v>
      </c>
      <c r="DF63">
        <v>0</v>
      </c>
      <c r="DJ63">
        <v>0</v>
      </c>
      <c r="DN63">
        <v>0</v>
      </c>
      <c r="DQ63">
        <v>18</v>
      </c>
      <c r="DT63">
        <v>41</v>
      </c>
    </row>
    <row r="64" spans="1:124" x14ac:dyDescent="0.25">
      <c r="A64" s="6" t="s">
        <v>158</v>
      </c>
      <c r="C64">
        <v>0</v>
      </c>
      <c r="G64">
        <v>68</v>
      </c>
      <c r="I64">
        <v>0</v>
      </c>
      <c r="K64">
        <v>0</v>
      </c>
      <c r="M64">
        <v>0</v>
      </c>
      <c r="R64">
        <v>6</v>
      </c>
      <c r="V64">
        <v>0</v>
      </c>
      <c r="AA64">
        <v>0</v>
      </c>
      <c r="AF64">
        <v>32</v>
      </c>
      <c r="AK64">
        <v>0</v>
      </c>
      <c r="AO64">
        <v>0</v>
      </c>
      <c r="AS64">
        <v>0</v>
      </c>
      <c r="AW64">
        <v>0</v>
      </c>
      <c r="AZ64">
        <v>0</v>
      </c>
      <c r="BF64">
        <v>60</v>
      </c>
      <c r="BI64">
        <v>0</v>
      </c>
      <c r="BM64">
        <v>0</v>
      </c>
      <c r="BQ64">
        <v>0</v>
      </c>
      <c r="BW64">
        <v>0</v>
      </c>
      <c r="CA64">
        <v>18</v>
      </c>
      <c r="CE64">
        <v>6</v>
      </c>
      <c r="CH64">
        <v>0</v>
      </c>
      <c r="CM64">
        <v>0</v>
      </c>
      <c r="CR64">
        <v>0</v>
      </c>
      <c r="CU64">
        <v>0</v>
      </c>
      <c r="CX64">
        <v>0</v>
      </c>
      <c r="DC64">
        <v>0</v>
      </c>
      <c r="DF64">
        <v>0</v>
      </c>
      <c r="DJ64">
        <v>0</v>
      </c>
      <c r="DN64">
        <v>8</v>
      </c>
      <c r="DQ64">
        <v>0</v>
      </c>
      <c r="DT64">
        <v>198</v>
      </c>
    </row>
    <row r="65" spans="1:124" x14ac:dyDescent="0.25">
      <c r="A65" s="6" t="s">
        <v>160</v>
      </c>
      <c r="C65">
        <v>0</v>
      </c>
      <c r="G65">
        <v>10</v>
      </c>
      <c r="I65">
        <v>0</v>
      </c>
      <c r="K65">
        <v>0</v>
      </c>
      <c r="M65">
        <v>0</v>
      </c>
      <c r="R65">
        <v>0</v>
      </c>
      <c r="V65">
        <v>0</v>
      </c>
      <c r="AA65">
        <v>0</v>
      </c>
      <c r="AF65">
        <v>3</v>
      </c>
      <c r="AK65">
        <v>0</v>
      </c>
      <c r="AO65">
        <v>0</v>
      </c>
      <c r="AS65">
        <v>0</v>
      </c>
      <c r="AW65">
        <v>1</v>
      </c>
      <c r="AZ65">
        <v>0</v>
      </c>
      <c r="BF65">
        <v>0</v>
      </c>
      <c r="BI65">
        <v>0</v>
      </c>
      <c r="BM65">
        <v>0</v>
      </c>
      <c r="BQ65">
        <v>0</v>
      </c>
      <c r="BW65">
        <v>0</v>
      </c>
      <c r="CA65">
        <v>4</v>
      </c>
      <c r="CE65">
        <v>0</v>
      </c>
      <c r="CH65">
        <v>0</v>
      </c>
      <c r="CM65">
        <v>0</v>
      </c>
      <c r="CR65">
        <v>0</v>
      </c>
      <c r="CU65">
        <v>0</v>
      </c>
      <c r="CX65">
        <v>0</v>
      </c>
      <c r="DC65">
        <v>0</v>
      </c>
      <c r="DF65">
        <v>0</v>
      </c>
      <c r="DJ65">
        <v>0</v>
      </c>
      <c r="DN65">
        <v>0</v>
      </c>
      <c r="DQ65">
        <v>0</v>
      </c>
      <c r="DT65">
        <v>18</v>
      </c>
    </row>
    <row r="66" spans="1:124" x14ac:dyDescent="0.25">
      <c r="A66" s="6" t="s">
        <v>162</v>
      </c>
      <c r="C66">
        <v>0</v>
      </c>
      <c r="G66">
        <v>0</v>
      </c>
      <c r="I66">
        <v>0</v>
      </c>
      <c r="K66">
        <v>0</v>
      </c>
      <c r="M66">
        <v>0</v>
      </c>
      <c r="R66">
        <v>0</v>
      </c>
      <c r="V66">
        <v>0</v>
      </c>
      <c r="AA66">
        <v>0</v>
      </c>
      <c r="AF66">
        <v>0</v>
      </c>
      <c r="AK66">
        <v>0</v>
      </c>
      <c r="AO66">
        <v>0</v>
      </c>
      <c r="AS66">
        <v>0</v>
      </c>
      <c r="AW66">
        <v>0</v>
      </c>
      <c r="AZ66">
        <v>0</v>
      </c>
      <c r="BF66">
        <v>0</v>
      </c>
      <c r="BI66">
        <v>0</v>
      </c>
      <c r="BM66">
        <v>0</v>
      </c>
      <c r="BQ66">
        <v>0</v>
      </c>
      <c r="BW66">
        <v>0</v>
      </c>
      <c r="CA66">
        <v>0</v>
      </c>
      <c r="CE66">
        <v>0</v>
      </c>
      <c r="CH66">
        <v>0</v>
      </c>
      <c r="CM66">
        <v>0</v>
      </c>
      <c r="CR66">
        <v>0</v>
      </c>
      <c r="CU66">
        <v>0</v>
      </c>
      <c r="CX66">
        <v>0</v>
      </c>
      <c r="DC66">
        <v>0</v>
      </c>
      <c r="DF66">
        <v>0</v>
      </c>
      <c r="DJ66">
        <v>0</v>
      </c>
      <c r="DN66">
        <v>0</v>
      </c>
      <c r="DQ66">
        <v>0</v>
      </c>
      <c r="DT66">
        <v>0</v>
      </c>
    </row>
    <row r="67" spans="1:124" x14ac:dyDescent="0.25">
      <c r="A67" s="6" t="s">
        <v>164</v>
      </c>
      <c r="C67">
        <v>0</v>
      </c>
      <c r="G67">
        <v>0</v>
      </c>
      <c r="I67">
        <v>0</v>
      </c>
      <c r="K67">
        <v>0</v>
      </c>
      <c r="M67">
        <v>0</v>
      </c>
      <c r="R67">
        <v>0</v>
      </c>
      <c r="V67">
        <v>0</v>
      </c>
      <c r="AA67">
        <v>0</v>
      </c>
      <c r="AF67">
        <v>0</v>
      </c>
      <c r="AK67">
        <v>0</v>
      </c>
      <c r="AO67">
        <v>0</v>
      </c>
      <c r="AS67">
        <v>0</v>
      </c>
      <c r="AW67">
        <v>0</v>
      </c>
      <c r="AZ67">
        <v>0</v>
      </c>
      <c r="BF67">
        <v>0</v>
      </c>
      <c r="BI67">
        <v>0</v>
      </c>
      <c r="BM67">
        <v>0</v>
      </c>
      <c r="BQ67">
        <v>0</v>
      </c>
      <c r="BW67">
        <v>0</v>
      </c>
      <c r="CA67">
        <v>0</v>
      </c>
      <c r="CE67">
        <v>0</v>
      </c>
      <c r="CH67">
        <v>0</v>
      </c>
      <c r="CM67">
        <v>0</v>
      </c>
      <c r="CR67">
        <v>0</v>
      </c>
      <c r="CU67">
        <v>0</v>
      </c>
      <c r="CX67">
        <v>0</v>
      </c>
      <c r="DC67">
        <v>0</v>
      </c>
      <c r="DF67">
        <v>0</v>
      </c>
      <c r="DJ67">
        <v>0</v>
      </c>
      <c r="DN67">
        <v>0</v>
      </c>
      <c r="DQ67">
        <v>0</v>
      </c>
      <c r="DT67">
        <v>0</v>
      </c>
    </row>
    <row r="68" spans="1:124" x14ac:dyDescent="0.25">
      <c r="A68" s="6" t="s">
        <v>166</v>
      </c>
      <c r="C68">
        <v>0</v>
      </c>
      <c r="G68">
        <v>0</v>
      </c>
      <c r="I68">
        <v>0</v>
      </c>
      <c r="K68">
        <v>0</v>
      </c>
      <c r="M68">
        <v>0</v>
      </c>
      <c r="R68">
        <v>0</v>
      </c>
      <c r="V68">
        <v>0</v>
      </c>
      <c r="AA68">
        <v>0</v>
      </c>
      <c r="AF68">
        <v>0</v>
      </c>
      <c r="AK68">
        <v>0</v>
      </c>
      <c r="AO68">
        <v>0</v>
      </c>
      <c r="AS68">
        <v>0</v>
      </c>
      <c r="AW68">
        <v>0</v>
      </c>
      <c r="AZ68">
        <v>0</v>
      </c>
      <c r="BF68">
        <v>0</v>
      </c>
      <c r="BI68">
        <v>0</v>
      </c>
      <c r="BM68">
        <v>0</v>
      </c>
      <c r="BQ68">
        <v>0</v>
      </c>
      <c r="BW68">
        <v>0</v>
      </c>
      <c r="CA68">
        <v>0</v>
      </c>
      <c r="CE68">
        <v>0</v>
      </c>
      <c r="CH68">
        <v>0</v>
      </c>
      <c r="CM68">
        <v>0</v>
      </c>
      <c r="CR68">
        <v>0</v>
      </c>
      <c r="CU68">
        <v>0</v>
      </c>
      <c r="CX68">
        <v>0</v>
      </c>
      <c r="DC68">
        <v>0</v>
      </c>
      <c r="DF68">
        <v>0</v>
      </c>
      <c r="DJ68">
        <v>0</v>
      </c>
      <c r="DN68">
        <v>0</v>
      </c>
      <c r="DQ68">
        <v>0</v>
      </c>
      <c r="DT68">
        <v>0</v>
      </c>
    </row>
    <row r="69" spans="1:124" x14ac:dyDescent="0.25">
      <c r="A69" s="5" t="s">
        <v>57</v>
      </c>
    </row>
    <row r="70" spans="1:124" x14ac:dyDescent="0.25">
      <c r="A70" s="6" t="s">
        <v>131</v>
      </c>
      <c r="C70">
        <v>36</v>
      </c>
      <c r="G70">
        <v>0</v>
      </c>
      <c r="J70">
        <v>0</v>
      </c>
      <c r="L70">
        <v>0</v>
      </c>
      <c r="M70">
        <v>11</v>
      </c>
      <c r="R70">
        <v>28</v>
      </c>
      <c r="U70">
        <v>0</v>
      </c>
      <c r="AA70">
        <v>40</v>
      </c>
      <c r="AF70">
        <v>28</v>
      </c>
      <c r="AI70">
        <v>0</v>
      </c>
      <c r="AM70">
        <v>0</v>
      </c>
      <c r="AR70">
        <v>0</v>
      </c>
      <c r="AW70">
        <v>28</v>
      </c>
      <c r="BB70">
        <v>0</v>
      </c>
      <c r="BF70">
        <v>2</v>
      </c>
      <c r="BJ70">
        <v>0</v>
      </c>
      <c r="BO70">
        <v>0</v>
      </c>
      <c r="BS70">
        <v>0</v>
      </c>
      <c r="BV70">
        <v>6</v>
      </c>
      <c r="CA70">
        <v>20</v>
      </c>
      <c r="CD70">
        <v>0</v>
      </c>
      <c r="CI70">
        <v>22</v>
      </c>
      <c r="CY70">
        <v>0</v>
      </c>
      <c r="DC70">
        <v>20</v>
      </c>
      <c r="DG70">
        <v>34</v>
      </c>
      <c r="DJ70">
        <v>22</v>
      </c>
      <c r="DN70">
        <v>28</v>
      </c>
      <c r="DS70">
        <v>0</v>
      </c>
      <c r="DT70">
        <v>325</v>
      </c>
    </row>
    <row r="71" spans="1:124" x14ac:dyDescent="0.25">
      <c r="A71" s="6" t="s">
        <v>134</v>
      </c>
      <c r="B71" s="2"/>
      <c r="C71" s="2">
        <v>0</v>
      </c>
      <c r="D71" s="2"/>
      <c r="E71" s="2"/>
      <c r="F71" s="2"/>
      <c r="G71" s="2">
        <v>0</v>
      </c>
      <c r="H71" s="2"/>
      <c r="I71" s="2"/>
      <c r="J71" s="2">
        <v>0</v>
      </c>
      <c r="K71" s="2"/>
      <c r="L71" s="2">
        <v>0</v>
      </c>
      <c r="M71" s="2">
        <v>0</v>
      </c>
      <c r="N71" s="2"/>
      <c r="O71" s="2"/>
      <c r="P71" s="2"/>
      <c r="Q71" s="2"/>
      <c r="R71" s="2">
        <v>0</v>
      </c>
      <c r="S71" s="2"/>
      <c r="T71" s="2"/>
      <c r="U71" s="2">
        <v>0</v>
      </c>
      <c r="V71" s="2"/>
      <c r="W71" s="2"/>
      <c r="X71" s="2"/>
      <c r="Y71" s="2"/>
      <c r="Z71" s="2"/>
      <c r="AA71" s="2">
        <v>0</v>
      </c>
      <c r="AB71" s="2"/>
      <c r="AC71" s="2"/>
      <c r="AD71" s="2"/>
      <c r="AE71" s="2"/>
      <c r="AF71" s="2">
        <v>0</v>
      </c>
      <c r="AG71" s="2"/>
      <c r="AH71" s="2"/>
      <c r="AI71" s="2">
        <v>0</v>
      </c>
      <c r="AJ71" s="2"/>
      <c r="AK71" s="2"/>
      <c r="AL71" s="2"/>
      <c r="AM71" s="2">
        <v>0</v>
      </c>
      <c r="AN71" s="2"/>
      <c r="AO71" s="2"/>
      <c r="AP71" s="2"/>
      <c r="AQ71" s="2"/>
      <c r="AR71" s="2">
        <v>0</v>
      </c>
      <c r="AS71" s="2"/>
      <c r="AT71" s="2"/>
      <c r="AU71" s="2"/>
      <c r="AV71" s="2"/>
      <c r="AW71" s="2">
        <v>0</v>
      </c>
      <c r="AX71" s="2"/>
      <c r="AY71" s="2"/>
      <c r="AZ71" s="2"/>
      <c r="BA71" s="2"/>
      <c r="BB71" s="2">
        <v>0</v>
      </c>
      <c r="BC71" s="2"/>
      <c r="BD71" s="2"/>
      <c r="BE71" s="2"/>
      <c r="BF71" s="2">
        <v>0</v>
      </c>
      <c r="BG71" s="2"/>
      <c r="BH71" s="2"/>
      <c r="BI71" s="2"/>
      <c r="BJ71" s="2">
        <v>0</v>
      </c>
      <c r="BK71" s="2"/>
      <c r="BL71" s="2"/>
      <c r="BM71" s="2"/>
      <c r="BN71" s="2"/>
      <c r="BO71" s="2">
        <v>0</v>
      </c>
      <c r="BP71" s="2"/>
      <c r="BQ71" s="2"/>
      <c r="BR71" s="2"/>
      <c r="BS71" s="2">
        <v>0</v>
      </c>
      <c r="BT71" s="2"/>
      <c r="BU71" s="2"/>
      <c r="BV71" s="2">
        <v>0</v>
      </c>
      <c r="BW71" s="2"/>
      <c r="BX71" s="2"/>
      <c r="BY71" s="2"/>
      <c r="BZ71" s="2"/>
      <c r="CA71" s="2">
        <v>0</v>
      </c>
      <c r="CB71" s="2"/>
      <c r="CC71" s="2"/>
      <c r="CD71" s="2">
        <v>0</v>
      </c>
      <c r="CE71" s="2"/>
      <c r="CF71" s="2"/>
      <c r="CG71" s="2"/>
      <c r="CH71" s="2"/>
      <c r="CI71" s="2">
        <v>0</v>
      </c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>
        <v>0</v>
      </c>
      <c r="CZ71" s="2"/>
      <c r="DA71" s="2"/>
      <c r="DB71" s="2"/>
      <c r="DC71" s="2">
        <v>0</v>
      </c>
      <c r="DD71" s="2"/>
      <c r="DE71" s="2"/>
      <c r="DF71" s="2"/>
      <c r="DG71" s="2">
        <v>0</v>
      </c>
      <c r="DH71" s="2"/>
      <c r="DI71" s="2"/>
      <c r="DJ71" s="2">
        <v>0</v>
      </c>
      <c r="DK71" s="2"/>
      <c r="DL71" s="2"/>
      <c r="DM71" s="2"/>
      <c r="DN71" s="2">
        <v>0</v>
      </c>
      <c r="DO71" s="2"/>
      <c r="DP71" s="2"/>
      <c r="DQ71" s="2"/>
      <c r="DR71" s="2"/>
      <c r="DS71" s="2">
        <v>0</v>
      </c>
      <c r="DT71" s="2">
        <v>0</v>
      </c>
    </row>
    <row r="72" spans="1:124" x14ac:dyDescent="0.25">
      <c r="A72" s="6" t="s">
        <v>136</v>
      </c>
      <c r="B72" s="2"/>
      <c r="C72" s="2">
        <v>0</v>
      </c>
      <c r="D72" s="2"/>
      <c r="E72" s="2"/>
      <c r="F72" s="2"/>
      <c r="G72" s="2">
        <v>0</v>
      </c>
      <c r="H72" s="2"/>
      <c r="I72" s="2"/>
      <c r="J72" s="2">
        <v>0</v>
      </c>
      <c r="K72" s="2"/>
      <c r="L72" s="2">
        <v>0</v>
      </c>
      <c r="M72" s="2">
        <v>0</v>
      </c>
      <c r="N72" s="2"/>
      <c r="O72" s="2"/>
      <c r="P72" s="2"/>
      <c r="Q72" s="2"/>
      <c r="R72" s="2">
        <v>0</v>
      </c>
      <c r="S72" s="2"/>
      <c r="T72" s="2"/>
      <c r="U72" s="2">
        <v>0</v>
      </c>
      <c r="V72" s="2"/>
      <c r="W72" s="2"/>
      <c r="X72" s="2"/>
      <c r="Y72" s="2"/>
      <c r="Z72" s="2"/>
      <c r="AA72" s="2">
        <v>0</v>
      </c>
      <c r="AB72" s="2"/>
      <c r="AC72" s="2"/>
      <c r="AD72" s="2"/>
      <c r="AE72" s="2"/>
      <c r="AF72" s="2">
        <v>0</v>
      </c>
      <c r="AG72" s="2"/>
      <c r="AH72" s="2"/>
      <c r="AI72" s="2">
        <v>0</v>
      </c>
      <c r="AJ72" s="2"/>
      <c r="AK72" s="2"/>
      <c r="AL72" s="2"/>
      <c r="AM72" s="2">
        <v>0</v>
      </c>
      <c r="AN72" s="2"/>
      <c r="AO72" s="2"/>
      <c r="AP72" s="2"/>
      <c r="AQ72" s="2"/>
      <c r="AR72" s="2">
        <v>0</v>
      </c>
      <c r="AS72" s="2"/>
      <c r="AT72" s="2"/>
      <c r="AU72" s="2"/>
      <c r="AV72" s="2"/>
      <c r="AW72" s="2">
        <v>0</v>
      </c>
      <c r="AX72" s="2"/>
      <c r="AY72" s="2"/>
      <c r="AZ72" s="2"/>
      <c r="BA72" s="2"/>
      <c r="BB72" s="2">
        <v>0</v>
      </c>
      <c r="BC72" s="2"/>
      <c r="BD72" s="2"/>
      <c r="BE72" s="2"/>
      <c r="BF72" s="2">
        <v>0</v>
      </c>
      <c r="BG72" s="2"/>
      <c r="BH72" s="2"/>
      <c r="BI72" s="2"/>
      <c r="BJ72" s="2">
        <v>0</v>
      </c>
      <c r="BK72" s="2"/>
      <c r="BL72" s="2"/>
      <c r="BM72" s="2"/>
      <c r="BN72" s="2"/>
      <c r="BO72" s="2">
        <v>0</v>
      </c>
      <c r="BP72" s="2"/>
      <c r="BQ72" s="2"/>
      <c r="BR72" s="2"/>
      <c r="BS72" s="2">
        <v>0</v>
      </c>
      <c r="BT72" s="2"/>
      <c r="BU72" s="2"/>
      <c r="BV72" s="2">
        <v>0</v>
      </c>
      <c r="BW72" s="2"/>
      <c r="BX72" s="2"/>
      <c r="BY72" s="2"/>
      <c r="BZ72" s="2"/>
      <c r="CA72" s="2">
        <v>0</v>
      </c>
      <c r="CB72" s="2"/>
      <c r="CC72" s="2"/>
      <c r="CD72" s="2">
        <v>0</v>
      </c>
      <c r="CE72" s="2"/>
      <c r="CF72" s="2"/>
      <c r="CG72" s="2"/>
      <c r="CH72" s="2"/>
      <c r="CI72" s="2">
        <v>0</v>
      </c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>
        <v>0</v>
      </c>
      <c r="CZ72" s="2"/>
      <c r="DA72" s="2"/>
      <c r="DB72" s="2"/>
      <c r="DC72" s="2">
        <v>0</v>
      </c>
      <c r="DD72" s="2"/>
      <c r="DE72" s="2"/>
      <c r="DF72" s="2"/>
      <c r="DG72" s="2">
        <v>0</v>
      </c>
      <c r="DH72" s="2"/>
      <c r="DI72" s="2"/>
      <c r="DJ72" s="2">
        <v>0</v>
      </c>
      <c r="DK72" s="2"/>
      <c r="DL72" s="2"/>
      <c r="DM72" s="2"/>
      <c r="DN72" s="2">
        <v>0</v>
      </c>
      <c r="DO72" s="2"/>
      <c r="DP72" s="2"/>
      <c r="DQ72" s="2"/>
      <c r="DR72" s="2"/>
      <c r="DS72" s="2">
        <v>0</v>
      </c>
      <c r="DT72" s="2">
        <v>0</v>
      </c>
    </row>
    <row r="73" spans="1:124" x14ac:dyDescent="0.25">
      <c r="A73" s="6" t="s">
        <v>138</v>
      </c>
      <c r="B73" s="2"/>
      <c r="C73" s="2">
        <v>1</v>
      </c>
      <c r="D73" s="2"/>
      <c r="E73" s="2"/>
      <c r="F73" s="2"/>
      <c r="G73" s="2">
        <v>0</v>
      </c>
      <c r="H73" s="2"/>
      <c r="I73" s="2"/>
      <c r="J73" s="2">
        <v>0</v>
      </c>
      <c r="K73" s="2"/>
      <c r="L73" s="2">
        <v>0</v>
      </c>
      <c r="M73" s="2">
        <v>0</v>
      </c>
      <c r="N73" s="2"/>
      <c r="O73" s="2"/>
      <c r="P73" s="2"/>
      <c r="Q73" s="2"/>
      <c r="R73" s="2">
        <v>1</v>
      </c>
      <c r="S73" s="2"/>
      <c r="T73" s="2"/>
      <c r="U73" s="2">
        <v>0</v>
      </c>
      <c r="V73" s="2"/>
      <c r="W73" s="2"/>
      <c r="X73" s="2"/>
      <c r="Y73" s="2"/>
      <c r="Z73" s="2"/>
      <c r="AA73" s="2">
        <v>1</v>
      </c>
      <c r="AB73" s="2"/>
      <c r="AC73" s="2"/>
      <c r="AD73" s="2"/>
      <c r="AE73" s="2"/>
      <c r="AF73" s="2">
        <v>1</v>
      </c>
      <c r="AG73" s="2"/>
      <c r="AH73" s="2"/>
      <c r="AI73" s="2">
        <v>0</v>
      </c>
      <c r="AJ73" s="2"/>
      <c r="AK73" s="2"/>
      <c r="AL73" s="2"/>
      <c r="AM73" s="2">
        <v>0</v>
      </c>
      <c r="AN73" s="2"/>
      <c r="AO73" s="2"/>
      <c r="AP73" s="2"/>
      <c r="AQ73" s="2"/>
      <c r="AR73" s="2">
        <v>0</v>
      </c>
      <c r="AS73" s="2"/>
      <c r="AT73" s="2"/>
      <c r="AU73" s="2"/>
      <c r="AV73" s="2"/>
      <c r="AW73" s="2">
        <v>1</v>
      </c>
      <c r="AX73" s="2"/>
      <c r="AY73" s="2"/>
      <c r="AZ73" s="2"/>
      <c r="BA73" s="2"/>
      <c r="BB73" s="2">
        <v>0</v>
      </c>
      <c r="BC73" s="2"/>
      <c r="BD73" s="2"/>
      <c r="BE73" s="2"/>
      <c r="BF73" s="2">
        <v>0</v>
      </c>
      <c r="BG73" s="2"/>
      <c r="BH73" s="2"/>
      <c r="BI73" s="2"/>
      <c r="BJ73" s="2">
        <v>0</v>
      </c>
      <c r="BK73" s="2"/>
      <c r="BL73" s="2"/>
      <c r="BM73" s="2"/>
      <c r="BN73" s="2"/>
      <c r="BO73" s="2">
        <v>0</v>
      </c>
      <c r="BP73" s="2"/>
      <c r="BQ73" s="2"/>
      <c r="BR73" s="2"/>
      <c r="BS73" s="2">
        <v>0</v>
      </c>
      <c r="BT73" s="2"/>
      <c r="BU73" s="2"/>
      <c r="BV73" s="2">
        <v>0</v>
      </c>
      <c r="BW73" s="2"/>
      <c r="BX73" s="2"/>
      <c r="BY73" s="2"/>
      <c r="BZ73" s="2"/>
      <c r="CA73" s="2">
        <v>0</v>
      </c>
      <c r="CB73" s="2"/>
      <c r="CC73" s="2"/>
      <c r="CD73" s="2">
        <v>0</v>
      </c>
      <c r="CE73" s="2"/>
      <c r="CF73" s="2"/>
      <c r="CG73" s="2"/>
      <c r="CH73" s="2"/>
      <c r="CI73" s="2">
        <v>0</v>
      </c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>
        <v>0</v>
      </c>
      <c r="CZ73" s="2"/>
      <c r="DA73" s="2"/>
      <c r="DB73" s="2"/>
      <c r="DC73" s="2">
        <v>0</v>
      </c>
      <c r="DD73" s="2"/>
      <c r="DE73" s="2"/>
      <c r="DF73" s="2"/>
      <c r="DG73" s="2">
        <v>1</v>
      </c>
      <c r="DH73" s="2"/>
      <c r="DI73" s="2"/>
      <c r="DJ73" s="2">
        <v>0</v>
      </c>
      <c r="DK73" s="2"/>
      <c r="DL73" s="2"/>
      <c r="DM73" s="2"/>
      <c r="DN73" s="2">
        <v>1</v>
      </c>
      <c r="DO73" s="2"/>
      <c r="DP73" s="2"/>
      <c r="DQ73" s="2"/>
      <c r="DR73" s="2"/>
      <c r="DS73" s="2">
        <v>0</v>
      </c>
      <c r="DT73" s="2">
        <v>7</v>
      </c>
    </row>
    <row r="74" spans="1:124" x14ac:dyDescent="0.25">
      <c r="A74" s="6" t="s">
        <v>140</v>
      </c>
      <c r="B74" s="2"/>
      <c r="C74" s="2">
        <v>0</v>
      </c>
      <c r="D74" s="2"/>
      <c r="E74" s="2"/>
      <c r="F74" s="2"/>
      <c r="G74" s="2">
        <v>0</v>
      </c>
      <c r="H74" s="2"/>
      <c r="I74" s="2"/>
      <c r="J74" s="2">
        <v>0</v>
      </c>
      <c r="K74" s="2"/>
      <c r="L74" s="2">
        <v>0</v>
      </c>
      <c r="M74" s="2">
        <v>0</v>
      </c>
      <c r="N74" s="2"/>
      <c r="O74" s="2"/>
      <c r="P74" s="2"/>
      <c r="Q74" s="2"/>
      <c r="R74" s="2">
        <v>0</v>
      </c>
      <c r="S74" s="2"/>
      <c r="T74" s="2"/>
      <c r="U74" s="2">
        <v>0</v>
      </c>
      <c r="V74" s="2"/>
      <c r="W74" s="2"/>
      <c r="X74" s="2"/>
      <c r="Y74" s="2"/>
      <c r="Z74" s="2"/>
      <c r="AA74" s="2">
        <v>0</v>
      </c>
      <c r="AB74" s="2"/>
      <c r="AC74" s="2"/>
      <c r="AD74" s="2"/>
      <c r="AE74" s="2"/>
      <c r="AF74" s="2">
        <v>0</v>
      </c>
      <c r="AG74" s="2"/>
      <c r="AH74" s="2"/>
      <c r="AI74" s="2">
        <v>0</v>
      </c>
      <c r="AJ74" s="2"/>
      <c r="AK74" s="2"/>
      <c r="AL74" s="2"/>
      <c r="AM74" s="2">
        <v>0</v>
      </c>
      <c r="AN74" s="2"/>
      <c r="AO74" s="2"/>
      <c r="AP74" s="2"/>
      <c r="AQ74" s="2"/>
      <c r="AR74" s="2">
        <v>0</v>
      </c>
      <c r="AS74" s="2"/>
      <c r="AT74" s="2"/>
      <c r="AU74" s="2"/>
      <c r="AV74" s="2"/>
      <c r="AW74" s="2">
        <v>0</v>
      </c>
      <c r="AX74" s="2"/>
      <c r="AY74" s="2"/>
      <c r="AZ74" s="2"/>
      <c r="BA74" s="2"/>
      <c r="BB74" s="2">
        <v>0</v>
      </c>
      <c r="BC74" s="2"/>
      <c r="BD74" s="2"/>
      <c r="BE74" s="2"/>
      <c r="BF74" s="2">
        <v>0</v>
      </c>
      <c r="BG74" s="2"/>
      <c r="BH74" s="2"/>
      <c r="BI74" s="2"/>
      <c r="BJ74" s="2">
        <v>0</v>
      </c>
      <c r="BK74" s="2"/>
      <c r="BL74" s="2"/>
      <c r="BM74" s="2"/>
      <c r="BN74" s="2"/>
      <c r="BO74" s="2">
        <v>0</v>
      </c>
      <c r="BP74" s="2"/>
      <c r="BQ74" s="2"/>
      <c r="BR74" s="2"/>
      <c r="BS74" s="2">
        <v>0</v>
      </c>
      <c r="BT74" s="2"/>
      <c r="BU74" s="2"/>
      <c r="BV74" s="2">
        <v>0</v>
      </c>
      <c r="BW74" s="2"/>
      <c r="BX74" s="2"/>
      <c r="BY74" s="2"/>
      <c r="BZ74" s="2"/>
      <c r="CA74" s="2">
        <v>1</v>
      </c>
      <c r="CB74" s="2"/>
      <c r="CC74" s="2"/>
      <c r="CD74" s="2">
        <v>0</v>
      </c>
      <c r="CE74" s="2"/>
      <c r="CF74" s="2"/>
      <c r="CG74" s="2"/>
      <c r="CH74" s="2"/>
      <c r="CI74" s="2">
        <v>1</v>
      </c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>
        <v>0</v>
      </c>
      <c r="CZ74" s="2"/>
      <c r="DA74" s="2"/>
      <c r="DB74" s="2"/>
      <c r="DC74" s="2">
        <v>1</v>
      </c>
      <c r="DD74" s="2"/>
      <c r="DE74" s="2"/>
      <c r="DF74" s="2"/>
      <c r="DG74" s="2">
        <v>0</v>
      </c>
      <c r="DH74" s="2"/>
      <c r="DI74" s="2"/>
      <c r="DJ74" s="2">
        <v>1</v>
      </c>
      <c r="DK74" s="2"/>
      <c r="DL74" s="2"/>
      <c r="DM74" s="2"/>
      <c r="DN74" s="2">
        <v>0</v>
      </c>
      <c r="DO74" s="2"/>
      <c r="DP74" s="2"/>
      <c r="DQ74" s="2"/>
      <c r="DR74" s="2"/>
      <c r="DS74" s="2">
        <v>0</v>
      </c>
      <c r="DT74" s="2">
        <v>4</v>
      </c>
    </row>
    <row r="75" spans="1:124" x14ac:dyDescent="0.25">
      <c r="A75" s="6" t="s">
        <v>142</v>
      </c>
      <c r="C75">
        <v>0</v>
      </c>
      <c r="G75">
        <v>2</v>
      </c>
      <c r="J75">
        <v>0</v>
      </c>
      <c r="L75">
        <v>0</v>
      </c>
      <c r="M75">
        <v>0</v>
      </c>
      <c r="R75">
        <v>0</v>
      </c>
      <c r="U75">
        <v>0</v>
      </c>
      <c r="AA75">
        <v>0</v>
      </c>
      <c r="AF75">
        <v>0</v>
      </c>
      <c r="AI75">
        <v>0</v>
      </c>
      <c r="AM75">
        <v>0</v>
      </c>
      <c r="AR75">
        <v>0</v>
      </c>
      <c r="AW75">
        <v>0</v>
      </c>
      <c r="BB75">
        <v>0</v>
      </c>
      <c r="BF75">
        <v>0</v>
      </c>
      <c r="BJ75">
        <v>0</v>
      </c>
      <c r="BO75">
        <v>0</v>
      </c>
      <c r="BS75">
        <v>0</v>
      </c>
      <c r="BV75">
        <v>1</v>
      </c>
      <c r="CA75">
        <v>0</v>
      </c>
      <c r="CD75">
        <v>0</v>
      </c>
      <c r="CI75">
        <v>0</v>
      </c>
      <c r="CY75">
        <v>0</v>
      </c>
      <c r="DC75">
        <v>0</v>
      </c>
      <c r="DG75">
        <v>0</v>
      </c>
      <c r="DJ75">
        <v>0</v>
      </c>
      <c r="DN75">
        <v>0</v>
      </c>
      <c r="DS75">
        <v>0</v>
      </c>
      <c r="DT75">
        <v>3</v>
      </c>
    </row>
    <row r="76" spans="1:124" x14ac:dyDescent="0.25">
      <c r="A76" s="6" t="s">
        <v>144</v>
      </c>
      <c r="C76">
        <v>0</v>
      </c>
      <c r="G76">
        <v>0</v>
      </c>
      <c r="J76">
        <v>0</v>
      </c>
      <c r="L76">
        <v>0</v>
      </c>
      <c r="M76">
        <v>0</v>
      </c>
      <c r="R76">
        <v>0</v>
      </c>
      <c r="U76">
        <v>0</v>
      </c>
      <c r="AA76">
        <v>0</v>
      </c>
      <c r="AF76">
        <v>0</v>
      </c>
      <c r="AI76">
        <v>0</v>
      </c>
      <c r="AM76">
        <v>0</v>
      </c>
      <c r="AR76">
        <v>0</v>
      </c>
      <c r="AW76">
        <v>0</v>
      </c>
      <c r="BB76">
        <v>0</v>
      </c>
      <c r="BF76">
        <v>0</v>
      </c>
      <c r="BJ76">
        <v>0</v>
      </c>
      <c r="BO76">
        <v>0</v>
      </c>
      <c r="BS76">
        <v>0</v>
      </c>
      <c r="BV76">
        <v>0</v>
      </c>
      <c r="CA76">
        <v>1</v>
      </c>
      <c r="CD76">
        <v>0</v>
      </c>
      <c r="CI76">
        <v>1</v>
      </c>
      <c r="CY76">
        <v>0</v>
      </c>
      <c r="DC76">
        <v>0</v>
      </c>
      <c r="DG76">
        <v>0</v>
      </c>
      <c r="DJ76">
        <v>0</v>
      </c>
      <c r="DN76">
        <v>0</v>
      </c>
      <c r="DS76">
        <v>0</v>
      </c>
      <c r="DT76">
        <v>2</v>
      </c>
    </row>
    <row r="77" spans="1:124" x14ac:dyDescent="0.25">
      <c r="A77" s="6" t="s">
        <v>146</v>
      </c>
      <c r="B77" s="2"/>
      <c r="C77" s="2">
        <v>0</v>
      </c>
      <c r="D77" s="2"/>
      <c r="E77" s="2"/>
      <c r="F77" s="2"/>
      <c r="G77" s="2">
        <v>0</v>
      </c>
      <c r="H77" s="2"/>
      <c r="I77" s="2"/>
      <c r="J77" s="2">
        <v>0</v>
      </c>
      <c r="K77" s="2"/>
      <c r="L77" s="2">
        <v>0</v>
      </c>
      <c r="M77" s="2">
        <v>0</v>
      </c>
      <c r="N77" s="2"/>
      <c r="O77" s="2"/>
      <c r="P77" s="2"/>
      <c r="Q77" s="2"/>
      <c r="R77" s="2">
        <v>0</v>
      </c>
      <c r="S77" s="2"/>
      <c r="T77" s="2"/>
      <c r="U77" s="2">
        <v>0</v>
      </c>
      <c r="V77" s="2"/>
      <c r="W77" s="2"/>
      <c r="X77" s="2"/>
      <c r="Y77" s="2"/>
      <c r="Z77" s="2"/>
      <c r="AA77" s="2">
        <v>0</v>
      </c>
      <c r="AB77" s="2"/>
      <c r="AC77" s="2"/>
      <c r="AD77" s="2"/>
      <c r="AE77" s="2"/>
      <c r="AF77" s="2">
        <v>0</v>
      </c>
      <c r="AG77" s="2"/>
      <c r="AH77" s="2"/>
      <c r="AI77" s="2">
        <v>1</v>
      </c>
      <c r="AJ77" s="2"/>
      <c r="AK77" s="2"/>
      <c r="AL77" s="2"/>
      <c r="AM77" s="2">
        <v>0</v>
      </c>
      <c r="AN77" s="2"/>
      <c r="AO77" s="2"/>
      <c r="AP77" s="2"/>
      <c r="AQ77" s="2"/>
      <c r="AR77" s="2">
        <v>0</v>
      </c>
      <c r="AS77" s="2"/>
      <c r="AT77" s="2"/>
      <c r="AU77" s="2"/>
      <c r="AV77" s="2"/>
      <c r="AW77" s="2">
        <v>0</v>
      </c>
      <c r="AX77" s="2"/>
      <c r="AY77" s="2"/>
      <c r="AZ77" s="2"/>
      <c r="BA77" s="2"/>
      <c r="BB77" s="2">
        <v>0</v>
      </c>
      <c r="BC77" s="2"/>
      <c r="BD77" s="2"/>
      <c r="BE77" s="2"/>
      <c r="BF77" s="2">
        <v>0</v>
      </c>
      <c r="BG77" s="2"/>
      <c r="BH77" s="2"/>
      <c r="BI77" s="2"/>
      <c r="BJ77" s="2">
        <v>0</v>
      </c>
      <c r="BK77" s="2"/>
      <c r="BL77" s="2"/>
      <c r="BM77" s="2"/>
      <c r="BN77" s="2"/>
      <c r="BO77" s="2">
        <v>0</v>
      </c>
      <c r="BP77" s="2"/>
      <c r="BQ77" s="2"/>
      <c r="BR77" s="2"/>
      <c r="BS77" s="2">
        <v>0</v>
      </c>
      <c r="BT77" s="2"/>
      <c r="BU77" s="2"/>
      <c r="BV77" s="2">
        <v>0</v>
      </c>
      <c r="BW77" s="2"/>
      <c r="BX77" s="2"/>
      <c r="BY77" s="2"/>
      <c r="BZ77" s="2"/>
      <c r="CA77" s="2">
        <v>0</v>
      </c>
      <c r="CB77" s="2"/>
      <c r="CC77" s="2"/>
      <c r="CD77" s="2">
        <v>0</v>
      </c>
      <c r="CE77" s="2"/>
      <c r="CF77" s="2"/>
      <c r="CG77" s="2"/>
      <c r="CH77" s="2"/>
      <c r="CI77" s="2">
        <v>0</v>
      </c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>
        <v>0</v>
      </c>
      <c r="CZ77" s="2"/>
      <c r="DA77" s="2"/>
      <c r="DB77" s="2"/>
      <c r="DC77" s="2">
        <v>0</v>
      </c>
      <c r="DD77" s="2"/>
      <c r="DE77" s="2"/>
      <c r="DF77" s="2"/>
      <c r="DG77" s="2">
        <v>0</v>
      </c>
      <c r="DH77" s="2"/>
      <c r="DI77" s="2"/>
      <c r="DJ77" s="2">
        <v>0</v>
      </c>
      <c r="DK77" s="2"/>
      <c r="DL77" s="2"/>
      <c r="DM77" s="2"/>
      <c r="DN77" s="2">
        <v>0</v>
      </c>
      <c r="DO77" s="2"/>
      <c r="DP77" s="2"/>
      <c r="DQ77" s="2"/>
      <c r="DR77" s="2"/>
      <c r="DS77" s="2">
        <v>0</v>
      </c>
      <c r="DT77" s="2">
        <v>1</v>
      </c>
    </row>
    <row r="78" spans="1:124" x14ac:dyDescent="0.25">
      <c r="A78" s="6" t="s">
        <v>454</v>
      </c>
      <c r="C78">
        <v>0</v>
      </c>
      <c r="G78">
        <v>0</v>
      </c>
      <c r="J78">
        <v>0</v>
      </c>
      <c r="L78">
        <v>0</v>
      </c>
      <c r="M78">
        <v>0</v>
      </c>
      <c r="R78">
        <v>0</v>
      </c>
      <c r="U78">
        <v>0</v>
      </c>
      <c r="AA78">
        <v>0</v>
      </c>
      <c r="AF78">
        <v>0</v>
      </c>
      <c r="AI78">
        <v>0</v>
      </c>
      <c r="AM78">
        <v>0</v>
      </c>
      <c r="AR78">
        <v>0</v>
      </c>
      <c r="AW78">
        <v>0</v>
      </c>
      <c r="BB78">
        <v>0</v>
      </c>
      <c r="BF78">
        <v>0</v>
      </c>
      <c r="BJ78">
        <v>0</v>
      </c>
      <c r="BO78">
        <v>0</v>
      </c>
      <c r="BS78">
        <v>0</v>
      </c>
      <c r="BV78">
        <v>0</v>
      </c>
      <c r="CA78">
        <v>0</v>
      </c>
      <c r="CD78">
        <v>0</v>
      </c>
      <c r="CI78">
        <v>0</v>
      </c>
      <c r="CY78">
        <v>0</v>
      </c>
      <c r="DC78">
        <v>0</v>
      </c>
      <c r="DG78">
        <v>0</v>
      </c>
      <c r="DJ78">
        <v>0</v>
      </c>
      <c r="DN78">
        <v>0</v>
      </c>
      <c r="DS78">
        <v>0</v>
      </c>
      <c r="DT78">
        <v>0</v>
      </c>
    </row>
    <row r="79" spans="1:124" x14ac:dyDescent="0.25">
      <c r="A79" s="6" t="s">
        <v>148</v>
      </c>
      <c r="B79" s="2"/>
      <c r="C79" s="2">
        <v>0</v>
      </c>
      <c r="D79" s="2"/>
      <c r="E79" s="2"/>
      <c r="F79" s="2"/>
      <c r="G79" s="2">
        <v>0</v>
      </c>
      <c r="H79" s="2"/>
      <c r="I79" s="2"/>
      <c r="J79" s="2">
        <v>0</v>
      </c>
      <c r="K79" s="2"/>
      <c r="L79" s="2">
        <v>0</v>
      </c>
      <c r="M79" s="2">
        <v>0</v>
      </c>
      <c r="N79" s="2"/>
      <c r="O79" s="2"/>
      <c r="P79" s="2"/>
      <c r="Q79" s="2"/>
      <c r="R79" s="2">
        <v>0</v>
      </c>
      <c r="S79" s="2"/>
      <c r="T79" s="2"/>
      <c r="U79" s="2">
        <v>0</v>
      </c>
      <c r="V79" s="2"/>
      <c r="W79" s="2"/>
      <c r="X79" s="2"/>
      <c r="Y79" s="2"/>
      <c r="Z79" s="2"/>
      <c r="AA79" s="2">
        <v>0</v>
      </c>
      <c r="AB79" s="2"/>
      <c r="AC79" s="2"/>
      <c r="AD79" s="2"/>
      <c r="AE79" s="2"/>
      <c r="AF79" s="2">
        <v>0</v>
      </c>
      <c r="AG79" s="2"/>
      <c r="AH79" s="2"/>
      <c r="AI79" s="2">
        <v>0</v>
      </c>
      <c r="AJ79" s="2"/>
      <c r="AK79" s="2"/>
      <c r="AL79" s="2"/>
      <c r="AM79" s="2">
        <v>1</v>
      </c>
      <c r="AN79" s="2"/>
      <c r="AO79" s="2"/>
      <c r="AP79" s="2"/>
      <c r="AQ79" s="2"/>
      <c r="AR79" s="2">
        <v>0</v>
      </c>
      <c r="AS79" s="2"/>
      <c r="AT79" s="2"/>
      <c r="AU79" s="2"/>
      <c r="AV79" s="2"/>
      <c r="AW79" s="2">
        <v>0</v>
      </c>
      <c r="AX79" s="2"/>
      <c r="AY79" s="2"/>
      <c r="AZ79" s="2"/>
      <c r="BA79" s="2"/>
      <c r="BB79" s="2">
        <v>0</v>
      </c>
      <c r="BC79" s="2"/>
      <c r="BD79" s="2"/>
      <c r="BE79" s="2"/>
      <c r="BF79" s="2">
        <v>0</v>
      </c>
      <c r="BG79" s="2"/>
      <c r="BH79" s="2"/>
      <c r="BI79" s="2"/>
      <c r="BJ79" s="2">
        <v>0</v>
      </c>
      <c r="BK79" s="2"/>
      <c r="BL79" s="2"/>
      <c r="BM79" s="2"/>
      <c r="BN79" s="2"/>
      <c r="BO79" s="2">
        <v>0</v>
      </c>
      <c r="BP79" s="2"/>
      <c r="BQ79" s="2"/>
      <c r="BR79" s="2"/>
      <c r="BS79" s="2">
        <v>0</v>
      </c>
      <c r="BT79" s="2"/>
      <c r="BU79" s="2"/>
      <c r="BV79" s="2">
        <v>0</v>
      </c>
      <c r="BW79" s="2"/>
      <c r="BX79" s="2"/>
      <c r="BY79" s="2"/>
      <c r="BZ79" s="2"/>
      <c r="CA79" s="2">
        <v>0</v>
      </c>
      <c r="CB79" s="2"/>
      <c r="CC79" s="2"/>
      <c r="CD79" s="2">
        <v>0</v>
      </c>
      <c r="CE79" s="2"/>
      <c r="CF79" s="2"/>
      <c r="CG79" s="2"/>
      <c r="CH79" s="2"/>
      <c r="CI79" s="2">
        <v>0</v>
      </c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>
        <v>0</v>
      </c>
      <c r="CZ79" s="2"/>
      <c r="DA79" s="2"/>
      <c r="DB79" s="2"/>
      <c r="DC79" s="2">
        <v>0</v>
      </c>
      <c r="DD79" s="2"/>
      <c r="DE79" s="2"/>
      <c r="DF79" s="2"/>
      <c r="DG79" s="2">
        <v>0</v>
      </c>
      <c r="DH79" s="2"/>
      <c r="DI79" s="2"/>
      <c r="DJ79" s="2">
        <v>0</v>
      </c>
      <c r="DK79" s="2"/>
      <c r="DL79" s="2"/>
      <c r="DM79" s="2"/>
      <c r="DN79" s="2">
        <v>0</v>
      </c>
      <c r="DO79" s="2"/>
      <c r="DP79" s="2"/>
      <c r="DQ79" s="2"/>
      <c r="DR79" s="2"/>
      <c r="DS79" s="2">
        <v>0</v>
      </c>
      <c r="DT79" s="2">
        <v>1</v>
      </c>
    </row>
    <row r="80" spans="1:124" x14ac:dyDescent="0.25">
      <c r="A80" s="6" t="s">
        <v>456</v>
      </c>
      <c r="C80">
        <v>0</v>
      </c>
      <c r="G80">
        <v>0</v>
      </c>
      <c r="J80">
        <v>0</v>
      </c>
      <c r="L80">
        <v>0</v>
      </c>
      <c r="M80">
        <v>0</v>
      </c>
      <c r="R80">
        <v>0</v>
      </c>
      <c r="U80">
        <v>0</v>
      </c>
      <c r="AA80">
        <v>0</v>
      </c>
      <c r="AF80">
        <v>0</v>
      </c>
      <c r="AI80">
        <v>0</v>
      </c>
      <c r="AM80">
        <v>0</v>
      </c>
      <c r="AR80">
        <v>0</v>
      </c>
      <c r="AW80">
        <v>0</v>
      </c>
      <c r="BB80">
        <v>0</v>
      </c>
      <c r="BF80">
        <v>0</v>
      </c>
      <c r="BJ80">
        <v>0</v>
      </c>
      <c r="BO80">
        <v>0</v>
      </c>
      <c r="BS80">
        <v>0</v>
      </c>
      <c r="BV80">
        <v>0</v>
      </c>
      <c r="CA80">
        <v>0</v>
      </c>
      <c r="CD80">
        <v>0</v>
      </c>
      <c r="CI80">
        <v>0</v>
      </c>
      <c r="CY80">
        <v>0</v>
      </c>
      <c r="DC80">
        <v>0</v>
      </c>
      <c r="DG80">
        <v>0</v>
      </c>
      <c r="DJ80">
        <v>0</v>
      </c>
      <c r="DN80">
        <v>0</v>
      </c>
      <c r="DS80">
        <v>0</v>
      </c>
      <c r="DT80">
        <v>0</v>
      </c>
    </row>
    <row r="81" spans="1:124" x14ac:dyDescent="0.25">
      <c r="A81" s="6" t="s">
        <v>150</v>
      </c>
      <c r="C81">
        <v>0</v>
      </c>
      <c r="G81">
        <v>0</v>
      </c>
      <c r="J81">
        <v>0</v>
      </c>
      <c r="L81">
        <v>0</v>
      </c>
      <c r="M81">
        <v>0</v>
      </c>
      <c r="R81">
        <v>0</v>
      </c>
      <c r="U81">
        <v>0</v>
      </c>
      <c r="AA81">
        <v>0</v>
      </c>
      <c r="AF81">
        <v>0</v>
      </c>
      <c r="AI81">
        <v>0</v>
      </c>
      <c r="AM81">
        <v>3</v>
      </c>
      <c r="AR81">
        <v>0</v>
      </c>
      <c r="AW81">
        <v>0</v>
      </c>
      <c r="BB81">
        <v>0</v>
      </c>
      <c r="BF81">
        <v>0</v>
      </c>
      <c r="BJ81">
        <v>0</v>
      </c>
      <c r="BO81">
        <v>0</v>
      </c>
      <c r="BS81">
        <v>0</v>
      </c>
      <c r="BV81">
        <v>0</v>
      </c>
      <c r="CA81">
        <v>0</v>
      </c>
      <c r="CD81">
        <v>0</v>
      </c>
      <c r="CI81">
        <v>0</v>
      </c>
      <c r="CY81">
        <v>0</v>
      </c>
      <c r="DC81">
        <v>0</v>
      </c>
      <c r="DG81">
        <v>0</v>
      </c>
      <c r="DJ81">
        <v>0</v>
      </c>
      <c r="DN81">
        <v>2</v>
      </c>
      <c r="DS81">
        <v>0</v>
      </c>
      <c r="DT81">
        <v>5</v>
      </c>
    </row>
    <row r="82" spans="1:124" x14ac:dyDescent="0.25">
      <c r="A82" s="6" t="s">
        <v>152</v>
      </c>
      <c r="B82" s="2"/>
      <c r="C82" s="2">
        <v>0</v>
      </c>
      <c r="D82" s="2"/>
      <c r="E82" s="2"/>
      <c r="F82" s="2"/>
      <c r="G82" s="2">
        <v>0</v>
      </c>
      <c r="H82" s="2"/>
      <c r="I82" s="2"/>
      <c r="J82" s="2">
        <v>0</v>
      </c>
      <c r="K82" s="2"/>
      <c r="L82" s="2">
        <v>0</v>
      </c>
      <c r="M82" s="2">
        <v>0</v>
      </c>
      <c r="N82" s="2"/>
      <c r="O82" s="2"/>
      <c r="P82" s="2"/>
      <c r="Q82" s="2"/>
      <c r="R82" s="2">
        <v>0</v>
      </c>
      <c r="S82" s="2"/>
      <c r="T82" s="2"/>
      <c r="U82" s="2">
        <v>0</v>
      </c>
      <c r="V82" s="2"/>
      <c r="W82" s="2"/>
      <c r="X82" s="2"/>
      <c r="Y82" s="2"/>
      <c r="Z82" s="2"/>
      <c r="AA82" s="2">
        <v>0</v>
      </c>
      <c r="AB82" s="2"/>
      <c r="AC82" s="2"/>
      <c r="AD82" s="2"/>
      <c r="AE82" s="2"/>
      <c r="AF82" s="2">
        <v>0</v>
      </c>
      <c r="AG82" s="2"/>
      <c r="AH82" s="2"/>
      <c r="AI82" s="2">
        <v>1</v>
      </c>
      <c r="AJ82" s="2"/>
      <c r="AK82" s="2"/>
      <c r="AL82" s="2"/>
      <c r="AM82" s="2">
        <v>0</v>
      </c>
      <c r="AN82" s="2"/>
      <c r="AO82" s="2"/>
      <c r="AP82" s="2"/>
      <c r="AQ82" s="2"/>
      <c r="AR82" s="2">
        <v>0</v>
      </c>
      <c r="AS82" s="2"/>
      <c r="AT82" s="2"/>
      <c r="AU82" s="2"/>
      <c r="AV82" s="2"/>
      <c r="AW82" s="2">
        <v>0</v>
      </c>
      <c r="AX82" s="2"/>
      <c r="AY82" s="2"/>
      <c r="AZ82" s="2"/>
      <c r="BA82" s="2"/>
      <c r="BB82" s="2">
        <v>0</v>
      </c>
      <c r="BC82" s="2"/>
      <c r="BD82" s="2"/>
      <c r="BE82" s="2"/>
      <c r="BF82" s="2">
        <v>0</v>
      </c>
      <c r="BG82" s="2"/>
      <c r="BH82" s="2"/>
      <c r="BI82" s="2"/>
      <c r="BJ82" s="2">
        <v>0</v>
      </c>
      <c r="BK82" s="2"/>
      <c r="BL82" s="2"/>
      <c r="BM82" s="2"/>
      <c r="BN82" s="2"/>
      <c r="BO82" s="2">
        <v>0</v>
      </c>
      <c r="BP82" s="2"/>
      <c r="BQ82" s="2"/>
      <c r="BR82" s="2"/>
      <c r="BS82" s="2">
        <v>0</v>
      </c>
      <c r="BT82" s="2"/>
      <c r="BU82" s="2"/>
      <c r="BV82" s="2">
        <v>0</v>
      </c>
      <c r="BW82" s="2"/>
      <c r="BX82" s="2"/>
      <c r="BY82" s="2"/>
      <c r="BZ82" s="2"/>
      <c r="CA82" s="2">
        <v>0</v>
      </c>
      <c r="CB82" s="2"/>
      <c r="CC82" s="2"/>
      <c r="CD82" s="2">
        <v>0</v>
      </c>
      <c r="CE82" s="2"/>
      <c r="CF82" s="2"/>
      <c r="CG82" s="2"/>
      <c r="CH82" s="2"/>
      <c r="CI82" s="2">
        <v>0</v>
      </c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>
        <v>0</v>
      </c>
      <c r="CZ82" s="2"/>
      <c r="DA82" s="2"/>
      <c r="DB82" s="2"/>
      <c r="DC82" s="2">
        <v>0</v>
      </c>
      <c r="DD82" s="2"/>
      <c r="DE82" s="2"/>
      <c r="DF82" s="2"/>
      <c r="DG82" s="2">
        <v>0</v>
      </c>
      <c r="DH82" s="2"/>
      <c r="DI82" s="2"/>
      <c r="DJ82" s="2">
        <v>0</v>
      </c>
      <c r="DK82" s="2"/>
      <c r="DL82" s="2"/>
      <c r="DM82" s="2"/>
      <c r="DN82" s="2">
        <v>0</v>
      </c>
      <c r="DO82" s="2"/>
      <c r="DP82" s="2"/>
      <c r="DQ82" s="2"/>
      <c r="DR82" s="2"/>
      <c r="DS82" s="2">
        <v>0</v>
      </c>
      <c r="DT82" s="2">
        <v>1</v>
      </c>
    </row>
    <row r="83" spans="1:124" x14ac:dyDescent="0.25">
      <c r="A83" s="6" t="s">
        <v>154</v>
      </c>
      <c r="B83" s="2"/>
      <c r="C83" s="2">
        <v>0</v>
      </c>
      <c r="D83" s="2"/>
      <c r="E83" s="2"/>
      <c r="F83" s="2"/>
      <c r="G83" s="2">
        <v>0</v>
      </c>
      <c r="H83" s="2"/>
      <c r="I83" s="2"/>
      <c r="J83" s="2">
        <v>0</v>
      </c>
      <c r="K83" s="2"/>
      <c r="L83" s="2">
        <v>0</v>
      </c>
      <c r="M83" s="2">
        <v>0</v>
      </c>
      <c r="N83" s="2"/>
      <c r="O83" s="2"/>
      <c r="P83" s="2"/>
      <c r="Q83" s="2"/>
      <c r="R83" s="2">
        <v>0</v>
      </c>
      <c r="S83" s="2"/>
      <c r="T83" s="2"/>
      <c r="U83" s="2">
        <v>0</v>
      </c>
      <c r="V83" s="2"/>
      <c r="W83" s="2"/>
      <c r="X83" s="2"/>
      <c r="Y83" s="2"/>
      <c r="Z83" s="2"/>
      <c r="AA83" s="2">
        <v>0</v>
      </c>
      <c r="AB83" s="2"/>
      <c r="AC83" s="2"/>
      <c r="AD83" s="2"/>
      <c r="AE83" s="2"/>
      <c r="AF83" s="2">
        <v>0</v>
      </c>
      <c r="AG83" s="2"/>
      <c r="AH83" s="2"/>
      <c r="AI83" s="2">
        <v>0</v>
      </c>
      <c r="AJ83" s="2"/>
      <c r="AK83" s="2"/>
      <c r="AL83" s="2"/>
      <c r="AM83" s="2">
        <v>1</v>
      </c>
      <c r="AN83" s="2"/>
      <c r="AO83" s="2"/>
      <c r="AP83" s="2"/>
      <c r="AQ83" s="2"/>
      <c r="AR83" s="2">
        <v>0</v>
      </c>
      <c r="AS83" s="2"/>
      <c r="AT83" s="2"/>
      <c r="AU83" s="2"/>
      <c r="AV83" s="2"/>
      <c r="AW83" s="2">
        <v>0</v>
      </c>
      <c r="AX83" s="2"/>
      <c r="AY83" s="2"/>
      <c r="AZ83" s="2"/>
      <c r="BA83" s="2"/>
      <c r="BB83" s="2">
        <v>0</v>
      </c>
      <c r="BC83" s="2"/>
      <c r="BD83" s="2"/>
      <c r="BE83" s="2"/>
      <c r="BF83" s="2">
        <v>0</v>
      </c>
      <c r="BG83" s="2"/>
      <c r="BH83" s="2"/>
      <c r="BI83" s="2"/>
      <c r="BJ83" s="2">
        <v>0</v>
      </c>
      <c r="BK83" s="2"/>
      <c r="BL83" s="2"/>
      <c r="BM83" s="2"/>
      <c r="BN83" s="2"/>
      <c r="BO83" s="2">
        <v>0</v>
      </c>
      <c r="BP83" s="2"/>
      <c r="BQ83" s="2"/>
      <c r="BR83" s="2"/>
      <c r="BS83" s="2">
        <v>0</v>
      </c>
      <c r="BT83" s="2"/>
      <c r="BU83" s="2"/>
      <c r="BV83" s="2">
        <v>0</v>
      </c>
      <c r="BW83" s="2"/>
      <c r="BX83" s="2"/>
      <c r="BY83" s="2"/>
      <c r="BZ83" s="2"/>
      <c r="CA83" s="2">
        <v>0</v>
      </c>
      <c r="CB83" s="2"/>
      <c r="CC83" s="2"/>
      <c r="CD83" s="2">
        <v>0</v>
      </c>
      <c r="CE83" s="2"/>
      <c r="CF83" s="2"/>
      <c r="CG83" s="2"/>
      <c r="CH83" s="2"/>
      <c r="CI83" s="2">
        <v>0</v>
      </c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>
        <v>0</v>
      </c>
      <c r="CZ83" s="2"/>
      <c r="DA83" s="2"/>
      <c r="DB83" s="2"/>
      <c r="DC83" s="2">
        <v>0</v>
      </c>
      <c r="DD83" s="2"/>
      <c r="DE83" s="2"/>
      <c r="DF83" s="2"/>
      <c r="DG83" s="2">
        <v>0</v>
      </c>
      <c r="DH83" s="2"/>
      <c r="DI83" s="2"/>
      <c r="DJ83" s="2">
        <v>0</v>
      </c>
      <c r="DK83" s="2"/>
      <c r="DL83" s="2"/>
      <c r="DM83" s="2"/>
      <c r="DN83" s="2">
        <v>0</v>
      </c>
      <c r="DO83" s="2"/>
      <c r="DP83" s="2"/>
      <c r="DQ83" s="2"/>
      <c r="DR83" s="2"/>
      <c r="DS83" s="2">
        <v>0</v>
      </c>
      <c r="DT83" s="2">
        <v>1</v>
      </c>
    </row>
    <row r="84" spans="1:124" x14ac:dyDescent="0.25">
      <c r="A84" s="6" t="s">
        <v>156</v>
      </c>
      <c r="C84">
        <v>0</v>
      </c>
      <c r="G84">
        <v>0</v>
      </c>
      <c r="J84">
        <v>0</v>
      </c>
      <c r="L84">
        <v>0</v>
      </c>
      <c r="M84">
        <v>0</v>
      </c>
      <c r="R84">
        <v>0</v>
      </c>
      <c r="U84">
        <v>0</v>
      </c>
      <c r="AA84">
        <v>0</v>
      </c>
      <c r="AF84">
        <v>0</v>
      </c>
      <c r="AI84">
        <v>0</v>
      </c>
      <c r="AM84">
        <v>0</v>
      </c>
      <c r="AR84">
        <v>0</v>
      </c>
      <c r="AW84">
        <v>0</v>
      </c>
      <c r="BB84">
        <v>0</v>
      </c>
      <c r="BF84">
        <v>0</v>
      </c>
      <c r="BJ84">
        <v>0</v>
      </c>
      <c r="BO84">
        <v>0</v>
      </c>
      <c r="BS84">
        <v>0</v>
      </c>
      <c r="BV84">
        <v>0</v>
      </c>
      <c r="CA84">
        <v>0</v>
      </c>
      <c r="CD84">
        <v>0</v>
      </c>
      <c r="CI84">
        <v>0</v>
      </c>
      <c r="CY84">
        <v>0</v>
      </c>
      <c r="DC84">
        <v>0</v>
      </c>
      <c r="DG84">
        <v>0</v>
      </c>
      <c r="DJ84">
        <v>0</v>
      </c>
      <c r="DN84">
        <v>0</v>
      </c>
      <c r="DS84">
        <v>0</v>
      </c>
      <c r="DT84">
        <v>0</v>
      </c>
    </row>
    <row r="85" spans="1:124" x14ac:dyDescent="0.25">
      <c r="A85" s="6" t="s">
        <v>158</v>
      </c>
      <c r="C85">
        <v>0</v>
      </c>
      <c r="G85">
        <v>44</v>
      </c>
      <c r="J85">
        <v>0</v>
      </c>
      <c r="L85">
        <v>0</v>
      </c>
      <c r="M85">
        <v>6</v>
      </c>
      <c r="R85">
        <v>32</v>
      </c>
      <c r="U85">
        <v>0</v>
      </c>
      <c r="AA85">
        <v>20</v>
      </c>
      <c r="AF85">
        <v>33</v>
      </c>
      <c r="AI85">
        <v>0</v>
      </c>
      <c r="AM85">
        <v>0</v>
      </c>
      <c r="AR85">
        <v>22</v>
      </c>
      <c r="AW85">
        <v>0</v>
      </c>
      <c r="BB85">
        <v>0</v>
      </c>
      <c r="BF85">
        <v>44</v>
      </c>
      <c r="BJ85">
        <v>0</v>
      </c>
      <c r="BO85">
        <v>0</v>
      </c>
      <c r="BS85">
        <v>0</v>
      </c>
      <c r="BV85">
        <v>1</v>
      </c>
      <c r="CA85">
        <v>22</v>
      </c>
      <c r="CD85">
        <v>0</v>
      </c>
      <c r="CI85">
        <v>22</v>
      </c>
      <c r="CY85">
        <v>0</v>
      </c>
      <c r="DC85">
        <v>0</v>
      </c>
      <c r="DG85">
        <v>0</v>
      </c>
      <c r="DJ85">
        <v>0</v>
      </c>
      <c r="DN85">
        <v>0</v>
      </c>
      <c r="DS85">
        <v>0</v>
      </c>
      <c r="DT85">
        <v>246</v>
      </c>
    </row>
    <row r="86" spans="1:124" x14ac:dyDescent="0.25">
      <c r="A86" s="6" t="s">
        <v>160</v>
      </c>
      <c r="C86">
        <v>0</v>
      </c>
      <c r="G86">
        <v>0</v>
      </c>
      <c r="J86">
        <v>0</v>
      </c>
      <c r="L86">
        <v>0</v>
      </c>
      <c r="M86">
        <v>0</v>
      </c>
      <c r="R86">
        <v>0</v>
      </c>
      <c r="U86">
        <v>0</v>
      </c>
      <c r="AA86">
        <v>2</v>
      </c>
      <c r="AF86">
        <v>0</v>
      </c>
      <c r="AI86">
        <v>0</v>
      </c>
      <c r="AM86">
        <v>0</v>
      </c>
      <c r="AR86">
        <v>0</v>
      </c>
      <c r="AW86">
        <v>0</v>
      </c>
      <c r="BB86">
        <v>0</v>
      </c>
      <c r="BF86">
        <v>0</v>
      </c>
      <c r="BJ86">
        <v>0</v>
      </c>
      <c r="BO86">
        <v>0</v>
      </c>
      <c r="BS86">
        <v>0</v>
      </c>
      <c r="BV86">
        <v>0</v>
      </c>
      <c r="CA86">
        <v>0</v>
      </c>
      <c r="CD86">
        <v>0</v>
      </c>
      <c r="CI86">
        <v>0</v>
      </c>
      <c r="CY86">
        <v>0</v>
      </c>
      <c r="DC86">
        <v>0</v>
      </c>
      <c r="DG86">
        <v>0</v>
      </c>
      <c r="DJ86">
        <v>0</v>
      </c>
      <c r="DN86">
        <v>0</v>
      </c>
      <c r="DS86">
        <v>0</v>
      </c>
      <c r="DT86">
        <v>2</v>
      </c>
    </row>
    <row r="87" spans="1:124" x14ac:dyDescent="0.25">
      <c r="A87" s="6" t="s">
        <v>162</v>
      </c>
      <c r="C87">
        <v>0</v>
      </c>
      <c r="G87">
        <v>0</v>
      </c>
      <c r="J87">
        <v>0</v>
      </c>
      <c r="L87">
        <v>0</v>
      </c>
      <c r="M87">
        <v>0</v>
      </c>
      <c r="R87">
        <v>0</v>
      </c>
      <c r="U87">
        <v>0</v>
      </c>
      <c r="AA87">
        <v>0</v>
      </c>
      <c r="AF87">
        <v>0</v>
      </c>
      <c r="AI87">
        <v>0</v>
      </c>
      <c r="AM87">
        <v>0</v>
      </c>
      <c r="AR87">
        <v>0</v>
      </c>
      <c r="AW87">
        <v>0</v>
      </c>
      <c r="BB87">
        <v>0</v>
      </c>
      <c r="BF87">
        <v>0</v>
      </c>
      <c r="BJ87">
        <v>0</v>
      </c>
      <c r="BO87">
        <v>0</v>
      </c>
      <c r="BS87">
        <v>0</v>
      </c>
      <c r="BV87">
        <v>0</v>
      </c>
      <c r="CA87">
        <v>0</v>
      </c>
      <c r="CD87">
        <v>0</v>
      </c>
      <c r="CI87">
        <v>0</v>
      </c>
      <c r="CY87">
        <v>0</v>
      </c>
      <c r="DC87">
        <v>0</v>
      </c>
      <c r="DG87">
        <v>0</v>
      </c>
      <c r="DJ87">
        <v>0</v>
      </c>
      <c r="DN87">
        <v>0</v>
      </c>
      <c r="DS87">
        <v>0</v>
      </c>
      <c r="DT87">
        <v>0</v>
      </c>
    </row>
    <row r="88" spans="1:124" x14ac:dyDescent="0.25">
      <c r="A88" s="6" t="s">
        <v>164</v>
      </c>
      <c r="C88">
        <v>0</v>
      </c>
      <c r="G88">
        <v>0</v>
      </c>
      <c r="J88">
        <v>0</v>
      </c>
      <c r="L88">
        <v>0</v>
      </c>
      <c r="M88">
        <v>0</v>
      </c>
      <c r="R88">
        <v>0</v>
      </c>
      <c r="U88">
        <v>0</v>
      </c>
      <c r="AA88">
        <v>0</v>
      </c>
      <c r="AF88">
        <v>0</v>
      </c>
      <c r="AI88">
        <v>0</v>
      </c>
      <c r="AM88">
        <v>0</v>
      </c>
      <c r="AR88">
        <v>0</v>
      </c>
      <c r="AW88">
        <v>0</v>
      </c>
      <c r="BB88">
        <v>0</v>
      </c>
      <c r="BF88">
        <v>0</v>
      </c>
      <c r="BJ88">
        <v>0</v>
      </c>
      <c r="BO88">
        <v>0</v>
      </c>
      <c r="BS88">
        <v>0</v>
      </c>
      <c r="BV88">
        <v>0</v>
      </c>
      <c r="CA88">
        <v>0</v>
      </c>
      <c r="CD88">
        <v>0</v>
      </c>
      <c r="CI88">
        <v>0</v>
      </c>
      <c r="CY88">
        <v>0</v>
      </c>
      <c r="DC88">
        <v>0</v>
      </c>
      <c r="DG88">
        <v>0</v>
      </c>
      <c r="DJ88">
        <v>0</v>
      </c>
      <c r="DN88">
        <v>0</v>
      </c>
      <c r="DS88">
        <v>0</v>
      </c>
      <c r="DT88">
        <v>0</v>
      </c>
    </row>
    <row r="89" spans="1:124" x14ac:dyDescent="0.25">
      <c r="A89" s="6" t="s">
        <v>166</v>
      </c>
      <c r="C89">
        <v>0</v>
      </c>
      <c r="G89">
        <v>0</v>
      </c>
      <c r="J89">
        <v>0</v>
      </c>
      <c r="L89">
        <v>0</v>
      </c>
      <c r="M89">
        <v>0</v>
      </c>
      <c r="R89">
        <v>0</v>
      </c>
      <c r="U89">
        <v>0</v>
      </c>
      <c r="AA89">
        <v>0</v>
      </c>
      <c r="AF89">
        <v>0</v>
      </c>
      <c r="AI89">
        <v>0</v>
      </c>
      <c r="AM89">
        <v>0</v>
      </c>
      <c r="AR89">
        <v>0</v>
      </c>
      <c r="AW89">
        <v>0</v>
      </c>
      <c r="BB89">
        <v>0</v>
      </c>
      <c r="BF89">
        <v>0</v>
      </c>
      <c r="BJ89">
        <v>0</v>
      </c>
      <c r="BO89">
        <v>0</v>
      </c>
      <c r="BS89">
        <v>0</v>
      </c>
      <c r="BV89">
        <v>0</v>
      </c>
      <c r="CA89">
        <v>0</v>
      </c>
      <c r="CD89">
        <v>0</v>
      </c>
      <c r="CI89">
        <v>0</v>
      </c>
      <c r="CY89">
        <v>0</v>
      </c>
      <c r="DC89">
        <v>0</v>
      </c>
      <c r="DG89">
        <v>0</v>
      </c>
      <c r="DJ89">
        <v>0</v>
      </c>
      <c r="DN89">
        <v>0</v>
      </c>
      <c r="DS89">
        <v>0</v>
      </c>
      <c r="DT89">
        <v>0</v>
      </c>
    </row>
    <row r="90" spans="1:124" x14ac:dyDescent="0.25">
      <c r="A90" s="5" t="s">
        <v>26</v>
      </c>
    </row>
    <row r="91" spans="1:124" x14ac:dyDescent="0.25">
      <c r="A91" s="6" t="s">
        <v>131</v>
      </c>
      <c r="D91">
        <v>0</v>
      </c>
      <c r="G91">
        <v>0</v>
      </c>
      <c r="J91">
        <v>0</v>
      </c>
      <c r="L91">
        <v>0</v>
      </c>
      <c r="M91">
        <v>12</v>
      </c>
      <c r="Q91">
        <v>0</v>
      </c>
      <c r="V91">
        <v>54</v>
      </c>
      <c r="AA91">
        <v>36</v>
      </c>
      <c r="AF91">
        <v>36</v>
      </c>
      <c r="AI91">
        <v>0</v>
      </c>
      <c r="AM91">
        <v>0</v>
      </c>
      <c r="AR91">
        <v>0</v>
      </c>
      <c r="AW91">
        <v>20</v>
      </c>
      <c r="BB91">
        <v>0</v>
      </c>
      <c r="BF91">
        <v>35</v>
      </c>
      <c r="BJ91">
        <v>0</v>
      </c>
      <c r="BO91">
        <v>0</v>
      </c>
      <c r="BS91">
        <v>0</v>
      </c>
      <c r="BV91">
        <v>7</v>
      </c>
      <c r="CA91">
        <v>28</v>
      </c>
      <c r="CE91">
        <v>28</v>
      </c>
      <c r="CI91">
        <v>32</v>
      </c>
      <c r="CL91">
        <v>31</v>
      </c>
      <c r="CR91">
        <v>0</v>
      </c>
      <c r="CU91">
        <v>0</v>
      </c>
      <c r="CZ91">
        <v>0</v>
      </c>
      <c r="DD91">
        <v>0</v>
      </c>
      <c r="DH91">
        <v>0</v>
      </c>
      <c r="DK91">
        <v>0</v>
      </c>
      <c r="DO91">
        <v>0</v>
      </c>
      <c r="DR91">
        <v>0</v>
      </c>
      <c r="DT91">
        <v>319</v>
      </c>
    </row>
    <row r="92" spans="1:124" x14ac:dyDescent="0.25">
      <c r="A92" s="6" t="s">
        <v>134</v>
      </c>
      <c r="B92" s="2"/>
      <c r="C92" s="2"/>
      <c r="D92" s="2">
        <v>0</v>
      </c>
      <c r="E92" s="2"/>
      <c r="F92" s="2"/>
      <c r="G92" s="2">
        <v>0</v>
      </c>
      <c r="H92" s="2"/>
      <c r="I92" s="2"/>
      <c r="J92" s="2">
        <v>0</v>
      </c>
      <c r="K92" s="2"/>
      <c r="L92" s="2">
        <v>0</v>
      </c>
      <c r="M92" s="2">
        <v>0</v>
      </c>
      <c r="N92" s="2"/>
      <c r="O92" s="2"/>
      <c r="P92" s="2"/>
      <c r="Q92" s="2">
        <v>0</v>
      </c>
      <c r="R92" s="2"/>
      <c r="S92" s="2"/>
      <c r="T92" s="2"/>
      <c r="U92" s="2"/>
      <c r="V92" s="2">
        <v>0</v>
      </c>
      <c r="W92" s="2"/>
      <c r="X92" s="2"/>
      <c r="Y92" s="2"/>
      <c r="Z92" s="2"/>
      <c r="AA92" s="2">
        <v>0</v>
      </c>
      <c r="AB92" s="2"/>
      <c r="AC92" s="2"/>
      <c r="AD92" s="2"/>
      <c r="AE92" s="2"/>
      <c r="AF92" s="2">
        <v>0</v>
      </c>
      <c r="AG92" s="2"/>
      <c r="AH92" s="2"/>
      <c r="AI92" s="2">
        <v>0</v>
      </c>
      <c r="AJ92" s="2"/>
      <c r="AK92" s="2"/>
      <c r="AL92" s="2"/>
      <c r="AM92" s="2">
        <v>0</v>
      </c>
      <c r="AN92" s="2"/>
      <c r="AO92" s="2"/>
      <c r="AP92" s="2"/>
      <c r="AQ92" s="2"/>
      <c r="AR92" s="2">
        <v>0</v>
      </c>
      <c r="AS92" s="2"/>
      <c r="AT92" s="2"/>
      <c r="AU92" s="2"/>
      <c r="AV92" s="2"/>
      <c r="AW92" s="2">
        <v>0</v>
      </c>
      <c r="AX92" s="2"/>
      <c r="AY92" s="2"/>
      <c r="AZ92" s="2"/>
      <c r="BA92" s="2"/>
      <c r="BB92" s="2">
        <v>0</v>
      </c>
      <c r="BC92" s="2"/>
      <c r="BD92" s="2"/>
      <c r="BE92" s="2"/>
      <c r="BF92" s="2">
        <v>0</v>
      </c>
      <c r="BG92" s="2"/>
      <c r="BH92" s="2"/>
      <c r="BI92" s="2"/>
      <c r="BJ92" s="2">
        <v>0</v>
      </c>
      <c r="BK92" s="2"/>
      <c r="BL92" s="2"/>
      <c r="BM92" s="2"/>
      <c r="BN92" s="2"/>
      <c r="BO92" s="2">
        <v>0</v>
      </c>
      <c r="BP92" s="2"/>
      <c r="BQ92" s="2"/>
      <c r="BR92" s="2"/>
      <c r="BS92" s="2">
        <v>0</v>
      </c>
      <c r="BT92" s="2"/>
      <c r="BU92" s="2"/>
      <c r="BV92" s="2">
        <v>0</v>
      </c>
      <c r="BW92" s="2"/>
      <c r="BX92" s="2"/>
      <c r="BY92" s="2"/>
      <c r="BZ92" s="2"/>
      <c r="CA92" s="2">
        <v>0</v>
      </c>
      <c r="CB92" s="2"/>
      <c r="CC92" s="2"/>
      <c r="CD92" s="2"/>
      <c r="CE92" s="2">
        <v>0</v>
      </c>
      <c r="CF92" s="2"/>
      <c r="CG92" s="2"/>
      <c r="CH92" s="2"/>
      <c r="CI92" s="2">
        <v>0</v>
      </c>
      <c r="CJ92" s="2"/>
      <c r="CK92" s="2"/>
      <c r="CL92" s="2">
        <v>0</v>
      </c>
      <c r="CM92" s="2"/>
      <c r="CN92" s="2"/>
      <c r="CO92" s="2"/>
      <c r="CP92" s="2"/>
      <c r="CQ92" s="2"/>
      <c r="CR92" s="2">
        <v>0</v>
      </c>
      <c r="CS92" s="2"/>
      <c r="CT92" s="2"/>
      <c r="CU92" s="2">
        <v>0</v>
      </c>
      <c r="CV92" s="2"/>
      <c r="CW92" s="2"/>
      <c r="CX92" s="2"/>
      <c r="CY92" s="2"/>
      <c r="CZ92" s="2">
        <v>0</v>
      </c>
      <c r="DA92" s="2"/>
      <c r="DB92" s="2"/>
      <c r="DC92" s="2"/>
      <c r="DD92" s="2">
        <v>0</v>
      </c>
      <c r="DE92" s="2"/>
      <c r="DF92" s="2"/>
      <c r="DG92" s="2"/>
      <c r="DH92" s="2">
        <v>0</v>
      </c>
      <c r="DI92" s="2"/>
      <c r="DJ92" s="2"/>
      <c r="DK92" s="2">
        <v>0</v>
      </c>
      <c r="DL92" s="2"/>
      <c r="DM92" s="2"/>
      <c r="DN92" s="2"/>
      <c r="DO92" s="2">
        <v>0</v>
      </c>
      <c r="DP92" s="2"/>
      <c r="DQ92" s="2"/>
      <c r="DR92" s="2">
        <v>0</v>
      </c>
      <c r="DS92" s="2"/>
      <c r="DT92" s="2">
        <v>0</v>
      </c>
    </row>
    <row r="93" spans="1:124" x14ac:dyDescent="0.25">
      <c r="A93" s="6" t="s">
        <v>136</v>
      </c>
      <c r="B93" s="2"/>
      <c r="C93" s="2"/>
      <c r="D93" s="2">
        <v>0</v>
      </c>
      <c r="E93" s="2"/>
      <c r="F93" s="2"/>
      <c r="G93" s="2">
        <v>0</v>
      </c>
      <c r="H93" s="2"/>
      <c r="I93" s="2"/>
      <c r="J93" s="2">
        <v>0</v>
      </c>
      <c r="K93" s="2"/>
      <c r="L93" s="2">
        <v>0</v>
      </c>
      <c r="M93" s="2">
        <v>0</v>
      </c>
      <c r="N93" s="2"/>
      <c r="O93" s="2"/>
      <c r="P93" s="2"/>
      <c r="Q93" s="2">
        <v>0</v>
      </c>
      <c r="R93" s="2"/>
      <c r="S93" s="2"/>
      <c r="T93" s="2"/>
      <c r="U93" s="2"/>
      <c r="V93" s="2">
        <v>0</v>
      </c>
      <c r="W93" s="2"/>
      <c r="X93" s="2"/>
      <c r="Y93" s="2"/>
      <c r="Z93" s="2"/>
      <c r="AA93" s="2">
        <v>0</v>
      </c>
      <c r="AB93" s="2"/>
      <c r="AC93" s="2"/>
      <c r="AD93" s="2"/>
      <c r="AE93" s="2"/>
      <c r="AF93" s="2">
        <v>0</v>
      </c>
      <c r="AG93" s="2"/>
      <c r="AH93" s="2"/>
      <c r="AI93" s="2">
        <v>0</v>
      </c>
      <c r="AJ93" s="2"/>
      <c r="AK93" s="2"/>
      <c r="AL93" s="2"/>
      <c r="AM93" s="2">
        <v>0</v>
      </c>
      <c r="AN93" s="2"/>
      <c r="AO93" s="2"/>
      <c r="AP93" s="2"/>
      <c r="AQ93" s="2"/>
      <c r="AR93" s="2">
        <v>0</v>
      </c>
      <c r="AS93" s="2"/>
      <c r="AT93" s="2"/>
      <c r="AU93" s="2"/>
      <c r="AV93" s="2"/>
      <c r="AW93" s="2">
        <v>0</v>
      </c>
      <c r="AX93" s="2"/>
      <c r="AY93" s="2"/>
      <c r="AZ93" s="2"/>
      <c r="BA93" s="2"/>
      <c r="BB93" s="2">
        <v>0</v>
      </c>
      <c r="BC93" s="2"/>
      <c r="BD93" s="2"/>
      <c r="BE93" s="2"/>
      <c r="BF93" s="2">
        <v>1</v>
      </c>
      <c r="BG93" s="2"/>
      <c r="BH93" s="2"/>
      <c r="BI93" s="2"/>
      <c r="BJ93" s="2">
        <v>0</v>
      </c>
      <c r="BK93" s="2"/>
      <c r="BL93" s="2"/>
      <c r="BM93" s="2"/>
      <c r="BN93" s="2"/>
      <c r="BO93" s="2">
        <v>0</v>
      </c>
      <c r="BP93" s="2"/>
      <c r="BQ93" s="2"/>
      <c r="BR93" s="2"/>
      <c r="BS93" s="2">
        <v>0</v>
      </c>
      <c r="BT93" s="2"/>
      <c r="BU93" s="2"/>
      <c r="BV93" s="2">
        <v>0</v>
      </c>
      <c r="BW93" s="2"/>
      <c r="BX93" s="2"/>
      <c r="BY93" s="2"/>
      <c r="BZ93" s="2"/>
      <c r="CA93" s="2">
        <v>0</v>
      </c>
      <c r="CB93" s="2"/>
      <c r="CC93" s="2"/>
      <c r="CD93" s="2"/>
      <c r="CE93" s="2">
        <v>0</v>
      </c>
      <c r="CF93" s="2"/>
      <c r="CG93" s="2"/>
      <c r="CH93" s="2"/>
      <c r="CI93" s="2">
        <v>0</v>
      </c>
      <c r="CJ93" s="2"/>
      <c r="CK93" s="2"/>
      <c r="CL93" s="2">
        <v>0</v>
      </c>
      <c r="CM93" s="2"/>
      <c r="CN93" s="2"/>
      <c r="CO93" s="2"/>
      <c r="CP93" s="2"/>
      <c r="CQ93" s="2"/>
      <c r="CR93" s="2">
        <v>0</v>
      </c>
      <c r="CS93" s="2"/>
      <c r="CT93" s="2"/>
      <c r="CU93" s="2">
        <v>0</v>
      </c>
      <c r="CV93" s="2"/>
      <c r="CW93" s="2"/>
      <c r="CX93" s="2"/>
      <c r="CY93" s="2"/>
      <c r="CZ93" s="2">
        <v>0</v>
      </c>
      <c r="DA93" s="2"/>
      <c r="DB93" s="2"/>
      <c r="DC93" s="2"/>
      <c r="DD93" s="2">
        <v>0</v>
      </c>
      <c r="DE93" s="2"/>
      <c r="DF93" s="2"/>
      <c r="DG93" s="2"/>
      <c r="DH93" s="2">
        <v>0</v>
      </c>
      <c r="DI93" s="2"/>
      <c r="DJ93" s="2"/>
      <c r="DK93" s="2">
        <v>0</v>
      </c>
      <c r="DL93" s="2"/>
      <c r="DM93" s="2"/>
      <c r="DN93" s="2"/>
      <c r="DO93" s="2">
        <v>0</v>
      </c>
      <c r="DP93" s="2"/>
      <c r="DQ93" s="2"/>
      <c r="DR93" s="2">
        <v>0</v>
      </c>
      <c r="DS93" s="2"/>
      <c r="DT93" s="2">
        <v>1</v>
      </c>
    </row>
    <row r="94" spans="1:124" x14ac:dyDescent="0.25">
      <c r="A94" s="6" t="s">
        <v>138</v>
      </c>
      <c r="B94" s="2"/>
      <c r="C94" s="2"/>
      <c r="D94" s="2">
        <v>0</v>
      </c>
      <c r="E94" s="2"/>
      <c r="F94" s="2"/>
      <c r="G94" s="2">
        <v>0</v>
      </c>
      <c r="H94" s="2"/>
      <c r="I94" s="2"/>
      <c r="J94" s="2">
        <v>0</v>
      </c>
      <c r="K94" s="2"/>
      <c r="L94" s="2">
        <v>0</v>
      </c>
      <c r="M94" s="2">
        <v>0</v>
      </c>
      <c r="N94" s="2"/>
      <c r="O94" s="2"/>
      <c r="P94" s="2"/>
      <c r="Q94" s="2">
        <v>0</v>
      </c>
      <c r="R94" s="2"/>
      <c r="S94" s="2"/>
      <c r="T94" s="2"/>
      <c r="U94" s="2"/>
      <c r="V94" s="2">
        <v>1</v>
      </c>
      <c r="W94" s="2"/>
      <c r="X94" s="2"/>
      <c r="Y94" s="2"/>
      <c r="Z94" s="2"/>
      <c r="AA94" s="2">
        <v>1</v>
      </c>
      <c r="AB94" s="2"/>
      <c r="AC94" s="2"/>
      <c r="AD94" s="2"/>
      <c r="AE94" s="2"/>
      <c r="AF94" s="2">
        <v>1</v>
      </c>
      <c r="AG94" s="2"/>
      <c r="AH94" s="2"/>
      <c r="AI94" s="2">
        <v>0</v>
      </c>
      <c r="AJ94" s="2"/>
      <c r="AK94" s="2"/>
      <c r="AL94" s="2"/>
      <c r="AM94" s="2">
        <v>0</v>
      </c>
      <c r="AN94" s="2"/>
      <c r="AO94" s="2"/>
      <c r="AP94" s="2"/>
      <c r="AQ94" s="2"/>
      <c r="AR94" s="2">
        <v>0</v>
      </c>
      <c r="AS94" s="2"/>
      <c r="AT94" s="2"/>
      <c r="AU94" s="2"/>
      <c r="AV94" s="2"/>
      <c r="AW94" s="2">
        <v>0</v>
      </c>
      <c r="AX94" s="2"/>
      <c r="AY94" s="2"/>
      <c r="AZ94" s="2"/>
      <c r="BA94" s="2"/>
      <c r="BB94" s="2">
        <v>0</v>
      </c>
      <c r="BC94" s="2"/>
      <c r="BD94" s="2"/>
      <c r="BE94" s="2"/>
      <c r="BF94" s="2">
        <v>1</v>
      </c>
      <c r="BG94" s="2"/>
      <c r="BH94" s="2"/>
      <c r="BI94" s="2"/>
      <c r="BJ94" s="2">
        <v>0</v>
      </c>
      <c r="BK94" s="2"/>
      <c r="BL94" s="2"/>
      <c r="BM94" s="2"/>
      <c r="BN94" s="2"/>
      <c r="BO94" s="2">
        <v>0</v>
      </c>
      <c r="BP94" s="2"/>
      <c r="BQ94" s="2"/>
      <c r="BR94" s="2"/>
      <c r="BS94" s="2">
        <v>0</v>
      </c>
      <c r="BT94" s="2"/>
      <c r="BU94" s="2"/>
      <c r="BV94" s="2">
        <v>0</v>
      </c>
      <c r="BW94" s="2"/>
      <c r="BX94" s="2"/>
      <c r="BY94" s="2"/>
      <c r="BZ94" s="2"/>
      <c r="CA94" s="2">
        <v>1</v>
      </c>
      <c r="CB94" s="2"/>
      <c r="CC94" s="2"/>
      <c r="CD94" s="2"/>
      <c r="CE94" s="2">
        <v>1</v>
      </c>
      <c r="CF94" s="2"/>
      <c r="CG94" s="2"/>
      <c r="CH94" s="2"/>
      <c r="CI94" s="2">
        <v>1</v>
      </c>
      <c r="CJ94" s="2"/>
      <c r="CK94" s="2"/>
      <c r="CL94" s="2">
        <v>1</v>
      </c>
      <c r="CM94" s="2"/>
      <c r="CN94" s="2"/>
      <c r="CO94" s="2"/>
      <c r="CP94" s="2"/>
      <c r="CQ94" s="2"/>
      <c r="CR94" s="2">
        <v>0</v>
      </c>
      <c r="CS94" s="2"/>
      <c r="CT94" s="2"/>
      <c r="CU94" s="2">
        <v>0</v>
      </c>
      <c r="CV94" s="2"/>
      <c r="CW94" s="2"/>
      <c r="CX94" s="2"/>
      <c r="CY94" s="2"/>
      <c r="CZ94" s="2">
        <v>0</v>
      </c>
      <c r="DA94" s="2"/>
      <c r="DB94" s="2"/>
      <c r="DC94" s="2"/>
      <c r="DD94" s="2">
        <v>0</v>
      </c>
      <c r="DE94" s="2"/>
      <c r="DF94" s="2"/>
      <c r="DG94" s="2"/>
      <c r="DH94" s="2">
        <v>0</v>
      </c>
      <c r="DI94" s="2"/>
      <c r="DJ94" s="2"/>
      <c r="DK94" s="2">
        <v>0</v>
      </c>
      <c r="DL94" s="2"/>
      <c r="DM94" s="2"/>
      <c r="DN94" s="2"/>
      <c r="DO94" s="2">
        <v>0</v>
      </c>
      <c r="DP94" s="2"/>
      <c r="DQ94" s="2"/>
      <c r="DR94" s="2">
        <v>0</v>
      </c>
      <c r="DS94" s="2"/>
      <c r="DT94" s="2">
        <v>8</v>
      </c>
    </row>
    <row r="95" spans="1:124" x14ac:dyDescent="0.25">
      <c r="A95" s="6" t="s">
        <v>140</v>
      </c>
      <c r="B95" s="2"/>
      <c r="C95" s="2"/>
      <c r="D95" s="2">
        <v>0</v>
      </c>
      <c r="E95" s="2"/>
      <c r="F95" s="2"/>
      <c r="G95" s="2">
        <v>0</v>
      </c>
      <c r="H95" s="2"/>
      <c r="I95" s="2"/>
      <c r="J95" s="2">
        <v>0</v>
      </c>
      <c r="K95" s="2"/>
      <c r="L95" s="2">
        <v>0</v>
      </c>
      <c r="M95" s="2">
        <v>0</v>
      </c>
      <c r="N95" s="2"/>
      <c r="O95" s="2"/>
      <c r="P95" s="2"/>
      <c r="Q95" s="2">
        <v>0</v>
      </c>
      <c r="R95" s="2"/>
      <c r="S95" s="2"/>
      <c r="T95" s="2"/>
      <c r="U95" s="2"/>
      <c r="V95" s="2">
        <v>0</v>
      </c>
      <c r="W95" s="2"/>
      <c r="X95" s="2"/>
      <c r="Y95" s="2"/>
      <c r="Z95" s="2"/>
      <c r="AA95" s="2">
        <v>0</v>
      </c>
      <c r="AB95" s="2"/>
      <c r="AC95" s="2"/>
      <c r="AD95" s="2"/>
      <c r="AE95" s="2"/>
      <c r="AF95" s="2">
        <v>0</v>
      </c>
      <c r="AG95" s="2"/>
      <c r="AH95" s="2"/>
      <c r="AI95" s="2">
        <v>0</v>
      </c>
      <c r="AJ95" s="2"/>
      <c r="AK95" s="2"/>
      <c r="AL95" s="2"/>
      <c r="AM95" s="2">
        <v>0</v>
      </c>
      <c r="AN95" s="2"/>
      <c r="AO95" s="2"/>
      <c r="AP95" s="2"/>
      <c r="AQ95" s="2"/>
      <c r="AR95" s="2">
        <v>0</v>
      </c>
      <c r="AS95" s="2"/>
      <c r="AT95" s="2"/>
      <c r="AU95" s="2"/>
      <c r="AV95" s="2"/>
      <c r="AW95" s="2">
        <v>1</v>
      </c>
      <c r="AX95" s="2"/>
      <c r="AY95" s="2"/>
      <c r="AZ95" s="2"/>
      <c r="BA95" s="2"/>
      <c r="BB95" s="2">
        <v>0</v>
      </c>
      <c r="BC95" s="2"/>
      <c r="BD95" s="2"/>
      <c r="BE95" s="2"/>
      <c r="BF95" s="2">
        <v>0</v>
      </c>
      <c r="BG95" s="2"/>
      <c r="BH95" s="2"/>
      <c r="BI95" s="2"/>
      <c r="BJ95" s="2">
        <v>0</v>
      </c>
      <c r="BK95" s="2"/>
      <c r="BL95" s="2"/>
      <c r="BM95" s="2"/>
      <c r="BN95" s="2"/>
      <c r="BO95" s="2">
        <v>0</v>
      </c>
      <c r="BP95" s="2"/>
      <c r="BQ95" s="2"/>
      <c r="BR95" s="2"/>
      <c r="BS95" s="2">
        <v>0</v>
      </c>
      <c r="BT95" s="2"/>
      <c r="BU95" s="2"/>
      <c r="BV95" s="2">
        <v>0</v>
      </c>
      <c r="BW95" s="2"/>
      <c r="BX95" s="2"/>
      <c r="BY95" s="2"/>
      <c r="BZ95" s="2"/>
      <c r="CA95" s="2">
        <v>0</v>
      </c>
      <c r="CB95" s="2"/>
      <c r="CC95" s="2"/>
      <c r="CD95" s="2"/>
      <c r="CE95" s="2">
        <v>0</v>
      </c>
      <c r="CF95" s="2"/>
      <c r="CG95" s="2"/>
      <c r="CH95" s="2"/>
      <c r="CI95" s="2">
        <v>0</v>
      </c>
      <c r="CJ95" s="2"/>
      <c r="CK95" s="2"/>
      <c r="CL95" s="2">
        <v>0</v>
      </c>
      <c r="CM95" s="2"/>
      <c r="CN95" s="2"/>
      <c r="CO95" s="2"/>
      <c r="CP95" s="2"/>
      <c r="CQ95" s="2"/>
      <c r="CR95" s="2">
        <v>0</v>
      </c>
      <c r="CS95" s="2"/>
      <c r="CT95" s="2"/>
      <c r="CU95" s="2">
        <v>0</v>
      </c>
      <c r="CV95" s="2"/>
      <c r="CW95" s="2"/>
      <c r="CX95" s="2"/>
      <c r="CY95" s="2"/>
      <c r="CZ95" s="2">
        <v>0</v>
      </c>
      <c r="DA95" s="2"/>
      <c r="DB95" s="2"/>
      <c r="DC95" s="2"/>
      <c r="DD95" s="2">
        <v>0</v>
      </c>
      <c r="DE95" s="2"/>
      <c r="DF95" s="2"/>
      <c r="DG95" s="2"/>
      <c r="DH95" s="2">
        <v>0</v>
      </c>
      <c r="DI95" s="2"/>
      <c r="DJ95" s="2"/>
      <c r="DK95" s="2">
        <v>0</v>
      </c>
      <c r="DL95" s="2"/>
      <c r="DM95" s="2"/>
      <c r="DN95" s="2"/>
      <c r="DO95" s="2">
        <v>0</v>
      </c>
      <c r="DP95" s="2"/>
      <c r="DQ95" s="2"/>
      <c r="DR95" s="2">
        <v>0</v>
      </c>
      <c r="DS95" s="2"/>
      <c r="DT95" s="2">
        <v>1</v>
      </c>
    </row>
    <row r="96" spans="1:124" x14ac:dyDescent="0.25">
      <c r="A96" s="6" t="s">
        <v>142</v>
      </c>
      <c r="D96">
        <v>0</v>
      </c>
      <c r="G96">
        <v>2</v>
      </c>
      <c r="J96">
        <v>0</v>
      </c>
      <c r="L96">
        <v>0</v>
      </c>
      <c r="M96">
        <v>0</v>
      </c>
      <c r="Q96">
        <v>0</v>
      </c>
      <c r="V96">
        <v>1</v>
      </c>
      <c r="AA96">
        <v>0</v>
      </c>
      <c r="AF96">
        <v>0</v>
      </c>
      <c r="AI96">
        <v>0</v>
      </c>
      <c r="AM96">
        <v>0</v>
      </c>
      <c r="AR96">
        <v>0</v>
      </c>
      <c r="AW96">
        <v>0</v>
      </c>
      <c r="BB96">
        <v>0</v>
      </c>
      <c r="BF96">
        <v>0</v>
      </c>
      <c r="BJ96">
        <v>0</v>
      </c>
      <c r="BO96">
        <v>0</v>
      </c>
      <c r="BS96">
        <v>0</v>
      </c>
      <c r="BV96">
        <v>0</v>
      </c>
      <c r="CA96">
        <v>0</v>
      </c>
      <c r="CE96">
        <v>0</v>
      </c>
      <c r="CI96">
        <v>0</v>
      </c>
      <c r="CL96">
        <v>0</v>
      </c>
      <c r="CR96">
        <v>0</v>
      </c>
      <c r="CU96">
        <v>0</v>
      </c>
      <c r="CZ96">
        <v>0</v>
      </c>
      <c r="DD96">
        <v>0</v>
      </c>
      <c r="DH96">
        <v>0</v>
      </c>
      <c r="DK96">
        <v>0</v>
      </c>
      <c r="DO96">
        <v>0</v>
      </c>
      <c r="DR96">
        <v>0</v>
      </c>
      <c r="DT96">
        <v>3</v>
      </c>
    </row>
    <row r="97" spans="1:124" x14ac:dyDescent="0.25">
      <c r="A97" s="6" t="s">
        <v>144</v>
      </c>
      <c r="D97">
        <v>0</v>
      </c>
      <c r="G97">
        <v>0</v>
      </c>
      <c r="J97">
        <v>0</v>
      </c>
      <c r="L97">
        <v>0</v>
      </c>
      <c r="M97">
        <v>0</v>
      </c>
      <c r="Q97">
        <v>0</v>
      </c>
      <c r="V97">
        <v>0</v>
      </c>
      <c r="AA97">
        <v>0</v>
      </c>
      <c r="AF97">
        <v>0</v>
      </c>
      <c r="AI97">
        <v>0</v>
      </c>
      <c r="AM97">
        <v>0</v>
      </c>
      <c r="AR97">
        <v>0</v>
      </c>
      <c r="AW97">
        <v>0</v>
      </c>
      <c r="BB97">
        <v>0</v>
      </c>
      <c r="BF97">
        <v>0</v>
      </c>
      <c r="BJ97">
        <v>0</v>
      </c>
      <c r="BO97">
        <v>0</v>
      </c>
      <c r="BS97">
        <v>0</v>
      </c>
      <c r="BV97">
        <v>0</v>
      </c>
      <c r="CA97">
        <v>1</v>
      </c>
      <c r="CE97">
        <v>0</v>
      </c>
      <c r="CI97">
        <v>1</v>
      </c>
      <c r="CL97">
        <v>0</v>
      </c>
      <c r="CR97">
        <v>0</v>
      </c>
      <c r="CU97">
        <v>0</v>
      </c>
      <c r="CZ97">
        <v>0</v>
      </c>
      <c r="DD97">
        <v>0</v>
      </c>
      <c r="DH97">
        <v>0</v>
      </c>
      <c r="DK97">
        <v>0</v>
      </c>
      <c r="DO97">
        <v>0</v>
      </c>
      <c r="DR97">
        <v>0</v>
      </c>
      <c r="DT97">
        <v>2</v>
      </c>
    </row>
    <row r="98" spans="1:124" x14ac:dyDescent="0.25">
      <c r="A98" s="6" t="s">
        <v>146</v>
      </c>
      <c r="B98" s="2"/>
      <c r="C98" s="2"/>
      <c r="D98" s="2">
        <v>0</v>
      </c>
      <c r="E98" s="2"/>
      <c r="F98" s="2"/>
      <c r="G98" s="2">
        <v>0</v>
      </c>
      <c r="H98" s="2"/>
      <c r="I98" s="2"/>
      <c r="J98" s="2">
        <v>0</v>
      </c>
      <c r="K98" s="2"/>
      <c r="L98" s="2">
        <v>0</v>
      </c>
      <c r="M98" s="2">
        <v>0</v>
      </c>
      <c r="N98" s="2"/>
      <c r="O98" s="2"/>
      <c r="P98" s="2"/>
      <c r="Q98" s="2">
        <v>0</v>
      </c>
      <c r="R98" s="2"/>
      <c r="S98" s="2"/>
      <c r="T98" s="2"/>
      <c r="U98" s="2"/>
      <c r="V98" s="2">
        <v>0</v>
      </c>
      <c r="W98" s="2"/>
      <c r="X98" s="2"/>
      <c r="Y98" s="2"/>
      <c r="Z98" s="2"/>
      <c r="AA98" s="2">
        <v>0</v>
      </c>
      <c r="AB98" s="2"/>
      <c r="AC98" s="2"/>
      <c r="AD98" s="2"/>
      <c r="AE98" s="2"/>
      <c r="AF98" s="2">
        <v>0</v>
      </c>
      <c r="AG98" s="2"/>
      <c r="AH98" s="2"/>
      <c r="AI98" s="2">
        <v>1</v>
      </c>
      <c r="AJ98" s="2"/>
      <c r="AK98" s="2"/>
      <c r="AL98" s="2"/>
      <c r="AM98" s="2">
        <v>0</v>
      </c>
      <c r="AN98" s="2"/>
      <c r="AO98" s="2"/>
      <c r="AP98" s="2"/>
      <c r="AQ98" s="2"/>
      <c r="AR98" s="2">
        <v>0</v>
      </c>
      <c r="AS98" s="2"/>
      <c r="AT98" s="2"/>
      <c r="AU98" s="2"/>
      <c r="AV98" s="2"/>
      <c r="AW98" s="2">
        <v>0</v>
      </c>
      <c r="AX98" s="2"/>
      <c r="AY98" s="2"/>
      <c r="AZ98" s="2"/>
      <c r="BA98" s="2"/>
      <c r="BB98" s="2">
        <v>0</v>
      </c>
      <c r="BC98" s="2"/>
      <c r="BD98" s="2"/>
      <c r="BE98" s="2"/>
      <c r="BF98" s="2">
        <v>0</v>
      </c>
      <c r="BG98" s="2"/>
      <c r="BH98" s="2"/>
      <c r="BI98" s="2"/>
      <c r="BJ98" s="2">
        <v>0</v>
      </c>
      <c r="BK98" s="2"/>
      <c r="BL98" s="2"/>
      <c r="BM98" s="2"/>
      <c r="BN98" s="2"/>
      <c r="BO98" s="2">
        <v>0</v>
      </c>
      <c r="BP98" s="2"/>
      <c r="BQ98" s="2"/>
      <c r="BR98" s="2"/>
      <c r="BS98" s="2">
        <v>0</v>
      </c>
      <c r="BT98" s="2"/>
      <c r="BU98" s="2"/>
      <c r="BV98" s="2">
        <v>0</v>
      </c>
      <c r="BW98" s="2"/>
      <c r="BX98" s="2"/>
      <c r="BY98" s="2"/>
      <c r="BZ98" s="2"/>
      <c r="CA98" s="2">
        <v>0</v>
      </c>
      <c r="CB98" s="2"/>
      <c r="CC98" s="2"/>
      <c r="CD98" s="2"/>
      <c r="CE98" s="2">
        <v>0</v>
      </c>
      <c r="CF98" s="2"/>
      <c r="CG98" s="2"/>
      <c r="CH98" s="2"/>
      <c r="CI98" s="2">
        <v>0</v>
      </c>
      <c r="CJ98" s="2"/>
      <c r="CK98" s="2"/>
      <c r="CL98" s="2">
        <v>0</v>
      </c>
      <c r="CM98" s="2"/>
      <c r="CN98" s="2"/>
      <c r="CO98" s="2"/>
      <c r="CP98" s="2"/>
      <c r="CQ98" s="2"/>
      <c r="CR98" s="2">
        <v>0</v>
      </c>
      <c r="CS98" s="2"/>
      <c r="CT98" s="2"/>
      <c r="CU98" s="2">
        <v>0</v>
      </c>
      <c r="CV98" s="2"/>
      <c r="CW98" s="2"/>
      <c r="CX98" s="2"/>
      <c r="CY98" s="2"/>
      <c r="CZ98" s="2">
        <v>0</v>
      </c>
      <c r="DA98" s="2"/>
      <c r="DB98" s="2"/>
      <c r="DC98" s="2"/>
      <c r="DD98" s="2">
        <v>0</v>
      </c>
      <c r="DE98" s="2"/>
      <c r="DF98" s="2"/>
      <c r="DG98" s="2"/>
      <c r="DH98" s="2">
        <v>0</v>
      </c>
      <c r="DI98" s="2"/>
      <c r="DJ98" s="2"/>
      <c r="DK98" s="2">
        <v>0</v>
      </c>
      <c r="DL98" s="2"/>
      <c r="DM98" s="2"/>
      <c r="DN98" s="2"/>
      <c r="DO98" s="2">
        <v>0</v>
      </c>
      <c r="DP98" s="2"/>
      <c r="DQ98" s="2"/>
      <c r="DR98" s="2">
        <v>0</v>
      </c>
      <c r="DS98" s="2"/>
      <c r="DT98" s="2">
        <v>1</v>
      </c>
    </row>
    <row r="99" spans="1:124" x14ac:dyDescent="0.25">
      <c r="A99" s="6" t="s">
        <v>454</v>
      </c>
      <c r="D99">
        <v>0</v>
      </c>
      <c r="G99">
        <v>0</v>
      </c>
      <c r="J99">
        <v>0</v>
      </c>
      <c r="L99">
        <v>0</v>
      </c>
      <c r="M99">
        <v>0</v>
      </c>
      <c r="Q99">
        <v>0</v>
      </c>
      <c r="V99">
        <v>0</v>
      </c>
      <c r="AA99">
        <v>0</v>
      </c>
      <c r="AF99">
        <v>0</v>
      </c>
      <c r="AI99">
        <v>0</v>
      </c>
      <c r="AM99">
        <v>0</v>
      </c>
      <c r="AR99">
        <v>0</v>
      </c>
      <c r="AW99">
        <v>0</v>
      </c>
      <c r="BB99">
        <v>0</v>
      </c>
      <c r="BF99">
        <v>0</v>
      </c>
      <c r="BJ99">
        <v>0</v>
      </c>
      <c r="BO99">
        <v>0</v>
      </c>
      <c r="BS99">
        <v>0</v>
      </c>
      <c r="BV99">
        <v>0</v>
      </c>
      <c r="CA99">
        <v>0</v>
      </c>
      <c r="CE99">
        <v>0</v>
      </c>
      <c r="CI99">
        <v>0</v>
      </c>
      <c r="CL99">
        <v>0</v>
      </c>
      <c r="CR99">
        <v>0</v>
      </c>
      <c r="CU99">
        <v>0</v>
      </c>
      <c r="CZ99">
        <v>0</v>
      </c>
      <c r="DD99">
        <v>0</v>
      </c>
      <c r="DH99">
        <v>0</v>
      </c>
      <c r="DK99">
        <v>0</v>
      </c>
      <c r="DO99">
        <v>0</v>
      </c>
      <c r="DR99">
        <v>0</v>
      </c>
      <c r="DT99">
        <v>0</v>
      </c>
    </row>
    <row r="100" spans="1:124" x14ac:dyDescent="0.25">
      <c r="A100" s="6" t="s">
        <v>148</v>
      </c>
      <c r="B100" s="2"/>
      <c r="C100" s="2"/>
      <c r="D100" s="2">
        <v>0</v>
      </c>
      <c r="E100" s="2"/>
      <c r="F100" s="2"/>
      <c r="G100" s="2">
        <v>0</v>
      </c>
      <c r="H100" s="2"/>
      <c r="I100" s="2"/>
      <c r="J100" s="2">
        <v>0</v>
      </c>
      <c r="K100" s="2"/>
      <c r="L100" s="2">
        <v>0</v>
      </c>
      <c r="M100" s="2">
        <v>0</v>
      </c>
      <c r="N100" s="2"/>
      <c r="O100" s="2"/>
      <c r="P100" s="2"/>
      <c r="Q100" s="2">
        <v>0</v>
      </c>
      <c r="R100" s="2"/>
      <c r="S100" s="2"/>
      <c r="T100" s="2"/>
      <c r="U100" s="2"/>
      <c r="V100" s="2">
        <v>0</v>
      </c>
      <c r="W100" s="2"/>
      <c r="X100" s="2"/>
      <c r="Y100" s="2"/>
      <c r="Z100" s="2"/>
      <c r="AA100" s="2">
        <v>0</v>
      </c>
      <c r="AB100" s="2"/>
      <c r="AC100" s="2"/>
      <c r="AD100" s="2"/>
      <c r="AE100" s="2"/>
      <c r="AF100" s="2">
        <v>0</v>
      </c>
      <c r="AG100" s="2"/>
      <c r="AH100" s="2"/>
      <c r="AI100" s="2">
        <v>0</v>
      </c>
      <c r="AJ100" s="2"/>
      <c r="AK100" s="2"/>
      <c r="AL100" s="2"/>
      <c r="AM100" s="2">
        <v>1</v>
      </c>
      <c r="AN100" s="2"/>
      <c r="AO100" s="2"/>
      <c r="AP100" s="2"/>
      <c r="AQ100" s="2"/>
      <c r="AR100" s="2">
        <v>0</v>
      </c>
      <c r="AS100" s="2"/>
      <c r="AT100" s="2"/>
      <c r="AU100" s="2"/>
      <c r="AV100" s="2"/>
      <c r="AW100" s="2">
        <v>0</v>
      </c>
      <c r="AX100" s="2"/>
      <c r="AY100" s="2"/>
      <c r="AZ100" s="2"/>
      <c r="BA100" s="2"/>
      <c r="BB100" s="2">
        <v>0</v>
      </c>
      <c r="BC100" s="2"/>
      <c r="BD100" s="2"/>
      <c r="BE100" s="2"/>
      <c r="BF100" s="2">
        <v>0</v>
      </c>
      <c r="BG100" s="2"/>
      <c r="BH100" s="2"/>
      <c r="BI100" s="2"/>
      <c r="BJ100" s="2">
        <v>0</v>
      </c>
      <c r="BK100" s="2"/>
      <c r="BL100" s="2"/>
      <c r="BM100" s="2"/>
      <c r="BN100" s="2"/>
      <c r="BO100" s="2">
        <v>0</v>
      </c>
      <c r="BP100" s="2"/>
      <c r="BQ100" s="2"/>
      <c r="BR100" s="2"/>
      <c r="BS100" s="2">
        <v>0</v>
      </c>
      <c r="BT100" s="2"/>
      <c r="BU100" s="2"/>
      <c r="BV100" s="2">
        <v>0</v>
      </c>
      <c r="BW100" s="2"/>
      <c r="BX100" s="2"/>
      <c r="BY100" s="2"/>
      <c r="BZ100" s="2"/>
      <c r="CA100" s="2">
        <v>0</v>
      </c>
      <c r="CB100" s="2"/>
      <c r="CC100" s="2"/>
      <c r="CD100" s="2"/>
      <c r="CE100" s="2">
        <v>0</v>
      </c>
      <c r="CF100" s="2"/>
      <c r="CG100" s="2"/>
      <c r="CH100" s="2"/>
      <c r="CI100" s="2">
        <v>0</v>
      </c>
      <c r="CJ100" s="2"/>
      <c r="CK100" s="2"/>
      <c r="CL100" s="2">
        <v>0</v>
      </c>
      <c r="CM100" s="2"/>
      <c r="CN100" s="2"/>
      <c r="CO100" s="2"/>
      <c r="CP100" s="2"/>
      <c r="CQ100" s="2"/>
      <c r="CR100" s="2">
        <v>0</v>
      </c>
      <c r="CS100" s="2"/>
      <c r="CT100" s="2"/>
      <c r="CU100" s="2">
        <v>0</v>
      </c>
      <c r="CV100" s="2"/>
      <c r="CW100" s="2"/>
      <c r="CX100" s="2"/>
      <c r="CY100" s="2"/>
      <c r="CZ100" s="2">
        <v>0</v>
      </c>
      <c r="DA100" s="2"/>
      <c r="DB100" s="2"/>
      <c r="DC100" s="2"/>
      <c r="DD100" s="2">
        <v>0</v>
      </c>
      <c r="DE100" s="2"/>
      <c r="DF100" s="2"/>
      <c r="DG100" s="2"/>
      <c r="DH100" s="2">
        <v>0</v>
      </c>
      <c r="DI100" s="2"/>
      <c r="DJ100" s="2"/>
      <c r="DK100" s="2">
        <v>0</v>
      </c>
      <c r="DL100" s="2"/>
      <c r="DM100" s="2"/>
      <c r="DN100" s="2"/>
      <c r="DO100" s="2">
        <v>0</v>
      </c>
      <c r="DP100" s="2"/>
      <c r="DQ100" s="2"/>
      <c r="DR100" s="2">
        <v>0</v>
      </c>
      <c r="DS100" s="2"/>
      <c r="DT100" s="2">
        <v>1</v>
      </c>
    </row>
    <row r="101" spans="1:124" x14ac:dyDescent="0.25">
      <c r="A101" s="6" t="s">
        <v>456</v>
      </c>
      <c r="D101">
        <v>0</v>
      </c>
      <c r="G101">
        <v>0</v>
      </c>
      <c r="J101">
        <v>0</v>
      </c>
      <c r="L101">
        <v>0</v>
      </c>
      <c r="M101">
        <v>0</v>
      </c>
      <c r="Q101">
        <v>0</v>
      </c>
      <c r="V101">
        <v>0</v>
      </c>
      <c r="AA101">
        <v>0</v>
      </c>
      <c r="AF101">
        <v>0</v>
      </c>
      <c r="AI101">
        <v>0</v>
      </c>
      <c r="AM101">
        <v>0</v>
      </c>
      <c r="AR101">
        <v>0</v>
      </c>
      <c r="AW101">
        <v>0</v>
      </c>
      <c r="BB101">
        <v>0</v>
      </c>
      <c r="BF101">
        <v>0</v>
      </c>
      <c r="BJ101">
        <v>0</v>
      </c>
      <c r="BO101">
        <v>0</v>
      </c>
      <c r="BS101">
        <v>0</v>
      </c>
      <c r="BV101">
        <v>0</v>
      </c>
      <c r="CA101">
        <v>0</v>
      </c>
      <c r="CE101">
        <v>0</v>
      </c>
      <c r="CI101">
        <v>0</v>
      </c>
      <c r="CL101">
        <v>0</v>
      </c>
      <c r="CR101">
        <v>0</v>
      </c>
      <c r="CU101">
        <v>0</v>
      </c>
      <c r="CZ101">
        <v>0</v>
      </c>
      <c r="DD101">
        <v>0</v>
      </c>
      <c r="DH101">
        <v>0</v>
      </c>
      <c r="DK101">
        <v>0</v>
      </c>
      <c r="DO101">
        <v>0</v>
      </c>
      <c r="DR101">
        <v>0</v>
      </c>
      <c r="DT101">
        <v>0</v>
      </c>
    </row>
    <row r="102" spans="1:124" x14ac:dyDescent="0.25">
      <c r="A102" s="6" t="s">
        <v>150</v>
      </c>
      <c r="D102">
        <v>0</v>
      </c>
      <c r="G102">
        <v>0</v>
      </c>
      <c r="J102">
        <v>0</v>
      </c>
      <c r="L102">
        <v>0</v>
      </c>
      <c r="M102">
        <v>0</v>
      </c>
      <c r="Q102">
        <v>0</v>
      </c>
      <c r="V102">
        <v>0</v>
      </c>
      <c r="AA102">
        <v>0</v>
      </c>
      <c r="AF102">
        <v>0</v>
      </c>
      <c r="AI102">
        <v>0</v>
      </c>
      <c r="AM102">
        <v>3</v>
      </c>
      <c r="AR102">
        <v>0</v>
      </c>
      <c r="AW102">
        <v>0</v>
      </c>
      <c r="BB102">
        <v>0</v>
      </c>
      <c r="BF102">
        <v>0</v>
      </c>
      <c r="BJ102">
        <v>0</v>
      </c>
      <c r="BO102">
        <v>0</v>
      </c>
      <c r="BS102">
        <v>0</v>
      </c>
      <c r="BV102">
        <v>0</v>
      </c>
      <c r="CA102">
        <v>0</v>
      </c>
      <c r="CE102">
        <v>0</v>
      </c>
      <c r="CI102">
        <v>0</v>
      </c>
      <c r="CL102">
        <v>0</v>
      </c>
      <c r="CR102">
        <v>0</v>
      </c>
      <c r="CU102">
        <v>0</v>
      </c>
      <c r="CZ102">
        <v>0</v>
      </c>
      <c r="DD102">
        <v>0</v>
      </c>
      <c r="DH102">
        <v>0</v>
      </c>
      <c r="DK102">
        <v>0</v>
      </c>
      <c r="DO102">
        <v>0</v>
      </c>
      <c r="DR102">
        <v>0</v>
      </c>
      <c r="DT102">
        <v>3</v>
      </c>
    </row>
    <row r="103" spans="1:124" x14ac:dyDescent="0.25">
      <c r="A103" s="6" t="s">
        <v>152</v>
      </c>
      <c r="B103" s="2"/>
      <c r="C103" s="2"/>
      <c r="D103" s="2">
        <v>0</v>
      </c>
      <c r="E103" s="2"/>
      <c r="F103" s="2"/>
      <c r="G103" s="2">
        <v>0</v>
      </c>
      <c r="H103" s="2"/>
      <c r="I103" s="2"/>
      <c r="J103" s="2">
        <v>0</v>
      </c>
      <c r="K103" s="2"/>
      <c r="L103" s="2">
        <v>0</v>
      </c>
      <c r="M103" s="2">
        <v>0</v>
      </c>
      <c r="N103" s="2"/>
      <c r="O103" s="2"/>
      <c r="P103" s="2"/>
      <c r="Q103" s="2">
        <v>0</v>
      </c>
      <c r="R103" s="2"/>
      <c r="S103" s="2"/>
      <c r="T103" s="2"/>
      <c r="U103" s="2"/>
      <c r="V103" s="2">
        <v>0</v>
      </c>
      <c r="W103" s="2"/>
      <c r="X103" s="2"/>
      <c r="Y103" s="2"/>
      <c r="Z103" s="2"/>
      <c r="AA103" s="2">
        <v>0</v>
      </c>
      <c r="AB103" s="2"/>
      <c r="AC103" s="2"/>
      <c r="AD103" s="2"/>
      <c r="AE103" s="2"/>
      <c r="AF103" s="2">
        <v>0</v>
      </c>
      <c r="AG103" s="2"/>
      <c r="AH103" s="2"/>
      <c r="AI103" s="2">
        <v>1</v>
      </c>
      <c r="AJ103" s="2"/>
      <c r="AK103" s="2"/>
      <c r="AL103" s="2"/>
      <c r="AM103" s="2">
        <v>0</v>
      </c>
      <c r="AN103" s="2"/>
      <c r="AO103" s="2"/>
      <c r="AP103" s="2"/>
      <c r="AQ103" s="2"/>
      <c r="AR103" s="2">
        <v>0</v>
      </c>
      <c r="AS103" s="2"/>
      <c r="AT103" s="2"/>
      <c r="AU103" s="2"/>
      <c r="AV103" s="2"/>
      <c r="AW103" s="2">
        <v>0</v>
      </c>
      <c r="AX103" s="2"/>
      <c r="AY103" s="2"/>
      <c r="AZ103" s="2"/>
      <c r="BA103" s="2"/>
      <c r="BB103" s="2">
        <v>0</v>
      </c>
      <c r="BC103" s="2"/>
      <c r="BD103" s="2"/>
      <c r="BE103" s="2"/>
      <c r="BF103" s="2">
        <v>0</v>
      </c>
      <c r="BG103" s="2"/>
      <c r="BH103" s="2"/>
      <c r="BI103" s="2"/>
      <c r="BJ103" s="2">
        <v>0</v>
      </c>
      <c r="BK103" s="2"/>
      <c r="BL103" s="2"/>
      <c r="BM103" s="2"/>
      <c r="BN103" s="2"/>
      <c r="BO103" s="2">
        <v>0</v>
      </c>
      <c r="BP103" s="2"/>
      <c r="BQ103" s="2"/>
      <c r="BR103" s="2"/>
      <c r="BS103" s="2">
        <v>0</v>
      </c>
      <c r="BT103" s="2"/>
      <c r="BU103" s="2"/>
      <c r="BV103" s="2">
        <v>0</v>
      </c>
      <c r="BW103" s="2"/>
      <c r="BX103" s="2"/>
      <c r="BY103" s="2"/>
      <c r="BZ103" s="2"/>
      <c r="CA103" s="2">
        <v>0</v>
      </c>
      <c r="CB103" s="2"/>
      <c r="CC103" s="2"/>
      <c r="CD103" s="2"/>
      <c r="CE103" s="2">
        <v>0</v>
      </c>
      <c r="CF103" s="2"/>
      <c r="CG103" s="2"/>
      <c r="CH103" s="2"/>
      <c r="CI103" s="2">
        <v>0</v>
      </c>
      <c r="CJ103" s="2"/>
      <c r="CK103" s="2"/>
      <c r="CL103" s="2">
        <v>0</v>
      </c>
      <c r="CM103" s="2"/>
      <c r="CN103" s="2"/>
      <c r="CO103" s="2"/>
      <c r="CP103" s="2"/>
      <c r="CQ103" s="2"/>
      <c r="CR103" s="2">
        <v>0</v>
      </c>
      <c r="CS103" s="2"/>
      <c r="CT103" s="2"/>
      <c r="CU103" s="2">
        <v>0</v>
      </c>
      <c r="CV103" s="2"/>
      <c r="CW103" s="2"/>
      <c r="CX103" s="2"/>
      <c r="CY103" s="2"/>
      <c r="CZ103" s="2">
        <v>0</v>
      </c>
      <c r="DA103" s="2"/>
      <c r="DB103" s="2"/>
      <c r="DC103" s="2"/>
      <c r="DD103" s="2">
        <v>0</v>
      </c>
      <c r="DE103" s="2"/>
      <c r="DF103" s="2"/>
      <c r="DG103" s="2"/>
      <c r="DH103" s="2">
        <v>0</v>
      </c>
      <c r="DI103" s="2"/>
      <c r="DJ103" s="2"/>
      <c r="DK103" s="2">
        <v>0</v>
      </c>
      <c r="DL103" s="2"/>
      <c r="DM103" s="2"/>
      <c r="DN103" s="2"/>
      <c r="DO103" s="2">
        <v>0</v>
      </c>
      <c r="DP103" s="2"/>
      <c r="DQ103" s="2"/>
      <c r="DR103" s="2">
        <v>0</v>
      </c>
      <c r="DS103" s="2"/>
      <c r="DT103" s="2">
        <v>1</v>
      </c>
    </row>
    <row r="104" spans="1:124" x14ac:dyDescent="0.25">
      <c r="A104" s="6" t="s">
        <v>154</v>
      </c>
      <c r="B104" s="2"/>
      <c r="C104" s="2"/>
      <c r="D104" s="2">
        <v>0</v>
      </c>
      <c r="E104" s="2"/>
      <c r="F104" s="2"/>
      <c r="G104" s="2">
        <v>0</v>
      </c>
      <c r="H104" s="2"/>
      <c r="I104" s="2"/>
      <c r="J104" s="2">
        <v>0</v>
      </c>
      <c r="K104" s="2"/>
      <c r="L104" s="2">
        <v>0</v>
      </c>
      <c r="M104" s="2">
        <v>0</v>
      </c>
      <c r="N104" s="2"/>
      <c r="O104" s="2"/>
      <c r="P104" s="2"/>
      <c r="Q104" s="2">
        <v>0</v>
      </c>
      <c r="R104" s="2"/>
      <c r="S104" s="2"/>
      <c r="T104" s="2"/>
      <c r="U104" s="2"/>
      <c r="V104" s="2">
        <v>0</v>
      </c>
      <c r="W104" s="2"/>
      <c r="X104" s="2"/>
      <c r="Y104" s="2"/>
      <c r="Z104" s="2"/>
      <c r="AA104" s="2">
        <v>0</v>
      </c>
      <c r="AB104" s="2"/>
      <c r="AC104" s="2"/>
      <c r="AD104" s="2"/>
      <c r="AE104" s="2"/>
      <c r="AF104" s="2">
        <v>0</v>
      </c>
      <c r="AG104" s="2"/>
      <c r="AH104" s="2"/>
      <c r="AI104" s="2">
        <v>0</v>
      </c>
      <c r="AJ104" s="2"/>
      <c r="AK104" s="2"/>
      <c r="AL104" s="2"/>
      <c r="AM104" s="2">
        <v>1</v>
      </c>
      <c r="AN104" s="2"/>
      <c r="AO104" s="2"/>
      <c r="AP104" s="2"/>
      <c r="AQ104" s="2"/>
      <c r="AR104" s="2">
        <v>0</v>
      </c>
      <c r="AS104" s="2"/>
      <c r="AT104" s="2"/>
      <c r="AU104" s="2"/>
      <c r="AV104" s="2"/>
      <c r="AW104" s="2">
        <v>0</v>
      </c>
      <c r="AX104" s="2"/>
      <c r="AY104" s="2"/>
      <c r="AZ104" s="2"/>
      <c r="BA104" s="2"/>
      <c r="BB104" s="2">
        <v>0</v>
      </c>
      <c r="BC104" s="2"/>
      <c r="BD104" s="2"/>
      <c r="BE104" s="2"/>
      <c r="BF104" s="2">
        <v>0</v>
      </c>
      <c r="BG104" s="2"/>
      <c r="BH104" s="2"/>
      <c r="BI104" s="2"/>
      <c r="BJ104" s="2">
        <v>0</v>
      </c>
      <c r="BK104" s="2"/>
      <c r="BL104" s="2"/>
      <c r="BM104" s="2"/>
      <c r="BN104" s="2"/>
      <c r="BO104" s="2">
        <v>0</v>
      </c>
      <c r="BP104" s="2"/>
      <c r="BQ104" s="2"/>
      <c r="BR104" s="2"/>
      <c r="BS104" s="2">
        <v>0</v>
      </c>
      <c r="BT104" s="2"/>
      <c r="BU104" s="2"/>
      <c r="BV104" s="2">
        <v>0</v>
      </c>
      <c r="BW104" s="2"/>
      <c r="BX104" s="2"/>
      <c r="BY104" s="2"/>
      <c r="BZ104" s="2"/>
      <c r="CA104" s="2">
        <v>0</v>
      </c>
      <c r="CB104" s="2"/>
      <c r="CC104" s="2"/>
      <c r="CD104" s="2"/>
      <c r="CE104" s="2">
        <v>0</v>
      </c>
      <c r="CF104" s="2"/>
      <c r="CG104" s="2"/>
      <c r="CH104" s="2"/>
      <c r="CI104" s="2">
        <v>0</v>
      </c>
      <c r="CJ104" s="2"/>
      <c r="CK104" s="2"/>
      <c r="CL104" s="2">
        <v>0</v>
      </c>
      <c r="CM104" s="2"/>
      <c r="CN104" s="2"/>
      <c r="CO104" s="2"/>
      <c r="CP104" s="2"/>
      <c r="CQ104" s="2"/>
      <c r="CR104" s="2">
        <v>0</v>
      </c>
      <c r="CS104" s="2"/>
      <c r="CT104" s="2"/>
      <c r="CU104" s="2">
        <v>0</v>
      </c>
      <c r="CV104" s="2"/>
      <c r="CW104" s="2"/>
      <c r="CX104" s="2"/>
      <c r="CY104" s="2"/>
      <c r="CZ104" s="2">
        <v>0</v>
      </c>
      <c r="DA104" s="2"/>
      <c r="DB104" s="2"/>
      <c r="DC104" s="2"/>
      <c r="DD104" s="2">
        <v>0</v>
      </c>
      <c r="DE104" s="2"/>
      <c r="DF104" s="2"/>
      <c r="DG104" s="2"/>
      <c r="DH104" s="2">
        <v>0</v>
      </c>
      <c r="DI104" s="2"/>
      <c r="DJ104" s="2"/>
      <c r="DK104" s="2">
        <v>0</v>
      </c>
      <c r="DL104" s="2"/>
      <c r="DM104" s="2"/>
      <c r="DN104" s="2"/>
      <c r="DO104" s="2">
        <v>0</v>
      </c>
      <c r="DP104" s="2"/>
      <c r="DQ104" s="2"/>
      <c r="DR104" s="2">
        <v>0</v>
      </c>
      <c r="DS104" s="2"/>
      <c r="DT104" s="2">
        <v>1</v>
      </c>
    </row>
    <row r="105" spans="1:124" x14ac:dyDescent="0.25">
      <c r="A105" s="6" t="s">
        <v>156</v>
      </c>
      <c r="D105">
        <v>0</v>
      </c>
      <c r="G105">
        <v>0</v>
      </c>
      <c r="J105">
        <v>0</v>
      </c>
      <c r="L105">
        <v>0</v>
      </c>
      <c r="M105">
        <v>0</v>
      </c>
      <c r="Q105">
        <v>0</v>
      </c>
      <c r="V105">
        <v>0</v>
      </c>
      <c r="AA105">
        <v>0</v>
      </c>
      <c r="AF105">
        <v>0</v>
      </c>
      <c r="AI105">
        <v>0</v>
      </c>
      <c r="AM105">
        <v>0</v>
      </c>
      <c r="AR105">
        <v>0</v>
      </c>
      <c r="AW105">
        <v>0</v>
      </c>
      <c r="BB105">
        <v>0</v>
      </c>
      <c r="BF105">
        <v>0</v>
      </c>
      <c r="BJ105">
        <v>0</v>
      </c>
      <c r="BO105">
        <v>0</v>
      </c>
      <c r="BS105">
        <v>0</v>
      </c>
      <c r="BV105">
        <v>0</v>
      </c>
      <c r="CA105">
        <v>0</v>
      </c>
      <c r="CE105">
        <v>0</v>
      </c>
      <c r="CI105">
        <v>0</v>
      </c>
      <c r="CL105">
        <v>0</v>
      </c>
      <c r="CR105">
        <v>0</v>
      </c>
      <c r="CU105">
        <v>0</v>
      </c>
      <c r="CZ105">
        <v>0</v>
      </c>
      <c r="DD105">
        <v>0</v>
      </c>
      <c r="DH105">
        <v>0</v>
      </c>
      <c r="DK105">
        <v>0</v>
      </c>
      <c r="DO105">
        <v>0</v>
      </c>
      <c r="DR105">
        <v>0</v>
      </c>
      <c r="DT105">
        <v>0</v>
      </c>
    </row>
    <row r="106" spans="1:124" x14ac:dyDescent="0.25">
      <c r="A106" s="6" t="s">
        <v>158</v>
      </c>
      <c r="D106">
        <v>0</v>
      </c>
      <c r="G106">
        <v>0</v>
      </c>
      <c r="J106">
        <v>0</v>
      </c>
      <c r="L106">
        <v>0</v>
      </c>
      <c r="M106">
        <v>3</v>
      </c>
      <c r="Q106">
        <v>0</v>
      </c>
      <c r="V106">
        <v>0</v>
      </c>
      <c r="AA106">
        <v>30</v>
      </c>
      <c r="AF106">
        <v>52</v>
      </c>
      <c r="AI106">
        <v>0</v>
      </c>
      <c r="AM106">
        <v>0</v>
      </c>
      <c r="AR106">
        <v>22</v>
      </c>
      <c r="AW106">
        <v>0</v>
      </c>
      <c r="BB106">
        <v>0</v>
      </c>
      <c r="BF106">
        <v>44</v>
      </c>
      <c r="BJ106">
        <v>0</v>
      </c>
      <c r="BO106">
        <v>0</v>
      </c>
      <c r="BS106">
        <v>0</v>
      </c>
      <c r="BV106">
        <v>0</v>
      </c>
      <c r="CA106">
        <v>21</v>
      </c>
      <c r="CE106">
        <v>34</v>
      </c>
      <c r="CI106">
        <v>24</v>
      </c>
      <c r="CL106">
        <v>0</v>
      </c>
      <c r="CR106">
        <v>0</v>
      </c>
      <c r="CU106">
        <v>0</v>
      </c>
      <c r="CZ106">
        <v>0</v>
      </c>
      <c r="DD106">
        <v>0</v>
      </c>
      <c r="DH106">
        <v>0</v>
      </c>
      <c r="DK106">
        <v>0</v>
      </c>
      <c r="DO106">
        <v>0</v>
      </c>
      <c r="DR106">
        <v>0</v>
      </c>
      <c r="DT106">
        <v>230</v>
      </c>
    </row>
    <row r="107" spans="1:124" x14ac:dyDescent="0.25">
      <c r="A107" s="6" t="s">
        <v>160</v>
      </c>
      <c r="D107">
        <v>0</v>
      </c>
      <c r="G107">
        <v>76</v>
      </c>
      <c r="J107">
        <v>0</v>
      </c>
      <c r="L107">
        <v>0</v>
      </c>
      <c r="M107">
        <v>0</v>
      </c>
      <c r="Q107">
        <v>0</v>
      </c>
      <c r="V107">
        <v>0</v>
      </c>
      <c r="AA107">
        <v>0</v>
      </c>
      <c r="AF107">
        <v>0</v>
      </c>
      <c r="AI107">
        <v>0</v>
      </c>
      <c r="AM107">
        <v>0</v>
      </c>
      <c r="AR107">
        <v>0</v>
      </c>
      <c r="AW107">
        <v>0</v>
      </c>
      <c r="BB107">
        <v>0</v>
      </c>
      <c r="BF107">
        <v>0</v>
      </c>
      <c r="BJ107">
        <v>0</v>
      </c>
      <c r="BO107">
        <v>0</v>
      </c>
      <c r="BS107">
        <v>0</v>
      </c>
      <c r="BV107">
        <v>0</v>
      </c>
      <c r="CA107">
        <v>0</v>
      </c>
      <c r="CE107">
        <v>0</v>
      </c>
      <c r="CI107">
        <v>0</v>
      </c>
      <c r="CL107">
        <v>0</v>
      </c>
      <c r="CR107">
        <v>0</v>
      </c>
      <c r="CU107">
        <v>0</v>
      </c>
      <c r="CZ107">
        <v>0</v>
      </c>
      <c r="DD107">
        <v>0</v>
      </c>
      <c r="DH107">
        <v>0</v>
      </c>
      <c r="DK107">
        <v>0</v>
      </c>
      <c r="DO107">
        <v>0</v>
      </c>
      <c r="DR107">
        <v>0</v>
      </c>
      <c r="DT107">
        <v>76</v>
      </c>
    </row>
    <row r="108" spans="1:124" x14ac:dyDescent="0.25">
      <c r="A108" s="6" t="s">
        <v>162</v>
      </c>
      <c r="D108">
        <v>0</v>
      </c>
      <c r="G108">
        <v>0</v>
      </c>
      <c r="J108">
        <v>0</v>
      </c>
      <c r="L108">
        <v>0</v>
      </c>
      <c r="M108">
        <v>0</v>
      </c>
      <c r="Q108">
        <v>0</v>
      </c>
      <c r="V108">
        <v>0</v>
      </c>
      <c r="AA108">
        <v>0</v>
      </c>
      <c r="AF108">
        <v>0</v>
      </c>
      <c r="AI108">
        <v>0</v>
      </c>
      <c r="AM108">
        <v>0</v>
      </c>
      <c r="AR108">
        <v>0</v>
      </c>
      <c r="AW108">
        <v>0</v>
      </c>
      <c r="BB108">
        <v>0</v>
      </c>
      <c r="BF108">
        <v>0</v>
      </c>
      <c r="BJ108">
        <v>0</v>
      </c>
      <c r="BO108">
        <v>0</v>
      </c>
      <c r="BS108">
        <v>0</v>
      </c>
      <c r="BV108">
        <v>0</v>
      </c>
      <c r="CA108">
        <v>0</v>
      </c>
      <c r="CE108">
        <v>0</v>
      </c>
      <c r="CI108">
        <v>0</v>
      </c>
      <c r="CL108">
        <v>0</v>
      </c>
      <c r="CR108">
        <v>0</v>
      </c>
      <c r="CU108">
        <v>0</v>
      </c>
      <c r="CZ108">
        <v>0</v>
      </c>
      <c r="DD108">
        <v>0</v>
      </c>
      <c r="DH108">
        <v>0</v>
      </c>
      <c r="DK108">
        <v>0</v>
      </c>
      <c r="DO108">
        <v>0</v>
      </c>
      <c r="DR108">
        <v>0</v>
      </c>
      <c r="DT108">
        <v>0</v>
      </c>
    </row>
    <row r="109" spans="1:124" x14ac:dyDescent="0.25">
      <c r="A109" s="6" t="s">
        <v>164</v>
      </c>
      <c r="D109">
        <v>0</v>
      </c>
      <c r="G109">
        <v>0</v>
      </c>
      <c r="J109">
        <v>0</v>
      </c>
      <c r="L109">
        <v>0</v>
      </c>
      <c r="M109">
        <v>0</v>
      </c>
      <c r="Q109">
        <v>0</v>
      </c>
      <c r="V109">
        <v>0</v>
      </c>
      <c r="AA109">
        <v>0</v>
      </c>
      <c r="AF109">
        <v>0</v>
      </c>
      <c r="AI109">
        <v>0</v>
      </c>
      <c r="AM109">
        <v>0</v>
      </c>
      <c r="AR109">
        <v>0</v>
      </c>
      <c r="AW109">
        <v>0</v>
      </c>
      <c r="BB109">
        <v>0</v>
      </c>
      <c r="BF109">
        <v>0</v>
      </c>
      <c r="BJ109">
        <v>0</v>
      </c>
      <c r="BO109">
        <v>0</v>
      </c>
      <c r="BS109">
        <v>0</v>
      </c>
      <c r="BV109">
        <v>0</v>
      </c>
      <c r="CA109">
        <v>0</v>
      </c>
      <c r="CE109">
        <v>0</v>
      </c>
      <c r="CI109">
        <v>0</v>
      </c>
      <c r="CL109">
        <v>0</v>
      </c>
      <c r="CR109">
        <v>0</v>
      </c>
      <c r="CU109">
        <v>0</v>
      </c>
      <c r="CZ109">
        <v>0</v>
      </c>
      <c r="DD109">
        <v>0</v>
      </c>
      <c r="DH109">
        <v>0</v>
      </c>
      <c r="DK109">
        <v>0</v>
      </c>
      <c r="DO109">
        <v>0</v>
      </c>
      <c r="DR109">
        <v>0</v>
      </c>
      <c r="DT109">
        <v>0</v>
      </c>
    </row>
    <row r="110" spans="1:124" x14ac:dyDescent="0.25">
      <c r="A110" s="6" t="s">
        <v>166</v>
      </c>
      <c r="D110">
        <v>0</v>
      </c>
      <c r="G110">
        <v>0</v>
      </c>
      <c r="J110">
        <v>0</v>
      </c>
      <c r="L110">
        <v>0</v>
      </c>
      <c r="M110">
        <v>0</v>
      </c>
      <c r="Q110">
        <v>0</v>
      </c>
      <c r="V110">
        <v>0</v>
      </c>
      <c r="AA110">
        <v>0</v>
      </c>
      <c r="AF110">
        <v>0</v>
      </c>
      <c r="AI110">
        <v>0</v>
      </c>
      <c r="AM110">
        <v>0</v>
      </c>
      <c r="AR110">
        <v>0</v>
      </c>
      <c r="AW110">
        <v>0</v>
      </c>
      <c r="BB110">
        <v>0</v>
      </c>
      <c r="BF110">
        <v>0</v>
      </c>
      <c r="BJ110">
        <v>0</v>
      </c>
      <c r="BO110">
        <v>0</v>
      </c>
      <c r="BS110">
        <v>0</v>
      </c>
      <c r="BV110">
        <v>0</v>
      </c>
      <c r="CA110">
        <v>0</v>
      </c>
      <c r="CE110">
        <v>0</v>
      </c>
      <c r="CI110">
        <v>0</v>
      </c>
      <c r="CL110">
        <v>0</v>
      </c>
      <c r="CR110">
        <v>0</v>
      </c>
      <c r="CU110">
        <v>0</v>
      </c>
      <c r="CZ110">
        <v>0</v>
      </c>
      <c r="DD110">
        <v>0</v>
      </c>
      <c r="DH110">
        <v>0</v>
      </c>
      <c r="DK110">
        <v>0</v>
      </c>
      <c r="DO110">
        <v>0</v>
      </c>
      <c r="DR110">
        <v>0</v>
      </c>
      <c r="DT110">
        <v>0</v>
      </c>
    </row>
    <row r="111" spans="1:124" x14ac:dyDescent="0.25">
      <c r="A111" s="5" t="s">
        <v>47</v>
      </c>
    </row>
    <row r="112" spans="1:124" x14ac:dyDescent="0.25">
      <c r="A112" s="6" t="s">
        <v>131</v>
      </c>
      <c r="D112">
        <v>0</v>
      </c>
      <c r="F112">
        <v>0</v>
      </c>
      <c r="G112">
        <v>32</v>
      </c>
      <c r="J112">
        <v>0</v>
      </c>
      <c r="L112">
        <v>0</v>
      </c>
      <c r="M112">
        <v>0</v>
      </c>
      <c r="O112">
        <v>0</v>
      </c>
      <c r="P112">
        <v>0</v>
      </c>
      <c r="S112">
        <v>0</v>
      </c>
      <c r="T112">
        <v>0</v>
      </c>
      <c r="V112">
        <v>42</v>
      </c>
      <c r="X112">
        <v>0</v>
      </c>
      <c r="Y112">
        <v>0</v>
      </c>
      <c r="Z112">
        <v>0</v>
      </c>
      <c r="AC112">
        <v>0</v>
      </c>
      <c r="AD112">
        <v>0</v>
      </c>
      <c r="AG112">
        <v>0</v>
      </c>
      <c r="AH112">
        <v>0</v>
      </c>
      <c r="AJ112">
        <v>0</v>
      </c>
      <c r="AK112">
        <v>0</v>
      </c>
      <c r="AL112">
        <v>0</v>
      </c>
      <c r="AN112">
        <v>0</v>
      </c>
      <c r="AO112">
        <v>0</v>
      </c>
      <c r="AP112">
        <v>0</v>
      </c>
      <c r="AS112">
        <v>0</v>
      </c>
      <c r="AT112">
        <v>0</v>
      </c>
      <c r="AU112">
        <v>0</v>
      </c>
      <c r="AX112">
        <v>0</v>
      </c>
      <c r="AY112">
        <v>0</v>
      </c>
      <c r="BA112">
        <v>28</v>
      </c>
      <c r="BC112">
        <v>0</v>
      </c>
      <c r="BD112">
        <v>0</v>
      </c>
      <c r="BG112">
        <v>0</v>
      </c>
      <c r="BH112">
        <v>0</v>
      </c>
      <c r="BI112">
        <v>26</v>
      </c>
      <c r="BK112">
        <v>0</v>
      </c>
      <c r="BL112">
        <v>0</v>
      </c>
      <c r="BN112">
        <v>0</v>
      </c>
      <c r="BP112">
        <v>0</v>
      </c>
      <c r="BR112">
        <v>0</v>
      </c>
      <c r="BT112">
        <v>0</v>
      </c>
      <c r="BU112">
        <v>0</v>
      </c>
      <c r="BX112">
        <v>0</v>
      </c>
      <c r="BY112">
        <v>0</v>
      </c>
      <c r="BZ112">
        <v>0</v>
      </c>
      <c r="CB112">
        <v>0</v>
      </c>
      <c r="CC112">
        <v>0</v>
      </c>
      <c r="CF112">
        <v>0</v>
      </c>
      <c r="CG112">
        <v>0</v>
      </c>
      <c r="CJ112">
        <v>0</v>
      </c>
      <c r="CK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U112">
        <v>0</v>
      </c>
      <c r="CV112">
        <v>0</v>
      </c>
      <c r="DA112">
        <v>0</v>
      </c>
      <c r="DB112">
        <v>0</v>
      </c>
      <c r="DE112">
        <v>0</v>
      </c>
      <c r="DI112">
        <v>0</v>
      </c>
      <c r="DL112">
        <v>0</v>
      </c>
      <c r="DP112">
        <v>0</v>
      </c>
      <c r="DQ112">
        <v>0</v>
      </c>
      <c r="DT112">
        <v>128</v>
      </c>
    </row>
    <row r="113" spans="1:124" x14ac:dyDescent="0.25">
      <c r="A113" s="6" t="s">
        <v>134</v>
      </c>
      <c r="B113" s="2"/>
      <c r="C113" s="2"/>
      <c r="D113" s="2">
        <v>0</v>
      </c>
      <c r="E113" s="2"/>
      <c r="F113" s="2">
        <v>0</v>
      </c>
      <c r="G113" s="2">
        <v>0</v>
      </c>
      <c r="H113" s="2"/>
      <c r="I113" s="2"/>
      <c r="J113" s="2">
        <v>0</v>
      </c>
      <c r="K113" s="2"/>
      <c r="L113" s="2">
        <v>0</v>
      </c>
      <c r="M113" s="2">
        <v>0</v>
      </c>
      <c r="N113" s="2"/>
      <c r="O113" s="2">
        <v>0</v>
      </c>
      <c r="P113" s="2">
        <v>0</v>
      </c>
      <c r="Q113" s="2"/>
      <c r="R113" s="2"/>
      <c r="S113" s="2">
        <v>0</v>
      </c>
      <c r="T113" s="2">
        <v>0</v>
      </c>
      <c r="U113" s="2"/>
      <c r="V113" s="2">
        <v>0</v>
      </c>
      <c r="W113" s="2"/>
      <c r="X113" s="2">
        <v>0</v>
      </c>
      <c r="Y113" s="2">
        <v>0</v>
      </c>
      <c r="Z113" s="2">
        <v>0</v>
      </c>
      <c r="AA113" s="2"/>
      <c r="AB113" s="2"/>
      <c r="AC113" s="2">
        <v>0</v>
      </c>
      <c r="AD113" s="2">
        <v>0</v>
      </c>
      <c r="AE113" s="2"/>
      <c r="AF113" s="2"/>
      <c r="AG113" s="2">
        <v>0</v>
      </c>
      <c r="AH113" s="2">
        <v>0</v>
      </c>
      <c r="AI113" s="2"/>
      <c r="AJ113" s="2">
        <v>0</v>
      </c>
      <c r="AK113" s="2">
        <v>0</v>
      </c>
      <c r="AL113" s="2">
        <v>0</v>
      </c>
      <c r="AM113" s="2"/>
      <c r="AN113" s="2">
        <v>0</v>
      </c>
      <c r="AO113" s="2">
        <v>0</v>
      </c>
      <c r="AP113" s="2">
        <v>0</v>
      </c>
      <c r="AQ113" s="2"/>
      <c r="AR113" s="2"/>
      <c r="AS113" s="2">
        <v>0</v>
      </c>
      <c r="AT113" s="2">
        <v>0</v>
      </c>
      <c r="AU113" s="2">
        <v>0</v>
      </c>
      <c r="AV113" s="2"/>
      <c r="AW113" s="2"/>
      <c r="AX113" s="2">
        <v>0</v>
      </c>
      <c r="AY113" s="2">
        <v>0</v>
      </c>
      <c r="AZ113" s="2"/>
      <c r="BA113" s="2">
        <v>0</v>
      </c>
      <c r="BB113" s="2"/>
      <c r="BC113" s="2">
        <v>0</v>
      </c>
      <c r="BD113" s="2">
        <v>0</v>
      </c>
      <c r="BE113" s="2"/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>
        <v>0</v>
      </c>
      <c r="BM113" s="2"/>
      <c r="BN113" s="2">
        <v>0</v>
      </c>
      <c r="BO113" s="2"/>
      <c r="BP113" s="2">
        <v>0</v>
      </c>
      <c r="BQ113" s="2"/>
      <c r="BR113" s="2">
        <v>0</v>
      </c>
      <c r="BS113" s="2"/>
      <c r="BT113" s="2">
        <v>0</v>
      </c>
      <c r="BU113" s="2">
        <v>0</v>
      </c>
      <c r="BV113" s="2"/>
      <c r="BW113" s="2"/>
      <c r="BX113" s="2">
        <v>0</v>
      </c>
      <c r="BY113" s="2">
        <v>0</v>
      </c>
      <c r="BZ113" s="2">
        <v>0</v>
      </c>
      <c r="CA113" s="2"/>
      <c r="CB113" s="2">
        <v>0</v>
      </c>
      <c r="CC113" s="2">
        <v>0</v>
      </c>
      <c r="CD113" s="2"/>
      <c r="CE113" s="2"/>
      <c r="CF113" s="2">
        <v>0</v>
      </c>
      <c r="CG113" s="2">
        <v>0</v>
      </c>
      <c r="CH113" s="2"/>
      <c r="CI113" s="2"/>
      <c r="CJ113" s="2">
        <v>0</v>
      </c>
      <c r="CK113" s="2">
        <v>0</v>
      </c>
      <c r="CL113" s="2"/>
      <c r="CM113" s="2"/>
      <c r="CN113" s="2">
        <v>0</v>
      </c>
      <c r="CO113" s="2">
        <v>0</v>
      </c>
      <c r="CP113" s="2">
        <v>0</v>
      </c>
      <c r="CQ113" s="2"/>
      <c r="CR113" s="2">
        <v>0</v>
      </c>
      <c r="CS113" s="2">
        <v>0</v>
      </c>
      <c r="CT113" s="2"/>
      <c r="CU113" s="2">
        <v>0</v>
      </c>
      <c r="CV113" s="2">
        <v>0</v>
      </c>
      <c r="CW113" s="2"/>
      <c r="CX113" s="2"/>
      <c r="CY113" s="2"/>
      <c r="CZ113" s="2"/>
      <c r="DA113" s="2">
        <v>0</v>
      </c>
      <c r="DB113" s="2">
        <v>0</v>
      </c>
      <c r="DC113" s="2"/>
      <c r="DD113" s="2"/>
      <c r="DE113" s="2">
        <v>0</v>
      </c>
      <c r="DF113" s="2"/>
      <c r="DG113" s="2"/>
      <c r="DH113" s="2"/>
      <c r="DI113" s="2">
        <v>0</v>
      </c>
      <c r="DJ113" s="2"/>
      <c r="DK113" s="2"/>
      <c r="DL113" s="2">
        <v>0</v>
      </c>
      <c r="DM113" s="2"/>
      <c r="DN113" s="2"/>
      <c r="DO113" s="2"/>
      <c r="DP113" s="2">
        <v>0</v>
      </c>
      <c r="DQ113" s="2">
        <v>0</v>
      </c>
      <c r="DR113" s="2"/>
      <c r="DS113" s="2"/>
      <c r="DT113" s="2">
        <v>0</v>
      </c>
    </row>
    <row r="114" spans="1:124" x14ac:dyDescent="0.25">
      <c r="A114" s="6" t="s">
        <v>136</v>
      </c>
      <c r="B114" s="2"/>
      <c r="C114" s="2"/>
      <c r="D114" s="2">
        <v>0</v>
      </c>
      <c r="E114" s="2"/>
      <c r="F114" s="2">
        <v>0</v>
      </c>
      <c r="G114" s="2">
        <v>0</v>
      </c>
      <c r="H114" s="2"/>
      <c r="I114" s="2"/>
      <c r="J114" s="2">
        <v>0</v>
      </c>
      <c r="K114" s="2"/>
      <c r="L114" s="2">
        <v>0</v>
      </c>
      <c r="M114" s="2">
        <v>0</v>
      </c>
      <c r="N114" s="2"/>
      <c r="O114" s="2">
        <v>0</v>
      </c>
      <c r="P114" s="2">
        <v>0</v>
      </c>
      <c r="Q114" s="2"/>
      <c r="R114" s="2"/>
      <c r="S114" s="2">
        <v>0</v>
      </c>
      <c r="T114" s="2">
        <v>0</v>
      </c>
      <c r="U114" s="2"/>
      <c r="V114" s="2">
        <v>0</v>
      </c>
      <c r="W114" s="2"/>
      <c r="X114" s="2">
        <v>0</v>
      </c>
      <c r="Y114" s="2">
        <v>0</v>
      </c>
      <c r="Z114" s="2">
        <v>0</v>
      </c>
      <c r="AA114" s="2"/>
      <c r="AB114" s="2"/>
      <c r="AC114" s="2">
        <v>0</v>
      </c>
      <c r="AD114" s="2">
        <v>0</v>
      </c>
      <c r="AE114" s="2"/>
      <c r="AF114" s="2"/>
      <c r="AG114" s="2">
        <v>0</v>
      </c>
      <c r="AH114" s="2">
        <v>0</v>
      </c>
      <c r="AI114" s="2"/>
      <c r="AJ114" s="2">
        <v>0</v>
      </c>
      <c r="AK114" s="2">
        <v>0</v>
      </c>
      <c r="AL114" s="2">
        <v>0</v>
      </c>
      <c r="AM114" s="2"/>
      <c r="AN114" s="2">
        <v>0</v>
      </c>
      <c r="AO114" s="2">
        <v>0</v>
      </c>
      <c r="AP114" s="2">
        <v>0</v>
      </c>
      <c r="AQ114" s="2"/>
      <c r="AR114" s="2"/>
      <c r="AS114" s="2">
        <v>0</v>
      </c>
      <c r="AT114" s="2">
        <v>0</v>
      </c>
      <c r="AU114" s="2">
        <v>0</v>
      </c>
      <c r="AV114" s="2"/>
      <c r="AW114" s="2"/>
      <c r="AX114" s="2">
        <v>0</v>
      </c>
      <c r="AY114" s="2">
        <v>0</v>
      </c>
      <c r="AZ114" s="2"/>
      <c r="BA114" s="2">
        <v>0</v>
      </c>
      <c r="BB114" s="2"/>
      <c r="BC114" s="2">
        <v>0</v>
      </c>
      <c r="BD114" s="2">
        <v>0</v>
      </c>
      <c r="BE114" s="2"/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>
        <v>0</v>
      </c>
      <c r="BM114" s="2"/>
      <c r="BN114" s="2">
        <v>0</v>
      </c>
      <c r="BO114" s="2"/>
      <c r="BP114" s="2">
        <v>0</v>
      </c>
      <c r="BQ114" s="2"/>
      <c r="BR114" s="2">
        <v>0</v>
      </c>
      <c r="BS114" s="2"/>
      <c r="BT114" s="2">
        <v>0</v>
      </c>
      <c r="BU114" s="2">
        <v>0</v>
      </c>
      <c r="BV114" s="2"/>
      <c r="BW114" s="2"/>
      <c r="BX114" s="2">
        <v>0</v>
      </c>
      <c r="BY114" s="2">
        <v>0</v>
      </c>
      <c r="BZ114" s="2">
        <v>0</v>
      </c>
      <c r="CA114" s="2"/>
      <c r="CB114" s="2">
        <v>0</v>
      </c>
      <c r="CC114" s="2">
        <v>0</v>
      </c>
      <c r="CD114" s="2"/>
      <c r="CE114" s="2"/>
      <c r="CF114" s="2">
        <v>0</v>
      </c>
      <c r="CG114" s="2">
        <v>0</v>
      </c>
      <c r="CH114" s="2"/>
      <c r="CI114" s="2"/>
      <c r="CJ114" s="2">
        <v>0</v>
      </c>
      <c r="CK114" s="2">
        <v>0</v>
      </c>
      <c r="CL114" s="2"/>
      <c r="CM114" s="2"/>
      <c r="CN114" s="2">
        <v>0</v>
      </c>
      <c r="CO114" s="2">
        <v>0</v>
      </c>
      <c r="CP114" s="2">
        <v>0</v>
      </c>
      <c r="CQ114" s="2"/>
      <c r="CR114" s="2">
        <v>0</v>
      </c>
      <c r="CS114" s="2">
        <v>0</v>
      </c>
      <c r="CT114" s="2"/>
      <c r="CU114" s="2">
        <v>0</v>
      </c>
      <c r="CV114" s="2">
        <v>0</v>
      </c>
      <c r="CW114" s="2"/>
      <c r="CX114" s="2"/>
      <c r="CY114" s="2"/>
      <c r="CZ114" s="2"/>
      <c r="DA114" s="2">
        <v>0</v>
      </c>
      <c r="DB114" s="2">
        <v>0</v>
      </c>
      <c r="DC114" s="2"/>
      <c r="DD114" s="2"/>
      <c r="DE114" s="2">
        <v>0</v>
      </c>
      <c r="DF114" s="2"/>
      <c r="DG114" s="2"/>
      <c r="DH114" s="2"/>
      <c r="DI114" s="2">
        <v>0</v>
      </c>
      <c r="DJ114" s="2"/>
      <c r="DK114" s="2"/>
      <c r="DL114" s="2">
        <v>0</v>
      </c>
      <c r="DM114" s="2"/>
      <c r="DN114" s="2"/>
      <c r="DO114" s="2"/>
      <c r="DP114" s="2">
        <v>0</v>
      </c>
      <c r="DQ114" s="2">
        <v>0</v>
      </c>
      <c r="DR114" s="2"/>
      <c r="DS114" s="2"/>
      <c r="DT114" s="2">
        <v>0</v>
      </c>
    </row>
    <row r="115" spans="1:124" x14ac:dyDescent="0.25">
      <c r="A115" s="6" t="s">
        <v>138</v>
      </c>
      <c r="B115" s="2"/>
      <c r="C115" s="2"/>
      <c r="D115" s="2">
        <v>0</v>
      </c>
      <c r="E115" s="2"/>
      <c r="F115" s="2">
        <v>0</v>
      </c>
      <c r="G115" s="2">
        <v>2</v>
      </c>
      <c r="H115" s="2"/>
      <c r="I115" s="2"/>
      <c r="J115" s="2">
        <v>0</v>
      </c>
      <c r="K115" s="2"/>
      <c r="L115" s="2">
        <v>0</v>
      </c>
      <c r="M115" s="2">
        <v>0</v>
      </c>
      <c r="N115" s="2"/>
      <c r="O115" s="2">
        <v>0</v>
      </c>
      <c r="P115" s="2">
        <v>0</v>
      </c>
      <c r="Q115" s="2"/>
      <c r="R115" s="2"/>
      <c r="S115" s="2">
        <v>0</v>
      </c>
      <c r="T115" s="2">
        <v>0</v>
      </c>
      <c r="U115" s="2"/>
      <c r="V115" s="2">
        <v>1</v>
      </c>
      <c r="W115" s="2"/>
      <c r="X115" s="2">
        <v>0</v>
      </c>
      <c r="Y115" s="2">
        <v>0</v>
      </c>
      <c r="Z115" s="2">
        <v>0</v>
      </c>
      <c r="AA115" s="2"/>
      <c r="AB115" s="2"/>
      <c r="AC115" s="2">
        <v>0</v>
      </c>
      <c r="AD115" s="2">
        <v>0</v>
      </c>
      <c r="AE115" s="2"/>
      <c r="AF115" s="2"/>
      <c r="AG115" s="2">
        <v>0</v>
      </c>
      <c r="AH115" s="2">
        <v>0</v>
      </c>
      <c r="AI115" s="2"/>
      <c r="AJ115" s="2">
        <v>0</v>
      </c>
      <c r="AK115" s="2">
        <v>0</v>
      </c>
      <c r="AL115" s="2">
        <v>0</v>
      </c>
      <c r="AM115" s="2"/>
      <c r="AN115" s="2">
        <v>0</v>
      </c>
      <c r="AO115" s="2">
        <v>0</v>
      </c>
      <c r="AP115" s="2">
        <v>0</v>
      </c>
      <c r="AQ115" s="2"/>
      <c r="AR115" s="2"/>
      <c r="AS115" s="2">
        <v>0</v>
      </c>
      <c r="AT115" s="2">
        <v>0</v>
      </c>
      <c r="AU115" s="2">
        <v>0</v>
      </c>
      <c r="AV115" s="2"/>
      <c r="AW115" s="2"/>
      <c r="AX115" s="2">
        <v>0</v>
      </c>
      <c r="AY115" s="2">
        <v>0</v>
      </c>
      <c r="AZ115" s="2"/>
      <c r="BA115" s="2">
        <v>1</v>
      </c>
      <c r="BB115" s="2"/>
      <c r="BC115" s="2">
        <v>0</v>
      </c>
      <c r="BD115" s="2">
        <v>0</v>
      </c>
      <c r="BE115" s="2"/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>
        <v>0</v>
      </c>
      <c r="BM115" s="2"/>
      <c r="BN115" s="2">
        <v>0</v>
      </c>
      <c r="BO115" s="2"/>
      <c r="BP115" s="2">
        <v>0</v>
      </c>
      <c r="BQ115" s="2"/>
      <c r="BR115" s="2">
        <v>0</v>
      </c>
      <c r="BS115" s="2"/>
      <c r="BT115" s="2">
        <v>0</v>
      </c>
      <c r="BU115" s="2">
        <v>0</v>
      </c>
      <c r="BV115" s="2"/>
      <c r="BW115" s="2"/>
      <c r="BX115" s="2">
        <v>0</v>
      </c>
      <c r="BY115" s="2">
        <v>0</v>
      </c>
      <c r="BZ115" s="2">
        <v>0</v>
      </c>
      <c r="CA115" s="2"/>
      <c r="CB115" s="2">
        <v>0</v>
      </c>
      <c r="CC115" s="2">
        <v>0</v>
      </c>
      <c r="CD115" s="2"/>
      <c r="CE115" s="2"/>
      <c r="CF115" s="2">
        <v>0</v>
      </c>
      <c r="CG115" s="2">
        <v>0</v>
      </c>
      <c r="CH115" s="2"/>
      <c r="CI115" s="2"/>
      <c r="CJ115" s="2">
        <v>0</v>
      </c>
      <c r="CK115" s="2">
        <v>0</v>
      </c>
      <c r="CL115" s="2"/>
      <c r="CM115" s="2"/>
      <c r="CN115" s="2">
        <v>0</v>
      </c>
      <c r="CO115" s="2">
        <v>0</v>
      </c>
      <c r="CP115" s="2">
        <v>0</v>
      </c>
      <c r="CQ115" s="2"/>
      <c r="CR115" s="2">
        <v>0</v>
      </c>
      <c r="CS115" s="2">
        <v>0</v>
      </c>
      <c r="CT115" s="2"/>
      <c r="CU115" s="2">
        <v>0</v>
      </c>
      <c r="CV115" s="2">
        <v>0</v>
      </c>
      <c r="CW115" s="2"/>
      <c r="CX115" s="2"/>
      <c r="CY115" s="2"/>
      <c r="CZ115" s="2"/>
      <c r="DA115" s="2">
        <v>0</v>
      </c>
      <c r="DB115" s="2">
        <v>0</v>
      </c>
      <c r="DC115" s="2"/>
      <c r="DD115" s="2"/>
      <c r="DE115" s="2">
        <v>0</v>
      </c>
      <c r="DF115" s="2"/>
      <c r="DG115" s="2"/>
      <c r="DH115" s="2"/>
      <c r="DI115" s="2">
        <v>0</v>
      </c>
      <c r="DJ115" s="2"/>
      <c r="DK115" s="2"/>
      <c r="DL115" s="2">
        <v>0</v>
      </c>
      <c r="DM115" s="2"/>
      <c r="DN115" s="2"/>
      <c r="DO115" s="2"/>
      <c r="DP115" s="2">
        <v>0</v>
      </c>
      <c r="DQ115" s="2">
        <v>0</v>
      </c>
      <c r="DR115" s="2"/>
      <c r="DS115" s="2"/>
      <c r="DT115" s="2">
        <v>4</v>
      </c>
    </row>
    <row r="116" spans="1:124" x14ac:dyDescent="0.25">
      <c r="A116" s="6" t="s">
        <v>140</v>
      </c>
      <c r="B116" s="2"/>
      <c r="C116" s="2"/>
      <c r="D116" s="2">
        <v>0</v>
      </c>
      <c r="E116" s="2"/>
      <c r="F116" s="2">
        <v>0</v>
      </c>
      <c r="G116" s="2">
        <v>0</v>
      </c>
      <c r="H116" s="2"/>
      <c r="I116" s="2"/>
      <c r="J116" s="2">
        <v>0</v>
      </c>
      <c r="K116" s="2"/>
      <c r="L116" s="2">
        <v>0</v>
      </c>
      <c r="M116" s="2">
        <v>0</v>
      </c>
      <c r="N116" s="2"/>
      <c r="O116" s="2">
        <v>0</v>
      </c>
      <c r="P116" s="2">
        <v>0</v>
      </c>
      <c r="Q116" s="2"/>
      <c r="R116" s="2"/>
      <c r="S116" s="2">
        <v>0</v>
      </c>
      <c r="T116" s="2">
        <v>0</v>
      </c>
      <c r="U116" s="2"/>
      <c r="V116" s="2">
        <v>0</v>
      </c>
      <c r="W116" s="2"/>
      <c r="X116" s="2">
        <v>0</v>
      </c>
      <c r="Y116" s="2">
        <v>0</v>
      </c>
      <c r="Z116" s="2">
        <v>0</v>
      </c>
      <c r="AA116" s="2"/>
      <c r="AB116" s="2"/>
      <c r="AC116" s="2">
        <v>0</v>
      </c>
      <c r="AD116" s="2">
        <v>0</v>
      </c>
      <c r="AE116" s="2"/>
      <c r="AF116" s="2"/>
      <c r="AG116" s="2">
        <v>0</v>
      </c>
      <c r="AH116" s="2">
        <v>0</v>
      </c>
      <c r="AI116" s="2"/>
      <c r="AJ116" s="2">
        <v>0</v>
      </c>
      <c r="AK116" s="2">
        <v>0</v>
      </c>
      <c r="AL116" s="2">
        <v>0</v>
      </c>
      <c r="AM116" s="2"/>
      <c r="AN116" s="2">
        <v>0</v>
      </c>
      <c r="AO116" s="2">
        <v>0</v>
      </c>
      <c r="AP116" s="2">
        <v>0</v>
      </c>
      <c r="AQ116" s="2"/>
      <c r="AR116" s="2"/>
      <c r="AS116" s="2">
        <v>0</v>
      </c>
      <c r="AT116" s="2">
        <v>0</v>
      </c>
      <c r="AU116" s="2">
        <v>0</v>
      </c>
      <c r="AV116" s="2"/>
      <c r="AW116" s="2"/>
      <c r="AX116" s="2">
        <v>0</v>
      </c>
      <c r="AY116" s="2">
        <v>0</v>
      </c>
      <c r="AZ116" s="2"/>
      <c r="BA116" s="2">
        <v>0</v>
      </c>
      <c r="BB116" s="2"/>
      <c r="BC116" s="2">
        <v>0</v>
      </c>
      <c r="BD116" s="2">
        <v>0</v>
      </c>
      <c r="BE116" s="2"/>
      <c r="BF116" s="2"/>
      <c r="BG116" s="2">
        <v>0</v>
      </c>
      <c r="BH116" s="2">
        <v>0</v>
      </c>
      <c r="BI116" s="2">
        <v>1</v>
      </c>
      <c r="BJ116" s="2"/>
      <c r="BK116" s="2">
        <v>0</v>
      </c>
      <c r="BL116" s="2">
        <v>0</v>
      </c>
      <c r="BM116" s="2"/>
      <c r="BN116" s="2">
        <v>0</v>
      </c>
      <c r="BO116" s="2"/>
      <c r="BP116" s="2">
        <v>0</v>
      </c>
      <c r="BQ116" s="2"/>
      <c r="BR116" s="2">
        <v>0</v>
      </c>
      <c r="BS116" s="2"/>
      <c r="BT116" s="2">
        <v>0</v>
      </c>
      <c r="BU116" s="2">
        <v>0</v>
      </c>
      <c r="BV116" s="2"/>
      <c r="BW116" s="2"/>
      <c r="BX116" s="2">
        <v>0</v>
      </c>
      <c r="BY116" s="2">
        <v>0</v>
      </c>
      <c r="BZ116" s="2">
        <v>0</v>
      </c>
      <c r="CA116" s="2"/>
      <c r="CB116" s="2">
        <v>0</v>
      </c>
      <c r="CC116" s="2">
        <v>0</v>
      </c>
      <c r="CD116" s="2"/>
      <c r="CE116" s="2"/>
      <c r="CF116" s="2">
        <v>0</v>
      </c>
      <c r="CG116" s="2">
        <v>0</v>
      </c>
      <c r="CH116" s="2"/>
      <c r="CI116" s="2"/>
      <c r="CJ116" s="2">
        <v>0</v>
      </c>
      <c r="CK116" s="2">
        <v>0</v>
      </c>
      <c r="CL116" s="2"/>
      <c r="CM116" s="2"/>
      <c r="CN116" s="2">
        <v>0</v>
      </c>
      <c r="CO116" s="2">
        <v>0</v>
      </c>
      <c r="CP116" s="2">
        <v>0</v>
      </c>
      <c r="CQ116" s="2"/>
      <c r="CR116" s="2">
        <v>0</v>
      </c>
      <c r="CS116" s="2">
        <v>0</v>
      </c>
      <c r="CT116" s="2"/>
      <c r="CU116" s="2">
        <v>0</v>
      </c>
      <c r="CV116" s="2">
        <v>0</v>
      </c>
      <c r="CW116" s="2"/>
      <c r="CX116" s="2"/>
      <c r="CY116" s="2"/>
      <c r="CZ116" s="2"/>
      <c r="DA116" s="2">
        <v>0</v>
      </c>
      <c r="DB116" s="2">
        <v>0</v>
      </c>
      <c r="DC116" s="2"/>
      <c r="DD116" s="2"/>
      <c r="DE116" s="2">
        <v>0</v>
      </c>
      <c r="DF116" s="2"/>
      <c r="DG116" s="2"/>
      <c r="DH116" s="2"/>
      <c r="DI116" s="2">
        <v>0</v>
      </c>
      <c r="DJ116" s="2"/>
      <c r="DK116" s="2"/>
      <c r="DL116" s="2">
        <v>0</v>
      </c>
      <c r="DM116" s="2"/>
      <c r="DN116" s="2"/>
      <c r="DO116" s="2"/>
      <c r="DP116" s="2">
        <v>0</v>
      </c>
      <c r="DQ116" s="2">
        <v>0</v>
      </c>
      <c r="DR116" s="2"/>
      <c r="DS116" s="2"/>
      <c r="DT116" s="2">
        <v>1</v>
      </c>
    </row>
    <row r="117" spans="1:124" x14ac:dyDescent="0.25">
      <c r="A117" s="6" t="s">
        <v>142</v>
      </c>
      <c r="D117">
        <v>0</v>
      </c>
      <c r="F117">
        <v>0</v>
      </c>
      <c r="G117">
        <v>0</v>
      </c>
      <c r="J117">
        <v>0</v>
      </c>
      <c r="L117">
        <v>0</v>
      </c>
      <c r="M117">
        <v>0</v>
      </c>
      <c r="O117">
        <v>0</v>
      </c>
      <c r="P117">
        <v>0</v>
      </c>
      <c r="S117">
        <v>0</v>
      </c>
      <c r="T117">
        <v>0</v>
      </c>
      <c r="V117">
        <v>0</v>
      </c>
      <c r="X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J117">
        <v>0</v>
      </c>
      <c r="AK117">
        <v>0</v>
      </c>
      <c r="AL117">
        <v>0</v>
      </c>
      <c r="AN117">
        <v>0</v>
      </c>
      <c r="AO117">
        <v>0</v>
      </c>
      <c r="AP117">
        <v>0</v>
      </c>
      <c r="AS117">
        <v>0</v>
      </c>
      <c r="AT117">
        <v>0</v>
      </c>
      <c r="AU117">
        <v>0</v>
      </c>
      <c r="AX117">
        <v>0</v>
      </c>
      <c r="AY117">
        <v>0</v>
      </c>
      <c r="BA117">
        <v>0</v>
      </c>
      <c r="BC117">
        <v>0</v>
      </c>
      <c r="BD117">
        <v>0</v>
      </c>
      <c r="BG117">
        <v>0</v>
      </c>
      <c r="BH117">
        <v>0</v>
      </c>
      <c r="BI117">
        <v>0</v>
      </c>
      <c r="BK117">
        <v>0</v>
      </c>
      <c r="BL117">
        <v>0</v>
      </c>
      <c r="BN117">
        <v>0</v>
      </c>
      <c r="BP117">
        <v>0</v>
      </c>
      <c r="BR117">
        <v>0</v>
      </c>
      <c r="BT117">
        <v>0</v>
      </c>
      <c r="BU117">
        <v>0</v>
      </c>
      <c r="BX117">
        <v>0</v>
      </c>
      <c r="BY117">
        <v>0</v>
      </c>
      <c r="BZ117">
        <v>0</v>
      </c>
      <c r="CB117">
        <v>0</v>
      </c>
      <c r="CC117">
        <v>0</v>
      </c>
      <c r="CF117">
        <v>0</v>
      </c>
      <c r="CG117">
        <v>0</v>
      </c>
      <c r="CJ117">
        <v>0</v>
      </c>
      <c r="CK117">
        <v>0</v>
      </c>
      <c r="CN117">
        <v>0</v>
      </c>
      <c r="CO117">
        <v>0</v>
      </c>
      <c r="CP117">
        <v>0</v>
      </c>
      <c r="CR117">
        <v>0</v>
      </c>
      <c r="CS117">
        <v>0</v>
      </c>
      <c r="CU117">
        <v>0</v>
      </c>
      <c r="CV117">
        <v>0</v>
      </c>
      <c r="DA117">
        <v>0</v>
      </c>
      <c r="DB117">
        <v>0</v>
      </c>
      <c r="DE117">
        <v>0</v>
      </c>
      <c r="DI117">
        <v>0</v>
      </c>
      <c r="DL117">
        <v>0</v>
      </c>
      <c r="DP117">
        <v>0</v>
      </c>
      <c r="DQ117">
        <v>0</v>
      </c>
      <c r="DT117">
        <v>0</v>
      </c>
    </row>
    <row r="118" spans="1:124" x14ac:dyDescent="0.25">
      <c r="A118" s="6" t="s">
        <v>144</v>
      </c>
      <c r="D118">
        <v>0</v>
      </c>
      <c r="F118">
        <v>0</v>
      </c>
      <c r="G118">
        <v>0</v>
      </c>
      <c r="J118">
        <v>0</v>
      </c>
      <c r="L118">
        <v>0</v>
      </c>
      <c r="M118">
        <v>0</v>
      </c>
      <c r="O118">
        <v>0</v>
      </c>
      <c r="P118">
        <v>0</v>
      </c>
      <c r="S118">
        <v>0</v>
      </c>
      <c r="T118">
        <v>0</v>
      </c>
      <c r="V118">
        <v>0</v>
      </c>
      <c r="X118">
        <v>0</v>
      </c>
      <c r="Y118">
        <v>0</v>
      </c>
      <c r="Z118">
        <v>0</v>
      </c>
      <c r="AC118">
        <v>0</v>
      </c>
      <c r="AD118">
        <v>0</v>
      </c>
      <c r="AG118">
        <v>0</v>
      </c>
      <c r="AH118">
        <v>0</v>
      </c>
      <c r="AJ118">
        <v>0</v>
      </c>
      <c r="AK118">
        <v>0</v>
      </c>
      <c r="AL118">
        <v>0</v>
      </c>
      <c r="AN118">
        <v>0</v>
      </c>
      <c r="AO118">
        <v>0</v>
      </c>
      <c r="AP118">
        <v>0</v>
      </c>
      <c r="AS118">
        <v>0</v>
      </c>
      <c r="AT118">
        <v>0</v>
      </c>
      <c r="AU118">
        <v>0</v>
      </c>
      <c r="AX118">
        <v>0</v>
      </c>
      <c r="AY118">
        <v>0</v>
      </c>
      <c r="BA118">
        <v>0</v>
      </c>
      <c r="BC118">
        <v>0</v>
      </c>
      <c r="BD118">
        <v>0</v>
      </c>
      <c r="BG118">
        <v>0</v>
      </c>
      <c r="BH118">
        <v>0</v>
      </c>
      <c r="BI118">
        <v>0</v>
      </c>
      <c r="BK118">
        <v>0</v>
      </c>
      <c r="BL118">
        <v>0</v>
      </c>
      <c r="BN118">
        <v>0</v>
      </c>
      <c r="BP118">
        <v>0</v>
      </c>
      <c r="BR118">
        <v>0</v>
      </c>
      <c r="BT118">
        <v>0</v>
      </c>
      <c r="BU118">
        <v>0</v>
      </c>
      <c r="BX118">
        <v>0</v>
      </c>
      <c r="BY118">
        <v>0</v>
      </c>
      <c r="BZ118">
        <v>0</v>
      </c>
      <c r="CB118">
        <v>0</v>
      </c>
      <c r="CC118">
        <v>0</v>
      </c>
      <c r="CF118">
        <v>0</v>
      </c>
      <c r="CG118">
        <v>0</v>
      </c>
      <c r="CJ118">
        <v>0</v>
      </c>
      <c r="CK118">
        <v>0</v>
      </c>
      <c r="CN118">
        <v>0</v>
      </c>
      <c r="CO118">
        <v>0</v>
      </c>
      <c r="CP118">
        <v>0</v>
      </c>
      <c r="CR118">
        <v>0</v>
      </c>
      <c r="CS118">
        <v>0</v>
      </c>
      <c r="CU118">
        <v>0</v>
      </c>
      <c r="CV118">
        <v>0</v>
      </c>
      <c r="DA118">
        <v>0</v>
      </c>
      <c r="DB118">
        <v>0</v>
      </c>
      <c r="DE118">
        <v>0</v>
      </c>
      <c r="DI118">
        <v>0</v>
      </c>
      <c r="DL118">
        <v>0</v>
      </c>
      <c r="DP118">
        <v>0</v>
      </c>
      <c r="DQ118">
        <v>0</v>
      </c>
      <c r="DT118">
        <v>0</v>
      </c>
    </row>
    <row r="119" spans="1:124" x14ac:dyDescent="0.25">
      <c r="A119" s="6" t="s">
        <v>146</v>
      </c>
      <c r="B119" s="2"/>
      <c r="C119" s="2"/>
      <c r="D119" s="2">
        <v>0</v>
      </c>
      <c r="E119" s="2"/>
      <c r="F119" s="2">
        <v>0</v>
      </c>
      <c r="G119" s="2">
        <v>0</v>
      </c>
      <c r="H119" s="2"/>
      <c r="I119" s="2"/>
      <c r="J119" s="2">
        <v>0</v>
      </c>
      <c r="K119" s="2"/>
      <c r="L119" s="2">
        <v>0</v>
      </c>
      <c r="M119" s="2">
        <v>0</v>
      </c>
      <c r="N119" s="2"/>
      <c r="O119" s="2">
        <v>0</v>
      </c>
      <c r="P119" s="2">
        <v>0</v>
      </c>
      <c r="Q119" s="2"/>
      <c r="R119" s="2"/>
      <c r="S119" s="2">
        <v>0</v>
      </c>
      <c r="T119" s="2">
        <v>0</v>
      </c>
      <c r="U119" s="2"/>
      <c r="V119" s="2">
        <v>0</v>
      </c>
      <c r="W119" s="2"/>
      <c r="X119" s="2">
        <v>0</v>
      </c>
      <c r="Y119" s="2">
        <v>0</v>
      </c>
      <c r="Z119" s="2">
        <v>0</v>
      </c>
      <c r="AA119" s="2"/>
      <c r="AB119" s="2"/>
      <c r="AC119" s="2">
        <v>0</v>
      </c>
      <c r="AD119" s="2">
        <v>0</v>
      </c>
      <c r="AE119" s="2"/>
      <c r="AF119" s="2"/>
      <c r="AG119" s="2">
        <v>0</v>
      </c>
      <c r="AH119" s="2">
        <v>0</v>
      </c>
      <c r="AI119" s="2"/>
      <c r="AJ119" s="2">
        <v>0</v>
      </c>
      <c r="AK119" s="2">
        <v>0</v>
      </c>
      <c r="AL119" s="2">
        <v>0</v>
      </c>
      <c r="AM119" s="2"/>
      <c r="AN119" s="2">
        <v>0</v>
      </c>
      <c r="AO119" s="2">
        <v>0</v>
      </c>
      <c r="AP119" s="2">
        <v>0</v>
      </c>
      <c r="AQ119" s="2"/>
      <c r="AR119" s="2"/>
      <c r="AS119" s="2">
        <v>0</v>
      </c>
      <c r="AT119" s="2">
        <v>0</v>
      </c>
      <c r="AU119" s="2">
        <v>0</v>
      </c>
      <c r="AV119" s="2"/>
      <c r="AW119" s="2"/>
      <c r="AX119" s="2">
        <v>0</v>
      </c>
      <c r="AY119" s="2">
        <v>0</v>
      </c>
      <c r="AZ119" s="2"/>
      <c r="BA119" s="2">
        <v>0</v>
      </c>
      <c r="BB119" s="2"/>
      <c r="BC119" s="2">
        <v>0</v>
      </c>
      <c r="BD119" s="2">
        <v>0</v>
      </c>
      <c r="BE119" s="2"/>
      <c r="BF119" s="2"/>
      <c r="BG119" s="2">
        <v>0</v>
      </c>
      <c r="BH119" s="2">
        <v>0</v>
      </c>
      <c r="BI119" s="2">
        <v>0</v>
      </c>
      <c r="BJ119" s="2"/>
      <c r="BK119" s="2">
        <v>0</v>
      </c>
      <c r="BL119" s="2">
        <v>0</v>
      </c>
      <c r="BM119" s="2"/>
      <c r="BN119" s="2">
        <v>0</v>
      </c>
      <c r="BO119" s="2"/>
      <c r="BP119" s="2">
        <v>0</v>
      </c>
      <c r="BQ119" s="2"/>
      <c r="BR119" s="2">
        <v>0</v>
      </c>
      <c r="BS119" s="2"/>
      <c r="BT119" s="2">
        <v>0</v>
      </c>
      <c r="BU119" s="2">
        <v>0</v>
      </c>
      <c r="BV119" s="2"/>
      <c r="BW119" s="2"/>
      <c r="BX119" s="2">
        <v>0</v>
      </c>
      <c r="BY119" s="2">
        <v>0</v>
      </c>
      <c r="BZ119" s="2">
        <v>0</v>
      </c>
      <c r="CA119" s="2"/>
      <c r="CB119" s="2">
        <v>0</v>
      </c>
      <c r="CC119" s="2">
        <v>0</v>
      </c>
      <c r="CD119" s="2"/>
      <c r="CE119" s="2"/>
      <c r="CF119" s="2">
        <v>0</v>
      </c>
      <c r="CG119" s="2">
        <v>0</v>
      </c>
      <c r="CH119" s="2"/>
      <c r="CI119" s="2"/>
      <c r="CJ119" s="2">
        <v>0</v>
      </c>
      <c r="CK119" s="2">
        <v>0</v>
      </c>
      <c r="CL119" s="2"/>
      <c r="CM119" s="2"/>
      <c r="CN119" s="2">
        <v>0</v>
      </c>
      <c r="CO119" s="2">
        <v>0</v>
      </c>
      <c r="CP119" s="2">
        <v>0</v>
      </c>
      <c r="CQ119" s="2"/>
      <c r="CR119" s="2">
        <v>0</v>
      </c>
      <c r="CS119" s="2">
        <v>0</v>
      </c>
      <c r="CT119" s="2"/>
      <c r="CU119" s="2">
        <v>0</v>
      </c>
      <c r="CV119" s="2">
        <v>0</v>
      </c>
      <c r="CW119" s="2"/>
      <c r="CX119" s="2"/>
      <c r="CY119" s="2"/>
      <c r="CZ119" s="2"/>
      <c r="DA119" s="2">
        <v>0</v>
      </c>
      <c r="DB119" s="2">
        <v>0</v>
      </c>
      <c r="DC119" s="2"/>
      <c r="DD119" s="2"/>
      <c r="DE119" s="2">
        <v>0</v>
      </c>
      <c r="DF119" s="2"/>
      <c r="DG119" s="2"/>
      <c r="DH119" s="2"/>
      <c r="DI119" s="2">
        <v>0</v>
      </c>
      <c r="DJ119" s="2"/>
      <c r="DK119" s="2"/>
      <c r="DL119" s="2">
        <v>0</v>
      </c>
      <c r="DM119" s="2"/>
      <c r="DN119" s="2"/>
      <c r="DO119" s="2"/>
      <c r="DP119" s="2">
        <v>0</v>
      </c>
      <c r="DQ119" s="2">
        <v>2</v>
      </c>
      <c r="DR119" s="2"/>
      <c r="DS119" s="2"/>
      <c r="DT119" s="2">
        <v>2</v>
      </c>
    </row>
    <row r="120" spans="1:124" x14ac:dyDescent="0.25">
      <c r="A120" s="6" t="s">
        <v>454</v>
      </c>
      <c r="D120">
        <v>0</v>
      </c>
      <c r="F120">
        <v>0</v>
      </c>
      <c r="G120">
        <v>0</v>
      </c>
      <c r="J120">
        <v>0</v>
      </c>
      <c r="L120">
        <v>0</v>
      </c>
      <c r="M120">
        <v>0</v>
      </c>
      <c r="O120">
        <v>0</v>
      </c>
      <c r="P120">
        <v>0</v>
      </c>
      <c r="S120">
        <v>0</v>
      </c>
      <c r="T120">
        <v>0</v>
      </c>
      <c r="V120">
        <v>0</v>
      </c>
      <c r="X120">
        <v>0</v>
      </c>
      <c r="Y120">
        <v>0</v>
      </c>
      <c r="Z120">
        <v>0</v>
      </c>
      <c r="AC120">
        <v>0</v>
      </c>
      <c r="AD120">
        <v>0</v>
      </c>
      <c r="AG120">
        <v>0</v>
      </c>
      <c r="AH120">
        <v>0</v>
      </c>
      <c r="AJ120">
        <v>0</v>
      </c>
      <c r="AK120">
        <v>0</v>
      </c>
      <c r="AL120">
        <v>0</v>
      </c>
      <c r="AN120">
        <v>0</v>
      </c>
      <c r="AO120">
        <v>0</v>
      </c>
      <c r="AP120">
        <v>0</v>
      </c>
      <c r="AS120">
        <v>0</v>
      </c>
      <c r="AT120">
        <v>0</v>
      </c>
      <c r="AU120">
        <v>0</v>
      </c>
      <c r="AX120">
        <v>0</v>
      </c>
      <c r="AY120">
        <v>0</v>
      </c>
      <c r="BA120">
        <v>0</v>
      </c>
      <c r="BC120">
        <v>0</v>
      </c>
      <c r="BD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N120">
        <v>0</v>
      </c>
      <c r="BP120">
        <v>0</v>
      </c>
      <c r="BR120">
        <v>0</v>
      </c>
      <c r="BT120">
        <v>0</v>
      </c>
      <c r="BU120">
        <v>0</v>
      </c>
      <c r="BX120">
        <v>0</v>
      </c>
      <c r="BY120">
        <v>0</v>
      </c>
      <c r="BZ120">
        <v>0</v>
      </c>
      <c r="CB120">
        <v>0</v>
      </c>
      <c r="CC120">
        <v>0</v>
      </c>
      <c r="CF120">
        <v>0</v>
      </c>
      <c r="CG120">
        <v>0</v>
      </c>
      <c r="CJ120">
        <v>0</v>
      </c>
      <c r="CK120">
        <v>0</v>
      </c>
      <c r="CN120">
        <v>0</v>
      </c>
      <c r="CO120">
        <v>0</v>
      </c>
      <c r="CP120">
        <v>0</v>
      </c>
      <c r="CR120">
        <v>0</v>
      </c>
      <c r="CS120">
        <v>0</v>
      </c>
      <c r="CU120">
        <v>0</v>
      </c>
      <c r="CV120">
        <v>0</v>
      </c>
      <c r="DA120">
        <v>0</v>
      </c>
      <c r="DB120">
        <v>0</v>
      </c>
      <c r="DE120">
        <v>0</v>
      </c>
      <c r="DI120">
        <v>0</v>
      </c>
      <c r="DL120">
        <v>0</v>
      </c>
      <c r="DP120">
        <v>0</v>
      </c>
      <c r="DQ120">
        <v>0</v>
      </c>
      <c r="DT120">
        <v>0</v>
      </c>
    </row>
    <row r="121" spans="1:124" x14ac:dyDescent="0.25">
      <c r="A121" s="6" t="s">
        <v>148</v>
      </c>
      <c r="B121" s="2"/>
      <c r="C121" s="2"/>
      <c r="D121" s="2">
        <v>0</v>
      </c>
      <c r="E121" s="2"/>
      <c r="F121" s="2">
        <v>0</v>
      </c>
      <c r="G121" s="2">
        <v>0</v>
      </c>
      <c r="H121" s="2"/>
      <c r="I121" s="2"/>
      <c r="J121" s="2">
        <v>0</v>
      </c>
      <c r="K121" s="2"/>
      <c r="L121" s="2">
        <v>0</v>
      </c>
      <c r="M121" s="2">
        <v>0</v>
      </c>
      <c r="N121" s="2"/>
      <c r="O121" s="2">
        <v>0</v>
      </c>
      <c r="P121" s="2">
        <v>0</v>
      </c>
      <c r="Q121" s="2"/>
      <c r="R121" s="2"/>
      <c r="S121" s="2">
        <v>0</v>
      </c>
      <c r="T121" s="2">
        <v>0</v>
      </c>
      <c r="U121" s="2"/>
      <c r="V121" s="2">
        <v>0</v>
      </c>
      <c r="W121" s="2"/>
      <c r="X121" s="2">
        <v>0</v>
      </c>
      <c r="Y121" s="2">
        <v>0</v>
      </c>
      <c r="Z121" s="2">
        <v>0</v>
      </c>
      <c r="AA121" s="2"/>
      <c r="AB121" s="2"/>
      <c r="AC121" s="2">
        <v>0</v>
      </c>
      <c r="AD121" s="2">
        <v>0</v>
      </c>
      <c r="AE121" s="2"/>
      <c r="AF121" s="2"/>
      <c r="AG121" s="2">
        <v>0</v>
      </c>
      <c r="AH121" s="2">
        <v>0</v>
      </c>
      <c r="AI121" s="2"/>
      <c r="AJ121" s="2">
        <v>0</v>
      </c>
      <c r="AK121" s="2">
        <v>0</v>
      </c>
      <c r="AL121" s="2">
        <v>0</v>
      </c>
      <c r="AM121" s="2"/>
      <c r="AN121" s="2">
        <v>0</v>
      </c>
      <c r="AO121" s="2">
        <v>0</v>
      </c>
      <c r="AP121" s="2">
        <v>0</v>
      </c>
      <c r="AQ121" s="2"/>
      <c r="AR121" s="2"/>
      <c r="AS121" s="2">
        <v>0</v>
      </c>
      <c r="AT121" s="2">
        <v>0</v>
      </c>
      <c r="AU121" s="2">
        <v>0</v>
      </c>
      <c r="AV121" s="2"/>
      <c r="AW121" s="2"/>
      <c r="AX121" s="2">
        <v>0</v>
      </c>
      <c r="AY121" s="2">
        <v>0</v>
      </c>
      <c r="AZ121" s="2"/>
      <c r="BA121" s="2">
        <v>0</v>
      </c>
      <c r="BB121" s="2"/>
      <c r="BC121" s="2">
        <v>0</v>
      </c>
      <c r="BD121" s="2">
        <v>0</v>
      </c>
      <c r="BE121" s="2"/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>
        <v>0</v>
      </c>
      <c r="BM121" s="2"/>
      <c r="BN121" s="2">
        <v>0</v>
      </c>
      <c r="BO121" s="2"/>
      <c r="BP121" s="2">
        <v>0</v>
      </c>
      <c r="BQ121" s="2"/>
      <c r="BR121" s="2">
        <v>0</v>
      </c>
      <c r="BS121" s="2"/>
      <c r="BT121" s="2">
        <v>0</v>
      </c>
      <c r="BU121" s="2">
        <v>0</v>
      </c>
      <c r="BV121" s="2"/>
      <c r="BW121" s="2"/>
      <c r="BX121" s="2">
        <v>0</v>
      </c>
      <c r="BY121" s="2">
        <v>0</v>
      </c>
      <c r="BZ121" s="2">
        <v>0</v>
      </c>
      <c r="CA121" s="2"/>
      <c r="CB121" s="2">
        <v>0</v>
      </c>
      <c r="CC121" s="2">
        <v>0</v>
      </c>
      <c r="CD121" s="2"/>
      <c r="CE121" s="2"/>
      <c r="CF121" s="2">
        <v>0</v>
      </c>
      <c r="CG121" s="2">
        <v>0</v>
      </c>
      <c r="CH121" s="2"/>
      <c r="CI121" s="2"/>
      <c r="CJ121" s="2">
        <v>0</v>
      </c>
      <c r="CK121" s="2">
        <v>0</v>
      </c>
      <c r="CL121" s="2"/>
      <c r="CM121" s="2"/>
      <c r="CN121" s="2">
        <v>0</v>
      </c>
      <c r="CO121" s="2">
        <v>0</v>
      </c>
      <c r="CP121" s="2">
        <v>0</v>
      </c>
      <c r="CQ121" s="2"/>
      <c r="CR121" s="2">
        <v>0</v>
      </c>
      <c r="CS121" s="2">
        <v>0</v>
      </c>
      <c r="CT121" s="2"/>
      <c r="CU121" s="2">
        <v>0</v>
      </c>
      <c r="CV121" s="2">
        <v>0</v>
      </c>
      <c r="CW121" s="2"/>
      <c r="CX121" s="2"/>
      <c r="CY121" s="2"/>
      <c r="CZ121" s="2"/>
      <c r="DA121" s="2">
        <v>0</v>
      </c>
      <c r="DB121" s="2">
        <v>0</v>
      </c>
      <c r="DC121" s="2"/>
      <c r="DD121" s="2"/>
      <c r="DE121" s="2">
        <v>0</v>
      </c>
      <c r="DF121" s="2"/>
      <c r="DG121" s="2"/>
      <c r="DH121" s="2"/>
      <c r="DI121" s="2">
        <v>0</v>
      </c>
      <c r="DJ121" s="2"/>
      <c r="DK121" s="2"/>
      <c r="DL121" s="2">
        <v>0</v>
      </c>
      <c r="DM121" s="2"/>
      <c r="DN121" s="2"/>
      <c r="DO121" s="2"/>
      <c r="DP121" s="2">
        <v>0</v>
      </c>
      <c r="DQ121" s="2">
        <v>0</v>
      </c>
      <c r="DR121" s="2"/>
      <c r="DS121" s="2"/>
      <c r="DT121" s="2">
        <v>0</v>
      </c>
    </row>
    <row r="122" spans="1:124" x14ac:dyDescent="0.25">
      <c r="A122" s="6" t="s">
        <v>456</v>
      </c>
      <c r="D122">
        <v>0</v>
      </c>
      <c r="F122">
        <v>0</v>
      </c>
      <c r="G122">
        <v>0</v>
      </c>
      <c r="J122">
        <v>0</v>
      </c>
      <c r="L122">
        <v>0</v>
      </c>
      <c r="M122">
        <v>0</v>
      </c>
      <c r="O122">
        <v>0</v>
      </c>
      <c r="P122">
        <v>0</v>
      </c>
      <c r="S122">
        <v>0</v>
      </c>
      <c r="T122">
        <v>0</v>
      </c>
      <c r="V122">
        <v>0</v>
      </c>
      <c r="X122">
        <v>0</v>
      </c>
      <c r="Y122">
        <v>0</v>
      </c>
      <c r="Z122">
        <v>0</v>
      </c>
      <c r="AC122">
        <v>0</v>
      </c>
      <c r="AD122">
        <v>0</v>
      </c>
      <c r="AG122">
        <v>0</v>
      </c>
      <c r="AH122">
        <v>0</v>
      </c>
      <c r="AJ122">
        <v>0</v>
      </c>
      <c r="AK122">
        <v>0</v>
      </c>
      <c r="AL122">
        <v>0</v>
      </c>
      <c r="AN122">
        <v>0</v>
      </c>
      <c r="AO122">
        <v>0</v>
      </c>
      <c r="AP122">
        <v>0</v>
      </c>
      <c r="AS122">
        <v>0</v>
      </c>
      <c r="AT122">
        <v>0</v>
      </c>
      <c r="AU122">
        <v>0</v>
      </c>
      <c r="AX122">
        <v>0</v>
      </c>
      <c r="AY122">
        <v>0</v>
      </c>
      <c r="BA122">
        <v>0</v>
      </c>
      <c r="BC122">
        <v>0</v>
      </c>
      <c r="BD122">
        <v>0</v>
      </c>
      <c r="BG122">
        <v>0</v>
      </c>
      <c r="BH122">
        <v>0</v>
      </c>
      <c r="BI122">
        <v>0</v>
      </c>
      <c r="BK122">
        <v>0</v>
      </c>
      <c r="BL122">
        <v>0</v>
      </c>
      <c r="BN122">
        <v>0</v>
      </c>
      <c r="BP122">
        <v>0</v>
      </c>
      <c r="BR122">
        <v>0</v>
      </c>
      <c r="BT122">
        <v>0</v>
      </c>
      <c r="BU122">
        <v>0</v>
      </c>
      <c r="BX122">
        <v>0</v>
      </c>
      <c r="BY122">
        <v>0</v>
      </c>
      <c r="BZ122">
        <v>0</v>
      </c>
      <c r="CB122">
        <v>0</v>
      </c>
      <c r="CC122">
        <v>0</v>
      </c>
      <c r="CF122">
        <v>0</v>
      </c>
      <c r="CG122">
        <v>0</v>
      </c>
      <c r="CJ122">
        <v>0</v>
      </c>
      <c r="CK122">
        <v>0</v>
      </c>
      <c r="CN122">
        <v>0</v>
      </c>
      <c r="CO122">
        <v>0</v>
      </c>
      <c r="CP122">
        <v>0</v>
      </c>
      <c r="CR122">
        <v>0</v>
      </c>
      <c r="CS122">
        <v>0</v>
      </c>
      <c r="CU122">
        <v>0</v>
      </c>
      <c r="CV122">
        <v>0</v>
      </c>
      <c r="DA122">
        <v>0</v>
      </c>
      <c r="DB122">
        <v>0</v>
      </c>
      <c r="DE122">
        <v>0</v>
      </c>
      <c r="DI122">
        <v>0</v>
      </c>
      <c r="DL122">
        <v>0</v>
      </c>
      <c r="DP122">
        <v>0</v>
      </c>
      <c r="DQ122">
        <v>0</v>
      </c>
      <c r="DT122">
        <v>0</v>
      </c>
    </row>
    <row r="123" spans="1:124" x14ac:dyDescent="0.25">
      <c r="A123" s="6" t="s">
        <v>150</v>
      </c>
      <c r="D123">
        <v>0</v>
      </c>
      <c r="F123">
        <v>0</v>
      </c>
      <c r="G123">
        <v>0</v>
      </c>
      <c r="J123">
        <v>0</v>
      </c>
      <c r="L123">
        <v>0</v>
      </c>
      <c r="M123">
        <v>5</v>
      </c>
      <c r="O123">
        <v>0</v>
      </c>
      <c r="P123">
        <v>0</v>
      </c>
      <c r="S123">
        <v>0</v>
      </c>
      <c r="T123">
        <v>0</v>
      </c>
      <c r="V123">
        <v>0</v>
      </c>
      <c r="X123">
        <v>0</v>
      </c>
      <c r="Y123">
        <v>0</v>
      </c>
      <c r="Z123">
        <v>0</v>
      </c>
      <c r="AC123">
        <v>0</v>
      </c>
      <c r="AD123">
        <v>0</v>
      </c>
      <c r="AG123">
        <v>0</v>
      </c>
      <c r="AH123">
        <v>0</v>
      </c>
      <c r="AJ123">
        <v>0</v>
      </c>
      <c r="AK123">
        <v>0</v>
      </c>
      <c r="AL123">
        <v>0</v>
      </c>
      <c r="AN123">
        <v>0</v>
      </c>
      <c r="AO123">
        <v>0</v>
      </c>
      <c r="AP123">
        <v>0</v>
      </c>
      <c r="AS123">
        <v>0</v>
      </c>
      <c r="AT123">
        <v>0</v>
      </c>
      <c r="AU123">
        <v>0</v>
      </c>
      <c r="AX123">
        <v>0</v>
      </c>
      <c r="AY123">
        <v>0</v>
      </c>
      <c r="BA123">
        <v>0</v>
      </c>
      <c r="BC123">
        <v>0</v>
      </c>
      <c r="BD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N123">
        <v>0</v>
      </c>
      <c r="BP123">
        <v>0</v>
      </c>
      <c r="BR123">
        <v>0</v>
      </c>
      <c r="BT123">
        <v>0</v>
      </c>
      <c r="BU123">
        <v>0</v>
      </c>
      <c r="BX123">
        <v>0</v>
      </c>
      <c r="BY123">
        <v>0</v>
      </c>
      <c r="BZ123">
        <v>0</v>
      </c>
      <c r="CB123">
        <v>0</v>
      </c>
      <c r="CC123">
        <v>0</v>
      </c>
      <c r="CF123">
        <v>0</v>
      </c>
      <c r="CG123">
        <v>0</v>
      </c>
      <c r="CJ123">
        <v>0</v>
      </c>
      <c r="CK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U123">
        <v>0</v>
      </c>
      <c r="CV123">
        <v>0</v>
      </c>
      <c r="DA123">
        <v>0</v>
      </c>
      <c r="DB123">
        <v>0</v>
      </c>
      <c r="DE123">
        <v>0</v>
      </c>
      <c r="DI123">
        <v>0</v>
      </c>
      <c r="DL123">
        <v>0</v>
      </c>
      <c r="DP123">
        <v>0</v>
      </c>
      <c r="DQ123">
        <v>0</v>
      </c>
      <c r="DT123">
        <v>5</v>
      </c>
    </row>
    <row r="124" spans="1:124" x14ac:dyDescent="0.25">
      <c r="A124" s="6" t="s">
        <v>152</v>
      </c>
      <c r="B124" s="2"/>
      <c r="C124" s="2"/>
      <c r="D124" s="2">
        <v>0</v>
      </c>
      <c r="E124" s="2"/>
      <c r="F124" s="2">
        <v>0</v>
      </c>
      <c r="G124" s="2">
        <v>0</v>
      </c>
      <c r="H124" s="2"/>
      <c r="I124" s="2"/>
      <c r="J124" s="2">
        <v>0</v>
      </c>
      <c r="K124" s="2"/>
      <c r="L124" s="2">
        <v>0</v>
      </c>
      <c r="M124" s="2">
        <v>0</v>
      </c>
      <c r="N124" s="2"/>
      <c r="O124" s="2">
        <v>0</v>
      </c>
      <c r="P124" s="2">
        <v>0</v>
      </c>
      <c r="Q124" s="2"/>
      <c r="R124" s="2"/>
      <c r="S124" s="2">
        <v>0</v>
      </c>
      <c r="T124" s="2">
        <v>0</v>
      </c>
      <c r="U124" s="2"/>
      <c r="V124" s="2">
        <v>0</v>
      </c>
      <c r="W124" s="2"/>
      <c r="X124" s="2">
        <v>0</v>
      </c>
      <c r="Y124" s="2">
        <v>0</v>
      </c>
      <c r="Z124" s="2">
        <v>0</v>
      </c>
      <c r="AA124" s="2"/>
      <c r="AB124" s="2"/>
      <c r="AC124" s="2">
        <v>0</v>
      </c>
      <c r="AD124" s="2">
        <v>0</v>
      </c>
      <c r="AE124" s="2"/>
      <c r="AF124" s="2"/>
      <c r="AG124" s="2">
        <v>0</v>
      </c>
      <c r="AH124" s="2">
        <v>0</v>
      </c>
      <c r="AI124" s="2"/>
      <c r="AJ124" s="2">
        <v>0</v>
      </c>
      <c r="AK124" s="2">
        <v>0</v>
      </c>
      <c r="AL124" s="2">
        <v>0</v>
      </c>
      <c r="AM124" s="2"/>
      <c r="AN124" s="2">
        <v>0</v>
      </c>
      <c r="AO124" s="2">
        <v>0</v>
      </c>
      <c r="AP124" s="2">
        <v>0</v>
      </c>
      <c r="AQ124" s="2"/>
      <c r="AR124" s="2"/>
      <c r="AS124" s="2">
        <v>0</v>
      </c>
      <c r="AT124" s="2">
        <v>0</v>
      </c>
      <c r="AU124" s="2">
        <v>0</v>
      </c>
      <c r="AV124" s="2"/>
      <c r="AW124" s="2"/>
      <c r="AX124" s="2">
        <v>0</v>
      </c>
      <c r="AY124" s="2">
        <v>0</v>
      </c>
      <c r="AZ124" s="2"/>
      <c r="BA124" s="2">
        <v>0</v>
      </c>
      <c r="BB124" s="2"/>
      <c r="BC124" s="2">
        <v>0</v>
      </c>
      <c r="BD124" s="2">
        <v>0</v>
      </c>
      <c r="BE124" s="2"/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>
        <v>0</v>
      </c>
      <c r="BM124" s="2"/>
      <c r="BN124" s="2">
        <v>0</v>
      </c>
      <c r="BO124" s="2"/>
      <c r="BP124" s="2">
        <v>0</v>
      </c>
      <c r="BQ124" s="2"/>
      <c r="BR124" s="2">
        <v>0</v>
      </c>
      <c r="BS124" s="2"/>
      <c r="BT124" s="2">
        <v>0</v>
      </c>
      <c r="BU124" s="2">
        <v>0</v>
      </c>
      <c r="BV124" s="2"/>
      <c r="BW124" s="2"/>
      <c r="BX124" s="2">
        <v>0</v>
      </c>
      <c r="BY124" s="2">
        <v>0</v>
      </c>
      <c r="BZ124" s="2">
        <v>0</v>
      </c>
      <c r="CA124" s="2"/>
      <c r="CB124" s="2">
        <v>0</v>
      </c>
      <c r="CC124" s="2">
        <v>0</v>
      </c>
      <c r="CD124" s="2"/>
      <c r="CE124" s="2"/>
      <c r="CF124" s="2">
        <v>0</v>
      </c>
      <c r="CG124" s="2">
        <v>0</v>
      </c>
      <c r="CH124" s="2"/>
      <c r="CI124" s="2"/>
      <c r="CJ124" s="2">
        <v>0</v>
      </c>
      <c r="CK124" s="2">
        <v>0</v>
      </c>
      <c r="CL124" s="2"/>
      <c r="CM124" s="2"/>
      <c r="CN124" s="2">
        <v>0</v>
      </c>
      <c r="CO124" s="2">
        <v>0</v>
      </c>
      <c r="CP124" s="2">
        <v>0</v>
      </c>
      <c r="CQ124" s="2"/>
      <c r="CR124" s="2">
        <v>0</v>
      </c>
      <c r="CS124" s="2">
        <v>0</v>
      </c>
      <c r="CT124" s="2"/>
      <c r="CU124" s="2">
        <v>0</v>
      </c>
      <c r="CV124" s="2">
        <v>0</v>
      </c>
      <c r="CW124" s="2"/>
      <c r="CX124" s="2"/>
      <c r="CY124" s="2"/>
      <c r="CZ124" s="2"/>
      <c r="DA124" s="2">
        <v>0</v>
      </c>
      <c r="DB124" s="2">
        <v>0</v>
      </c>
      <c r="DC124" s="2"/>
      <c r="DD124" s="2"/>
      <c r="DE124" s="2">
        <v>0</v>
      </c>
      <c r="DF124" s="2"/>
      <c r="DG124" s="2"/>
      <c r="DH124" s="2"/>
      <c r="DI124" s="2">
        <v>0</v>
      </c>
      <c r="DJ124" s="2"/>
      <c r="DK124" s="2"/>
      <c r="DL124" s="2">
        <v>0</v>
      </c>
      <c r="DM124" s="2"/>
      <c r="DN124" s="2"/>
      <c r="DO124" s="2"/>
      <c r="DP124" s="2">
        <v>0</v>
      </c>
      <c r="DQ124" s="2">
        <v>2</v>
      </c>
      <c r="DR124" s="2"/>
      <c r="DS124" s="2"/>
      <c r="DT124" s="2">
        <v>2</v>
      </c>
    </row>
    <row r="125" spans="1:124" x14ac:dyDescent="0.25">
      <c r="A125" s="6" t="s">
        <v>154</v>
      </c>
      <c r="B125" s="2"/>
      <c r="C125" s="2"/>
      <c r="D125" s="2">
        <v>0</v>
      </c>
      <c r="E125" s="2"/>
      <c r="F125" s="2">
        <v>0</v>
      </c>
      <c r="G125" s="2">
        <v>0</v>
      </c>
      <c r="H125" s="2"/>
      <c r="I125" s="2"/>
      <c r="J125" s="2">
        <v>0</v>
      </c>
      <c r="K125" s="2"/>
      <c r="L125" s="2">
        <v>0</v>
      </c>
      <c r="M125" s="2">
        <v>0</v>
      </c>
      <c r="N125" s="2"/>
      <c r="O125" s="2">
        <v>0</v>
      </c>
      <c r="P125" s="2">
        <v>0</v>
      </c>
      <c r="Q125" s="2"/>
      <c r="R125" s="2"/>
      <c r="S125" s="2">
        <v>0</v>
      </c>
      <c r="T125" s="2">
        <v>0</v>
      </c>
      <c r="U125" s="2"/>
      <c r="V125" s="2">
        <v>0</v>
      </c>
      <c r="W125" s="2"/>
      <c r="X125" s="2">
        <v>0</v>
      </c>
      <c r="Y125" s="2">
        <v>0</v>
      </c>
      <c r="Z125" s="2">
        <v>0</v>
      </c>
      <c r="AA125" s="2"/>
      <c r="AB125" s="2"/>
      <c r="AC125" s="2">
        <v>0</v>
      </c>
      <c r="AD125" s="2">
        <v>0</v>
      </c>
      <c r="AE125" s="2"/>
      <c r="AF125" s="2"/>
      <c r="AG125" s="2">
        <v>0</v>
      </c>
      <c r="AH125" s="2">
        <v>0</v>
      </c>
      <c r="AI125" s="2"/>
      <c r="AJ125" s="2">
        <v>0</v>
      </c>
      <c r="AK125" s="2">
        <v>0</v>
      </c>
      <c r="AL125" s="2">
        <v>0</v>
      </c>
      <c r="AM125" s="2"/>
      <c r="AN125" s="2">
        <v>0</v>
      </c>
      <c r="AO125" s="2">
        <v>0</v>
      </c>
      <c r="AP125" s="2">
        <v>0</v>
      </c>
      <c r="AQ125" s="2"/>
      <c r="AR125" s="2"/>
      <c r="AS125" s="2">
        <v>0</v>
      </c>
      <c r="AT125" s="2">
        <v>0</v>
      </c>
      <c r="AU125" s="2">
        <v>0</v>
      </c>
      <c r="AV125" s="2"/>
      <c r="AW125" s="2"/>
      <c r="AX125" s="2">
        <v>0</v>
      </c>
      <c r="AY125" s="2">
        <v>0</v>
      </c>
      <c r="AZ125" s="2"/>
      <c r="BA125" s="2">
        <v>0</v>
      </c>
      <c r="BB125" s="2"/>
      <c r="BC125" s="2">
        <v>0</v>
      </c>
      <c r="BD125" s="2">
        <v>0</v>
      </c>
      <c r="BE125" s="2"/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>
        <v>0</v>
      </c>
      <c r="BM125" s="2"/>
      <c r="BN125" s="2">
        <v>0</v>
      </c>
      <c r="BO125" s="2"/>
      <c r="BP125" s="2">
        <v>0</v>
      </c>
      <c r="BQ125" s="2"/>
      <c r="BR125" s="2">
        <v>0</v>
      </c>
      <c r="BS125" s="2"/>
      <c r="BT125" s="2">
        <v>0</v>
      </c>
      <c r="BU125" s="2">
        <v>0</v>
      </c>
      <c r="BV125" s="2"/>
      <c r="BW125" s="2"/>
      <c r="BX125" s="2">
        <v>0</v>
      </c>
      <c r="BY125" s="2">
        <v>0</v>
      </c>
      <c r="BZ125" s="2">
        <v>0</v>
      </c>
      <c r="CA125" s="2"/>
      <c r="CB125" s="2">
        <v>0</v>
      </c>
      <c r="CC125" s="2">
        <v>0</v>
      </c>
      <c r="CD125" s="2"/>
      <c r="CE125" s="2"/>
      <c r="CF125" s="2">
        <v>0</v>
      </c>
      <c r="CG125" s="2">
        <v>0</v>
      </c>
      <c r="CH125" s="2"/>
      <c r="CI125" s="2"/>
      <c r="CJ125" s="2">
        <v>0</v>
      </c>
      <c r="CK125" s="2">
        <v>0</v>
      </c>
      <c r="CL125" s="2"/>
      <c r="CM125" s="2"/>
      <c r="CN125" s="2">
        <v>0</v>
      </c>
      <c r="CO125" s="2">
        <v>0</v>
      </c>
      <c r="CP125" s="2">
        <v>0</v>
      </c>
      <c r="CQ125" s="2"/>
      <c r="CR125" s="2">
        <v>0</v>
      </c>
      <c r="CS125" s="2">
        <v>0</v>
      </c>
      <c r="CT125" s="2"/>
      <c r="CU125" s="2">
        <v>0</v>
      </c>
      <c r="CV125" s="2">
        <v>0</v>
      </c>
      <c r="CW125" s="2"/>
      <c r="CX125" s="2"/>
      <c r="CY125" s="2"/>
      <c r="CZ125" s="2"/>
      <c r="DA125" s="2">
        <v>0</v>
      </c>
      <c r="DB125" s="2">
        <v>0</v>
      </c>
      <c r="DC125" s="2"/>
      <c r="DD125" s="2"/>
      <c r="DE125" s="2">
        <v>0</v>
      </c>
      <c r="DF125" s="2"/>
      <c r="DG125" s="2"/>
      <c r="DH125" s="2"/>
      <c r="DI125" s="2">
        <v>0</v>
      </c>
      <c r="DJ125" s="2"/>
      <c r="DK125" s="2"/>
      <c r="DL125" s="2">
        <v>0</v>
      </c>
      <c r="DM125" s="2"/>
      <c r="DN125" s="2"/>
      <c r="DO125" s="2"/>
      <c r="DP125" s="2">
        <v>0</v>
      </c>
      <c r="DQ125" s="2">
        <v>0</v>
      </c>
      <c r="DR125" s="2"/>
      <c r="DS125" s="2"/>
      <c r="DT125" s="2">
        <v>0</v>
      </c>
    </row>
    <row r="126" spans="1:124" x14ac:dyDescent="0.25">
      <c r="A126" s="6" t="s">
        <v>156</v>
      </c>
      <c r="D126">
        <v>0</v>
      </c>
      <c r="F126">
        <v>0</v>
      </c>
      <c r="G126">
        <v>0</v>
      </c>
      <c r="J126">
        <v>0</v>
      </c>
      <c r="L126">
        <v>0</v>
      </c>
      <c r="M126">
        <v>0</v>
      </c>
      <c r="O126">
        <v>0</v>
      </c>
      <c r="P126">
        <v>0</v>
      </c>
      <c r="S126">
        <v>0</v>
      </c>
      <c r="T126">
        <v>0</v>
      </c>
      <c r="V126">
        <v>0</v>
      </c>
      <c r="X126">
        <v>0</v>
      </c>
      <c r="Y126">
        <v>0</v>
      </c>
      <c r="Z126">
        <v>0</v>
      </c>
      <c r="AC126">
        <v>0</v>
      </c>
      <c r="AD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N126">
        <v>0</v>
      </c>
      <c r="AO126">
        <v>0</v>
      </c>
      <c r="AP126">
        <v>0</v>
      </c>
      <c r="AS126">
        <v>0</v>
      </c>
      <c r="AT126">
        <v>0</v>
      </c>
      <c r="AU126">
        <v>0</v>
      </c>
      <c r="AX126">
        <v>0</v>
      </c>
      <c r="AY126">
        <v>0</v>
      </c>
      <c r="BA126">
        <v>0</v>
      </c>
      <c r="BC126">
        <v>0</v>
      </c>
      <c r="BD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N126">
        <v>0</v>
      </c>
      <c r="BP126">
        <v>0</v>
      </c>
      <c r="BR126">
        <v>0</v>
      </c>
      <c r="BT126">
        <v>0</v>
      </c>
      <c r="BU126">
        <v>0</v>
      </c>
      <c r="BX126">
        <v>0</v>
      </c>
      <c r="BY126">
        <v>0</v>
      </c>
      <c r="BZ126">
        <v>0</v>
      </c>
      <c r="CB126">
        <v>0</v>
      </c>
      <c r="CC126">
        <v>0</v>
      </c>
      <c r="CF126">
        <v>0</v>
      </c>
      <c r="CG126">
        <v>0</v>
      </c>
      <c r="CJ126">
        <v>0</v>
      </c>
      <c r="CK126">
        <v>0</v>
      </c>
      <c r="CN126">
        <v>0</v>
      </c>
      <c r="CO126">
        <v>0</v>
      </c>
      <c r="CP126">
        <v>0</v>
      </c>
      <c r="CR126">
        <v>0</v>
      </c>
      <c r="CS126">
        <v>0</v>
      </c>
      <c r="CU126">
        <v>0</v>
      </c>
      <c r="CV126">
        <v>0</v>
      </c>
      <c r="DA126">
        <v>0</v>
      </c>
      <c r="DB126">
        <v>0</v>
      </c>
      <c r="DE126">
        <v>0</v>
      </c>
      <c r="DI126">
        <v>0</v>
      </c>
      <c r="DL126">
        <v>0</v>
      </c>
      <c r="DP126">
        <v>0</v>
      </c>
      <c r="DQ126">
        <v>0</v>
      </c>
      <c r="DT126">
        <v>0</v>
      </c>
    </row>
    <row r="127" spans="1:124" x14ac:dyDescent="0.25">
      <c r="A127" s="6" t="s">
        <v>158</v>
      </c>
      <c r="D127">
        <v>0</v>
      </c>
      <c r="F127">
        <v>0</v>
      </c>
      <c r="G127">
        <v>0</v>
      </c>
      <c r="J127">
        <v>0</v>
      </c>
      <c r="L127">
        <v>0</v>
      </c>
      <c r="M127">
        <v>0</v>
      </c>
      <c r="O127">
        <v>0</v>
      </c>
      <c r="P127">
        <v>0</v>
      </c>
      <c r="S127">
        <v>0</v>
      </c>
      <c r="T127">
        <v>0</v>
      </c>
      <c r="V127">
        <v>0</v>
      </c>
      <c r="X127">
        <v>0</v>
      </c>
      <c r="Y127">
        <v>0</v>
      </c>
      <c r="Z127">
        <v>0</v>
      </c>
      <c r="AC127">
        <v>0</v>
      </c>
      <c r="AD127">
        <v>0</v>
      </c>
      <c r="AG127">
        <v>0</v>
      </c>
      <c r="AH127">
        <v>0</v>
      </c>
      <c r="AJ127">
        <v>0</v>
      </c>
      <c r="AK127">
        <v>0</v>
      </c>
      <c r="AL127">
        <v>0</v>
      </c>
      <c r="AN127">
        <v>0</v>
      </c>
      <c r="AO127">
        <v>0</v>
      </c>
      <c r="AP127">
        <v>0</v>
      </c>
      <c r="AS127">
        <v>0</v>
      </c>
      <c r="AT127">
        <v>0</v>
      </c>
      <c r="AU127">
        <v>0</v>
      </c>
      <c r="AX127">
        <v>0</v>
      </c>
      <c r="AY127">
        <v>0</v>
      </c>
      <c r="BA127">
        <v>5</v>
      </c>
      <c r="BC127">
        <v>0</v>
      </c>
      <c r="BD127">
        <v>0</v>
      </c>
      <c r="BG127">
        <v>0</v>
      </c>
      <c r="BH127">
        <v>0</v>
      </c>
      <c r="BI127">
        <v>0</v>
      </c>
      <c r="BK127">
        <v>0</v>
      </c>
      <c r="BL127">
        <v>0</v>
      </c>
      <c r="BN127">
        <v>0</v>
      </c>
      <c r="BP127">
        <v>0</v>
      </c>
      <c r="BR127">
        <v>0</v>
      </c>
      <c r="BT127">
        <v>0</v>
      </c>
      <c r="BU127">
        <v>0</v>
      </c>
      <c r="BX127">
        <v>0</v>
      </c>
      <c r="BY127">
        <v>0</v>
      </c>
      <c r="BZ127">
        <v>0</v>
      </c>
      <c r="CB127">
        <v>0</v>
      </c>
      <c r="CC127">
        <v>0</v>
      </c>
      <c r="CF127">
        <v>0</v>
      </c>
      <c r="CG127">
        <v>0</v>
      </c>
      <c r="CJ127">
        <v>0</v>
      </c>
      <c r="CK127">
        <v>0</v>
      </c>
      <c r="CN127">
        <v>0</v>
      </c>
      <c r="CO127">
        <v>0</v>
      </c>
      <c r="CP127">
        <v>0</v>
      </c>
      <c r="CR127">
        <v>0</v>
      </c>
      <c r="CS127">
        <v>0</v>
      </c>
      <c r="CU127">
        <v>0</v>
      </c>
      <c r="CV127">
        <v>0</v>
      </c>
      <c r="DA127">
        <v>0</v>
      </c>
      <c r="DB127">
        <v>0</v>
      </c>
      <c r="DE127">
        <v>0</v>
      </c>
      <c r="DI127">
        <v>0</v>
      </c>
      <c r="DL127">
        <v>0</v>
      </c>
      <c r="DP127">
        <v>0</v>
      </c>
      <c r="DQ127">
        <v>0</v>
      </c>
      <c r="DT127">
        <v>5</v>
      </c>
    </row>
    <row r="128" spans="1:124" x14ac:dyDescent="0.25">
      <c r="A128" s="6" t="s">
        <v>160</v>
      </c>
      <c r="D128">
        <v>0</v>
      </c>
      <c r="F128">
        <v>0</v>
      </c>
      <c r="G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S128">
        <v>0</v>
      </c>
      <c r="T128">
        <v>0</v>
      </c>
      <c r="V128">
        <v>0</v>
      </c>
      <c r="X128">
        <v>0</v>
      </c>
      <c r="Y128">
        <v>0</v>
      </c>
      <c r="Z128">
        <v>0</v>
      </c>
      <c r="AC128">
        <v>0</v>
      </c>
      <c r="AD128">
        <v>0</v>
      </c>
      <c r="AG128">
        <v>0</v>
      </c>
      <c r="AH128">
        <v>0</v>
      </c>
      <c r="AJ128">
        <v>0</v>
      </c>
      <c r="AK128">
        <v>0</v>
      </c>
      <c r="AL128">
        <v>0</v>
      </c>
      <c r="AN128">
        <v>0</v>
      </c>
      <c r="AO128">
        <v>0</v>
      </c>
      <c r="AP128">
        <v>0</v>
      </c>
      <c r="AS128">
        <v>0</v>
      </c>
      <c r="AT128">
        <v>0</v>
      </c>
      <c r="AU128">
        <v>0</v>
      </c>
      <c r="AX128">
        <v>0</v>
      </c>
      <c r="AY128">
        <v>0</v>
      </c>
      <c r="BA128">
        <v>0</v>
      </c>
      <c r="BC128">
        <v>0</v>
      </c>
      <c r="BD128">
        <v>0</v>
      </c>
      <c r="BG128">
        <v>0</v>
      </c>
      <c r="BH128">
        <v>0</v>
      </c>
      <c r="BI128">
        <v>0</v>
      </c>
      <c r="BK128">
        <v>0</v>
      </c>
      <c r="BL128">
        <v>0</v>
      </c>
      <c r="BN128">
        <v>0</v>
      </c>
      <c r="BP128">
        <v>0</v>
      </c>
      <c r="BR128">
        <v>0</v>
      </c>
      <c r="BT128">
        <v>0</v>
      </c>
      <c r="BU128">
        <v>0</v>
      </c>
      <c r="BX128">
        <v>0</v>
      </c>
      <c r="BY128">
        <v>0</v>
      </c>
      <c r="BZ128">
        <v>0</v>
      </c>
      <c r="CB128">
        <v>0</v>
      </c>
      <c r="CC128">
        <v>0</v>
      </c>
      <c r="CF128">
        <v>0</v>
      </c>
      <c r="CG128">
        <v>0</v>
      </c>
      <c r="CJ128">
        <v>0</v>
      </c>
      <c r="CK128">
        <v>0</v>
      </c>
      <c r="CN128">
        <v>0</v>
      </c>
      <c r="CO128">
        <v>0</v>
      </c>
      <c r="CP128">
        <v>0</v>
      </c>
      <c r="CR128">
        <v>0</v>
      </c>
      <c r="CS128">
        <v>0</v>
      </c>
      <c r="CU128">
        <v>0</v>
      </c>
      <c r="CV128">
        <v>0</v>
      </c>
      <c r="DA128">
        <v>0</v>
      </c>
      <c r="DB128">
        <v>0</v>
      </c>
      <c r="DE128">
        <v>0</v>
      </c>
      <c r="DI128">
        <v>0</v>
      </c>
      <c r="DL128">
        <v>0</v>
      </c>
      <c r="DP128">
        <v>0</v>
      </c>
      <c r="DQ128">
        <v>0</v>
      </c>
      <c r="DT128">
        <v>0</v>
      </c>
    </row>
    <row r="129" spans="1:124" x14ac:dyDescent="0.25">
      <c r="A129" s="6" t="s">
        <v>162</v>
      </c>
      <c r="D129">
        <v>0</v>
      </c>
      <c r="F129">
        <v>0</v>
      </c>
      <c r="G129">
        <v>0</v>
      </c>
      <c r="J129">
        <v>0</v>
      </c>
      <c r="L129">
        <v>0</v>
      </c>
      <c r="M129">
        <v>0</v>
      </c>
      <c r="O129">
        <v>0</v>
      </c>
      <c r="P129">
        <v>0</v>
      </c>
      <c r="S129">
        <v>0</v>
      </c>
      <c r="T129">
        <v>0</v>
      </c>
      <c r="V129">
        <v>0</v>
      </c>
      <c r="X129">
        <v>0</v>
      </c>
      <c r="Y129">
        <v>0</v>
      </c>
      <c r="Z129">
        <v>0</v>
      </c>
      <c r="AC129">
        <v>0</v>
      </c>
      <c r="AD129">
        <v>0</v>
      </c>
      <c r="AG129">
        <v>0</v>
      </c>
      <c r="AH129">
        <v>0</v>
      </c>
      <c r="AJ129">
        <v>0</v>
      </c>
      <c r="AK129">
        <v>0</v>
      </c>
      <c r="AL129">
        <v>0</v>
      </c>
      <c r="AN129">
        <v>0</v>
      </c>
      <c r="AO129">
        <v>0</v>
      </c>
      <c r="AP129">
        <v>0</v>
      </c>
      <c r="AS129">
        <v>0</v>
      </c>
      <c r="AT129">
        <v>0</v>
      </c>
      <c r="AU129">
        <v>0</v>
      </c>
      <c r="AX129">
        <v>0</v>
      </c>
      <c r="AY129">
        <v>0</v>
      </c>
      <c r="BA129">
        <v>0</v>
      </c>
      <c r="BC129">
        <v>0</v>
      </c>
      <c r="BD129">
        <v>0</v>
      </c>
      <c r="BG129">
        <v>0</v>
      </c>
      <c r="BH129">
        <v>0</v>
      </c>
      <c r="BI129">
        <v>0</v>
      </c>
      <c r="BK129">
        <v>0</v>
      </c>
      <c r="BL129">
        <v>0</v>
      </c>
      <c r="BN129">
        <v>0</v>
      </c>
      <c r="BP129">
        <v>0</v>
      </c>
      <c r="BR129">
        <v>0</v>
      </c>
      <c r="BT129">
        <v>0</v>
      </c>
      <c r="BU129">
        <v>0</v>
      </c>
      <c r="BX129">
        <v>0</v>
      </c>
      <c r="BY129">
        <v>0</v>
      </c>
      <c r="BZ129">
        <v>0</v>
      </c>
      <c r="CB129">
        <v>0</v>
      </c>
      <c r="CC129">
        <v>0</v>
      </c>
      <c r="CF129">
        <v>0</v>
      </c>
      <c r="CG129">
        <v>0</v>
      </c>
      <c r="CJ129">
        <v>0</v>
      </c>
      <c r="CK129">
        <v>0</v>
      </c>
      <c r="CN129">
        <v>0</v>
      </c>
      <c r="CO129">
        <v>0</v>
      </c>
      <c r="CP129">
        <v>0</v>
      </c>
      <c r="CR129">
        <v>0</v>
      </c>
      <c r="CS129">
        <v>0</v>
      </c>
      <c r="CU129">
        <v>0</v>
      </c>
      <c r="CV129">
        <v>0</v>
      </c>
      <c r="DA129">
        <v>0</v>
      </c>
      <c r="DB129">
        <v>0</v>
      </c>
      <c r="DE129">
        <v>0</v>
      </c>
      <c r="DI129">
        <v>0</v>
      </c>
      <c r="DL129">
        <v>0</v>
      </c>
      <c r="DP129">
        <v>0</v>
      </c>
      <c r="DQ129">
        <v>0</v>
      </c>
      <c r="DT129">
        <v>0</v>
      </c>
    </row>
    <row r="130" spans="1:124" x14ac:dyDescent="0.25">
      <c r="A130" s="6" t="s">
        <v>164</v>
      </c>
      <c r="D130">
        <v>0</v>
      </c>
      <c r="F130">
        <v>0</v>
      </c>
      <c r="G130">
        <v>0</v>
      </c>
      <c r="J130">
        <v>0</v>
      </c>
      <c r="L130">
        <v>0</v>
      </c>
      <c r="M130">
        <v>0</v>
      </c>
      <c r="O130">
        <v>0</v>
      </c>
      <c r="P130">
        <v>0</v>
      </c>
      <c r="S130">
        <v>0</v>
      </c>
      <c r="T130">
        <v>0</v>
      </c>
      <c r="V130">
        <v>0</v>
      </c>
      <c r="X130">
        <v>0</v>
      </c>
      <c r="Y130">
        <v>0</v>
      </c>
      <c r="Z130">
        <v>0</v>
      </c>
      <c r="AC130">
        <v>0</v>
      </c>
      <c r="AD130">
        <v>0</v>
      </c>
      <c r="AG130">
        <v>0</v>
      </c>
      <c r="AH130">
        <v>0</v>
      </c>
      <c r="AJ130">
        <v>0</v>
      </c>
      <c r="AK130">
        <v>0</v>
      </c>
      <c r="AL130">
        <v>0</v>
      </c>
      <c r="AN130">
        <v>0</v>
      </c>
      <c r="AO130">
        <v>0</v>
      </c>
      <c r="AP130">
        <v>0</v>
      </c>
      <c r="AS130">
        <v>0</v>
      </c>
      <c r="AT130">
        <v>0</v>
      </c>
      <c r="AU130">
        <v>0</v>
      </c>
      <c r="AX130">
        <v>0</v>
      </c>
      <c r="AY130">
        <v>0</v>
      </c>
      <c r="BA130">
        <v>0</v>
      </c>
      <c r="BC130">
        <v>0</v>
      </c>
      <c r="BD130">
        <v>0</v>
      </c>
      <c r="BG130">
        <v>0</v>
      </c>
      <c r="BH130">
        <v>0</v>
      </c>
      <c r="BI130">
        <v>0</v>
      </c>
      <c r="BK130">
        <v>0</v>
      </c>
      <c r="BL130">
        <v>0</v>
      </c>
      <c r="BN130">
        <v>0</v>
      </c>
      <c r="BP130">
        <v>0</v>
      </c>
      <c r="BR130">
        <v>0</v>
      </c>
      <c r="BT130">
        <v>0</v>
      </c>
      <c r="BU130">
        <v>0</v>
      </c>
      <c r="BX130">
        <v>0</v>
      </c>
      <c r="BY130">
        <v>0</v>
      </c>
      <c r="BZ130">
        <v>0</v>
      </c>
      <c r="CB130">
        <v>0</v>
      </c>
      <c r="CC130">
        <v>0</v>
      </c>
      <c r="CF130">
        <v>0</v>
      </c>
      <c r="CG130">
        <v>0</v>
      </c>
      <c r="CJ130">
        <v>0</v>
      </c>
      <c r="CK130">
        <v>0</v>
      </c>
      <c r="CN130">
        <v>0</v>
      </c>
      <c r="CO130">
        <v>0</v>
      </c>
      <c r="CP130">
        <v>0</v>
      </c>
      <c r="CR130">
        <v>0</v>
      </c>
      <c r="CS130">
        <v>0</v>
      </c>
      <c r="CU130">
        <v>0</v>
      </c>
      <c r="CV130">
        <v>0</v>
      </c>
      <c r="DA130">
        <v>0</v>
      </c>
      <c r="DB130">
        <v>0</v>
      </c>
      <c r="DE130">
        <v>0</v>
      </c>
      <c r="DI130">
        <v>0</v>
      </c>
      <c r="DL130">
        <v>0</v>
      </c>
      <c r="DP130">
        <v>0</v>
      </c>
      <c r="DQ130">
        <v>0</v>
      </c>
      <c r="DT130">
        <v>0</v>
      </c>
    </row>
    <row r="131" spans="1:124" x14ac:dyDescent="0.25">
      <c r="A131" s="6" t="s">
        <v>166</v>
      </c>
      <c r="D131">
        <v>0</v>
      </c>
      <c r="F131">
        <v>0</v>
      </c>
      <c r="G131">
        <v>0</v>
      </c>
      <c r="J131">
        <v>0</v>
      </c>
      <c r="L131">
        <v>0</v>
      </c>
      <c r="M131">
        <v>0</v>
      </c>
      <c r="O131">
        <v>0</v>
      </c>
      <c r="P131">
        <v>0</v>
      </c>
      <c r="S131">
        <v>0</v>
      </c>
      <c r="T131">
        <v>0</v>
      </c>
      <c r="V131">
        <v>0</v>
      </c>
      <c r="X131">
        <v>0</v>
      </c>
      <c r="Y131">
        <v>0</v>
      </c>
      <c r="Z131">
        <v>0</v>
      </c>
      <c r="AC131">
        <v>0</v>
      </c>
      <c r="AD131">
        <v>0</v>
      </c>
      <c r="AG131">
        <v>0</v>
      </c>
      <c r="AH131">
        <v>0</v>
      </c>
      <c r="AJ131">
        <v>0</v>
      </c>
      <c r="AK131">
        <v>0</v>
      </c>
      <c r="AL131">
        <v>0</v>
      </c>
      <c r="AN131">
        <v>0</v>
      </c>
      <c r="AO131">
        <v>0</v>
      </c>
      <c r="AP131">
        <v>0</v>
      </c>
      <c r="AS131">
        <v>0</v>
      </c>
      <c r="AT131">
        <v>0</v>
      </c>
      <c r="AU131">
        <v>0</v>
      </c>
      <c r="AX131">
        <v>0</v>
      </c>
      <c r="AY131">
        <v>0</v>
      </c>
      <c r="BA131">
        <v>0</v>
      </c>
      <c r="BC131">
        <v>0</v>
      </c>
      <c r="BD131">
        <v>0</v>
      </c>
      <c r="BG131">
        <v>0</v>
      </c>
      <c r="BH131">
        <v>0</v>
      </c>
      <c r="BI131">
        <v>0</v>
      </c>
      <c r="BK131">
        <v>0</v>
      </c>
      <c r="BL131">
        <v>0</v>
      </c>
      <c r="BN131">
        <v>0</v>
      </c>
      <c r="BP131">
        <v>0</v>
      </c>
      <c r="BR131">
        <v>0</v>
      </c>
      <c r="BT131">
        <v>0</v>
      </c>
      <c r="BU131">
        <v>0</v>
      </c>
      <c r="BX131">
        <v>0</v>
      </c>
      <c r="BY131">
        <v>0</v>
      </c>
      <c r="BZ131">
        <v>0</v>
      </c>
      <c r="CB131">
        <v>0</v>
      </c>
      <c r="CC131">
        <v>0</v>
      </c>
      <c r="CF131">
        <v>0</v>
      </c>
      <c r="CG131">
        <v>0</v>
      </c>
      <c r="CJ131">
        <v>0</v>
      </c>
      <c r="CK131">
        <v>0</v>
      </c>
      <c r="CN131">
        <v>0</v>
      </c>
      <c r="CO131">
        <v>0</v>
      </c>
      <c r="CP131">
        <v>0</v>
      </c>
      <c r="CR131">
        <v>0</v>
      </c>
      <c r="CS131">
        <v>0</v>
      </c>
      <c r="CU131">
        <v>0</v>
      </c>
      <c r="CV131">
        <v>0</v>
      </c>
      <c r="DA131">
        <v>0</v>
      </c>
      <c r="DB131">
        <v>0</v>
      </c>
      <c r="DE131">
        <v>0</v>
      </c>
      <c r="DI131">
        <v>0</v>
      </c>
      <c r="DL131">
        <v>0</v>
      </c>
      <c r="DP131">
        <v>0</v>
      </c>
      <c r="DQ131">
        <v>0</v>
      </c>
      <c r="DT131">
        <v>0</v>
      </c>
    </row>
    <row r="132" spans="1:124" x14ac:dyDescent="0.25">
      <c r="A132" s="5" t="s">
        <v>38</v>
      </c>
    </row>
    <row r="133" spans="1:124" x14ac:dyDescent="0.25">
      <c r="A133" s="6" t="s">
        <v>131</v>
      </c>
      <c r="C133">
        <v>22</v>
      </c>
      <c r="G133">
        <v>52</v>
      </c>
      <c r="I133">
        <v>0</v>
      </c>
      <c r="K133">
        <v>0</v>
      </c>
      <c r="N133">
        <v>0</v>
      </c>
      <c r="Q133">
        <v>0</v>
      </c>
      <c r="V133">
        <v>30</v>
      </c>
      <c r="AA133">
        <v>26</v>
      </c>
      <c r="AF133">
        <v>16</v>
      </c>
      <c r="AI133">
        <v>0</v>
      </c>
      <c r="AM133">
        <v>0</v>
      </c>
      <c r="AQ133">
        <v>0</v>
      </c>
      <c r="AV133">
        <v>0</v>
      </c>
      <c r="BA133">
        <v>47</v>
      </c>
      <c r="BF133">
        <v>40</v>
      </c>
      <c r="BI133">
        <v>28</v>
      </c>
      <c r="BM133">
        <v>0</v>
      </c>
      <c r="BQ133">
        <v>0</v>
      </c>
      <c r="BW133">
        <v>0</v>
      </c>
      <c r="CA133">
        <v>0</v>
      </c>
      <c r="CE133">
        <v>39</v>
      </c>
      <c r="CI133">
        <v>10</v>
      </c>
      <c r="CL133">
        <v>0</v>
      </c>
      <c r="CR133">
        <v>0</v>
      </c>
      <c r="CU133">
        <v>0</v>
      </c>
      <c r="CZ133">
        <v>0</v>
      </c>
      <c r="DD133">
        <v>0</v>
      </c>
      <c r="DH133">
        <v>0</v>
      </c>
      <c r="DK133">
        <v>0</v>
      </c>
      <c r="DO133">
        <v>0</v>
      </c>
      <c r="DR133">
        <v>0</v>
      </c>
      <c r="DT133">
        <v>310</v>
      </c>
    </row>
    <row r="134" spans="1:124" x14ac:dyDescent="0.25">
      <c r="A134" s="6" t="s">
        <v>134</v>
      </c>
      <c r="B134" s="2"/>
      <c r="C134" s="2">
        <v>0</v>
      </c>
      <c r="D134" s="2"/>
      <c r="E134" s="2"/>
      <c r="F134" s="2"/>
      <c r="G134" s="2">
        <v>0</v>
      </c>
      <c r="H134" s="2"/>
      <c r="I134" s="2">
        <v>0</v>
      </c>
      <c r="J134" s="2"/>
      <c r="K134" s="2">
        <v>0</v>
      </c>
      <c r="L134" s="2"/>
      <c r="M134" s="2"/>
      <c r="N134" s="2">
        <v>0</v>
      </c>
      <c r="O134" s="2"/>
      <c r="P134" s="2"/>
      <c r="Q134" s="2">
        <v>0</v>
      </c>
      <c r="R134" s="2"/>
      <c r="S134" s="2"/>
      <c r="T134" s="2"/>
      <c r="U134" s="2"/>
      <c r="V134" s="2">
        <v>0</v>
      </c>
      <c r="W134" s="2"/>
      <c r="X134" s="2"/>
      <c r="Y134" s="2"/>
      <c r="Z134" s="2"/>
      <c r="AA134" s="2">
        <v>0</v>
      </c>
      <c r="AB134" s="2"/>
      <c r="AC134" s="2"/>
      <c r="AD134" s="2"/>
      <c r="AE134" s="2"/>
      <c r="AF134" s="2">
        <v>0</v>
      </c>
      <c r="AG134" s="2"/>
      <c r="AH134" s="2"/>
      <c r="AI134" s="2">
        <v>0</v>
      </c>
      <c r="AJ134" s="2"/>
      <c r="AK134" s="2"/>
      <c r="AL134" s="2"/>
      <c r="AM134" s="2">
        <v>0</v>
      </c>
      <c r="AN134" s="2"/>
      <c r="AO134" s="2"/>
      <c r="AP134" s="2"/>
      <c r="AQ134" s="2">
        <v>0</v>
      </c>
      <c r="AR134" s="2"/>
      <c r="AS134" s="2"/>
      <c r="AT134" s="2"/>
      <c r="AU134" s="2"/>
      <c r="AV134" s="2">
        <v>0</v>
      </c>
      <c r="AW134" s="2"/>
      <c r="AX134" s="2"/>
      <c r="AY134" s="2"/>
      <c r="AZ134" s="2"/>
      <c r="BA134" s="2">
        <v>0</v>
      </c>
      <c r="BB134" s="2"/>
      <c r="BC134" s="2"/>
      <c r="BD134" s="2"/>
      <c r="BE134" s="2"/>
      <c r="BF134" s="2">
        <v>0</v>
      </c>
      <c r="BG134" s="2"/>
      <c r="BH134" s="2"/>
      <c r="BI134" s="2">
        <v>0</v>
      </c>
      <c r="BJ134" s="2"/>
      <c r="BK134" s="2"/>
      <c r="BL134" s="2"/>
      <c r="BM134" s="2">
        <v>0</v>
      </c>
      <c r="BN134" s="2"/>
      <c r="BO134" s="2"/>
      <c r="BP134" s="2"/>
      <c r="BQ134" s="2">
        <v>0</v>
      </c>
      <c r="BR134" s="2"/>
      <c r="BS134" s="2"/>
      <c r="BT134" s="2"/>
      <c r="BU134" s="2"/>
      <c r="BV134" s="2"/>
      <c r="BW134" s="2">
        <v>0</v>
      </c>
      <c r="BX134" s="2"/>
      <c r="BY134" s="2"/>
      <c r="BZ134" s="2"/>
      <c r="CA134" s="2">
        <v>0</v>
      </c>
      <c r="CB134" s="2"/>
      <c r="CC134" s="2"/>
      <c r="CD134" s="2"/>
      <c r="CE134" s="2">
        <v>0</v>
      </c>
      <c r="CF134" s="2"/>
      <c r="CG134" s="2"/>
      <c r="CH134" s="2"/>
      <c r="CI134" s="2">
        <v>0</v>
      </c>
      <c r="CJ134" s="2"/>
      <c r="CK134" s="2"/>
      <c r="CL134" s="2">
        <v>0</v>
      </c>
      <c r="CM134" s="2"/>
      <c r="CN134" s="2"/>
      <c r="CO134" s="2"/>
      <c r="CP134" s="2"/>
      <c r="CQ134" s="2"/>
      <c r="CR134" s="2">
        <v>0</v>
      </c>
      <c r="CS134" s="2"/>
      <c r="CT134" s="2"/>
      <c r="CU134" s="2">
        <v>0</v>
      </c>
      <c r="CV134" s="2"/>
      <c r="CW134" s="2"/>
      <c r="CX134" s="2"/>
      <c r="CY134" s="2"/>
      <c r="CZ134" s="2">
        <v>0</v>
      </c>
      <c r="DA134" s="2"/>
      <c r="DB134" s="2"/>
      <c r="DC134" s="2"/>
      <c r="DD134" s="2">
        <v>0</v>
      </c>
      <c r="DE134" s="2"/>
      <c r="DF134" s="2"/>
      <c r="DG134" s="2"/>
      <c r="DH134" s="2">
        <v>0</v>
      </c>
      <c r="DI134" s="2"/>
      <c r="DJ134" s="2"/>
      <c r="DK134" s="2">
        <v>0</v>
      </c>
      <c r="DL134" s="2"/>
      <c r="DM134" s="2"/>
      <c r="DN134" s="2"/>
      <c r="DO134" s="2">
        <v>0</v>
      </c>
      <c r="DP134" s="2"/>
      <c r="DQ134" s="2"/>
      <c r="DR134" s="2">
        <v>0</v>
      </c>
      <c r="DS134" s="2"/>
      <c r="DT134" s="2">
        <v>0</v>
      </c>
    </row>
    <row r="135" spans="1:124" x14ac:dyDescent="0.25">
      <c r="A135" s="6" t="s">
        <v>136</v>
      </c>
      <c r="B135" s="2"/>
      <c r="C135" s="2">
        <v>0</v>
      </c>
      <c r="D135" s="2"/>
      <c r="E135" s="2"/>
      <c r="F135" s="2"/>
      <c r="G135" s="2">
        <v>0</v>
      </c>
      <c r="H135" s="2"/>
      <c r="I135" s="2">
        <v>0</v>
      </c>
      <c r="J135" s="2"/>
      <c r="K135" s="2">
        <v>0</v>
      </c>
      <c r="L135" s="2"/>
      <c r="M135" s="2"/>
      <c r="N135" s="2">
        <v>0</v>
      </c>
      <c r="O135" s="2"/>
      <c r="P135" s="2"/>
      <c r="Q135" s="2">
        <v>0</v>
      </c>
      <c r="R135" s="2"/>
      <c r="S135" s="2"/>
      <c r="T135" s="2"/>
      <c r="U135" s="2"/>
      <c r="V135" s="2">
        <v>0</v>
      </c>
      <c r="W135" s="2"/>
      <c r="X135" s="2"/>
      <c r="Y135" s="2"/>
      <c r="Z135" s="2"/>
      <c r="AA135" s="2">
        <v>0</v>
      </c>
      <c r="AB135" s="2"/>
      <c r="AC135" s="2"/>
      <c r="AD135" s="2"/>
      <c r="AE135" s="2"/>
      <c r="AF135" s="2">
        <v>0</v>
      </c>
      <c r="AG135" s="2"/>
      <c r="AH135" s="2"/>
      <c r="AI135" s="2">
        <v>0</v>
      </c>
      <c r="AJ135" s="2"/>
      <c r="AK135" s="2"/>
      <c r="AL135" s="2"/>
      <c r="AM135" s="2">
        <v>0</v>
      </c>
      <c r="AN135" s="2"/>
      <c r="AO135" s="2"/>
      <c r="AP135" s="2"/>
      <c r="AQ135" s="2">
        <v>0</v>
      </c>
      <c r="AR135" s="2"/>
      <c r="AS135" s="2"/>
      <c r="AT135" s="2"/>
      <c r="AU135" s="2"/>
      <c r="AV135" s="2">
        <v>0</v>
      </c>
      <c r="AW135" s="2"/>
      <c r="AX135" s="2"/>
      <c r="AY135" s="2"/>
      <c r="AZ135" s="2"/>
      <c r="BA135" s="2">
        <v>0</v>
      </c>
      <c r="BB135" s="2"/>
      <c r="BC135" s="2"/>
      <c r="BD135" s="2"/>
      <c r="BE135" s="2"/>
      <c r="BF135" s="2">
        <v>1</v>
      </c>
      <c r="BG135" s="2"/>
      <c r="BH135" s="2"/>
      <c r="BI135" s="2">
        <v>0</v>
      </c>
      <c r="BJ135" s="2"/>
      <c r="BK135" s="2"/>
      <c r="BL135" s="2"/>
      <c r="BM135" s="2">
        <v>0</v>
      </c>
      <c r="BN135" s="2"/>
      <c r="BO135" s="2"/>
      <c r="BP135" s="2"/>
      <c r="BQ135" s="2">
        <v>0</v>
      </c>
      <c r="BR135" s="2"/>
      <c r="BS135" s="2"/>
      <c r="BT135" s="2"/>
      <c r="BU135" s="2"/>
      <c r="BV135" s="2"/>
      <c r="BW135" s="2">
        <v>0</v>
      </c>
      <c r="BX135" s="2"/>
      <c r="BY135" s="2"/>
      <c r="BZ135" s="2"/>
      <c r="CA135" s="2">
        <v>0</v>
      </c>
      <c r="CB135" s="2"/>
      <c r="CC135" s="2"/>
      <c r="CD135" s="2"/>
      <c r="CE135" s="2">
        <v>0</v>
      </c>
      <c r="CF135" s="2"/>
      <c r="CG135" s="2"/>
      <c r="CH135" s="2"/>
      <c r="CI135" s="2">
        <v>0</v>
      </c>
      <c r="CJ135" s="2"/>
      <c r="CK135" s="2"/>
      <c r="CL135" s="2">
        <v>0</v>
      </c>
      <c r="CM135" s="2"/>
      <c r="CN135" s="2"/>
      <c r="CO135" s="2"/>
      <c r="CP135" s="2"/>
      <c r="CQ135" s="2"/>
      <c r="CR135" s="2">
        <v>0</v>
      </c>
      <c r="CS135" s="2"/>
      <c r="CT135" s="2"/>
      <c r="CU135" s="2">
        <v>0</v>
      </c>
      <c r="CV135" s="2"/>
      <c r="CW135" s="2"/>
      <c r="CX135" s="2"/>
      <c r="CY135" s="2"/>
      <c r="CZ135" s="2">
        <v>0</v>
      </c>
      <c r="DA135" s="2"/>
      <c r="DB135" s="2"/>
      <c r="DC135" s="2"/>
      <c r="DD135" s="2">
        <v>0</v>
      </c>
      <c r="DE135" s="2"/>
      <c r="DF135" s="2"/>
      <c r="DG135" s="2"/>
      <c r="DH135" s="2">
        <v>0</v>
      </c>
      <c r="DI135" s="2"/>
      <c r="DJ135" s="2"/>
      <c r="DK135" s="2">
        <v>0</v>
      </c>
      <c r="DL135" s="2"/>
      <c r="DM135" s="2"/>
      <c r="DN135" s="2"/>
      <c r="DO135" s="2">
        <v>0</v>
      </c>
      <c r="DP135" s="2"/>
      <c r="DQ135" s="2"/>
      <c r="DR135" s="2">
        <v>0</v>
      </c>
      <c r="DS135" s="2"/>
      <c r="DT135" s="2">
        <v>1</v>
      </c>
    </row>
    <row r="136" spans="1:124" x14ac:dyDescent="0.25">
      <c r="A136" s="6" t="s">
        <v>138</v>
      </c>
      <c r="B136" s="2"/>
      <c r="C136" s="2">
        <v>0</v>
      </c>
      <c r="D136" s="2"/>
      <c r="E136" s="2"/>
      <c r="F136" s="2"/>
      <c r="G136" s="2">
        <v>0</v>
      </c>
      <c r="H136" s="2"/>
      <c r="I136" s="2">
        <v>0</v>
      </c>
      <c r="J136" s="2"/>
      <c r="K136" s="2">
        <v>0</v>
      </c>
      <c r="L136" s="2"/>
      <c r="M136" s="2"/>
      <c r="N136" s="2">
        <v>0</v>
      </c>
      <c r="O136" s="2"/>
      <c r="P136" s="2"/>
      <c r="Q136" s="2">
        <v>0</v>
      </c>
      <c r="R136" s="2"/>
      <c r="S136" s="2"/>
      <c r="T136" s="2"/>
      <c r="U136" s="2"/>
      <c r="V136" s="2">
        <v>1</v>
      </c>
      <c r="W136" s="2"/>
      <c r="X136" s="2"/>
      <c r="Y136" s="2"/>
      <c r="Z136" s="2"/>
      <c r="AA136" s="2">
        <v>1</v>
      </c>
      <c r="AB136" s="2"/>
      <c r="AC136" s="2"/>
      <c r="AD136" s="2"/>
      <c r="AE136" s="2"/>
      <c r="AF136" s="2">
        <v>1</v>
      </c>
      <c r="AG136" s="2"/>
      <c r="AH136" s="2"/>
      <c r="AI136" s="2">
        <v>0</v>
      </c>
      <c r="AJ136" s="2"/>
      <c r="AK136" s="2"/>
      <c r="AL136" s="2"/>
      <c r="AM136" s="2">
        <v>0</v>
      </c>
      <c r="AN136" s="2"/>
      <c r="AO136" s="2"/>
      <c r="AP136" s="2"/>
      <c r="AQ136" s="2">
        <v>0</v>
      </c>
      <c r="AR136" s="2"/>
      <c r="AS136" s="2"/>
      <c r="AT136" s="2"/>
      <c r="AU136" s="2"/>
      <c r="AV136" s="2">
        <v>0</v>
      </c>
      <c r="AW136" s="2"/>
      <c r="AX136" s="2"/>
      <c r="AY136" s="2"/>
      <c r="AZ136" s="2"/>
      <c r="BA136" s="2">
        <v>1</v>
      </c>
      <c r="BB136" s="2"/>
      <c r="BC136" s="2"/>
      <c r="BD136" s="2"/>
      <c r="BE136" s="2"/>
      <c r="BF136" s="2">
        <v>1</v>
      </c>
      <c r="BG136" s="2"/>
      <c r="BH136" s="2"/>
      <c r="BI136" s="2">
        <v>1</v>
      </c>
      <c r="BJ136" s="2"/>
      <c r="BK136" s="2"/>
      <c r="BL136" s="2"/>
      <c r="BM136" s="2">
        <v>0</v>
      </c>
      <c r="BN136" s="2"/>
      <c r="BO136" s="2"/>
      <c r="BP136" s="2"/>
      <c r="BQ136" s="2">
        <v>0</v>
      </c>
      <c r="BR136" s="2"/>
      <c r="BS136" s="2"/>
      <c r="BT136" s="2"/>
      <c r="BU136" s="2"/>
      <c r="BV136" s="2"/>
      <c r="BW136" s="2">
        <v>0</v>
      </c>
      <c r="BX136" s="2"/>
      <c r="BY136" s="2"/>
      <c r="BZ136" s="2"/>
      <c r="CA136" s="2">
        <v>0</v>
      </c>
      <c r="CB136" s="2"/>
      <c r="CC136" s="2"/>
      <c r="CD136" s="2"/>
      <c r="CE136" s="2">
        <v>1</v>
      </c>
      <c r="CF136" s="2"/>
      <c r="CG136" s="2"/>
      <c r="CH136" s="2"/>
      <c r="CI136" s="2">
        <v>0</v>
      </c>
      <c r="CJ136" s="2"/>
      <c r="CK136" s="2"/>
      <c r="CL136" s="2">
        <v>0</v>
      </c>
      <c r="CM136" s="2"/>
      <c r="CN136" s="2"/>
      <c r="CO136" s="2"/>
      <c r="CP136" s="2"/>
      <c r="CQ136" s="2"/>
      <c r="CR136" s="2">
        <v>0</v>
      </c>
      <c r="CS136" s="2"/>
      <c r="CT136" s="2"/>
      <c r="CU136" s="2">
        <v>0</v>
      </c>
      <c r="CV136" s="2"/>
      <c r="CW136" s="2"/>
      <c r="CX136" s="2"/>
      <c r="CY136" s="2"/>
      <c r="CZ136" s="2">
        <v>0</v>
      </c>
      <c r="DA136" s="2"/>
      <c r="DB136" s="2"/>
      <c r="DC136" s="2"/>
      <c r="DD136" s="2">
        <v>0</v>
      </c>
      <c r="DE136" s="2"/>
      <c r="DF136" s="2"/>
      <c r="DG136" s="2"/>
      <c r="DH136" s="2">
        <v>0</v>
      </c>
      <c r="DI136" s="2"/>
      <c r="DJ136" s="2"/>
      <c r="DK136" s="2">
        <v>0</v>
      </c>
      <c r="DL136" s="2"/>
      <c r="DM136" s="2"/>
      <c r="DN136" s="2"/>
      <c r="DO136" s="2">
        <v>0</v>
      </c>
      <c r="DP136" s="2"/>
      <c r="DQ136" s="2"/>
      <c r="DR136" s="2">
        <v>0</v>
      </c>
      <c r="DS136" s="2"/>
      <c r="DT136" s="2">
        <v>7</v>
      </c>
    </row>
    <row r="137" spans="1:124" x14ac:dyDescent="0.25">
      <c r="A137" s="6" t="s">
        <v>140</v>
      </c>
      <c r="B137" s="2"/>
      <c r="C137" s="2">
        <v>1</v>
      </c>
      <c r="D137" s="2"/>
      <c r="E137" s="2"/>
      <c r="F137" s="2"/>
      <c r="G137" s="2">
        <v>2</v>
      </c>
      <c r="H137" s="2"/>
      <c r="I137" s="2">
        <v>0</v>
      </c>
      <c r="J137" s="2"/>
      <c r="K137" s="2">
        <v>0</v>
      </c>
      <c r="L137" s="2"/>
      <c r="M137" s="2"/>
      <c r="N137" s="2">
        <v>0</v>
      </c>
      <c r="O137" s="2"/>
      <c r="P137" s="2"/>
      <c r="Q137" s="2">
        <v>0</v>
      </c>
      <c r="R137" s="2"/>
      <c r="S137" s="2"/>
      <c r="T137" s="2"/>
      <c r="U137" s="2"/>
      <c r="V137" s="2">
        <v>0</v>
      </c>
      <c r="W137" s="2"/>
      <c r="X137" s="2"/>
      <c r="Y137" s="2"/>
      <c r="Z137" s="2"/>
      <c r="AA137" s="2">
        <v>0</v>
      </c>
      <c r="AB137" s="2"/>
      <c r="AC137" s="2"/>
      <c r="AD137" s="2"/>
      <c r="AE137" s="2"/>
      <c r="AF137" s="2">
        <v>0</v>
      </c>
      <c r="AG137" s="2"/>
      <c r="AH137" s="2"/>
      <c r="AI137" s="2">
        <v>0</v>
      </c>
      <c r="AJ137" s="2"/>
      <c r="AK137" s="2"/>
      <c r="AL137" s="2"/>
      <c r="AM137" s="2">
        <v>0</v>
      </c>
      <c r="AN137" s="2"/>
      <c r="AO137" s="2"/>
      <c r="AP137" s="2"/>
      <c r="AQ137" s="2">
        <v>0</v>
      </c>
      <c r="AR137" s="2"/>
      <c r="AS137" s="2"/>
      <c r="AT137" s="2"/>
      <c r="AU137" s="2"/>
      <c r="AV137" s="2">
        <v>0</v>
      </c>
      <c r="AW137" s="2"/>
      <c r="AX137" s="2"/>
      <c r="AY137" s="2"/>
      <c r="AZ137" s="2"/>
      <c r="BA137" s="2">
        <v>0</v>
      </c>
      <c r="BB137" s="2"/>
      <c r="BC137" s="2"/>
      <c r="BD137" s="2"/>
      <c r="BE137" s="2"/>
      <c r="BF137" s="2">
        <v>0</v>
      </c>
      <c r="BG137" s="2"/>
      <c r="BH137" s="2"/>
      <c r="BI137" s="2">
        <v>0</v>
      </c>
      <c r="BJ137" s="2"/>
      <c r="BK137" s="2"/>
      <c r="BL137" s="2"/>
      <c r="BM137" s="2">
        <v>0</v>
      </c>
      <c r="BN137" s="2"/>
      <c r="BO137" s="2"/>
      <c r="BP137" s="2"/>
      <c r="BQ137" s="2">
        <v>0</v>
      </c>
      <c r="BR137" s="2"/>
      <c r="BS137" s="2"/>
      <c r="BT137" s="2"/>
      <c r="BU137" s="2"/>
      <c r="BV137" s="2"/>
      <c r="BW137" s="2">
        <v>0</v>
      </c>
      <c r="BX137" s="2"/>
      <c r="BY137" s="2"/>
      <c r="BZ137" s="2"/>
      <c r="CA137" s="2">
        <v>0</v>
      </c>
      <c r="CB137" s="2"/>
      <c r="CC137" s="2"/>
      <c r="CD137" s="2"/>
      <c r="CE137" s="2">
        <v>0</v>
      </c>
      <c r="CF137" s="2"/>
      <c r="CG137" s="2"/>
      <c r="CH137" s="2"/>
      <c r="CI137" s="2">
        <v>0</v>
      </c>
      <c r="CJ137" s="2"/>
      <c r="CK137" s="2"/>
      <c r="CL137" s="2">
        <v>0</v>
      </c>
      <c r="CM137" s="2"/>
      <c r="CN137" s="2"/>
      <c r="CO137" s="2"/>
      <c r="CP137" s="2"/>
      <c r="CQ137" s="2"/>
      <c r="CR137" s="2">
        <v>0</v>
      </c>
      <c r="CS137" s="2"/>
      <c r="CT137" s="2"/>
      <c r="CU137" s="2">
        <v>0</v>
      </c>
      <c r="CV137" s="2"/>
      <c r="CW137" s="2"/>
      <c r="CX137" s="2"/>
      <c r="CY137" s="2"/>
      <c r="CZ137" s="2">
        <v>0</v>
      </c>
      <c r="DA137" s="2"/>
      <c r="DB137" s="2"/>
      <c r="DC137" s="2"/>
      <c r="DD137" s="2">
        <v>0</v>
      </c>
      <c r="DE137" s="2"/>
      <c r="DF137" s="2"/>
      <c r="DG137" s="2"/>
      <c r="DH137" s="2">
        <v>0</v>
      </c>
      <c r="DI137" s="2"/>
      <c r="DJ137" s="2"/>
      <c r="DK137" s="2">
        <v>0</v>
      </c>
      <c r="DL137" s="2"/>
      <c r="DM137" s="2"/>
      <c r="DN137" s="2"/>
      <c r="DO137" s="2">
        <v>0</v>
      </c>
      <c r="DP137" s="2"/>
      <c r="DQ137" s="2"/>
      <c r="DR137" s="2">
        <v>0</v>
      </c>
      <c r="DS137" s="2"/>
      <c r="DT137" s="2">
        <v>3</v>
      </c>
    </row>
    <row r="138" spans="1:124" x14ac:dyDescent="0.25">
      <c r="A138" s="6" t="s">
        <v>142</v>
      </c>
      <c r="C138">
        <v>0</v>
      </c>
      <c r="G138">
        <v>2</v>
      </c>
      <c r="I138">
        <v>0</v>
      </c>
      <c r="K138">
        <v>1</v>
      </c>
      <c r="N138">
        <v>0</v>
      </c>
      <c r="Q138">
        <v>0</v>
      </c>
      <c r="V138">
        <v>0</v>
      </c>
      <c r="AA138">
        <v>0</v>
      </c>
      <c r="AF138">
        <v>0</v>
      </c>
      <c r="AI138">
        <v>0</v>
      </c>
      <c r="AM138">
        <v>0</v>
      </c>
      <c r="AQ138">
        <v>0</v>
      </c>
      <c r="AV138">
        <v>0</v>
      </c>
      <c r="BA138">
        <v>0</v>
      </c>
      <c r="BF138">
        <v>0</v>
      </c>
      <c r="BI138">
        <v>0</v>
      </c>
      <c r="BM138">
        <v>0</v>
      </c>
      <c r="BQ138">
        <v>0</v>
      </c>
      <c r="BW138">
        <v>0</v>
      </c>
      <c r="CA138">
        <v>0</v>
      </c>
      <c r="CE138">
        <v>1</v>
      </c>
      <c r="CI138">
        <v>0</v>
      </c>
      <c r="CL138">
        <v>0</v>
      </c>
      <c r="CR138">
        <v>0</v>
      </c>
      <c r="CU138">
        <v>0</v>
      </c>
      <c r="CZ138">
        <v>0</v>
      </c>
      <c r="DD138">
        <v>0</v>
      </c>
      <c r="DH138">
        <v>0</v>
      </c>
      <c r="DK138">
        <v>0</v>
      </c>
      <c r="DO138">
        <v>0</v>
      </c>
      <c r="DR138">
        <v>0</v>
      </c>
      <c r="DT138">
        <v>4</v>
      </c>
    </row>
    <row r="139" spans="1:124" x14ac:dyDescent="0.25">
      <c r="A139" s="6" t="s">
        <v>144</v>
      </c>
      <c r="C139">
        <v>0</v>
      </c>
      <c r="G139">
        <v>0</v>
      </c>
      <c r="I139">
        <v>0</v>
      </c>
      <c r="K139">
        <v>0</v>
      </c>
      <c r="N139">
        <v>0</v>
      </c>
      <c r="Q139">
        <v>0</v>
      </c>
      <c r="V139">
        <v>0</v>
      </c>
      <c r="AA139">
        <v>0</v>
      </c>
      <c r="AF139">
        <v>0</v>
      </c>
      <c r="AI139">
        <v>0</v>
      </c>
      <c r="AM139">
        <v>0</v>
      </c>
      <c r="AQ139">
        <v>0</v>
      </c>
      <c r="AV139">
        <v>0</v>
      </c>
      <c r="BA139">
        <v>0</v>
      </c>
      <c r="BF139">
        <v>0</v>
      </c>
      <c r="BI139">
        <v>0</v>
      </c>
      <c r="BM139">
        <v>0</v>
      </c>
      <c r="BQ139">
        <v>0</v>
      </c>
      <c r="BW139">
        <v>0</v>
      </c>
      <c r="CA139">
        <v>0</v>
      </c>
      <c r="CE139">
        <v>0</v>
      </c>
      <c r="CI139">
        <v>0</v>
      </c>
      <c r="CL139">
        <v>0</v>
      </c>
      <c r="CR139">
        <v>0</v>
      </c>
      <c r="CU139">
        <v>0</v>
      </c>
      <c r="CZ139">
        <v>0</v>
      </c>
      <c r="DD139">
        <v>0</v>
      </c>
      <c r="DH139">
        <v>0</v>
      </c>
      <c r="DK139">
        <v>0</v>
      </c>
      <c r="DO139">
        <v>0</v>
      </c>
      <c r="DR139">
        <v>0</v>
      </c>
      <c r="DT139">
        <v>0</v>
      </c>
    </row>
    <row r="140" spans="1:124" x14ac:dyDescent="0.25">
      <c r="A140" s="6" t="s">
        <v>146</v>
      </c>
      <c r="B140" s="2"/>
      <c r="C140" s="2">
        <v>0</v>
      </c>
      <c r="D140" s="2"/>
      <c r="E140" s="2"/>
      <c r="F140" s="2"/>
      <c r="G140" s="2">
        <v>0</v>
      </c>
      <c r="H140" s="2"/>
      <c r="I140" s="2">
        <v>1</v>
      </c>
      <c r="J140" s="2"/>
      <c r="K140" s="2">
        <v>0</v>
      </c>
      <c r="L140" s="2"/>
      <c r="M140" s="2"/>
      <c r="N140" s="2">
        <v>0</v>
      </c>
      <c r="O140" s="2"/>
      <c r="P140" s="2"/>
      <c r="Q140" s="2">
        <v>0</v>
      </c>
      <c r="R140" s="2"/>
      <c r="S140" s="2"/>
      <c r="T140" s="2"/>
      <c r="U140" s="2"/>
      <c r="V140" s="2">
        <v>0</v>
      </c>
      <c r="W140" s="2"/>
      <c r="X140" s="2"/>
      <c r="Y140" s="2"/>
      <c r="Z140" s="2"/>
      <c r="AA140" s="2">
        <v>0</v>
      </c>
      <c r="AB140" s="2"/>
      <c r="AC140" s="2"/>
      <c r="AD140" s="2"/>
      <c r="AE140" s="2"/>
      <c r="AF140" s="2">
        <v>0</v>
      </c>
      <c r="AG140" s="2"/>
      <c r="AH140" s="2"/>
      <c r="AI140" s="2">
        <v>1</v>
      </c>
      <c r="AJ140" s="2"/>
      <c r="AK140" s="2"/>
      <c r="AL140" s="2"/>
      <c r="AM140" s="2">
        <v>0</v>
      </c>
      <c r="AN140" s="2"/>
      <c r="AO140" s="2"/>
      <c r="AP140" s="2"/>
      <c r="AQ140" s="2">
        <v>0</v>
      </c>
      <c r="AR140" s="2"/>
      <c r="AS140" s="2"/>
      <c r="AT140" s="2"/>
      <c r="AU140" s="2"/>
      <c r="AV140" s="2">
        <v>0</v>
      </c>
      <c r="AW140" s="2"/>
      <c r="AX140" s="2"/>
      <c r="AY140" s="2"/>
      <c r="AZ140" s="2"/>
      <c r="BA140" s="2">
        <v>0</v>
      </c>
      <c r="BB140" s="2"/>
      <c r="BC140" s="2"/>
      <c r="BD140" s="2"/>
      <c r="BE140" s="2"/>
      <c r="BF140" s="2">
        <v>0</v>
      </c>
      <c r="BG140" s="2"/>
      <c r="BH140" s="2"/>
      <c r="BI140" s="2">
        <v>0</v>
      </c>
      <c r="BJ140" s="2"/>
      <c r="BK140" s="2"/>
      <c r="BL140" s="2"/>
      <c r="BM140" s="2">
        <v>1</v>
      </c>
      <c r="BN140" s="2"/>
      <c r="BO140" s="2"/>
      <c r="BP140" s="2"/>
      <c r="BQ140" s="2">
        <v>0</v>
      </c>
      <c r="BR140" s="2"/>
      <c r="BS140" s="2"/>
      <c r="BT140" s="2"/>
      <c r="BU140" s="2"/>
      <c r="BV140" s="2"/>
      <c r="BW140" s="2">
        <v>0</v>
      </c>
      <c r="BX140" s="2"/>
      <c r="BY140" s="2"/>
      <c r="BZ140" s="2"/>
      <c r="CA140" s="2">
        <v>0</v>
      </c>
      <c r="CB140" s="2"/>
      <c r="CC140" s="2"/>
      <c r="CD140" s="2"/>
      <c r="CE140" s="2">
        <v>0</v>
      </c>
      <c r="CF140" s="2"/>
      <c r="CG140" s="2"/>
      <c r="CH140" s="2"/>
      <c r="CI140" s="2">
        <v>0</v>
      </c>
      <c r="CJ140" s="2"/>
      <c r="CK140" s="2"/>
      <c r="CL140" s="2">
        <v>0</v>
      </c>
      <c r="CM140" s="2"/>
      <c r="CN140" s="2"/>
      <c r="CO140" s="2"/>
      <c r="CP140" s="2"/>
      <c r="CQ140" s="2"/>
      <c r="CR140" s="2">
        <v>0</v>
      </c>
      <c r="CS140" s="2"/>
      <c r="CT140" s="2"/>
      <c r="CU140" s="2">
        <v>0</v>
      </c>
      <c r="CV140" s="2"/>
      <c r="CW140" s="2"/>
      <c r="CX140" s="2"/>
      <c r="CY140" s="2"/>
      <c r="CZ140" s="2">
        <v>0</v>
      </c>
      <c r="DA140" s="2"/>
      <c r="DB140" s="2"/>
      <c r="DC140" s="2"/>
      <c r="DD140" s="2">
        <v>0</v>
      </c>
      <c r="DE140" s="2"/>
      <c r="DF140" s="2"/>
      <c r="DG140" s="2"/>
      <c r="DH140" s="2">
        <v>0</v>
      </c>
      <c r="DI140" s="2"/>
      <c r="DJ140" s="2"/>
      <c r="DK140" s="2">
        <v>0</v>
      </c>
      <c r="DL140" s="2"/>
      <c r="DM140" s="2"/>
      <c r="DN140" s="2"/>
      <c r="DO140" s="2">
        <v>0</v>
      </c>
      <c r="DP140" s="2"/>
      <c r="DQ140" s="2"/>
      <c r="DR140" s="2">
        <v>0</v>
      </c>
      <c r="DS140" s="2"/>
      <c r="DT140" s="2">
        <v>3</v>
      </c>
    </row>
    <row r="141" spans="1:124" x14ac:dyDescent="0.25">
      <c r="A141" s="6" t="s">
        <v>454</v>
      </c>
      <c r="C141">
        <v>0</v>
      </c>
      <c r="G141">
        <v>0</v>
      </c>
      <c r="I141">
        <v>0</v>
      </c>
      <c r="K141">
        <v>0</v>
      </c>
      <c r="N141">
        <v>0</v>
      </c>
      <c r="Q141">
        <v>0</v>
      </c>
      <c r="V141">
        <v>0</v>
      </c>
      <c r="AA141">
        <v>0</v>
      </c>
      <c r="AF141">
        <v>0</v>
      </c>
      <c r="AI141">
        <v>0</v>
      </c>
      <c r="AM141">
        <v>0</v>
      </c>
      <c r="AQ141">
        <v>0</v>
      </c>
      <c r="AV141">
        <v>0</v>
      </c>
      <c r="BA141">
        <v>0</v>
      </c>
      <c r="BF141">
        <v>0</v>
      </c>
      <c r="BI141">
        <v>0</v>
      </c>
      <c r="BM141">
        <v>0</v>
      </c>
      <c r="BQ141">
        <v>0</v>
      </c>
      <c r="BW141">
        <v>0</v>
      </c>
      <c r="CA141">
        <v>0</v>
      </c>
      <c r="CE141">
        <v>0</v>
      </c>
      <c r="CI141">
        <v>0</v>
      </c>
      <c r="CL141">
        <v>0</v>
      </c>
      <c r="CR141">
        <v>0</v>
      </c>
      <c r="CU141">
        <v>0</v>
      </c>
      <c r="CZ141">
        <v>0</v>
      </c>
      <c r="DD141">
        <v>0</v>
      </c>
      <c r="DH141">
        <v>0</v>
      </c>
      <c r="DK141">
        <v>0</v>
      </c>
      <c r="DO141">
        <v>0</v>
      </c>
      <c r="DR141">
        <v>0</v>
      </c>
      <c r="DT141">
        <v>0</v>
      </c>
    </row>
    <row r="142" spans="1:124" x14ac:dyDescent="0.25">
      <c r="A142" s="6" t="s">
        <v>148</v>
      </c>
      <c r="B142" s="2"/>
      <c r="C142" s="2">
        <v>0</v>
      </c>
      <c r="D142" s="2"/>
      <c r="E142" s="2"/>
      <c r="F142" s="2"/>
      <c r="G142" s="2">
        <v>0</v>
      </c>
      <c r="H142" s="2"/>
      <c r="I142" s="2">
        <v>0</v>
      </c>
      <c r="J142" s="2"/>
      <c r="K142" s="2">
        <v>7</v>
      </c>
      <c r="L142" s="2"/>
      <c r="M142" s="2"/>
      <c r="N142" s="2">
        <v>0</v>
      </c>
      <c r="O142" s="2"/>
      <c r="P142" s="2"/>
      <c r="Q142" s="2">
        <v>0</v>
      </c>
      <c r="R142" s="2"/>
      <c r="S142" s="2"/>
      <c r="T142" s="2"/>
      <c r="U142" s="2"/>
      <c r="V142" s="2">
        <v>0</v>
      </c>
      <c r="W142" s="2"/>
      <c r="X142" s="2"/>
      <c r="Y142" s="2"/>
      <c r="Z142" s="2"/>
      <c r="AA142" s="2">
        <v>0</v>
      </c>
      <c r="AB142" s="2"/>
      <c r="AC142" s="2"/>
      <c r="AD142" s="2"/>
      <c r="AE142" s="2"/>
      <c r="AF142" s="2">
        <v>0</v>
      </c>
      <c r="AG142" s="2"/>
      <c r="AH142" s="2"/>
      <c r="AI142" s="2">
        <v>0</v>
      </c>
      <c r="AJ142" s="2"/>
      <c r="AK142" s="2"/>
      <c r="AL142" s="2"/>
      <c r="AM142" s="2">
        <v>1</v>
      </c>
      <c r="AN142" s="2"/>
      <c r="AO142" s="2"/>
      <c r="AP142" s="2"/>
      <c r="AQ142" s="2">
        <v>0</v>
      </c>
      <c r="AR142" s="2"/>
      <c r="AS142" s="2"/>
      <c r="AT142" s="2"/>
      <c r="AU142" s="2"/>
      <c r="AV142" s="2">
        <v>0</v>
      </c>
      <c r="AW142" s="2"/>
      <c r="AX142" s="2"/>
      <c r="AY142" s="2"/>
      <c r="AZ142" s="2"/>
      <c r="BA142" s="2">
        <v>0</v>
      </c>
      <c r="BB142" s="2"/>
      <c r="BC142" s="2"/>
      <c r="BD142" s="2"/>
      <c r="BE142" s="2"/>
      <c r="BF142" s="2">
        <v>0</v>
      </c>
      <c r="BG142" s="2"/>
      <c r="BH142" s="2"/>
      <c r="BI142" s="2">
        <v>0</v>
      </c>
      <c r="BJ142" s="2"/>
      <c r="BK142" s="2"/>
      <c r="BL142" s="2"/>
      <c r="BM142" s="2">
        <v>0</v>
      </c>
      <c r="BN142" s="2"/>
      <c r="BO142" s="2"/>
      <c r="BP142" s="2"/>
      <c r="BQ142" s="2">
        <v>1</v>
      </c>
      <c r="BR142" s="2"/>
      <c r="BS142" s="2"/>
      <c r="BT142" s="2"/>
      <c r="BU142" s="2"/>
      <c r="BV142" s="2"/>
      <c r="BW142" s="2">
        <v>0</v>
      </c>
      <c r="BX142" s="2"/>
      <c r="BY142" s="2"/>
      <c r="BZ142" s="2"/>
      <c r="CA142" s="2">
        <v>0</v>
      </c>
      <c r="CB142" s="2"/>
      <c r="CC142" s="2"/>
      <c r="CD142" s="2"/>
      <c r="CE142" s="2">
        <v>0</v>
      </c>
      <c r="CF142" s="2"/>
      <c r="CG142" s="2"/>
      <c r="CH142" s="2"/>
      <c r="CI142" s="2">
        <v>0</v>
      </c>
      <c r="CJ142" s="2"/>
      <c r="CK142" s="2"/>
      <c r="CL142" s="2">
        <v>0</v>
      </c>
      <c r="CM142" s="2"/>
      <c r="CN142" s="2"/>
      <c r="CO142" s="2"/>
      <c r="CP142" s="2"/>
      <c r="CQ142" s="2"/>
      <c r="CR142" s="2">
        <v>0</v>
      </c>
      <c r="CS142" s="2"/>
      <c r="CT142" s="2"/>
      <c r="CU142" s="2">
        <v>0</v>
      </c>
      <c r="CV142" s="2"/>
      <c r="CW142" s="2"/>
      <c r="CX142" s="2"/>
      <c r="CY142" s="2"/>
      <c r="CZ142" s="2">
        <v>0</v>
      </c>
      <c r="DA142" s="2"/>
      <c r="DB142" s="2"/>
      <c r="DC142" s="2"/>
      <c r="DD142" s="2">
        <v>0</v>
      </c>
      <c r="DE142" s="2"/>
      <c r="DF142" s="2"/>
      <c r="DG142" s="2"/>
      <c r="DH142" s="2">
        <v>0</v>
      </c>
      <c r="DI142" s="2"/>
      <c r="DJ142" s="2"/>
      <c r="DK142" s="2">
        <v>0</v>
      </c>
      <c r="DL142" s="2"/>
      <c r="DM142" s="2"/>
      <c r="DN142" s="2"/>
      <c r="DO142" s="2">
        <v>0</v>
      </c>
      <c r="DP142" s="2"/>
      <c r="DQ142" s="2"/>
      <c r="DR142" s="2">
        <v>0</v>
      </c>
      <c r="DS142" s="2"/>
      <c r="DT142" s="2">
        <v>9</v>
      </c>
    </row>
    <row r="143" spans="1:124" x14ac:dyDescent="0.25">
      <c r="A143" s="6" t="s">
        <v>456</v>
      </c>
      <c r="C143">
        <v>0</v>
      </c>
      <c r="G143">
        <v>0</v>
      </c>
      <c r="I143">
        <v>0</v>
      </c>
      <c r="K143">
        <v>1</v>
      </c>
      <c r="N143">
        <v>0</v>
      </c>
      <c r="Q143">
        <v>0</v>
      </c>
      <c r="V143">
        <v>0</v>
      </c>
      <c r="AA143">
        <v>0</v>
      </c>
      <c r="AF143">
        <v>0</v>
      </c>
      <c r="AI143">
        <v>0</v>
      </c>
      <c r="AM143">
        <v>0</v>
      </c>
      <c r="AQ143">
        <v>0</v>
      </c>
      <c r="AV143">
        <v>0</v>
      </c>
      <c r="BA143">
        <v>0</v>
      </c>
      <c r="BF143">
        <v>0</v>
      </c>
      <c r="BI143">
        <v>0</v>
      </c>
      <c r="BM143">
        <v>0</v>
      </c>
      <c r="BQ143">
        <v>0</v>
      </c>
      <c r="BW143">
        <v>0</v>
      </c>
      <c r="CA143">
        <v>0</v>
      </c>
      <c r="CE143">
        <v>0</v>
      </c>
      <c r="CI143">
        <v>0</v>
      </c>
      <c r="CL143">
        <v>0</v>
      </c>
      <c r="CR143">
        <v>0</v>
      </c>
      <c r="CU143">
        <v>0</v>
      </c>
      <c r="CZ143">
        <v>0</v>
      </c>
      <c r="DD143">
        <v>0</v>
      </c>
      <c r="DH143">
        <v>0</v>
      </c>
      <c r="DK143">
        <v>0</v>
      </c>
      <c r="DO143">
        <v>0</v>
      </c>
      <c r="DR143">
        <v>0</v>
      </c>
      <c r="DT143">
        <v>1</v>
      </c>
    </row>
    <row r="144" spans="1:124" x14ac:dyDescent="0.25">
      <c r="A144" s="6" t="s">
        <v>150</v>
      </c>
      <c r="C144">
        <v>0</v>
      </c>
      <c r="G144">
        <v>0</v>
      </c>
      <c r="I144">
        <v>3</v>
      </c>
      <c r="K144">
        <v>1</v>
      </c>
      <c r="N144">
        <v>0</v>
      </c>
      <c r="Q144">
        <v>0</v>
      </c>
      <c r="V144">
        <v>0</v>
      </c>
      <c r="AA144">
        <v>0</v>
      </c>
      <c r="AF144">
        <v>0</v>
      </c>
      <c r="AI144">
        <v>3</v>
      </c>
      <c r="AM144">
        <v>3</v>
      </c>
      <c r="AQ144">
        <v>0</v>
      </c>
      <c r="AV144">
        <v>0</v>
      </c>
      <c r="BA144">
        <v>0</v>
      </c>
      <c r="BF144">
        <v>0</v>
      </c>
      <c r="BI144">
        <v>0</v>
      </c>
      <c r="BM144">
        <v>0</v>
      </c>
      <c r="BQ144">
        <v>5</v>
      </c>
      <c r="BW144">
        <v>0</v>
      </c>
      <c r="CA144">
        <v>0</v>
      </c>
      <c r="CE144">
        <v>0</v>
      </c>
      <c r="CI144">
        <v>0</v>
      </c>
      <c r="CL144">
        <v>0</v>
      </c>
      <c r="CR144">
        <v>0</v>
      </c>
      <c r="CU144">
        <v>0</v>
      </c>
      <c r="CZ144">
        <v>0</v>
      </c>
      <c r="DD144">
        <v>0</v>
      </c>
      <c r="DH144">
        <v>0</v>
      </c>
      <c r="DK144">
        <v>0</v>
      </c>
      <c r="DO144">
        <v>0</v>
      </c>
      <c r="DR144">
        <v>0</v>
      </c>
      <c r="DT144">
        <v>15</v>
      </c>
    </row>
    <row r="145" spans="1:124" x14ac:dyDescent="0.25">
      <c r="A145" s="6" t="s">
        <v>152</v>
      </c>
      <c r="B145" s="2"/>
      <c r="C145" s="2">
        <v>0</v>
      </c>
      <c r="D145" s="2"/>
      <c r="E145" s="2"/>
      <c r="F145" s="2"/>
      <c r="G145" s="2">
        <v>0</v>
      </c>
      <c r="H145" s="2"/>
      <c r="I145" s="2">
        <v>1</v>
      </c>
      <c r="J145" s="2"/>
      <c r="K145" s="2">
        <v>0</v>
      </c>
      <c r="L145" s="2"/>
      <c r="M145" s="2"/>
      <c r="N145" s="2">
        <v>0</v>
      </c>
      <c r="O145" s="2"/>
      <c r="P145" s="2"/>
      <c r="Q145" s="2">
        <v>0</v>
      </c>
      <c r="R145" s="2"/>
      <c r="S145" s="2"/>
      <c r="T145" s="2"/>
      <c r="U145" s="2"/>
      <c r="V145" s="2">
        <v>0</v>
      </c>
      <c r="W145" s="2"/>
      <c r="X145" s="2"/>
      <c r="Y145" s="2"/>
      <c r="Z145" s="2"/>
      <c r="AA145" s="2">
        <v>0</v>
      </c>
      <c r="AB145" s="2"/>
      <c r="AC145" s="2"/>
      <c r="AD145" s="2"/>
      <c r="AE145" s="2"/>
      <c r="AF145" s="2">
        <v>0</v>
      </c>
      <c r="AG145" s="2"/>
      <c r="AH145" s="2"/>
      <c r="AI145" s="2">
        <v>1</v>
      </c>
      <c r="AJ145" s="2"/>
      <c r="AK145" s="2"/>
      <c r="AL145" s="2"/>
      <c r="AM145" s="2">
        <v>0</v>
      </c>
      <c r="AN145" s="2"/>
      <c r="AO145" s="2"/>
      <c r="AP145" s="2"/>
      <c r="AQ145" s="2">
        <v>0</v>
      </c>
      <c r="AR145" s="2"/>
      <c r="AS145" s="2"/>
      <c r="AT145" s="2"/>
      <c r="AU145" s="2"/>
      <c r="AV145" s="2">
        <v>0</v>
      </c>
      <c r="AW145" s="2"/>
      <c r="AX145" s="2"/>
      <c r="AY145" s="2"/>
      <c r="AZ145" s="2"/>
      <c r="BA145" s="2">
        <v>0</v>
      </c>
      <c r="BB145" s="2"/>
      <c r="BC145" s="2"/>
      <c r="BD145" s="2"/>
      <c r="BE145" s="2"/>
      <c r="BF145" s="2">
        <v>0</v>
      </c>
      <c r="BG145" s="2"/>
      <c r="BH145" s="2"/>
      <c r="BI145" s="2">
        <v>0</v>
      </c>
      <c r="BJ145" s="2"/>
      <c r="BK145" s="2"/>
      <c r="BL145" s="2"/>
      <c r="BM145" s="2">
        <v>1</v>
      </c>
      <c r="BN145" s="2"/>
      <c r="BO145" s="2"/>
      <c r="BP145" s="2"/>
      <c r="BQ145" s="2">
        <v>0</v>
      </c>
      <c r="BR145" s="2"/>
      <c r="BS145" s="2"/>
      <c r="BT145" s="2"/>
      <c r="BU145" s="2"/>
      <c r="BV145" s="2"/>
      <c r="BW145" s="2">
        <v>0</v>
      </c>
      <c r="BX145" s="2"/>
      <c r="BY145" s="2"/>
      <c r="BZ145" s="2"/>
      <c r="CA145" s="2">
        <v>0</v>
      </c>
      <c r="CB145" s="2"/>
      <c r="CC145" s="2"/>
      <c r="CD145" s="2"/>
      <c r="CE145" s="2">
        <v>0</v>
      </c>
      <c r="CF145" s="2"/>
      <c r="CG145" s="2"/>
      <c r="CH145" s="2"/>
      <c r="CI145" s="2">
        <v>0</v>
      </c>
      <c r="CJ145" s="2"/>
      <c r="CK145" s="2"/>
      <c r="CL145" s="2">
        <v>0</v>
      </c>
      <c r="CM145" s="2"/>
      <c r="CN145" s="2"/>
      <c r="CO145" s="2"/>
      <c r="CP145" s="2"/>
      <c r="CQ145" s="2"/>
      <c r="CR145" s="2">
        <v>0</v>
      </c>
      <c r="CS145" s="2"/>
      <c r="CT145" s="2"/>
      <c r="CU145" s="2">
        <v>0</v>
      </c>
      <c r="CV145" s="2"/>
      <c r="CW145" s="2"/>
      <c r="CX145" s="2"/>
      <c r="CY145" s="2"/>
      <c r="CZ145" s="2">
        <v>0</v>
      </c>
      <c r="DA145" s="2"/>
      <c r="DB145" s="2"/>
      <c r="DC145" s="2"/>
      <c r="DD145" s="2">
        <v>0</v>
      </c>
      <c r="DE145" s="2"/>
      <c r="DF145" s="2"/>
      <c r="DG145" s="2"/>
      <c r="DH145" s="2">
        <v>0</v>
      </c>
      <c r="DI145" s="2"/>
      <c r="DJ145" s="2"/>
      <c r="DK145" s="2">
        <v>0</v>
      </c>
      <c r="DL145" s="2"/>
      <c r="DM145" s="2"/>
      <c r="DN145" s="2"/>
      <c r="DO145" s="2">
        <v>0</v>
      </c>
      <c r="DP145" s="2"/>
      <c r="DQ145" s="2"/>
      <c r="DR145" s="2">
        <v>0</v>
      </c>
      <c r="DS145" s="2"/>
      <c r="DT145" s="2">
        <v>3</v>
      </c>
    </row>
    <row r="146" spans="1:124" x14ac:dyDescent="0.25">
      <c r="A146" s="6" t="s">
        <v>154</v>
      </c>
      <c r="B146" s="2"/>
      <c r="C146" s="2">
        <v>0</v>
      </c>
      <c r="D146" s="2"/>
      <c r="E146" s="2"/>
      <c r="F146" s="2"/>
      <c r="G146" s="2">
        <v>0</v>
      </c>
      <c r="H146" s="2"/>
      <c r="I146" s="2">
        <v>0</v>
      </c>
      <c r="J146" s="2"/>
      <c r="K146" s="2">
        <v>1</v>
      </c>
      <c r="L146" s="2"/>
      <c r="M146" s="2"/>
      <c r="N146" s="2">
        <v>0</v>
      </c>
      <c r="O146" s="2"/>
      <c r="P146" s="2"/>
      <c r="Q146" s="2">
        <v>0</v>
      </c>
      <c r="R146" s="2"/>
      <c r="S146" s="2"/>
      <c r="T146" s="2"/>
      <c r="U146" s="2"/>
      <c r="V146" s="2">
        <v>0</v>
      </c>
      <c r="W146" s="2"/>
      <c r="X146" s="2"/>
      <c r="Y146" s="2"/>
      <c r="Z146" s="2"/>
      <c r="AA146" s="2">
        <v>0</v>
      </c>
      <c r="AB146" s="2"/>
      <c r="AC146" s="2"/>
      <c r="AD146" s="2"/>
      <c r="AE146" s="2"/>
      <c r="AF146" s="2">
        <v>0</v>
      </c>
      <c r="AG146" s="2"/>
      <c r="AH146" s="2"/>
      <c r="AI146" s="2">
        <v>0</v>
      </c>
      <c r="AJ146" s="2"/>
      <c r="AK146" s="2"/>
      <c r="AL146" s="2"/>
      <c r="AM146" s="2">
        <v>1</v>
      </c>
      <c r="AN146" s="2"/>
      <c r="AO146" s="2"/>
      <c r="AP146" s="2"/>
      <c r="AQ146" s="2">
        <v>0</v>
      </c>
      <c r="AR146" s="2"/>
      <c r="AS146" s="2"/>
      <c r="AT146" s="2"/>
      <c r="AU146" s="2"/>
      <c r="AV146" s="2">
        <v>0</v>
      </c>
      <c r="AW146" s="2"/>
      <c r="AX146" s="2"/>
      <c r="AY146" s="2"/>
      <c r="AZ146" s="2"/>
      <c r="BA146" s="2">
        <v>0</v>
      </c>
      <c r="BB146" s="2"/>
      <c r="BC146" s="2"/>
      <c r="BD146" s="2"/>
      <c r="BE146" s="2"/>
      <c r="BF146" s="2">
        <v>0</v>
      </c>
      <c r="BG146" s="2"/>
      <c r="BH146" s="2"/>
      <c r="BI146" s="2">
        <v>0</v>
      </c>
      <c r="BJ146" s="2"/>
      <c r="BK146" s="2"/>
      <c r="BL146" s="2"/>
      <c r="BM146" s="2">
        <v>0</v>
      </c>
      <c r="BN146" s="2"/>
      <c r="BO146" s="2"/>
      <c r="BP146" s="2"/>
      <c r="BQ146" s="2">
        <v>1</v>
      </c>
      <c r="BR146" s="2"/>
      <c r="BS146" s="2"/>
      <c r="BT146" s="2"/>
      <c r="BU146" s="2"/>
      <c r="BV146" s="2"/>
      <c r="BW146" s="2">
        <v>0</v>
      </c>
      <c r="BX146" s="2"/>
      <c r="BY146" s="2"/>
      <c r="BZ146" s="2"/>
      <c r="CA146" s="2">
        <v>0</v>
      </c>
      <c r="CB146" s="2"/>
      <c r="CC146" s="2"/>
      <c r="CD146" s="2"/>
      <c r="CE146" s="2">
        <v>0</v>
      </c>
      <c r="CF146" s="2"/>
      <c r="CG146" s="2"/>
      <c r="CH146" s="2"/>
      <c r="CI146" s="2">
        <v>0</v>
      </c>
      <c r="CJ146" s="2"/>
      <c r="CK146" s="2"/>
      <c r="CL146" s="2">
        <v>0</v>
      </c>
      <c r="CM146" s="2"/>
      <c r="CN146" s="2"/>
      <c r="CO146" s="2"/>
      <c r="CP146" s="2"/>
      <c r="CQ146" s="2"/>
      <c r="CR146" s="2">
        <v>0</v>
      </c>
      <c r="CS146" s="2"/>
      <c r="CT146" s="2"/>
      <c r="CU146" s="2">
        <v>0</v>
      </c>
      <c r="CV146" s="2"/>
      <c r="CW146" s="2"/>
      <c r="CX146" s="2"/>
      <c r="CY146" s="2"/>
      <c r="CZ146" s="2">
        <v>0</v>
      </c>
      <c r="DA146" s="2"/>
      <c r="DB146" s="2"/>
      <c r="DC146" s="2"/>
      <c r="DD146" s="2">
        <v>0</v>
      </c>
      <c r="DE146" s="2"/>
      <c r="DF146" s="2"/>
      <c r="DG146" s="2"/>
      <c r="DH146" s="2">
        <v>0</v>
      </c>
      <c r="DI146" s="2"/>
      <c r="DJ146" s="2"/>
      <c r="DK146" s="2">
        <v>0</v>
      </c>
      <c r="DL146" s="2"/>
      <c r="DM146" s="2"/>
      <c r="DN146" s="2"/>
      <c r="DO146" s="2">
        <v>0</v>
      </c>
      <c r="DP146" s="2"/>
      <c r="DQ146" s="2"/>
      <c r="DR146" s="2">
        <v>0</v>
      </c>
      <c r="DS146" s="2"/>
      <c r="DT146" s="2">
        <v>3</v>
      </c>
    </row>
    <row r="147" spans="1:124" x14ac:dyDescent="0.25">
      <c r="A147" s="6" t="s">
        <v>156</v>
      </c>
      <c r="C147">
        <v>0</v>
      </c>
      <c r="G147">
        <v>0</v>
      </c>
      <c r="I147">
        <v>0</v>
      </c>
      <c r="K147">
        <v>0</v>
      </c>
      <c r="N147">
        <v>0</v>
      </c>
      <c r="Q147">
        <v>0</v>
      </c>
      <c r="V147">
        <v>0</v>
      </c>
      <c r="AA147">
        <v>0</v>
      </c>
      <c r="AF147">
        <v>0</v>
      </c>
      <c r="AI147">
        <v>18</v>
      </c>
      <c r="AM147">
        <v>15</v>
      </c>
      <c r="AQ147">
        <v>0</v>
      </c>
      <c r="AV147">
        <v>0</v>
      </c>
      <c r="BA147">
        <v>0</v>
      </c>
      <c r="BF147">
        <v>0</v>
      </c>
      <c r="BI147">
        <v>0</v>
      </c>
      <c r="BM147">
        <v>0</v>
      </c>
      <c r="BQ147">
        <v>0</v>
      </c>
      <c r="BW147">
        <v>0</v>
      </c>
      <c r="CA147">
        <v>0</v>
      </c>
      <c r="CE147">
        <v>0</v>
      </c>
      <c r="CI147">
        <v>0</v>
      </c>
      <c r="CL147">
        <v>0</v>
      </c>
      <c r="CR147">
        <v>0</v>
      </c>
      <c r="CU147">
        <v>0</v>
      </c>
      <c r="CZ147">
        <v>0</v>
      </c>
      <c r="DD147">
        <v>0</v>
      </c>
      <c r="DH147">
        <v>0</v>
      </c>
      <c r="DK147">
        <v>0</v>
      </c>
      <c r="DO147">
        <v>0</v>
      </c>
      <c r="DR147">
        <v>0</v>
      </c>
      <c r="DT147">
        <v>33</v>
      </c>
    </row>
    <row r="148" spans="1:124" x14ac:dyDescent="0.25">
      <c r="A148" s="6" t="s">
        <v>158</v>
      </c>
      <c r="C148">
        <v>0</v>
      </c>
      <c r="G148">
        <v>44</v>
      </c>
      <c r="I148">
        <v>0</v>
      </c>
      <c r="K148">
        <v>0</v>
      </c>
      <c r="N148">
        <v>0</v>
      </c>
      <c r="Q148">
        <v>0</v>
      </c>
      <c r="V148">
        <v>0</v>
      </c>
      <c r="AA148">
        <v>0</v>
      </c>
      <c r="AF148">
        <v>38</v>
      </c>
      <c r="AI148">
        <v>0</v>
      </c>
      <c r="AM148">
        <v>0</v>
      </c>
      <c r="AQ148">
        <v>0</v>
      </c>
      <c r="AV148">
        <v>0</v>
      </c>
      <c r="BA148">
        <v>0</v>
      </c>
      <c r="BF148">
        <v>40</v>
      </c>
      <c r="BI148">
        <v>0</v>
      </c>
      <c r="BM148">
        <v>0</v>
      </c>
      <c r="BQ148">
        <v>0</v>
      </c>
      <c r="BW148">
        <v>0</v>
      </c>
      <c r="CA148">
        <v>40</v>
      </c>
      <c r="CE148">
        <v>0</v>
      </c>
      <c r="CI148">
        <v>0</v>
      </c>
      <c r="CL148">
        <v>34</v>
      </c>
      <c r="CR148">
        <v>0</v>
      </c>
      <c r="CU148">
        <v>0</v>
      </c>
      <c r="CZ148">
        <v>0</v>
      </c>
      <c r="DD148">
        <v>0</v>
      </c>
      <c r="DH148">
        <v>0</v>
      </c>
      <c r="DK148">
        <v>0</v>
      </c>
      <c r="DO148">
        <v>0</v>
      </c>
      <c r="DR148">
        <v>0</v>
      </c>
      <c r="DT148">
        <v>196</v>
      </c>
    </row>
    <row r="149" spans="1:124" x14ac:dyDescent="0.25">
      <c r="A149" s="6" t="s">
        <v>160</v>
      </c>
      <c r="C149">
        <v>0</v>
      </c>
      <c r="G149">
        <v>0</v>
      </c>
      <c r="I149">
        <v>0</v>
      </c>
      <c r="K149">
        <v>0</v>
      </c>
      <c r="N149">
        <v>0</v>
      </c>
      <c r="Q149">
        <v>0</v>
      </c>
      <c r="V149">
        <v>0</v>
      </c>
      <c r="AA149">
        <v>0</v>
      </c>
      <c r="AF149">
        <v>1</v>
      </c>
      <c r="AI149">
        <v>0</v>
      </c>
      <c r="AM149">
        <v>0</v>
      </c>
      <c r="AQ149">
        <v>0</v>
      </c>
      <c r="AV149">
        <v>0</v>
      </c>
      <c r="BA149">
        <v>1</v>
      </c>
      <c r="BF149">
        <v>0</v>
      </c>
      <c r="BI149">
        <v>0</v>
      </c>
      <c r="BM149">
        <v>0</v>
      </c>
      <c r="BQ149">
        <v>0</v>
      </c>
      <c r="BW149">
        <v>0</v>
      </c>
      <c r="CA149">
        <v>0</v>
      </c>
      <c r="CE149">
        <v>0</v>
      </c>
      <c r="CI149">
        <v>0</v>
      </c>
      <c r="CL149">
        <v>5</v>
      </c>
      <c r="CR149">
        <v>0</v>
      </c>
      <c r="CU149">
        <v>0</v>
      </c>
      <c r="CZ149">
        <v>0</v>
      </c>
      <c r="DD149">
        <v>0</v>
      </c>
      <c r="DH149">
        <v>0</v>
      </c>
      <c r="DK149">
        <v>0</v>
      </c>
      <c r="DO149">
        <v>0</v>
      </c>
      <c r="DR149">
        <v>0</v>
      </c>
      <c r="DT149">
        <v>7</v>
      </c>
    </row>
    <row r="150" spans="1:124" x14ac:dyDescent="0.25">
      <c r="A150" s="6" t="s">
        <v>162</v>
      </c>
      <c r="C150">
        <v>0</v>
      </c>
      <c r="G150">
        <v>0</v>
      </c>
      <c r="I150">
        <v>0</v>
      </c>
      <c r="K150">
        <v>0</v>
      </c>
      <c r="N150">
        <v>0</v>
      </c>
      <c r="Q150">
        <v>0</v>
      </c>
      <c r="V150">
        <v>0</v>
      </c>
      <c r="AA150">
        <v>0</v>
      </c>
      <c r="AF150">
        <v>0</v>
      </c>
      <c r="AI150">
        <v>0</v>
      </c>
      <c r="AM150">
        <v>0</v>
      </c>
      <c r="AQ150">
        <v>0</v>
      </c>
      <c r="AV150">
        <v>0</v>
      </c>
      <c r="BA150">
        <v>0</v>
      </c>
      <c r="BF150">
        <v>0</v>
      </c>
      <c r="BI150">
        <v>0</v>
      </c>
      <c r="BM150">
        <v>0</v>
      </c>
      <c r="BQ150">
        <v>0</v>
      </c>
      <c r="BW150">
        <v>0</v>
      </c>
      <c r="CA150">
        <v>0</v>
      </c>
      <c r="CE150">
        <v>0</v>
      </c>
      <c r="CI150">
        <v>0</v>
      </c>
      <c r="CL150">
        <v>0</v>
      </c>
      <c r="CR150">
        <v>0</v>
      </c>
      <c r="CU150">
        <v>0</v>
      </c>
      <c r="CZ150">
        <v>0</v>
      </c>
      <c r="DD150">
        <v>0</v>
      </c>
      <c r="DH150">
        <v>0</v>
      </c>
      <c r="DK150">
        <v>0</v>
      </c>
      <c r="DO150">
        <v>0</v>
      </c>
      <c r="DR150">
        <v>0</v>
      </c>
      <c r="DT150">
        <v>0</v>
      </c>
    </row>
    <row r="151" spans="1:124" x14ac:dyDescent="0.25">
      <c r="A151" s="6" t="s">
        <v>164</v>
      </c>
      <c r="C151">
        <v>0</v>
      </c>
      <c r="G151">
        <v>0</v>
      </c>
      <c r="I151">
        <v>0</v>
      </c>
      <c r="K151">
        <v>0</v>
      </c>
      <c r="N151">
        <v>0</v>
      </c>
      <c r="Q151">
        <v>0</v>
      </c>
      <c r="V151">
        <v>0</v>
      </c>
      <c r="AA151">
        <v>0</v>
      </c>
      <c r="AF151">
        <v>0</v>
      </c>
      <c r="AI151">
        <v>0</v>
      </c>
      <c r="AM151">
        <v>0</v>
      </c>
      <c r="AQ151">
        <v>0</v>
      </c>
      <c r="AV151">
        <v>0</v>
      </c>
      <c r="BA151">
        <v>0</v>
      </c>
      <c r="BF151">
        <v>0</v>
      </c>
      <c r="BI151">
        <v>0</v>
      </c>
      <c r="BM151">
        <v>0</v>
      </c>
      <c r="BQ151">
        <v>0</v>
      </c>
      <c r="BW151">
        <v>0</v>
      </c>
      <c r="CA151">
        <v>0</v>
      </c>
      <c r="CE151">
        <v>0</v>
      </c>
      <c r="CI151">
        <v>0</v>
      </c>
      <c r="CL151">
        <v>0</v>
      </c>
      <c r="CR151">
        <v>0</v>
      </c>
      <c r="CU151">
        <v>0</v>
      </c>
      <c r="CZ151">
        <v>0</v>
      </c>
      <c r="DD151">
        <v>0</v>
      </c>
      <c r="DH151">
        <v>0</v>
      </c>
      <c r="DK151">
        <v>0</v>
      </c>
      <c r="DO151">
        <v>0</v>
      </c>
      <c r="DR151">
        <v>0</v>
      </c>
      <c r="DT151">
        <v>0</v>
      </c>
    </row>
    <row r="152" spans="1:124" x14ac:dyDescent="0.25">
      <c r="A152" s="6" t="s">
        <v>166</v>
      </c>
      <c r="C152">
        <v>0</v>
      </c>
      <c r="G152">
        <v>0</v>
      </c>
      <c r="I152">
        <v>0</v>
      </c>
      <c r="K152">
        <v>0</v>
      </c>
      <c r="N152">
        <v>0</v>
      </c>
      <c r="Q152">
        <v>0</v>
      </c>
      <c r="V152">
        <v>0</v>
      </c>
      <c r="AA152">
        <v>0</v>
      </c>
      <c r="AF152">
        <v>0</v>
      </c>
      <c r="AI152">
        <v>0</v>
      </c>
      <c r="AM152">
        <v>0</v>
      </c>
      <c r="AQ152">
        <v>0</v>
      </c>
      <c r="AV152">
        <v>0</v>
      </c>
      <c r="BA152">
        <v>0</v>
      </c>
      <c r="BF152">
        <v>0</v>
      </c>
      <c r="BI152">
        <v>0</v>
      </c>
      <c r="BM152">
        <v>0</v>
      </c>
      <c r="BQ152">
        <v>0</v>
      </c>
      <c r="BW152">
        <v>0</v>
      </c>
      <c r="CA152">
        <v>0</v>
      </c>
      <c r="CE152">
        <v>0</v>
      </c>
      <c r="CI152">
        <v>0</v>
      </c>
      <c r="CL152">
        <v>0</v>
      </c>
      <c r="CR152">
        <v>0</v>
      </c>
      <c r="CU152">
        <v>0</v>
      </c>
      <c r="CZ152">
        <v>0</v>
      </c>
      <c r="DD152">
        <v>0</v>
      </c>
      <c r="DH152">
        <v>0</v>
      </c>
      <c r="DK152">
        <v>0</v>
      </c>
      <c r="DO152">
        <v>0</v>
      </c>
      <c r="DR152">
        <v>0</v>
      </c>
      <c r="DT152">
        <v>0</v>
      </c>
    </row>
    <row r="153" spans="1:124" x14ac:dyDescent="0.25">
      <c r="A153" s="5" t="s">
        <v>34</v>
      </c>
    </row>
    <row r="154" spans="1:124" x14ac:dyDescent="0.25">
      <c r="A154" s="6" t="s">
        <v>131</v>
      </c>
      <c r="C154">
        <v>6</v>
      </c>
      <c r="G154">
        <v>80</v>
      </c>
      <c r="J154">
        <v>0</v>
      </c>
      <c r="L154">
        <v>0</v>
      </c>
      <c r="N154">
        <v>0</v>
      </c>
      <c r="R154">
        <v>16</v>
      </c>
      <c r="V154">
        <v>35</v>
      </c>
      <c r="AA154">
        <v>32</v>
      </c>
      <c r="AE154">
        <v>0</v>
      </c>
      <c r="AI154">
        <v>22</v>
      </c>
      <c r="AM154">
        <v>0</v>
      </c>
      <c r="AR154">
        <v>5</v>
      </c>
      <c r="AW154">
        <v>36</v>
      </c>
      <c r="BA154">
        <v>42</v>
      </c>
      <c r="BF154">
        <v>0</v>
      </c>
      <c r="BJ154">
        <v>0</v>
      </c>
      <c r="BO154">
        <v>0</v>
      </c>
      <c r="BS154">
        <v>0</v>
      </c>
      <c r="BV154">
        <v>2</v>
      </c>
      <c r="BZ154">
        <v>0</v>
      </c>
      <c r="CE154">
        <v>40</v>
      </c>
      <c r="CI154">
        <v>40</v>
      </c>
      <c r="CL154">
        <v>34</v>
      </c>
      <c r="CQ154">
        <v>0</v>
      </c>
      <c r="CT154">
        <v>0</v>
      </c>
      <c r="CY154">
        <v>0</v>
      </c>
      <c r="DC154">
        <v>43</v>
      </c>
      <c r="DG154">
        <v>40</v>
      </c>
      <c r="DJ154">
        <v>40</v>
      </c>
      <c r="DM154">
        <v>0</v>
      </c>
      <c r="DQ154">
        <v>0</v>
      </c>
      <c r="DT154">
        <v>513</v>
      </c>
    </row>
    <row r="155" spans="1:124" x14ac:dyDescent="0.25">
      <c r="A155" s="6" t="s">
        <v>134</v>
      </c>
      <c r="B155" s="2"/>
      <c r="C155" s="2">
        <v>0</v>
      </c>
      <c r="D155" s="2"/>
      <c r="E155" s="2"/>
      <c r="F155" s="2"/>
      <c r="G155" s="2">
        <v>0</v>
      </c>
      <c r="H155" s="2"/>
      <c r="I155" s="2"/>
      <c r="J155" s="2">
        <v>0</v>
      </c>
      <c r="K155" s="2"/>
      <c r="L155" s="2">
        <v>0</v>
      </c>
      <c r="M155" s="2"/>
      <c r="N155" s="2">
        <v>0</v>
      </c>
      <c r="O155" s="2"/>
      <c r="P155" s="2"/>
      <c r="Q155" s="2"/>
      <c r="R155" s="2">
        <v>0</v>
      </c>
      <c r="S155" s="2"/>
      <c r="T155" s="2"/>
      <c r="U155" s="2"/>
      <c r="V155" s="2">
        <v>0</v>
      </c>
      <c r="W155" s="2"/>
      <c r="X155" s="2"/>
      <c r="Y155" s="2"/>
      <c r="Z155" s="2"/>
      <c r="AA155" s="2">
        <v>0</v>
      </c>
      <c r="AB155" s="2"/>
      <c r="AC155" s="2"/>
      <c r="AD155" s="2"/>
      <c r="AE155" s="2">
        <v>0</v>
      </c>
      <c r="AF155" s="2"/>
      <c r="AG155" s="2"/>
      <c r="AH155" s="2"/>
      <c r="AI155" s="2">
        <v>0</v>
      </c>
      <c r="AJ155" s="2"/>
      <c r="AK155" s="2"/>
      <c r="AL155" s="2"/>
      <c r="AM155" s="2">
        <v>0</v>
      </c>
      <c r="AN155" s="2"/>
      <c r="AO155" s="2"/>
      <c r="AP155" s="2"/>
      <c r="AQ155" s="2"/>
      <c r="AR155" s="2">
        <v>0</v>
      </c>
      <c r="AS155" s="2"/>
      <c r="AT155" s="2"/>
      <c r="AU155" s="2"/>
      <c r="AV155" s="2"/>
      <c r="AW155" s="2">
        <v>0</v>
      </c>
      <c r="AX155" s="2"/>
      <c r="AY155" s="2"/>
      <c r="AZ155" s="2"/>
      <c r="BA155" s="2">
        <v>0</v>
      </c>
      <c r="BB155" s="2"/>
      <c r="BC155" s="2"/>
      <c r="BD155" s="2"/>
      <c r="BE155" s="2"/>
      <c r="BF155" s="2">
        <v>0</v>
      </c>
      <c r="BG155" s="2"/>
      <c r="BH155" s="2"/>
      <c r="BI155" s="2"/>
      <c r="BJ155" s="2">
        <v>0</v>
      </c>
      <c r="BK155" s="2"/>
      <c r="BL155" s="2"/>
      <c r="BM155" s="2"/>
      <c r="BN155" s="2"/>
      <c r="BO155" s="2">
        <v>0</v>
      </c>
      <c r="BP155" s="2"/>
      <c r="BQ155" s="2"/>
      <c r="BR155" s="2"/>
      <c r="BS155" s="2">
        <v>0</v>
      </c>
      <c r="BT155" s="2"/>
      <c r="BU155" s="2"/>
      <c r="BV155" s="2">
        <v>0</v>
      </c>
      <c r="BW155" s="2"/>
      <c r="BX155" s="2"/>
      <c r="BY155" s="2"/>
      <c r="BZ155" s="2">
        <v>0</v>
      </c>
      <c r="CA155" s="2"/>
      <c r="CB155" s="2"/>
      <c r="CC155" s="2"/>
      <c r="CD155" s="2"/>
      <c r="CE155" s="2">
        <v>0</v>
      </c>
      <c r="CF155" s="2"/>
      <c r="CG155" s="2"/>
      <c r="CH155" s="2"/>
      <c r="CI155" s="2">
        <v>0</v>
      </c>
      <c r="CJ155" s="2"/>
      <c r="CK155" s="2"/>
      <c r="CL155" s="2">
        <v>0</v>
      </c>
      <c r="CM155" s="2"/>
      <c r="CN155" s="2"/>
      <c r="CO155" s="2"/>
      <c r="CP155" s="2"/>
      <c r="CQ155" s="2">
        <v>0</v>
      </c>
      <c r="CR155" s="2"/>
      <c r="CS155" s="2"/>
      <c r="CT155" s="2">
        <v>0</v>
      </c>
      <c r="CU155" s="2"/>
      <c r="CV155" s="2"/>
      <c r="CW155" s="2"/>
      <c r="CX155" s="2"/>
      <c r="CY155" s="2">
        <v>0</v>
      </c>
      <c r="CZ155" s="2"/>
      <c r="DA155" s="2"/>
      <c r="DB155" s="2"/>
      <c r="DC155" s="2">
        <v>0</v>
      </c>
      <c r="DD155" s="2"/>
      <c r="DE155" s="2"/>
      <c r="DF155" s="2"/>
      <c r="DG155" s="2">
        <v>0</v>
      </c>
      <c r="DH155" s="2"/>
      <c r="DI155" s="2"/>
      <c r="DJ155" s="2">
        <v>0</v>
      </c>
      <c r="DK155" s="2"/>
      <c r="DL155" s="2"/>
      <c r="DM155" s="2">
        <v>0</v>
      </c>
      <c r="DN155" s="2"/>
      <c r="DO155" s="2"/>
      <c r="DP155" s="2"/>
      <c r="DQ155" s="2">
        <v>0</v>
      </c>
      <c r="DR155" s="2"/>
      <c r="DS155" s="2"/>
      <c r="DT155" s="2">
        <v>0</v>
      </c>
    </row>
    <row r="156" spans="1:124" x14ac:dyDescent="0.25">
      <c r="A156" s="6" t="s">
        <v>136</v>
      </c>
      <c r="B156" s="2"/>
      <c r="C156" s="2">
        <v>0</v>
      </c>
      <c r="D156" s="2"/>
      <c r="E156" s="2"/>
      <c r="F156" s="2"/>
      <c r="G156" s="2">
        <v>0</v>
      </c>
      <c r="H156" s="2"/>
      <c r="I156" s="2"/>
      <c r="J156" s="2">
        <v>0</v>
      </c>
      <c r="K156" s="2"/>
      <c r="L156" s="2">
        <v>0</v>
      </c>
      <c r="M156" s="2"/>
      <c r="N156" s="2">
        <v>0</v>
      </c>
      <c r="O156" s="2"/>
      <c r="P156" s="2"/>
      <c r="Q156" s="2"/>
      <c r="R156" s="2">
        <v>0</v>
      </c>
      <c r="S156" s="2"/>
      <c r="T156" s="2"/>
      <c r="U156" s="2"/>
      <c r="V156" s="2">
        <v>0</v>
      </c>
      <c r="W156" s="2"/>
      <c r="X156" s="2"/>
      <c r="Y156" s="2"/>
      <c r="Z156" s="2"/>
      <c r="AA156" s="2">
        <v>0</v>
      </c>
      <c r="AB156" s="2"/>
      <c r="AC156" s="2"/>
      <c r="AD156" s="2"/>
      <c r="AE156" s="2">
        <v>0</v>
      </c>
      <c r="AF156" s="2"/>
      <c r="AG156" s="2"/>
      <c r="AH156" s="2"/>
      <c r="AI156" s="2">
        <v>0</v>
      </c>
      <c r="AJ156" s="2"/>
      <c r="AK156" s="2"/>
      <c r="AL156" s="2"/>
      <c r="AM156" s="2">
        <v>0</v>
      </c>
      <c r="AN156" s="2"/>
      <c r="AO156" s="2"/>
      <c r="AP156" s="2"/>
      <c r="AQ156" s="2"/>
      <c r="AR156" s="2">
        <v>0</v>
      </c>
      <c r="AS156" s="2"/>
      <c r="AT156" s="2"/>
      <c r="AU156" s="2"/>
      <c r="AV156" s="2"/>
      <c r="AW156" s="2">
        <v>0</v>
      </c>
      <c r="AX156" s="2"/>
      <c r="AY156" s="2"/>
      <c r="AZ156" s="2"/>
      <c r="BA156" s="2">
        <v>0</v>
      </c>
      <c r="BB156" s="2"/>
      <c r="BC156" s="2"/>
      <c r="BD156" s="2"/>
      <c r="BE156" s="2"/>
      <c r="BF156" s="2">
        <v>0</v>
      </c>
      <c r="BG156" s="2"/>
      <c r="BH156" s="2"/>
      <c r="BI156" s="2"/>
      <c r="BJ156" s="2">
        <v>0</v>
      </c>
      <c r="BK156" s="2"/>
      <c r="BL156" s="2"/>
      <c r="BM156" s="2"/>
      <c r="BN156" s="2"/>
      <c r="BO156" s="2">
        <v>0</v>
      </c>
      <c r="BP156" s="2"/>
      <c r="BQ156" s="2"/>
      <c r="BR156" s="2"/>
      <c r="BS156" s="2">
        <v>0</v>
      </c>
      <c r="BT156" s="2"/>
      <c r="BU156" s="2"/>
      <c r="BV156" s="2">
        <v>0</v>
      </c>
      <c r="BW156" s="2"/>
      <c r="BX156" s="2"/>
      <c r="BY156" s="2"/>
      <c r="BZ156" s="2">
        <v>0</v>
      </c>
      <c r="CA156" s="2"/>
      <c r="CB156" s="2"/>
      <c r="CC156" s="2"/>
      <c r="CD156" s="2"/>
      <c r="CE156" s="2">
        <v>0</v>
      </c>
      <c r="CF156" s="2"/>
      <c r="CG156" s="2"/>
      <c r="CH156" s="2"/>
      <c r="CI156" s="2">
        <v>0</v>
      </c>
      <c r="CJ156" s="2"/>
      <c r="CK156" s="2"/>
      <c r="CL156" s="2">
        <v>0</v>
      </c>
      <c r="CM156" s="2"/>
      <c r="CN156" s="2"/>
      <c r="CO156" s="2"/>
      <c r="CP156" s="2"/>
      <c r="CQ156" s="2">
        <v>0</v>
      </c>
      <c r="CR156" s="2"/>
      <c r="CS156" s="2"/>
      <c r="CT156" s="2">
        <v>0</v>
      </c>
      <c r="CU156" s="2"/>
      <c r="CV156" s="2"/>
      <c r="CW156" s="2"/>
      <c r="CX156" s="2"/>
      <c r="CY156" s="2">
        <v>0</v>
      </c>
      <c r="CZ156" s="2"/>
      <c r="DA156" s="2"/>
      <c r="DB156" s="2"/>
      <c r="DC156" s="2">
        <v>0</v>
      </c>
      <c r="DD156" s="2"/>
      <c r="DE156" s="2"/>
      <c r="DF156" s="2"/>
      <c r="DG156" s="2">
        <v>0</v>
      </c>
      <c r="DH156" s="2"/>
      <c r="DI156" s="2"/>
      <c r="DJ156" s="2">
        <v>0</v>
      </c>
      <c r="DK156" s="2"/>
      <c r="DL156" s="2"/>
      <c r="DM156" s="2">
        <v>0</v>
      </c>
      <c r="DN156" s="2"/>
      <c r="DO156" s="2"/>
      <c r="DP156" s="2"/>
      <c r="DQ156" s="2">
        <v>0</v>
      </c>
      <c r="DR156" s="2"/>
      <c r="DS156" s="2"/>
      <c r="DT156" s="2">
        <v>0</v>
      </c>
    </row>
    <row r="157" spans="1:124" x14ac:dyDescent="0.25">
      <c r="A157" s="6" t="s">
        <v>138</v>
      </c>
      <c r="B157" s="2"/>
      <c r="C157" s="2">
        <v>0</v>
      </c>
      <c r="D157" s="2"/>
      <c r="E157" s="2"/>
      <c r="F157" s="2"/>
      <c r="G157" s="2">
        <v>2</v>
      </c>
      <c r="H157" s="2"/>
      <c r="I157" s="2"/>
      <c r="J157" s="2">
        <v>0</v>
      </c>
      <c r="K157" s="2"/>
      <c r="L157" s="2">
        <v>0</v>
      </c>
      <c r="M157" s="2"/>
      <c r="N157" s="2">
        <v>0</v>
      </c>
      <c r="O157" s="2"/>
      <c r="P157" s="2"/>
      <c r="Q157" s="2"/>
      <c r="R157" s="2">
        <v>1</v>
      </c>
      <c r="S157" s="2"/>
      <c r="T157" s="2"/>
      <c r="U157" s="2"/>
      <c r="V157" s="2">
        <v>0</v>
      </c>
      <c r="W157" s="2"/>
      <c r="X157" s="2"/>
      <c r="Y157" s="2"/>
      <c r="Z157" s="2"/>
      <c r="AA157" s="2">
        <v>1</v>
      </c>
      <c r="AB157" s="2"/>
      <c r="AC157" s="2"/>
      <c r="AD157" s="2"/>
      <c r="AE157" s="2">
        <v>0</v>
      </c>
      <c r="AF157" s="2"/>
      <c r="AG157" s="2"/>
      <c r="AH157" s="2"/>
      <c r="AI157" s="2">
        <v>0</v>
      </c>
      <c r="AJ157" s="2"/>
      <c r="AK157" s="2"/>
      <c r="AL157" s="2"/>
      <c r="AM157" s="2">
        <v>0</v>
      </c>
      <c r="AN157" s="2"/>
      <c r="AO157" s="2"/>
      <c r="AP157" s="2"/>
      <c r="AQ157" s="2"/>
      <c r="AR157" s="2">
        <v>0</v>
      </c>
      <c r="AS157" s="2"/>
      <c r="AT157" s="2"/>
      <c r="AU157" s="2"/>
      <c r="AV157" s="2"/>
      <c r="AW157" s="2">
        <v>1</v>
      </c>
      <c r="AX157" s="2"/>
      <c r="AY157" s="2"/>
      <c r="AZ157" s="2"/>
      <c r="BA157" s="2">
        <v>1</v>
      </c>
      <c r="BB157" s="2"/>
      <c r="BC157" s="2"/>
      <c r="BD157" s="2"/>
      <c r="BE157" s="2"/>
      <c r="BF157" s="2">
        <v>0</v>
      </c>
      <c r="BG157" s="2"/>
      <c r="BH157" s="2"/>
      <c r="BI157" s="2"/>
      <c r="BJ157" s="2">
        <v>0</v>
      </c>
      <c r="BK157" s="2"/>
      <c r="BL157" s="2"/>
      <c r="BM157" s="2"/>
      <c r="BN157" s="2"/>
      <c r="BO157" s="2">
        <v>0</v>
      </c>
      <c r="BP157" s="2"/>
      <c r="BQ157" s="2"/>
      <c r="BR157" s="2"/>
      <c r="BS157" s="2">
        <v>0</v>
      </c>
      <c r="BT157" s="2"/>
      <c r="BU157" s="2"/>
      <c r="BV157" s="2">
        <v>0</v>
      </c>
      <c r="BW157" s="2"/>
      <c r="BX157" s="2"/>
      <c r="BY157" s="2"/>
      <c r="BZ157" s="2">
        <v>0</v>
      </c>
      <c r="CA157" s="2"/>
      <c r="CB157" s="2"/>
      <c r="CC157" s="2"/>
      <c r="CD157" s="2"/>
      <c r="CE157" s="2">
        <v>1</v>
      </c>
      <c r="CF157" s="2"/>
      <c r="CG157" s="2"/>
      <c r="CH157" s="2"/>
      <c r="CI157" s="2">
        <v>1</v>
      </c>
      <c r="CJ157" s="2"/>
      <c r="CK157" s="2"/>
      <c r="CL157" s="2">
        <v>1</v>
      </c>
      <c r="CM157" s="2"/>
      <c r="CN157" s="2"/>
      <c r="CO157" s="2"/>
      <c r="CP157" s="2"/>
      <c r="CQ157" s="2">
        <v>0</v>
      </c>
      <c r="CR157" s="2"/>
      <c r="CS157" s="2"/>
      <c r="CT157" s="2">
        <v>0</v>
      </c>
      <c r="CU157" s="2"/>
      <c r="CV157" s="2"/>
      <c r="CW157" s="2"/>
      <c r="CX157" s="2"/>
      <c r="CY157" s="2">
        <v>0</v>
      </c>
      <c r="CZ157" s="2"/>
      <c r="DA157" s="2"/>
      <c r="DB157" s="2"/>
      <c r="DC157" s="2">
        <v>1</v>
      </c>
      <c r="DD157" s="2"/>
      <c r="DE157" s="2"/>
      <c r="DF157" s="2"/>
      <c r="DG157" s="2">
        <v>1</v>
      </c>
      <c r="DH157" s="2"/>
      <c r="DI157" s="2"/>
      <c r="DJ157" s="2">
        <v>1</v>
      </c>
      <c r="DK157" s="2"/>
      <c r="DL157" s="2"/>
      <c r="DM157" s="2">
        <v>0</v>
      </c>
      <c r="DN157" s="2"/>
      <c r="DO157" s="2"/>
      <c r="DP157" s="2"/>
      <c r="DQ157" s="2">
        <v>0</v>
      </c>
      <c r="DR157" s="2"/>
      <c r="DS157" s="2"/>
      <c r="DT157" s="2">
        <v>12</v>
      </c>
    </row>
    <row r="158" spans="1:124" x14ac:dyDescent="0.25">
      <c r="A158" s="6" t="s">
        <v>140</v>
      </c>
      <c r="B158" s="2"/>
      <c r="C158" s="2">
        <v>0</v>
      </c>
      <c r="D158" s="2"/>
      <c r="E158" s="2"/>
      <c r="F158" s="2"/>
      <c r="G158" s="2">
        <v>0</v>
      </c>
      <c r="H158" s="2"/>
      <c r="I158" s="2"/>
      <c r="J158" s="2">
        <v>0</v>
      </c>
      <c r="K158" s="2"/>
      <c r="L158" s="2">
        <v>0</v>
      </c>
      <c r="M158" s="2"/>
      <c r="N158" s="2">
        <v>0</v>
      </c>
      <c r="O158" s="2"/>
      <c r="P158" s="2"/>
      <c r="Q158" s="2"/>
      <c r="R158" s="2">
        <v>0</v>
      </c>
      <c r="S158" s="2"/>
      <c r="T158" s="2"/>
      <c r="U158" s="2"/>
      <c r="V158" s="2">
        <v>1</v>
      </c>
      <c r="W158" s="2"/>
      <c r="X158" s="2"/>
      <c r="Y158" s="2"/>
      <c r="Z158" s="2"/>
      <c r="AA158" s="2">
        <v>0</v>
      </c>
      <c r="AB158" s="2"/>
      <c r="AC158" s="2"/>
      <c r="AD158" s="2"/>
      <c r="AE158" s="2">
        <v>0</v>
      </c>
      <c r="AF158" s="2"/>
      <c r="AG158" s="2"/>
      <c r="AH158" s="2"/>
      <c r="AI158" s="2">
        <v>0</v>
      </c>
      <c r="AJ158" s="2"/>
      <c r="AK158" s="2"/>
      <c r="AL158" s="2"/>
      <c r="AM158" s="2">
        <v>0</v>
      </c>
      <c r="AN158" s="2"/>
      <c r="AO158" s="2"/>
      <c r="AP158" s="2"/>
      <c r="AQ158" s="2"/>
      <c r="AR158" s="2">
        <v>0</v>
      </c>
      <c r="AS158" s="2"/>
      <c r="AT158" s="2"/>
      <c r="AU158" s="2"/>
      <c r="AV158" s="2"/>
      <c r="AW158" s="2">
        <v>0</v>
      </c>
      <c r="AX158" s="2"/>
      <c r="AY158" s="2"/>
      <c r="AZ158" s="2"/>
      <c r="BA158" s="2">
        <v>0</v>
      </c>
      <c r="BB158" s="2"/>
      <c r="BC158" s="2"/>
      <c r="BD158" s="2"/>
      <c r="BE158" s="2"/>
      <c r="BF158" s="2">
        <v>0</v>
      </c>
      <c r="BG158" s="2"/>
      <c r="BH158" s="2"/>
      <c r="BI158" s="2"/>
      <c r="BJ158" s="2">
        <v>0</v>
      </c>
      <c r="BK158" s="2"/>
      <c r="BL158" s="2"/>
      <c r="BM158" s="2"/>
      <c r="BN158" s="2"/>
      <c r="BO158" s="2">
        <v>0</v>
      </c>
      <c r="BP158" s="2"/>
      <c r="BQ158" s="2"/>
      <c r="BR158" s="2"/>
      <c r="BS158" s="2">
        <v>0</v>
      </c>
      <c r="BT158" s="2"/>
      <c r="BU158" s="2"/>
      <c r="BV158" s="2">
        <v>0</v>
      </c>
      <c r="BW158" s="2"/>
      <c r="BX158" s="2"/>
      <c r="BY158" s="2"/>
      <c r="BZ158" s="2">
        <v>0</v>
      </c>
      <c r="CA158" s="2"/>
      <c r="CB158" s="2"/>
      <c r="CC158" s="2"/>
      <c r="CD158" s="2"/>
      <c r="CE158" s="2">
        <v>0</v>
      </c>
      <c r="CF158" s="2"/>
      <c r="CG158" s="2"/>
      <c r="CH158" s="2"/>
      <c r="CI158" s="2">
        <v>0</v>
      </c>
      <c r="CJ158" s="2"/>
      <c r="CK158" s="2"/>
      <c r="CL158" s="2">
        <v>0</v>
      </c>
      <c r="CM158" s="2"/>
      <c r="CN158" s="2"/>
      <c r="CO158" s="2"/>
      <c r="CP158" s="2"/>
      <c r="CQ158" s="2">
        <v>0</v>
      </c>
      <c r="CR158" s="2"/>
      <c r="CS158" s="2"/>
      <c r="CT158" s="2">
        <v>0</v>
      </c>
      <c r="CU158" s="2"/>
      <c r="CV158" s="2"/>
      <c r="CW158" s="2"/>
      <c r="CX158" s="2"/>
      <c r="CY158" s="2">
        <v>0</v>
      </c>
      <c r="CZ158" s="2"/>
      <c r="DA158" s="2"/>
      <c r="DB158" s="2"/>
      <c r="DC158" s="2">
        <v>0</v>
      </c>
      <c r="DD158" s="2"/>
      <c r="DE158" s="2"/>
      <c r="DF158" s="2"/>
      <c r="DG158" s="2">
        <v>0</v>
      </c>
      <c r="DH158" s="2"/>
      <c r="DI158" s="2"/>
      <c r="DJ158" s="2">
        <v>0</v>
      </c>
      <c r="DK158" s="2"/>
      <c r="DL158" s="2"/>
      <c r="DM158" s="2">
        <v>0</v>
      </c>
      <c r="DN158" s="2"/>
      <c r="DO158" s="2"/>
      <c r="DP158" s="2"/>
      <c r="DQ158" s="2">
        <v>0</v>
      </c>
      <c r="DR158" s="2"/>
      <c r="DS158" s="2"/>
      <c r="DT158" s="2">
        <v>1</v>
      </c>
    </row>
    <row r="159" spans="1:124" x14ac:dyDescent="0.25">
      <c r="A159" s="6" t="s">
        <v>142</v>
      </c>
      <c r="C159">
        <v>0</v>
      </c>
      <c r="G159">
        <v>0</v>
      </c>
      <c r="J159">
        <v>0</v>
      </c>
      <c r="L159">
        <v>0</v>
      </c>
      <c r="N159">
        <v>0</v>
      </c>
      <c r="R159">
        <v>0</v>
      </c>
      <c r="V159">
        <v>0</v>
      </c>
      <c r="AA159">
        <v>0</v>
      </c>
      <c r="AE159">
        <v>0</v>
      </c>
      <c r="AI159">
        <v>0</v>
      </c>
      <c r="AM159">
        <v>0</v>
      </c>
      <c r="AR159">
        <v>0</v>
      </c>
      <c r="AW159">
        <v>0</v>
      </c>
      <c r="BA159">
        <v>0</v>
      </c>
      <c r="BF159">
        <v>0</v>
      </c>
      <c r="BJ159">
        <v>0</v>
      </c>
      <c r="BO159">
        <v>0</v>
      </c>
      <c r="BS159">
        <v>0</v>
      </c>
      <c r="BV159">
        <v>1</v>
      </c>
      <c r="BZ159">
        <v>0</v>
      </c>
      <c r="CE159">
        <v>0</v>
      </c>
      <c r="CI159">
        <v>0</v>
      </c>
      <c r="CL159">
        <v>0</v>
      </c>
      <c r="CQ159">
        <v>0</v>
      </c>
      <c r="CT159">
        <v>0</v>
      </c>
      <c r="CY159">
        <v>0</v>
      </c>
      <c r="DC159">
        <v>1</v>
      </c>
      <c r="DG159">
        <v>0</v>
      </c>
      <c r="DJ159">
        <v>0</v>
      </c>
      <c r="DM159">
        <v>0</v>
      </c>
      <c r="DQ159">
        <v>0</v>
      </c>
      <c r="DT159">
        <v>2</v>
      </c>
    </row>
    <row r="160" spans="1:124" x14ac:dyDescent="0.25">
      <c r="A160" s="6" t="s">
        <v>144</v>
      </c>
      <c r="C160">
        <v>0</v>
      </c>
      <c r="G160">
        <v>0</v>
      </c>
      <c r="J160">
        <v>0</v>
      </c>
      <c r="L160">
        <v>0</v>
      </c>
      <c r="N160">
        <v>0</v>
      </c>
      <c r="R160">
        <v>0</v>
      </c>
      <c r="V160">
        <v>0</v>
      </c>
      <c r="AA160">
        <v>0</v>
      </c>
      <c r="AE160">
        <v>0</v>
      </c>
      <c r="AI160">
        <v>0</v>
      </c>
      <c r="AM160">
        <v>0</v>
      </c>
      <c r="AR160">
        <v>0</v>
      </c>
      <c r="AW160">
        <v>0</v>
      </c>
      <c r="BA160">
        <v>0</v>
      </c>
      <c r="BF160">
        <v>0</v>
      </c>
      <c r="BJ160">
        <v>0</v>
      </c>
      <c r="BO160">
        <v>0</v>
      </c>
      <c r="BS160">
        <v>0</v>
      </c>
      <c r="BV160">
        <v>0</v>
      </c>
      <c r="BZ160">
        <v>0</v>
      </c>
      <c r="CE160">
        <v>0</v>
      </c>
      <c r="CI160">
        <v>1</v>
      </c>
      <c r="CL160">
        <v>0</v>
      </c>
      <c r="CQ160">
        <v>0</v>
      </c>
      <c r="CT160">
        <v>0</v>
      </c>
      <c r="CY160">
        <v>0</v>
      </c>
      <c r="DC160">
        <v>0</v>
      </c>
      <c r="DG160">
        <v>0</v>
      </c>
      <c r="DJ160">
        <v>0</v>
      </c>
      <c r="DM160">
        <v>0</v>
      </c>
      <c r="DQ160">
        <v>0</v>
      </c>
      <c r="DT160">
        <v>1</v>
      </c>
    </row>
    <row r="161" spans="1:124" x14ac:dyDescent="0.25">
      <c r="A161" s="6" t="s">
        <v>146</v>
      </c>
      <c r="B161" s="2"/>
      <c r="C161" s="2">
        <v>0</v>
      </c>
      <c r="D161" s="2"/>
      <c r="E161" s="2"/>
      <c r="F161" s="2"/>
      <c r="G161" s="2">
        <v>0</v>
      </c>
      <c r="H161" s="2"/>
      <c r="I161" s="2"/>
      <c r="J161" s="2">
        <v>0</v>
      </c>
      <c r="K161" s="2"/>
      <c r="L161" s="2">
        <v>0</v>
      </c>
      <c r="M161" s="2"/>
      <c r="N161" s="2">
        <v>0</v>
      </c>
      <c r="O161" s="2"/>
      <c r="P161" s="2"/>
      <c r="Q161" s="2"/>
      <c r="R161" s="2">
        <v>0</v>
      </c>
      <c r="S161" s="2"/>
      <c r="T161" s="2"/>
      <c r="U161" s="2"/>
      <c r="V161" s="2">
        <v>0</v>
      </c>
      <c r="W161" s="2"/>
      <c r="X161" s="2"/>
      <c r="Y161" s="2"/>
      <c r="Z161" s="2"/>
      <c r="AA161" s="2">
        <v>0</v>
      </c>
      <c r="AB161" s="2"/>
      <c r="AC161" s="2"/>
      <c r="AD161" s="2"/>
      <c r="AE161" s="2">
        <v>0</v>
      </c>
      <c r="AF161" s="2"/>
      <c r="AG161" s="2"/>
      <c r="AH161" s="2"/>
      <c r="AI161" s="2">
        <v>1</v>
      </c>
      <c r="AJ161" s="2"/>
      <c r="AK161" s="2"/>
      <c r="AL161" s="2"/>
      <c r="AM161" s="2">
        <v>0</v>
      </c>
      <c r="AN161" s="2"/>
      <c r="AO161" s="2"/>
      <c r="AP161" s="2"/>
      <c r="AQ161" s="2"/>
      <c r="AR161" s="2">
        <v>0</v>
      </c>
      <c r="AS161" s="2"/>
      <c r="AT161" s="2"/>
      <c r="AU161" s="2"/>
      <c r="AV161" s="2"/>
      <c r="AW161" s="2">
        <v>0</v>
      </c>
      <c r="AX161" s="2"/>
      <c r="AY161" s="2"/>
      <c r="AZ161" s="2"/>
      <c r="BA161" s="2">
        <v>0</v>
      </c>
      <c r="BB161" s="2"/>
      <c r="BC161" s="2"/>
      <c r="BD161" s="2"/>
      <c r="BE161" s="2"/>
      <c r="BF161" s="2">
        <v>0</v>
      </c>
      <c r="BG161" s="2"/>
      <c r="BH161" s="2"/>
      <c r="BI161" s="2"/>
      <c r="BJ161" s="2">
        <v>0</v>
      </c>
      <c r="BK161" s="2"/>
      <c r="BL161" s="2"/>
      <c r="BM161" s="2"/>
      <c r="BN161" s="2"/>
      <c r="BO161" s="2">
        <v>0</v>
      </c>
      <c r="BP161" s="2"/>
      <c r="BQ161" s="2"/>
      <c r="BR161" s="2"/>
      <c r="BS161" s="2">
        <v>0</v>
      </c>
      <c r="BT161" s="2"/>
      <c r="BU161" s="2"/>
      <c r="BV161" s="2">
        <v>0</v>
      </c>
      <c r="BW161" s="2"/>
      <c r="BX161" s="2"/>
      <c r="BY161" s="2"/>
      <c r="BZ161" s="2">
        <v>0</v>
      </c>
      <c r="CA161" s="2"/>
      <c r="CB161" s="2"/>
      <c r="CC161" s="2"/>
      <c r="CD161" s="2"/>
      <c r="CE161" s="2">
        <v>0</v>
      </c>
      <c r="CF161" s="2"/>
      <c r="CG161" s="2"/>
      <c r="CH161" s="2"/>
      <c r="CI161" s="2">
        <v>0</v>
      </c>
      <c r="CJ161" s="2"/>
      <c r="CK161" s="2"/>
      <c r="CL161" s="2">
        <v>0</v>
      </c>
      <c r="CM161" s="2"/>
      <c r="CN161" s="2"/>
      <c r="CO161" s="2"/>
      <c r="CP161" s="2"/>
      <c r="CQ161" s="2">
        <v>1</v>
      </c>
      <c r="CR161" s="2"/>
      <c r="CS161" s="2"/>
      <c r="CT161" s="2">
        <v>0</v>
      </c>
      <c r="CU161" s="2"/>
      <c r="CV161" s="2"/>
      <c r="CW161" s="2"/>
      <c r="CX161" s="2"/>
      <c r="CY161" s="2">
        <v>0</v>
      </c>
      <c r="CZ161" s="2"/>
      <c r="DA161" s="2"/>
      <c r="DB161" s="2"/>
      <c r="DC161" s="2">
        <v>0</v>
      </c>
      <c r="DD161" s="2"/>
      <c r="DE161" s="2"/>
      <c r="DF161" s="2"/>
      <c r="DG161" s="2">
        <v>0</v>
      </c>
      <c r="DH161" s="2"/>
      <c r="DI161" s="2"/>
      <c r="DJ161" s="2">
        <v>0</v>
      </c>
      <c r="DK161" s="2"/>
      <c r="DL161" s="2"/>
      <c r="DM161" s="2">
        <v>0</v>
      </c>
      <c r="DN161" s="2"/>
      <c r="DO161" s="2"/>
      <c r="DP161" s="2"/>
      <c r="DQ161" s="2">
        <v>1</v>
      </c>
      <c r="DR161" s="2"/>
      <c r="DS161" s="2"/>
      <c r="DT161" s="2">
        <v>3</v>
      </c>
    </row>
    <row r="162" spans="1:124" x14ac:dyDescent="0.25">
      <c r="A162" s="6" t="s">
        <v>454</v>
      </c>
      <c r="C162">
        <v>0</v>
      </c>
      <c r="G162">
        <v>0</v>
      </c>
      <c r="J162">
        <v>0</v>
      </c>
      <c r="L162">
        <v>0</v>
      </c>
      <c r="N162">
        <v>0</v>
      </c>
      <c r="R162">
        <v>0</v>
      </c>
      <c r="V162">
        <v>0</v>
      </c>
      <c r="AA162">
        <v>0</v>
      </c>
      <c r="AE162">
        <v>0</v>
      </c>
      <c r="AI162">
        <v>1</v>
      </c>
      <c r="AM162">
        <v>0</v>
      </c>
      <c r="AR162">
        <v>0</v>
      </c>
      <c r="AW162">
        <v>0</v>
      </c>
      <c r="BA162">
        <v>0</v>
      </c>
      <c r="BF162">
        <v>0</v>
      </c>
      <c r="BJ162">
        <v>0</v>
      </c>
      <c r="BO162">
        <v>0</v>
      </c>
      <c r="BS162">
        <v>0</v>
      </c>
      <c r="BV162">
        <v>0</v>
      </c>
      <c r="BZ162">
        <v>0</v>
      </c>
      <c r="CE162">
        <v>0</v>
      </c>
      <c r="CI162">
        <v>0</v>
      </c>
      <c r="CL162">
        <v>0</v>
      </c>
      <c r="CQ162">
        <v>0</v>
      </c>
      <c r="CT162">
        <v>0</v>
      </c>
      <c r="CY162">
        <v>0</v>
      </c>
      <c r="DC162">
        <v>0</v>
      </c>
      <c r="DG162">
        <v>0</v>
      </c>
      <c r="DJ162">
        <v>0</v>
      </c>
      <c r="DM162">
        <v>0</v>
      </c>
      <c r="DQ162">
        <v>0</v>
      </c>
      <c r="DT162">
        <v>1</v>
      </c>
    </row>
    <row r="163" spans="1:124" x14ac:dyDescent="0.25">
      <c r="A163" s="6" t="s">
        <v>148</v>
      </c>
      <c r="B163" s="2"/>
      <c r="C163" s="2">
        <v>0</v>
      </c>
      <c r="D163" s="2"/>
      <c r="E163" s="2"/>
      <c r="F163" s="2"/>
      <c r="G163" s="2">
        <v>0</v>
      </c>
      <c r="H163" s="2"/>
      <c r="I163" s="2"/>
      <c r="J163" s="2">
        <v>0</v>
      </c>
      <c r="K163" s="2"/>
      <c r="L163" s="2">
        <v>0</v>
      </c>
      <c r="M163" s="2"/>
      <c r="N163" s="2">
        <v>0</v>
      </c>
      <c r="O163" s="2"/>
      <c r="P163" s="2"/>
      <c r="Q163" s="2"/>
      <c r="R163" s="2">
        <v>0</v>
      </c>
      <c r="S163" s="2"/>
      <c r="T163" s="2"/>
      <c r="U163" s="2"/>
      <c r="V163" s="2">
        <v>0</v>
      </c>
      <c r="W163" s="2"/>
      <c r="X163" s="2"/>
      <c r="Y163" s="2"/>
      <c r="Z163" s="2"/>
      <c r="AA163" s="2">
        <v>0</v>
      </c>
      <c r="AB163" s="2"/>
      <c r="AC163" s="2"/>
      <c r="AD163" s="2"/>
      <c r="AE163" s="2">
        <v>0</v>
      </c>
      <c r="AF163" s="2"/>
      <c r="AG163" s="2"/>
      <c r="AH163" s="2"/>
      <c r="AI163" s="2">
        <v>0</v>
      </c>
      <c r="AJ163" s="2"/>
      <c r="AK163" s="2"/>
      <c r="AL163" s="2"/>
      <c r="AM163" s="2">
        <v>1</v>
      </c>
      <c r="AN163" s="2"/>
      <c r="AO163" s="2"/>
      <c r="AP163" s="2"/>
      <c r="AQ163" s="2"/>
      <c r="AR163" s="2">
        <v>0</v>
      </c>
      <c r="AS163" s="2"/>
      <c r="AT163" s="2"/>
      <c r="AU163" s="2"/>
      <c r="AV163" s="2"/>
      <c r="AW163" s="2">
        <v>0</v>
      </c>
      <c r="AX163" s="2"/>
      <c r="AY163" s="2"/>
      <c r="AZ163" s="2"/>
      <c r="BA163" s="2">
        <v>0</v>
      </c>
      <c r="BB163" s="2"/>
      <c r="BC163" s="2"/>
      <c r="BD163" s="2"/>
      <c r="BE163" s="2"/>
      <c r="BF163" s="2">
        <v>0</v>
      </c>
      <c r="BG163" s="2"/>
      <c r="BH163" s="2"/>
      <c r="BI163" s="2"/>
      <c r="BJ163" s="2">
        <v>0</v>
      </c>
      <c r="BK163" s="2"/>
      <c r="BL163" s="2"/>
      <c r="BM163" s="2"/>
      <c r="BN163" s="2"/>
      <c r="BO163" s="2">
        <v>0</v>
      </c>
      <c r="BP163" s="2"/>
      <c r="BQ163" s="2"/>
      <c r="BR163" s="2"/>
      <c r="BS163" s="2">
        <v>0</v>
      </c>
      <c r="BT163" s="2"/>
      <c r="BU163" s="2"/>
      <c r="BV163" s="2">
        <v>0</v>
      </c>
      <c r="BW163" s="2"/>
      <c r="BX163" s="2"/>
      <c r="BY163" s="2"/>
      <c r="BZ163" s="2">
        <v>0</v>
      </c>
      <c r="CA163" s="2"/>
      <c r="CB163" s="2"/>
      <c r="CC163" s="2"/>
      <c r="CD163" s="2"/>
      <c r="CE163" s="2">
        <v>0</v>
      </c>
      <c r="CF163" s="2"/>
      <c r="CG163" s="2"/>
      <c r="CH163" s="2"/>
      <c r="CI163" s="2">
        <v>0</v>
      </c>
      <c r="CJ163" s="2"/>
      <c r="CK163" s="2"/>
      <c r="CL163" s="2">
        <v>0</v>
      </c>
      <c r="CM163" s="2"/>
      <c r="CN163" s="2"/>
      <c r="CO163" s="2"/>
      <c r="CP163" s="2"/>
      <c r="CQ163" s="2">
        <v>0</v>
      </c>
      <c r="CR163" s="2"/>
      <c r="CS163" s="2"/>
      <c r="CT163" s="2">
        <v>1</v>
      </c>
      <c r="CU163" s="2"/>
      <c r="CV163" s="2"/>
      <c r="CW163" s="2"/>
      <c r="CX163" s="2"/>
      <c r="CY163" s="2">
        <v>0</v>
      </c>
      <c r="CZ163" s="2"/>
      <c r="DA163" s="2"/>
      <c r="DB163" s="2"/>
      <c r="DC163" s="2">
        <v>0</v>
      </c>
      <c r="DD163" s="2"/>
      <c r="DE163" s="2"/>
      <c r="DF163" s="2"/>
      <c r="DG163" s="2">
        <v>0</v>
      </c>
      <c r="DH163" s="2"/>
      <c r="DI163" s="2"/>
      <c r="DJ163" s="2">
        <v>0</v>
      </c>
      <c r="DK163" s="2"/>
      <c r="DL163" s="2"/>
      <c r="DM163" s="2">
        <v>0</v>
      </c>
      <c r="DN163" s="2"/>
      <c r="DO163" s="2"/>
      <c r="DP163" s="2"/>
      <c r="DQ163" s="2">
        <v>0</v>
      </c>
      <c r="DR163" s="2"/>
      <c r="DS163" s="2"/>
      <c r="DT163" s="2">
        <v>2</v>
      </c>
    </row>
    <row r="164" spans="1:124" x14ac:dyDescent="0.25">
      <c r="A164" s="6" t="s">
        <v>456</v>
      </c>
      <c r="C164">
        <v>0</v>
      </c>
      <c r="G164">
        <v>0</v>
      </c>
      <c r="J164">
        <v>0</v>
      </c>
      <c r="L164">
        <v>0</v>
      </c>
      <c r="N164">
        <v>0</v>
      </c>
      <c r="R164">
        <v>0</v>
      </c>
      <c r="V164">
        <v>0</v>
      </c>
      <c r="AA164">
        <v>0</v>
      </c>
      <c r="AE164">
        <v>0</v>
      </c>
      <c r="AI164">
        <v>0</v>
      </c>
      <c r="AM164">
        <v>0</v>
      </c>
      <c r="AR164">
        <v>0</v>
      </c>
      <c r="AW164">
        <v>0</v>
      </c>
      <c r="BA164">
        <v>0</v>
      </c>
      <c r="BF164">
        <v>0</v>
      </c>
      <c r="BJ164">
        <v>0</v>
      </c>
      <c r="BO164">
        <v>0</v>
      </c>
      <c r="BS164">
        <v>0</v>
      </c>
      <c r="BV164">
        <v>0</v>
      </c>
      <c r="BZ164">
        <v>0</v>
      </c>
      <c r="CE164">
        <v>0</v>
      </c>
      <c r="CI164">
        <v>0</v>
      </c>
      <c r="CL164">
        <v>0</v>
      </c>
      <c r="CQ164">
        <v>0</v>
      </c>
      <c r="CT164">
        <v>0</v>
      </c>
      <c r="CY164">
        <v>0</v>
      </c>
      <c r="DC164">
        <v>0</v>
      </c>
      <c r="DG164">
        <v>0</v>
      </c>
      <c r="DJ164">
        <v>0</v>
      </c>
      <c r="DM164">
        <v>0</v>
      </c>
      <c r="DQ164">
        <v>0</v>
      </c>
      <c r="DT164">
        <v>0</v>
      </c>
    </row>
    <row r="165" spans="1:124" x14ac:dyDescent="0.25">
      <c r="A165" s="6" t="s">
        <v>150</v>
      </c>
      <c r="C165">
        <v>0</v>
      </c>
      <c r="G165">
        <v>0</v>
      </c>
      <c r="J165">
        <v>0</v>
      </c>
      <c r="L165">
        <v>0</v>
      </c>
      <c r="N165">
        <v>0</v>
      </c>
      <c r="R165">
        <v>0</v>
      </c>
      <c r="V165">
        <v>1</v>
      </c>
      <c r="AA165">
        <v>0</v>
      </c>
      <c r="AE165">
        <v>0</v>
      </c>
      <c r="AI165">
        <v>7</v>
      </c>
      <c r="AM165">
        <v>3</v>
      </c>
      <c r="AR165">
        <v>0</v>
      </c>
      <c r="AW165">
        <v>0</v>
      </c>
      <c r="BA165">
        <v>0</v>
      </c>
      <c r="BF165">
        <v>0</v>
      </c>
      <c r="BJ165">
        <v>0</v>
      </c>
      <c r="BO165">
        <v>0</v>
      </c>
      <c r="BS165">
        <v>0</v>
      </c>
      <c r="BV165">
        <v>0</v>
      </c>
      <c r="BZ165">
        <v>0</v>
      </c>
      <c r="CE165">
        <v>0</v>
      </c>
      <c r="CI165">
        <v>0</v>
      </c>
      <c r="CL165">
        <v>0</v>
      </c>
      <c r="CQ165">
        <v>0</v>
      </c>
      <c r="CT165">
        <v>5</v>
      </c>
      <c r="CY165">
        <v>0</v>
      </c>
      <c r="DC165">
        <v>0</v>
      </c>
      <c r="DG165">
        <v>0</v>
      </c>
      <c r="DJ165">
        <v>1</v>
      </c>
      <c r="DM165">
        <v>0</v>
      </c>
      <c r="DQ165">
        <v>2</v>
      </c>
      <c r="DT165">
        <v>19</v>
      </c>
    </row>
    <row r="166" spans="1:124" x14ac:dyDescent="0.25">
      <c r="A166" s="6" t="s">
        <v>152</v>
      </c>
      <c r="B166" s="2"/>
      <c r="C166" s="2">
        <v>0</v>
      </c>
      <c r="D166" s="2"/>
      <c r="E166" s="2"/>
      <c r="F166" s="2"/>
      <c r="G166" s="2">
        <v>0</v>
      </c>
      <c r="H166" s="2"/>
      <c r="I166" s="2"/>
      <c r="J166" s="2">
        <v>0</v>
      </c>
      <c r="K166" s="2"/>
      <c r="L166" s="2">
        <v>0</v>
      </c>
      <c r="M166" s="2"/>
      <c r="N166" s="2">
        <v>0</v>
      </c>
      <c r="O166" s="2"/>
      <c r="P166" s="2"/>
      <c r="Q166" s="2"/>
      <c r="R166" s="2">
        <v>0</v>
      </c>
      <c r="S166" s="2"/>
      <c r="T166" s="2"/>
      <c r="U166" s="2"/>
      <c r="V166" s="2">
        <v>0</v>
      </c>
      <c r="W166" s="2"/>
      <c r="X166" s="2"/>
      <c r="Y166" s="2"/>
      <c r="Z166" s="2"/>
      <c r="AA166" s="2">
        <v>0</v>
      </c>
      <c r="AB166" s="2"/>
      <c r="AC166" s="2"/>
      <c r="AD166" s="2"/>
      <c r="AE166" s="2">
        <v>0</v>
      </c>
      <c r="AF166" s="2"/>
      <c r="AG166" s="2"/>
      <c r="AH166" s="2"/>
      <c r="AI166" s="2">
        <v>1</v>
      </c>
      <c r="AJ166" s="2"/>
      <c r="AK166" s="2"/>
      <c r="AL166" s="2"/>
      <c r="AM166" s="2">
        <v>0</v>
      </c>
      <c r="AN166" s="2"/>
      <c r="AO166" s="2"/>
      <c r="AP166" s="2"/>
      <c r="AQ166" s="2"/>
      <c r="AR166" s="2">
        <v>0</v>
      </c>
      <c r="AS166" s="2"/>
      <c r="AT166" s="2"/>
      <c r="AU166" s="2"/>
      <c r="AV166" s="2"/>
      <c r="AW166" s="2">
        <v>0</v>
      </c>
      <c r="AX166" s="2"/>
      <c r="AY166" s="2"/>
      <c r="AZ166" s="2"/>
      <c r="BA166" s="2">
        <v>0</v>
      </c>
      <c r="BB166" s="2"/>
      <c r="BC166" s="2"/>
      <c r="BD166" s="2"/>
      <c r="BE166" s="2"/>
      <c r="BF166" s="2">
        <v>0</v>
      </c>
      <c r="BG166" s="2"/>
      <c r="BH166" s="2"/>
      <c r="BI166" s="2"/>
      <c r="BJ166" s="2">
        <v>0</v>
      </c>
      <c r="BK166" s="2"/>
      <c r="BL166" s="2"/>
      <c r="BM166" s="2"/>
      <c r="BN166" s="2"/>
      <c r="BO166" s="2">
        <v>0</v>
      </c>
      <c r="BP166" s="2"/>
      <c r="BQ166" s="2"/>
      <c r="BR166" s="2"/>
      <c r="BS166" s="2">
        <v>0</v>
      </c>
      <c r="BT166" s="2"/>
      <c r="BU166" s="2"/>
      <c r="BV166" s="2">
        <v>0</v>
      </c>
      <c r="BW166" s="2"/>
      <c r="BX166" s="2"/>
      <c r="BY166" s="2"/>
      <c r="BZ166" s="2">
        <v>0</v>
      </c>
      <c r="CA166" s="2"/>
      <c r="CB166" s="2"/>
      <c r="CC166" s="2"/>
      <c r="CD166" s="2"/>
      <c r="CE166" s="2">
        <v>0</v>
      </c>
      <c r="CF166" s="2"/>
      <c r="CG166" s="2"/>
      <c r="CH166" s="2"/>
      <c r="CI166" s="2">
        <v>0</v>
      </c>
      <c r="CJ166" s="2"/>
      <c r="CK166" s="2"/>
      <c r="CL166" s="2">
        <v>0</v>
      </c>
      <c r="CM166" s="2"/>
      <c r="CN166" s="2"/>
      <c r="CO166" s="2"/>
      <c r="CP166" s="2"/>
      <c r="CQ166" s="2">
        <v>1</v>
      </c>
      <c r="CR166" s="2"/>
      <c r="CS166" s="2"/>
      <c r="CT166" s="2">
        <v>0</v>
      </c>
      <c r="CU166" s="2"/>
      <c r="CV166" s="2"/>
      <c r="CW166" s="2"/>
      <c r="CX166" s="2"/>
      <c r="CY166" s="2">
        <v>0</v>
      </c>
      <c r="CZ166" s="2"/>
      <c r="DA166" s="2"/>
      <c r="DB166" s="2"/>
      <c r="DC166" s="2">
        <v>0</v>
      </c>
      <c r="DD166" s="2"/>
      <c r="DE166" s="2"/>
      <c r="DF166" s="2"/>
      <c r="DG166" s="2">
        <v>0</v>
      </c>
      <c r="DH166" s="2"/>
      <c r="DI166" s="2"/>
      <c r="DJ166" s="2">
        <v>0</v>
      </c>
      <c r="DK166" s="2"/>
      <c r="DL166" s="2"/>
      <c r="DM166" s="2">
        <v>0</v>
      </c>
      <c r="DN166" s="2"/>
      <c r="DO166" s="2"/>
      <c r="DP166" s="2"/>
      <c r="DQ166" s="2">
        <v>1</v>
      </c>
      <c r="DR166" s="2"/>
      <c r="DS166" s="2"/>
      <c r="DT166" s="2">
        <v>3</v>
      </c>
    </row>
    <row r="167" spans="1:124" x14ac:dyDescent="0.25">
      <c r="A167" s="6" t="s">
        <v>154</v>
      </c>
      <c r="B167" s="2"/>
      <c r="C167" s="2">
        <v>0</v>
      </c>
      <c r="D167" s="2"/>
      <c r="E167" s="2"/>
      <c r="F167" s="2"/>
      <c r="G167" s="2">
        <v>0</v>
      </c>
      <c r="H167" s="2"/>
      <c r="I167" s="2"/>
      <c r="J167" s="2">
        <v>0</v>
      </c>
      <c r="K167" s="2"/>
      <c r="L167" s="2">
        <v>0</v>
      </c>
      <c r="M167" s="2"/>
      <c r="N167" s="2">
        <v>0</v>
      </c>
      <c r="O167" s="2"/>
      <c r="P167" s="2"/>
      <c r="Q167" s="2"/>
      <c r="R167" s="2">
        <v>0</v>
      </c>
      <c r="S167" s="2"/>
      <c r="T167" s="2"/>
      <c r="U167" s="2"/>
      <c r="V167" s="2">
        <v>0</v>
      </c>
      <c r="W167" s="2"/>
      <c r="X167" s="2"/>
      <c r="Y167" s="2"/>
      <c r="Z167" s="2"/>
      <c r="AA167" s="2">
        <v>0</v>
      </c>
      <c r="AB167" s="2"/>
      <c r="AC167" s="2"/>
      <c r="AD167" s="2"/>
      <c r="AE167" s="2">
        <v>0</v>
      </c>
      <c r="AF167" s="2"/>
      <c r="AG167" s="2"/>
      <c r="AH167" s="2"/>
      <c r="AI167" s="2">
        <v>0</v>
      </c>
      <c r="AJ167" s="2"/>
      <c r="AK167" s="2"/>
      <c r="AL167" s="2"/>
      <c r="AM167" s="2">
        <v>1</v>
      </c>
      <c r="AN167" s="2"/>
      <c r="AO167" s="2"/>
      <c r="AP167" s="2"/>
      <c r="AQ167" s="2"/>
      <c r="AR167" s="2">
        <v>0</v>
      </c>
      <c r="AS167" s="2"/>
      <c r="AT167" s="2"/>
      <c r="AU167" s="2"/>
      <c r="AV167" s="2"/>
      <c r="AW167" s="2">
        <v>0</v>
      </c>
      <c r="AX167" s="2"/>
      <c r="AY167" s="2"/>
      <c r="AZ167" s="2"/>
      <c r="BA167" s="2">
        <v>0</v>
      </c>
      <c r="BB167" s="2"/>
      <c r="BC167" s="2"/>
      <c r="BD167" s="2"/>
      <c r="BE167" s="2"/>
      <c r="BF167" s="2">
        <v>0</v>
      </c>
      <c r="BG167" s="2"/>
      <c r="BH167" s="2"/>
      <c r="BI167" s="2"/>
      <c r="BJ167" s="2">
        <v>0</v>
      </c>
      <c r="BK167" s="2"/>
      <c r="BL167" s="2"/>
      <c r="BM167" s="2"/>
      <c r="BN167" s="2"/>
      <c r="BO167" s="2">
        <v>0</v>
      </c>
      <c r="BP167" s="2"/>
      <c r="BQ167" s="2"/>
      <c r="BR167" s="2"/>
      <c r="BS167" s="2">
        <v>0</v>
      </c>
      <c r="BT167" s="2"/>
      <c r="BU167" s="2"/>
      <c r="BV167" s="2">
        <v>0</v>
      </c>
      <c r="BW167" s="2"/>
      <c r="BX167" s="2"/>
      <c r="BY167" s="2"/>
      <c r="BZ167" s="2">
        <v>0</v>
      </c>
      <c r="CA167" s="2"/>
      <c r="CB167" s="2"/>
      <c r="CC167" s="2"/>
      <c r="CD167" s="2"/>
      <c r="CE167" s="2">
        <v>0</v>
      </c>
      <c r="CF167" s="2"/>
      <c r="CG167" s="2"/>
      <c r="CH167" s="2"/>
      <c r="CI167" s="2">
        <v>0</v>
      </c>
      <c r="CJ167" s="2"/>
      <c r="CK167" s="2"/>
      <c r="CL167" s="2">
        <v>0</v>
      </c>
      <c r="CM167" s="2"/>
      <c r="CN167" s="2"/>
      <c r="CO167" s="2"/>
      <c r="CP167" s="2"/>
      <c r="CQ167" s="2">
        <v>0</v>
      </c>
      <c r="CR167" s="2"/>
      <c r="CS167" s="2"/>
      <c r="CT167" s="2">
        <v>1</v>
      </c>
      <c r="CU167" s="2"/>
      <c r="CV167" s="2"/>
      <c r="CW167" s="2"/>
      <c r="CX167" s="2"/>
      <c r="CY167" s="2">
        <v>0</v>
      </c>
      <c r="CZ167" s="2"/>
      <c r="DA167" s="2"/>
      <c r="DB167" s="2"/>
      <c r="DC167" s="2">
        <v>0</v>
      </c>
      <c r="DD167" s="2"/>
      <c r="DE167" s="2"/>
      <c r="DF167" s="2"/>
      <c r="DG167" s="2">
        <v>0</v>
      </c>
      <c r="DH167" s="2"/>
      <c r="DI167" s="2"/>
      <c r="DJ167" s="2">
        <v>0</v>
      </c>
      <c r="DK167" s="2"/>
      <c r="DL167" s="2"/>
      <c r="DM167" s="2">
        <v>0</v>
      </c>
      <c r="DN167" s="2"/>
      <c r="DO167" s="2"/>
      <c r="DP167" s="2"/>
      <c r="DQ167" s="2">
        <v>0</v>
      </c>
      <c r="DR167" s="2"/>
      <c r="DS167" s="2"/>
      <c r="DT167" s="2">
        <v>2</v>
      </c>
    </row>
    <row r="168" spans="1:124" x14ac:dyDescent="0.25">
      <c r="A168" s="6" t="s">
        <v>156</v>
      </c>
      <c r="C168">
        <v>0</v>
      </c>
      <c r="G168">
        <v>0</v>
      </c>
      <c r="J168">
        <v>0</v>
      </c>
      <c r="L168">
        <v>0</v>
      </c>
      <c r="N168">
        <v>0</v>
      </c>
      <c r="R168">
        <v>0</v>
      </c>
      <c r="V168">
        <v>0</v>
      </c>
      <c r="AA168">
        <v>0</v>
      </c>
      <c r="AE168">
        <v>0</v>
      </c>
      <c r="AI168">
        <v>23</v>
      </c>
      <c r="AM168">
        <v>16</v>
      </c>
      <c r="AR168">
        <v>0</v>
      </c>
      <c r="AW168">
        <v>0</v>
      </c>
      <c r="BA168">
        <v>0</v>
      </c>
      <c r="BF168">
        <v>0</v>
      </c>
      <c r="BJ168">
        <v>0</v>
      </c>
      <c r="BO168">
        <v>0</v>
      </c>
      <c r="BS168">
        <v>0</v>
      </c>
      <c r="BV168">
        <v>0</v>
      </c>
      <c r="BZ168">
        <v>0</v>
      </c>
      <c r="CE168">
        <v>0</v>
      </c>
      <c r="CI168">
        <v>0</v>
      </c>
      <c r="CL168">
        <v>0</v>
      </c>
      <c r="CQ168">
        <v>0</v>
      </c>
      <c r="CT168">
        <v>0</v>
      </c>
      <c r="CY168">
        <v>0</v>
      </c>
      <c r="DC168">
        <v>0</v>
      </c>
      <c r="DG168">
        <v>0</v>
      </c>
      <c r="DJ168">
        <v>0</v>
      </c>
      <c r="DM168">
        <v>0</v>
      </c>
      <c r="DQ168">
        <v>0</v>
      </c>
      <c r="DT168">
        <v>39</v>
      </c>
    </row>
    <row r="169" spans="1:124" x14ac:dyDescent="0.25">
      <c r="A169" s="6" t="s">
        <v>158</v>
      </c>
      <c r="C169">
        <v>0</v>
      </c>
      <c r="G169">
        <v>40</v>
      </c>
      <c r="J169">
        <v>0</v>
      </c>
      <c r="L169">
        <v>0</v>
      </c>
      <c r="N169">
        <v>0</v>
      </c>
      <c r="R169">
        <v>22</v>
      </c>
      <c r="V169">
        <v>0</v>
      </c>
      <c r="AA169">
        <v>19</v>
      </c>
      <c r="AE169">
        <v>0</v>
      </c>
      <c r="AI169">
        <v>0</v>
      </c>
      <c r="AM169">
        <v>0</v>
      </c>
      <c r="AR169">
        <v>4</v>
      </c>
      <c r="AW169">
        <v>0</v>
      </c>
      <c r="BA169">
        <v>0</v>
      </c>
      <c r="BF169">
        <v>19</v>
      </c>
      <c r="BJ169">
        <v>0</v>
      </c>
      <c r="BO169">
        <v>0</v>
      </c>
      <c r="BS169">
        <v>0</v>
      </c>
      <c r="BV169">
        <v>0</v>
      </c>
      <c r="BZ169">
        <v>0</v>
      </c>
      <c r="CE169">
        <v>34</v>
      </c>
      <c r="CI169">
        <v>21</v>
      </c>
      <c r="CL169">
        <v>3</v>
      </c>
      <c r="CQ169">
        <v>0</v>
      </c>
      <c r="CT169">
        <v>0</v>
      </c>
      <c r="CY169">
        <v>0</v>
      </c>
      <c r="DC169">
        <v>0</v>
      </c>
      <c r="DG169">
        <v>0</v>
      </c>
      <c r="DJ169">
        <v>0</v>
      </c>
      <c r="DM169">
        <v>0</v>
      </c>
      <c r="DQ169">
        <v>0</v>
      </c>
      <c r="DT169">
        <v>162</v>
      </c>
    </row>
    <row r="170" spans="1:124" x14ac:dyDescent="0.25">
      <c r="A170" s="6" t="s">
        <v>160</v>
      </c>
      <c r="C170">
        <v>0</v>
      </c>
      <c r="G170">
        <v>0</v>
      </c>
      <c r="J170">
        <v>0</v>
      </c>
      <c r="L170">
        <v>0</v>
      </c>
      <c r="N170">
        <v>0</v>
      </c>
      <c r="R170">
        <v>0</v>
      </c>
      <c r="V170">
        <v>0</v>
      </c>
      <c r="AA170">
        <v>1</v>
      </c>
      <c r="AE170">
        <v>0</v>
      </c>
      <c r="AI170">
        <v>0</v>
      </c>
      <c r="AM170">
        <v>0</v>
      </c>
      <c r="AR170">
        <v>0</v>
      </c>
      <c r="AW170">
        <v>0</v>
      </c>
      <c r="BA170">
        <v>0</v>
      </c>
      <c r="BF170">
        <v>0</v>
      </c>
      <c r="BJ170">
        <v>0</v>
      </c>
      <c r="BO170">
        <v>0</v>
      </c>
      <c r="BS170">
        <v>0</v>
      </c>
      <c r="BV170">
        <v>3</v>
      </c>
      <c r="BZ170">
        <v>0</v>
      </c>
      <c r="CE170">
        <v>0</v>
      </c>
      <c r="CI170">
        <v>0</v>
      </c>
      <c r="CL170">
        <v>0</v>
      </c>
      <c r="CQ170">
        <v>0</v>
      </c>
      <c r="CT170">
        <v>0</v>
      </c>
      <c r="CY170">
        <v>0</v>
      </c>
      <c r="DC170">
        <v>0</v>
      </c>
      <c r="DG170">
        <v>0</v>
      </c>
      <c r="DJ170">
        <v>0</v>
      </c>
      <c r="DM170">
        <v>0</v>
      </c>
      <c r="DQ170">
        <v>0</v>
      </c>
      <c r="DT170">
        <v>4</v>
      </c>
    </row>
    <row r="171" spans="1:124" x14ac:dyDescent="0.25">
      <c r="A171" s="6" t="s">
        <v>162</v>
      </c>
      <c r="C171">
        <v>0</v>
      </c>
      <c r="G171">
        <v>0</v>
      </c>
      <c r="J171">
        <v>0</v>
      </c>
      <c r="L171">
        <v>0</v>
      </c>
      <c r="N171">
        <v>0</v>
      </c>
      <c r="R171">
        <v>0</v>
      </c>
      <c r="V171">
        <v>0</v>
      </c>
      <c r="AA171">
        <v>0</v>
      </c>
      <c r="AE171">
        <v>0</v>
      </c>
      <c r="AI171">
        <v>0</v>
      </c>
      <c r="AM171">
        <v>0</v>
      </c>
      <c r="AR171">
        <v>0</v>
      </c>
      <c r="AW171">
        <v>0</v>
      </c>
      <c r="BA171">
        <v>0</v>
      </c>
      <c r="BF171">
        <v>0</v>
      </c>
      <c r="BJ171">
        <v>0</v>
      </c>
      <c r="BO171">
        <v>0</v>
      </c>
      <c r="BS171">
        <v>0</v>
      </c>
      <c r="BV171">
        <v>0</v>
      </c>
      <c r="BZ171">
        <v>0</v>
      </c>
      <c r="CE171">
        <v>0</v>
      </c>
      <c r="CI171">
        <v>0</v>
      </c>
      <c r="CL171">
        <v>0</v>
      </c>
      <c r="CQ171">
        <v>0</v>
      </c>
      <c r="CT171">
        <v>0</v>
      </c>
      <c r="CY171">
        <v>0</v>
      </c>
      <c r="DC171">
        <v>0</v>
      </c>
      <c r="DG171">
        <v>0</v>
      </c>
      <c r="DJ171">
        <v>0</v>
      </c>
      <c r="DM171">
        <v>0</v>
      </c>
      <c r="DQ171">
        <v>0</v>
      </c>
      <c r="DT171">
        <v>0</v>
      </c>
    </row>
    <row r="172" spans="1:124" x14ac:dyDescent="0.25">
      <c r="A172" s="6" t="s">
        <v>164</v>
      </c>
      <c r="C172">
        <v>0</v>
      </c>
      <c r="G172">
        <v>0</v>
      </c>
      <c r="J172">
        <v>0</v>
      </c>
      <c r="L172">
        <v>0</v>
      </c>
      <c r="N172">
        <v>0</v>
      </c>
      <c r="R172">
        <v>0</v>
      </c>
      <c r="V172">
        <v>0</v>
      </c>
      <c r="AA172">
        <v>0</v>
      </c>
      <c r="AE172">
        <v>0</v>
      </c>
      <c r="AI172">
        <v>0</v>
      </c>
      <c r="AM172">
        <v>0</v>
      </c>
      <c r="AR172">
        <v>0</v>
      </c>
      <c r="AW172">
        <v>0</v>
      </c>
      <c r="BA172">
        <v>0</v>
      </c>
      <c r="BF172">
        <v>0</v>
      </c>
      <c r="BJ172">
        <v>0</v>
      </c>
      <c r="BO172">
        <v>0</v>
      </c>
      <c r="BS172">
        <v>0</v>
      </c>
      <c r="BV172">
        <v>0</v>
      </c>
      <c r="BZ172">
        <v>0</v>
      </c>
      <c r="CE172">
        <v>0</v>
      </c>
      <c r="CI172">
        <v>0</v>
      </c>
      <c r="CL172">
        <v>0</v>
      </c>
      <c r="CQ172">
        <v>0</v>
      </c>
      <c r="CT172">
        <v>0</v>
      </c>
      <c r="CY172">
        <v>0</v>
      </c>
      <c r="DC172">
        <v>0</v>
      </c>
      <c r="DG172">
        <v>0</v>
      </c>
      <c r="DJ172">
        <v>0</v>
      </c>
      <c r="DM172">
        <v>0</v>
      </c>
      <c r="DQ172">
        <v>0</v>
      </c>
      <c r="DT172">
        <v>0</v>
      </c>
    </row>
    <row r="173" spans="1:124" x14ac:dyDescent="0.25">
      <c r="A173" s="6" t="s">
        <v>166</v>
      </c>
      <c r="C173">
        <v>0</v>
      </c>
      <c r="G173">
        <v>0</v>
      </c>
      <c r="J173">
        <v>0</v>
      </c>
      <c r="L173">
        <v>0</v>
      </c>
      <c r="N173">
        <v>0</v>
      </c>
      <c r="R173">
        <v>0</v>
      </c>
      <c r="V173">
        <v>0</v>
      </c>
      <c r="AA173">
        <v>0</v>
      </c>
      <c r="AE173">
        <v>0</v>
      </c>
      <c r="AI173">
        <v>0</v>
      </c>
      <c r="AM173">
        <v>0</v>
      </c>
      <c r="AR173">
        <v>0</v>
      </c>
      <c r="AW173">
        <v>0</v>
      </c>
      <c r="BA173">
        <v>0</v>
      </c>
      <c r="BF173">
        <v>0</v>
      </c>
      <c r="BJ173">
        <v>0</v>
      </c>
      <c r="BO173">
        <v>0</v>
      </c>
      <c r="BS173">
        <v>0</v>
      </c>
      <c r="BV173">
        <v>0</v>
      </c>
      <c r="BZ173">
        <v>0</v>
      </c>
      <c r="CE173">
        <v>0</v>
      </c>
      <c r="CI173">
        <v>0</v>
      </c>
      <c r="CL173">
        <v>0</v>
      </c>
      <c r="CQ173">
        <v>0</v>
      </c>
      <c r="CT173">
        <v>0</v>
      </c>
      <c r="CY173">
        <v>0</v>
      </c>
      <c r="DC173">
        <v>0</v>
      </c>
      <c r="DG173">
        <v>0</v>
      </c>
      <c r="DJ173">
        <v>0</v>
      </c>
      <c r="DM173">
        <v>0</v>
      </c>
      <c r="DQ173">
        <v>0</v>
      </c>
      <c r="DT173">
        <v>0</v>
      </c>
    </row>
    <row r="174" spans="1:124" x14ac:dyDescent="0.25">
      <c r="A174" s="5" t="s">
        <v>284</v>
      </c>
    </row>
    <row r="175" spans="1:124" x14ac:dyDescent="0.25">
      <c r="A175" s="6" t="s">
        <v>131</v>
      </c>
      <c r="B175">
        <v>0</v>
      </c>
      <c r="G175">
        <v>68</v>
      </c>
      <c r="I175">
        <v>0</v>
      </c>
      <c r="K175">
        <v>0</v>
      </c>
      <c r="N175">
        <v>0</v>
      </c>
      <c r="R175">
        <v>32</v>
      </c>
      <c r="U175">
        <v>0</v>
      </c>
      <c r="AA175">
        <v>20</v>
      </c>
      <c r="AF175">
        <v>42</v>
      </c>
      <c r="AI175">
        <v>16</v>
      </c>
      <c r="AM175">
        <v>0</v>
      </c>
      <c r="AR175">
        <v>10</v>
      </c>
      <c r="AW175">
        <v>35</v>
      </c>
      <c r="AZ175">
        <v>0</v>
      </c>
      <c r="BF175">
        <v>20</v>
      </c>
      <c r="BI175">
        <v>36</v>
      </c>
      <c r="BM175">
        <v>0</v>
      </c>
      <c r="BQ175">
        <v>0</v>
      </c>
      <c r="BW175">
        <v>0</v>
      </c>
      <c r="CA175">
        <v>32</v>
      </c>
      <c r="CD175">
        <v>0</v>
      </c>
      <c r="CI175">
        <v>23</v>
      </c>
      <c r="CL175">
        <v>32</v>
      </c>
      <c r="CQ175">
        <v>0</v>
      </c>
      <c r="CT175">
        <v>0</v>
      </c>
      <c r="CZ175">
        <v>0</v>
      </c>
      <c r="DD175">
        <v>0</v>
      </c>
      <c r="DH175">
        <v>0</v>
      </c>
      <c r="DK175">
        <v>0</v>
      </c>
      <c r="DO175">
        <v>0</v>
      </c>
      <c r="DR175">
        <v>0</v>
      </c>
      <c r="DT175">
        <v>366</v>
      </c>
    </row>
    <row r="176" spans="1:124" x14ac:dyDescent="0.25">
      <c r="A176" s="6" t="s">
        <v>134</v>
      </c>
      <c r="B176" s="2">
        <v>0</v>
      </c>
      <c r="C176" s="2"/>
      <c r="D176" s="2"/>
      <c r="E176" s="2"/>
      <c r="F176" s="2"/>
      <c r="G176" s="2">
        <v>0</v>
      </c>
      <c r="H176" s="2"/>
      <c r="I176" s="2">
        <v>0</v>
      </c>
      <c r="J176" s="2"/>
      <c r="K176" s="2">
        <v>0</v>
      </c>
      <c r="L176" s="2"/>
      <c r="M176" s="2"/>
      <c r="N176" s="2">
        <v>0</v>
      </c>
      <c r="O176" s="2"/>
      <c r="P176" s="2"/>
      <c r="Q176" s="2"/>
      <c r="R176" s="2">
        <v>0</v>
      </c>
      <c r="S176" s="2"/>
      <c r="T176" s="2"/>
      <c r="U176" s="2">
        <v>0</v>
      </c>
      <c r="V176" s="2"/>
      <c r="W176" s="2"/>
      <c r="X176" s="2"/>
      <c r="Y176" s="2"/>
      <c r="Z176" s="2"/>
      <c r="AA176" s="2">
        <v>0</v>
      </c>
      <c r="AB176" s="2"/>
      <c r="AC176" s="2"/>
      <c r="AD176" s="2"/>
      <c r="AE176" s="2"/>
      <c r="AF176" s="2">
        <v>0</v>
      </c>
      <c r="AG176" s="2"/>
      <c r="AH176" s="2"/>
      <c r="AI176" s="2">
        <v>0</v>
      </c>
      <c r="AJ176" s="2"/>
      <c r="AK176" s="2"/>
      <c r="AL176" s="2"/>
      <c r="AM176" s="2">
        <v>0</v>
      </c>
      <c r="AN176" s="2"/>
      <c r="AO176" s="2"/>
      <c r="AP176" s="2"/>
      <c r="AQ176" s="2"/>
      <c r="AR176" s="2">
        <v>0</v>
      </c>
      <c r="AS176" s="2"/>
      <c r="AT176" s="2"/>
      <c r="AU176" s="2"/>
      <c r="AV176" s="2"/>
      <c r="AW176" s="2">
        <v>0</v>
      </c>
      <c r="AX176" s="2"/>
      <c r="AY176" s="2"/>
      <c r="AZ176" s="2">
        <v>0</v>
      </c>
      <c r="BA176" s="2"/>
      <c r="BB176" s="2"/>
      <c r="BC176" s="2"/>
      <c r="BD176" s="2"/>
      <c r="BE176" s="2"/>
      <c r="BF176" s="2">
        <v>0</v>
      </c>
      <c r="BG176" s="2"/>
      <c r="BH176" s="2"/>
      <c r="BI176" s="2">
        <v>0</v>
      </c>
      <c r="BJ176" s="2"/>
      <c r="BK176" s="2"/>
      <c r="BL176" s="2"/>
      <c r="BM176" s="2">
        <v>0</v>
      </c>
      <c r="BN176" s="2"/>
      <c r="BO176" s="2"/>
      <c r="BP176" s="2"/>
      <c r="BQ176" s="2">
        <v>0</v>
      </c>
      <c r="BR176" s="2"/>
      <c r="BS176" s="2"/>
      <c r="BT176" s="2"/>
      <c r="BU176" s="2"/>
      <c r="BV176" s="2"/>
      <c r="BW176" s="2">
        <v>0</v>
      </c>
      <c r="BX176" s="2"/>
      <c r="BY176" s="2"/>
      <c r="BZ176" s="2"/>
      <c r="CA176" s="2">
        <v>0</v>
      </c>
      <c r="CB176" s="2"/>
      <c r="CC176" s="2"/>
      <c r="CD176" s="2">
        <v>0</v>
      </c>
      <c r="CE176" s="2"/>
      <c r="CF176" s="2"/>
      <c r="CG176" s="2"/>
      <c r="CH176" s="2"/>
      <c r="CI176" s="2">
        <v>0</v>
      </c>
      <c r="CJ176" s="2"/>
      <c r="CK176" s="2"/>
      <c r="CL176" s="2">
        <v>0</v>
      </c>
      <c r="CM176" s="2"/>
      <c r="CN176" s="2"/>
      <c r="CO176" s="2"/>
      <c r="CP176" s="2"/>
      <c r="CQ176" s="2">
        <v>0</v>
      </c>
      <c r="CR176" s="2"/>
      <c r="CS176" s="2"/>
      <c r="CT176" s="2">
        <v>0</v>
      </c>
      <c r="CU176" s="2"/>
      <c r="CV176" s="2"/>
      <c r="CW176" s="2"/>
      <c r="CX176" s="2"/>
      <c r="CY176" s="2"/>
      <c r="CZ176" s="2">
        <v>0</v>
      </c>
      <c r="DA176" s="2"/>
      <c r="DB176" s="2"/>
      <c r="DC176" s="2"/>
      <c r="DD176" s="2">
        <v>0</v>
      </c>
      <c r="DE176" s="2"/>
      <c r="DF176" s="2"/>
      <c r="DG176" s="2"/>
      <c r="DH176" s="2">
        <v>0</v>
      </c>
      <c r="DI176" s="2"/>
      <c r="DJ176" s="2"/>
      <c r="DK176" s="2">
        <v>0</v>
      </c>
      <c r="DL176" s="2"/>
      <c r="DM176" s="2"/>
      <c r="DN176" s="2"/>
      <c r="DO176" s="2">
        <v>0</v>
      </c>
      <c r="DP176" s="2"/>
      <c r="DQ176" s="2"/>
      <c r="DR176" s="2">
        <v>0</v>
      </c>
      <c r="DS176" s="2"/>
      <c r="DT176" s="2">
        <v>0</v>
      </c>
    </row>
    <row r="177" spans="1:124" x14ac:dyDescent="0.25">
      <c r="A177" s="6" t="s">
        <v>136</v>
      </c>
      <c r="B177" s="2">
        <v>0</v>
      </c>
      <c r="C177" s="2"/>
      <c r="D177" s="2"/>
      <c r="E177" s="2"/>
      <c r="F177" s="2"/>
      <c r="G177" s="2">
        <v>2</v>
      </c>
      <c r="H177" s="2"/>
      <c r="I177" s="2">
        <v>0</v>
      </c>
      <c r="J177" s="2"/>
      <c r="K177" s="2">
        <v>0</v>
      </c>
      <c r="L177" s="2"/>
      <c r="M177" s="2"/>
      <c r="N177" s="2">
        <v>0</v>
      </c>
      <c r="O177" s="2"/>
      <c r="P177" s="2"/>
      <c r="Q177" s="2"/>
      <c r="R177" s="2">
        <v>0</v>
      </c>
      <c r="S177" s="2"/>
      <c r="T177" s="2"/>
      <c r="U177" s="2">
        <v>0</v>
      </c>
      <c r="V177" s="2"/>
      <c r="W177" s="2"/>
      <c r="X177" s="2"/>
      <c r="Y177" s="2"/>
      <c r="Z177" s="2"/>
      <c r="AA177" s="2">
        <v>0</v>
      </c>
      <c r="AB177" s="2"/>
      <c r="AC177" s="2"/>
      <c r="AD177" s="2"/>
      <c r="AE177" s="2"/>
      <c r="AF177" s="2">
        <v>0</v>
      </c>
      <c r="AG177" s="2"/>
      <c r="AH177" s="2"/>
      <c r="AI177" s="2">
        <v>0</v>
      </c>
      <c r="AJ177" s="2"/>
      <c r="AK177" s="2"/>
      <c r="AL177" s="2"/>
      <c r="AM177" s="2">
        <v>0</v>
      </c>
      <c r="AN177" s="2"/>
      <c r="AO177" s="2"/>
      <c r="AP177" s="2"/>
      <c r="AQ177" s="2"/>
      <c r="AR177" s="2">
        <v>0</v>
      </c>
      <c r="AS177" s="2"/>
      <c r="AT177" s="2"/>
      <c r="AU177" s="2"/>
      <c r="AV177" s="2"/>
      <c r="AW177" s="2">
        <v>0</v>
      </c>
      <c r="AX177" s="2"/>
      <c r="AY177" s="2"/>
      <c r="AZ177" s="2">
        <v>0</v>
      </c>
      <c r="BA177" s="2"/>
      <c r="BB177" s="2"/>
      <c r="BC177" s="2"/>
      <c r="BD177" s="2"/>
      <c r="BE177" s="2"/>
      <c r="BF177" s="2">
        <v>0</v>
      </c>
      <c r="BG177" s="2"/>
      <c r="BH177" s="2"/>
      <c r="BI177" s="2">
        <v>0</v>
      </c>
      <c r="BJ177" s="2"/>
      <c r="BK177" s="2"/>
      <c r="BL177" s="2"/>
      <c r="BM177" s="2">
        <v>0</v>
      </c>
      <c r="BN177" s="2"/>
      <c r="BO177" s="2"/>
      <c r="BP177" s="2"/>
      <c r="BQ177" s="2">
        <v>0</v>
      </c>
      <c r="BR177" s="2"/>
      <c r="BS177" s="2"/>
      <c r="BT177" s="2"/>
      <c r="BU177" s="2"/>
      <c r="BV177" s="2"/>
      <c r="BW177" s="2">
        <v>0</v>
      </c>
      <c r="BX177" s="2"/>
      <c r="BY177" s="2"/>
      <c r="BZ177" s="2"/>
      <c r="CA177" s="2">
        <v>0</v>
      </c>
      <c r="CB177" s="2"/>
      <c r="CC177" s="2"/>
      <c r="CD177" s="2">
        <v>0</v>
      </c>
      <c r="CE177" s="2"/>
      <c r="CF177" s="2"/>
      <c r="CG177" s="2"/>
      <c r="CH177" s="2"/>
      <c r="CI177" s="2">
        <v>0</v>
      </c>
      <c r="CJ177" s="2"/>
      <c r="CK177" s="2"/>
      <c r="CL177" s="2">
        <v>0</v>
      </c>
      <c r="CM177" s="2"/>
      <c r="CN177" s="2"/>
      <c r="CO177" s="2"/>
      <c r="CP177" s="2"/>
      <c r="CQ177" s="2">
        <v>0</v>
      </c>
      <c r="CR177" s="2"/>
      <c r="CS177" s="2"/>
      <c r="CT177" s="2">
        <v>0</v>
      </c>
      <c r="CU177" s="2"/>
      <c r="CV177" s="2"/>
      <c r="CW177" s="2"/>
      <c r="CX177" s="2"/>
      <c r="CY177" s="2"/>
      <c r="CZ177" s="2">
        <v>0</v>
      </c>
      <c r="DA177" s="2"/>
      <c r="DB177" s="2"/>
      <c r="DC177" s="2"/>
      <c r="DD177" s="2">
        <v>0</v>
      </c>
      <c r="DE177" s="2"/>
      <c r="DF177" s="2"/>
      <c r="DG177" s="2"/>
      <c r="DH177" s="2">
        <v>0</v>
      </c>
      <c r="DI177" s="2"/>
      <c r="DJ177" s="2"/>
      <c r="DK177" s="2">
        <v>0</v>
      </c>
      <c r="DL177" s="2"/>
      <c r="DM177" s="2"/>
      <c r="DN177" s="2"/>
      <c r="DO177" s="2">
        <v>0</v>
      </c>
      <c r="DP177" s="2"/>
      <c r="DQ177" s="2"/>
      <c r="DR177" s="2">
        <v>0</v>
      </c>
      <c r="DS177" s="2"/>
      <c r="DT177" s="2">
        <v>2</v>
      </c>
    </row>
    <row r="178" spans="1:124" x14ac:dyDescent="0.25">
      <c r="A178" s="6" t="s">
        <v>138</v>
      </c>
      <c r="B178" s="2">
        <v>0</v>
      </c>
      <c r="C178" s="2"/>
      <c r="D178" s="2"/>
      <c r="E178" s="2"/>
      <c r="F178" s="2"/>
      <c r="G178" s="2">
        <v>2</v>
      </c>
      <c r="H178" s="2"/>
      <c r="I178" s="2">
        <v>0</v>
      </c>
      <c r="J178" s="2"/>
      <c r="K178" s="2">
        <v>0</v>
      </c>
      <c r="L178" s="2"/>
      <c r="M178" s="2"/>
      <c r="N178" s="2">
        <v>0</v>
      </c>
      <c r="O178" s="2"/>
      <c r="P178" s="2"/>
      <c r="Q178" s="2"/>
      <c r="R178" s="2">
        <v>1</v>
      </c>
      <c r="S178" s="2"/>
      <c r="T178" s="2"/>
      <c r="U178" s="2">
        <v>0</v>
      </c>
      <c r="V178" s="2"/>
      <c r="W178" s="2"/>
      <c r="X178" s="2"/>
      <c r="Y178" s="2"/>
      <c r="Z178" s="2"/>
      <c r="AA178" s="2">
        <v>1</v>
      </c>
      <c r="AB178" s="2"/>
      <c r="AC178" s="2"/>
      <c r="AD178" s="2"/>
      <c r="AE178" s="2"/>
      <c r="AF178" s="2">
        <v>1</v>
      </c>
      <c r="AG178" s="2"/>
      <c r="AH178" s="2"/>
      <c r="AI178" s="2">
        <v>0</v>
      </c>
      <c r="AJ178" s="2"/>
      <c r="AK178" s="2"/>
      <c r="AL178" s="2"/>
      <c r="AM178" s="2">
        <v>0</v>
      </c>
      <c r="AN178" s="2"/>
      <c r="AO178" s="2"/>
      <c r="AP178" s="2"/>
      <c r="AQ178" s="2"/>
      <c r="AR178" s="2">
        <v>0</v>
      </c>
      <c r="AS178" s="2"/>
      <c r="AT178" s="2"/>
      <c r="AU178" s="2"/>
      <c r="AV178" s="2"/>
      <c r="AW178" s="2">
        <v>1</v>
      </c>
      <c r="AX178" s="2"/>
      <c r="AY178" s="2"/>
      <c r="AZ178" s="2">
        <v>0</v>
      </c>
      <c r="BA178" s="2"/>
      <c r="BB178" s="2"/>
      <c r="BC178" s="2"/>
      <c r="BD178" s="2"/>
      <c r="BE178" s="2"/>
      <c r="BF178" s="2">
        <v>1</v>
      </c>
      <c r="BG178" s="2"/>
      <c r="BH178" s="2"/>
      <c r="BI178" s="2">
        <v>1</v>
      </c>
      <c r="BJ178" s="2"/>
      <c r="BK178" s="2"/>
      <c r="BL178" s="2"/>
      <c r="BM178" s="2">
        <v>0</v>
      </c>
      <c r="BN178" s="2"/>
      <c r="BO178" s="2"/>
      <c r="BP178" s="2"/>
      <c r="BQ178" s="2">
        <v>0</v>
      </c>
      <c r="BR178" s="2"/>
      <c r="BS178" s="2"/>
      <c r="BT178" s="2"/>
      <c r="BU178" s="2"/>
      <c r="BV178" s="2"/>
      <c r="BW178" s="2">
        <v>0</v>
      </c>
      <c r="BX178" s="2"/>
      <c r="BY178" s="2"/>
      <c r="BZ178" s="2"/>
      <c r="CA178" s="2">
        <v>1</v>
      </c>
      <c r="CB178" s="2"/>
      <c r="CC178" s="2"/>
      <c r="CD178" s="2">
        <v>0</v>
      </c>
      <c r="CE178" s="2"/>
      <c r="CF178" s="2"/>
      <c r="CG178" s="2"/>
      <c r="CH178" s="2"/>
      <c r="CI178" s="2">
        <v>1</v>
      </c>
      <c r="CJ178" s="2"/>
      <c r="CK178" s="2"/>
      <c r="CL178" s="2">
        <v>1</v>
      </c>
      <c r="CM178" s="2"/>
      <c r="CN178" s="2"/>
      <c r="CO178" s="2"/>
      <c r="CP178" s="2"/>
      <c r="CQ178" s="2">
        <v>0</v>
      </c>
      <c r="CR178" s="2"/>
      <c r="CS178" s="2"/>
      <c r="CT178" s="2">
        <v>0</v>
      </c>
      <c r="CU178" s="2"/>
      <c r="CV178" s="2"/>
      <c r="CW178" s="2"/>
      <c r="CX178" s="2"/>
      <c r="CY178" s="2"/>
      <c r="CZ178" s="2">
        <v>0</v>
      </c>
      <c r="DA178" s="2"/>
      <c r="DB178" s="2"/>
      <c r="DC178" s="2"/>
      <c r="DD178" s="2">
        <v>0</v>
      </c>
      <c r="DE178" s="2"/>
      <c r="DF178" s="2"/>
      <c r="DG178" s="2"/>
      <c r="DH178" s="2">
        <v>0</v>
      </c>
      <c r="DI178" s="2"/>
      <c r="DJ178" s="2"/>
      <c r="DK178" s="2">
        <v>0</v>
      </c>
      <c r="DL178" s="2"/>
      <c r="DM178" s="2"/>
      <c r="DN178" s="2"/>
      <c r="DO178" s="2">
        <v>0</v>
      </c>
      <c r="DP178" s="2"/>
      <c r="DQ178" s="2"/>
      <c r="DR178" s="2">
        <v>0</v>
      </c>
      <c r="DS178" s="2"/>
      <c r="DT178" s="2">
        <v>11</v>
      </c>
    </row>
    <row r="179" spans="1:124" x14ac:dyDescent="0.25">
      <c r="A179" s="6" t="s">
        <v>140</v>
      </c>
      <c r="B179" s="2">
        <v>0</v>
      </c>
      <c r="C179" s="2"/>
      <c r="D179" s="2"/>
      <c r="E179" s="2"/>
      <c r="F179" s="2"/>
      <c r="G179" s="2">
        <v>0</v>
      </c>
      <c r="H179" s="2"/>
      <c r="I179" s="2">
        <v>0</v>
      </c>
      <c r="J179" s="2"/>
      <c r="K179" s="2">
        <v>0</v>
      </c>
      <c r="L179" s="2"/>
      <c r="M179" s="2"/>
      <c r="N179" s="2">
        <v>0</v>
      </c>
      <c r="O179" s="2"/>
      <c r="P179" s="2"/>
      <c r="Q179" s="2"/>
      <c r="R179" s="2">
        <v>0</v>
      </c>
      <c r="S179" s="2"/>
      <c r="T179" s="2"/>
      <c r="U179" s="2">
        <v>0</v>
      </c>
      <c r="V179" s="2"/>
      <c r="W179" s="2"/>
      <c r="X179" s="2"/>
      <c r="Y179" s="2"/>
      <c r="Z179" s="2"/>
      <c r="AA179" s="2">
        <v>0</v>
      </c>
      <c r="AB179" s="2"/>
      <c r="AC179" s="2"/>
      <c r="AD179" s="2"/>
      <c r="AE179" s="2"/>
      <c r="AF179" s="2">
        <v>0</v>
      </c>
      <c r="AG179" s="2"/>
      <c r="AH179" s="2"/>
      <c r="AI179" s="2">
        <v>0</v>
      </c>
      <c r="AJ179" s="2"/>
      <c r="AK179" s="2"/>
      <c r="AL179" s="2"/>
      <c r="AM179" s="2">
        <v>0</v>
      </c>
      <c r="AN179" s="2"/>
      <c r="AO179" s="2"/>
      <c r="AP179" s="2"/>
      <c r="AQ179" s="2"/>
      <c r="AR179" s="2">
        <v>0</v>
      </c>
      <c r="AS179" s="2"/>
      <c r="AT179" s="2"/>
      <c r="AU179" s="2"/>
      <c r="AV179" s="2"/>
      <c r="AW179" s="2">
        <v>0</v>
      </c>
      <c r="AX179" s="2"/>
      <c r="AY179" s="2"/>
      <c r="AZ179" s="2">
        <v>0</v>
      </c>
      <c r="BA179" s="2"/>
      <c r="BB179" s="2"/>
      <c r="BC179" s="2"/>
      <c r="BD179" s="2"/>
      <c r="BE179" s="2"/>
      <c r="BF179" s="2">
        <v>0</v>
      </c>
      <c r="BG179" s="2"/>
      <c r="BH179" s="2"/>
      <c r="BI179" s="2">
        <v>0</v>
      </c>
      <c r="BJ179" s="2"/>
      <c r="BK179" s="2"/>
      <c r="BL179" s="2"/>
      <c r="BM179" s="2">
        <v>0</v>
      </c>
      <c r="BN179" s="2"/>
      <c r="BO179" s="2"/>
      <c r="BP179" s="2"/>
      <c r="BQ179" s="2">
        <v>0</v>
      </c>
      <c r="BR179" s="2"/>
      <c r="BS179" s="2"/>
      <c r="BT179" s="2"/>
      <c r="BU179" s="2"/>
      <c r="BV179" s="2"/>
      <c r="BW179" s="2">
        <v>0</v>
      </c>
      <c r="BX179" s="2"/>
      <c r="BY179" s="2"/>
      <c r="BZ179" s="2"/>
      <c r="CA179" s="2">
        <v>0</v>
      </c>
      <c r="CB179" s="2"/>
      <c r="CC179" s="2"/>
      <c r="CD179" s="2">
        <v>0</v>
      </c>
      <c r="CE179" s="2"/>
      <c r="CF179" s="2"/>
      <c r="CG179" s="2"/>
      <c r="CH179" s="2"/>
      <c r="CI179" s="2">
        <v>0</v>
      </c>
      <c r="CJ179" s="2"/>
      <c r="CK179" s="2"/>
      <c r="CL179" s="2">
        <v>0</v>
      </c>
      <c r="CM179" s="2"/>
      <c r="CN179" s="2"/>
      <c r="CO179" s="2"/>
      <c r="CP179" s="2"/>
      <c r="CQ179" s="2">
        <v>0</v>
      </c>
      <c r="CR179" s="2"/>
      <c r="CS179" s="2"/>
      <c r="CT179" s="2">
        <v>0</v>
      </c>
      <c r="CU179" s="2"/>
      <c r="CV179" s="2"/>
      <c r="CW179" s="2"/>
      <c r="CX179" s="2"/>
      <c r="CY179" s="2"/>
      <c r="CZ179" s="2">
        <v>0</v>
      </c>
      <c r="DA179" s="2"/>
      <c r="DB179" s="2"/>
      <c r="DC179" s="2"/>
      <c r="DD179" s="2">
        <v>0</v>
      </c>
      <c r="DE179" s="2"/>
      <c r="DF179" s="2"/>
      <c r="DG179" s="2"/>
      <c r="DH179" s="2">
        <v>0</v>
      </c>
      <c r="DI179" s="2"/>
      <c r="DJ179" s="2"/>
      <c r="DK179" s="2">
        <v>0</v>
      </c>
      <c r="DL179" s="2"/>
      <c r="DM179" s="2"/>
      <c r="DN179" s="2"/>
      <c r="DO179" s="2">
        <v>0</v>
      </c>
      <c r="DP179" s="2"/>
      <c r="DQ179" s="2"/>
      <c r="DR179" s="2">
        <v>0</v>
      </c>
      <c r="DS179" s="2"/>
      <c r="DT179" s="2">
        <v>0</v>
      </c>
    </row>
    <row r="180" spans="1:124" x14ac:dyDescent="0.25">
      <c r="A180" s="6" t="s">
        <v>142</v>
      </c>
      <c r="B180">
        <v>0</v>
      </c>
      <c r="G180">
        <v>0</v>
      </c>
      <c r="I180">
        <v>0</v>
      </c>
      <c r="K180">
        <v>1</v>
      </c>
      <c r="N180">
        <v>0</v>
      </c>
      <c r="R180">
        <v>0</v>
      </c>
      <c r="U180">
        <v>0</v>
      </c>
      <c r="AA180">
        <v>0</v>
      </c>
      <c r="AF180">
        <v>0</v>
      </c>
      <c r="AI180">
        <v>0</v>
      </c>
      <c r="AM180">
        <v>0</v>
      </c>
      <c r="AR180">
        <v>0</v>
      </c>
      <c r="AW180">
        <v>1</v>
      </c>
      <c r="AZ180">
        <v>0</v>
      </c>
      <c r="BF180">
        <v>0</v>
      </c>
      <c r="BI180">
        <v>0</v>
      </c>
      <c r="BM180">
        <v>1</v>
      </c>
      <c r="BQ180">
        <v>0</v>
      </c>
      <c r="BW180">
        <v>0</v>
      </c>
      <c r="CA180">
        <v>0</v>
      </c>
      <c r="CD180">
        <v>0</v>
      </c>
      <c r="CI180">
        <v>0</v>
      </c>
      <c r="CL180">
        <v>0</v>
      </c>
      <c r="CQ180">
        <v>0</v>
      </c>
      <c r="CT180">
        <v>0</v>
      </c>
      <c r="CZ180">
        <v>0</v>
      </c>
      <c r="DD180">
        <v>0</v>
      </c>
      <c r="DH180">
        <v>0</v>
      </c>
      <c r="DK180">
        <v>0</v>
      </c>
      <c r="DO180">
        <v>0</v>
      </c>
      <c r="DR180">
        <v>0</v>
      </c>
      <c r="DT180">
        <v>3</v>
      </c>
    </row>
    <row r="181" spans="1:124" x14ac:dyDescent="0.25">
      <c r="A181" s="6" t="s">
        <v>144</v>
      </c>
      <c r="B181">
        <v>0</v>
      </c>
      <c r="G181">
        <v>0</v>
      </c>
      <c r="I181">
        <v>0</v>
      </c>
      <c r="K181">
        <v>0</v>
      </c>
      <c r="N181">
        <v>0</v>
      </c>
      <c r="R181">
        <v>0</v>
      </c>
      <c r="U181">
        <v>0</v>
      </c>
      <c r="AA181">
        <v>0</v>
      </c>
      <c r="AF181">
        <v>0</v>
      </c>
      <c r="AI181">
        <v>0</v>
      </c>
      <c r="AM181">
        <v>0</v>
      </c>
      <c r="AR181">
        <v>0</v>
      </c>
      <c r="AW181">
        <v>0</v>
      </c>
      <c r="AZ181">
        <v>0</v>
      </c>
      <c r="BF181">
        <v>0</v>
      </c>
      <c r="BI181">
        <v>0</v>
      </c>
      <c r="BM181">
        <v>0</v>
      </c>
      <c r="BQ181">
        <v>0</v>
      </c>
      <c r="BW181">
        <v>0</v>
      </c>
      <c r="CA181">
        <v>1</v>
      </c>
      <c r="CD181">
        <v>0</v>
      </c>
      <c r="CI181">
        <v>0</v>
      </c>
      <c r="CL181">
        <v>0</v>
      </c>
      <c r="CQ181">
        <v>0</v>
      </c>
      <c r="CT181">
        <v>0</v>
      </c>
      <c r="CZ181">
        <v>0</v>
      </c>
      <c r="DD181">
        <v>0</v>
      </c>
      <c r="DH181">
        <v>0</v>
      </c>
      <c r="DK181">
        <v>0</v>
      </c>
      <c r="DO181">
        <v>0</v>
      </c>
      <c r="DR181">
        <v>0</v>
      </c>
      <c r="DT181">
        <v>1</v>
      </c>
    </row>
    <row r="182" spans="1:124" x14ac:dyDescent="0.25">
      <c r="A182" s="6" t="s">
        <v>146</v>
      </c>
      <c r="B182" s="2">
        <v>0</v>
      </c>
      <c r="C182" s="2"/>
      <c r="D182" s="2"/>
      <c r="E182" s="2"/>
      <c r="F182" s="2"/>
      <c r="G182" s="2">
        <v>0</v>
      </c>
      <c r="H182" s="2"/>
      <c r="I182" s="2">
        <v>1</v>
      </c>
      <c r="J182" s="2"/>
      <c r="K182" s="2">
        <v>0</v>
      </c>
      <c r="L182" s="2"/>
      <c r="M182" s="2"/>
      <c r="N182" s="2">
        <v>0</v>
      </c>
      <c r="O182" s="2"/>
      <c r="P182" s="2"/>
      <c r="Q182" s="2"/>
      <c r="R182" s="2">
        <v>0</v>
      </c>
      <c r="S182" s="2"/>
      <c r="T182" s="2"/>
      <c r="U182" s="2">
        <v>0</v>
      </c>
      <c r="V182" s="2"/>
      <c r="W182" s="2"/>
      <c r="X182" s="2"/>
      <c r="Y182" s="2"/>
      <c r="Z182" s="2"/>
      <c r="AA182" s="2">
        <v>0</v>
      </c>
      <c r="AB182" s="2"/>
      <c r="AC182" s="2"/>
      <c r="AD182" s="2"/>
      <c r="AE182" s="2"/>
      <c r="AF182" s="2">
        <v>0</v>
      </c>
      <c r="AG182" s="2"/>
      <c r="AH182" s="2"/>
      <c r="AI182" s="2">
        <v>1</v>
      </c>
      <c r="AJ182" s="2"/>
      <c r="AK182" s="2"/>
      <c r="AL182" s="2"/>
      <c r="AM182" s="2">
        <v>0</v>
      </c>
      <c r="AN182" s="2"/>
      <c r="AO182" s="2"/>
      <c r="AP182" s="2"/>
      <c r="AQ182" s="2"/>
      <c r="AR182" s="2">
        <v>0</v>
      </c>
      <c r="AS182" s="2"/>
      <c r="AT182" s="2"/>
      <c r="AU182" s="2"/>
      <c r="AV182" s="2"/>
      <c r="AW182" s="2">
        <v>0</v>
      </c>
      <c r="AX182" s="2"/>
      <c r="AY182" s="2"/>
      <c r="AZ182" s="2">
        <v>0</v>
      </c>
      <c r="BA182" s="2"/>
      <c r="BB182" s="2"/>
      <c r="BC182" s="2"/>
      <c r="BD182" s="2"/>
      <c r="BE182" s="2"/>
      <c r="BF182" s="2">
        <v>0</v>
      </c>
      <c r="BG182" s="2"/>
      <c r="BH182" s="2"/>
      <c r="BI182" s="2">
        <v>0</v>
      </c>
      <c r="BJ182" s="2"/>
      <c r="BK182" s="2"/>
      <c r="BL182" s="2"/>
      <c r="BM182" s="2">
        <v>1</v>
      </c>
      <c r="BN182" s="2"/>
      <c r="BO182" s="2"/>
      <c r="BP182" s="2"/>
      <c r="BQ182" s="2">
        <v>0</v>
      </c>
      <c r="BR182" s="2"/>
      <c r="BS182" s="2"/>
      <c r="BT182" s="2"/>
      <c r="BU182" s="2"/>
      <c r="BV182" s="2"/>
      <c r="BW182" s="2">
        <v>0</v>
      </c>
      <c r="BX182" s="2"/>
      <c r="BY182" s="2"/>
      <c r="BZ182" s="2"/>
      <c r="CA182" s="2">
        <v>0</v>
      </c>
      <c r="CB182" s="2"/>
      <c r="CC182" s="2"/>
      <c r="CD182" s="2">
        <v>0</v>
      </c>
      <c r="CE182" s="2"/>
      <c r="CF182" s="2"/>
      <c r="CG182" s="2"/>
      <c r="CH182" s="2"/>
      <c r="CI182" s="2">
        <v>0</v>
      </c>
      <c r="CJ182" s="2"/>
      <c r="CK182" s="2"/>
      <c r="CL182" s="2">
        <v>0</v>
      </c>
      <c r="CM182" s="2"/>
      <c r="CN182" s="2"/>
      <c r="CO182" s="2"/>
      <c r="CP182" s="2"/>
      <c r="CQ182" s="2">
        <v>1</v>
      </c>
      <c r="CR182" s="2"/>
      <c r="CS182" s="2"/>
      <c r="CT182" s="2">
        <v>0</v>
      </c>
      <c r="CU182" s="2"/>
      <c r="CV182" s="2"/>
      <c r="CW182" s="2"/>
      <c r="CX182" s="2"/>
      <c r="CY182" s="2"/>
      <c r="CZ182" s="2">
        <v>0</v>
      </c>
      <c r="DA182" s="2"/>
      <c r="DB182" s="2"/>
      <c r="DC182" s="2"/>
      <c r="DD182" s="2">
        <v>0</v>
      </c>
      <c r="DE182" s="2"/>
      <c r="DF182" s="2"/>
      <c r="DG182" s="2"/>
      <c r="DH182" s="2">
        <v>0</v>
      </c>
      <c r="DI182" s="2"/>
      <c r="DJ182" s="2"/>
      <c r="DK182" s="2">
        <v>0</v>
      </c>
      <c r="DL182" s="2"/>
      <c r="DM182" s="2"/>
      <c r="DN182" s="2"/>
      <c r="DO182" s="2">
        <v>0</v>
      </c>
      <c r="DP182" s="2"/>
      <c r="DQ182" s="2"/>
      <c r="DR182" s="2">
        <v>0</v>
      </c>
      <c r="DS182" s="2"/>
      <c r="DT182" s="2">
        <v>4</v>
      </c>
    </row>
    <row r="183" spans="1:124" x14ac:dyDescent="0.25">
      <c r="A183" s="6" t="s">
        <v>454</v>
      </c>
      <c r="B183">
        <v>0</v>
      </c>
      <c r="G183">
        <v>0</v>
      </c>
      <c r="I183">
        <v>0</v>
      </c>
      <c r="K183">
        <v>0</v>
      </c>
      <c r="N183">
        <v>0</v>
      </c>
      <c r="R183">
        <v>0</v>
      </c>
      <c r="U183">
        <v>0</v>
      </c>
      <c r="AA183">
        <v>0</v>
      </c>
      <c r="AF183">
        <v>0</v>
      </c>
      <c r="AI183">
        <v>0</v>
      </c>
      <c r="AM183">
        <v>0</v>
      </c>
      <c r="AR183">
        <v>0</v>
      </c>
      <c r="AW183">
        <v>0</v>
      </c>
      <c r="AZ183">
        <v>0</v>
      </c>
      <c r="BF183">
        <v>0</v>
      </c>
      <c r="BI183">
        <v>0</v>
      </c>
      <c r="BM183">
        <v>0</v>
      </c>
      <c r="BQ183">
        <v>0</v>
      </c>
      <c r="BW183">
        <v>0</v>
      </c>
      <c r="CA183">
        <v>0</v>
      </c>
      <c r="CD183">
        <v>0</v>
      </c>
      <c r="CI183">
        <v>0</v>
      </c>
      <c r="CL183">
        <v>0</v>
      </c>
      <c r="CQ183">
        <v>0</v>
      </c>
      <c r="CT183">
        <v>0</v>
      </c>
      <c r="CZ183">
        <v>0</v>
      </c>
      <c r="DD183">
        <v>0</v>
      </c>
      <c r="DH183">
        <v>0</v>
      </c>
      <c r="DK183">
        <v>0</v>
      </c>
      <c r="DO183">
        <v>0</v>
      </c>
      <c r="DR183">
        <v>0</v>
      </c>
      <c r="DT183">
        <v>0</v>
      </c>
    </row>
    <row r="184" spans="1:124" x14ac:dyDescent="0.25">
      <c r="A184" s="6" t="s">
        <v>148</v>
      </c>
      <c r="B184" s="2">
        <v>0</v>
      </c>
      <c r="C184" s="2"/>
      <c r="D184" s="2"/>
      <c r="E184" s="2"/>
      <c r="F184" s="2"/>
      <c r="G184" s="2">
        <v>0</v>
      </c>
      <c r="H184" s="2"/>
      <c r="I184" s="2">
        <v>0</v>
      </c>
      <c r="J184" s="2"/>
      <c r="K184" s="2">
        <v>1</v>
      </c>
      <c r="L184" s="2"/>
      <c r="M184" s="2"/>
      <c r="N184" s="2">
        <v>0</v>
      </c>
      <c r="O184" s="2"/>
      <c r="P184" s="2"/>
      <c r="Q184" s="2"/>
      <c r="R184" s="2">
        <v>0</v>
      </c>
      <c r="S184" s="2"/>
      <c r="T184" s="2"/>
      <c r="U184" s="2">
        <v>0</v>
      </c>
      <c r="V184" s="2"/>
      <c r="W184" s="2"/>
      <c r="X184" s="2"/>
      <c r="Y184" s="2"/>
      <c r="Z184" s="2"/>
      <c r="AA184" s="2">
        <v>0</v>
      </c>
      <c r="AB184" s="2"/>
      <c r="AC184" s="2"/>
      <c r="AD184" s="2"/>
      <c r="AE184" s="2"/>
      <c r="AF184" s="2">
        <v>0</v>
      </c>
      <c r="AG184" s="2"/>
      <c r="AH184" s="2"/>
      <c r="AI184" s="2">
        <v>0</v>
      </c>
      <c r="AJ184" s="2"/>
      <c r="AK184" s="2"/>
      <c r="AL184" s="2"/>
      <c r="AM184" s="2">
        <v>1</v>
      </c>
      <c r="AN184" s="2"/>
      <c r="AO184" s="2"/>
      <c r="AP184" s="2"/>
      <c r="AQ184" s="2"/>
      <c r="AR184" s="2">
        <v>0</v>
      </c>
      <c r="AS184" s="2"/>
      <c r="AT184" s="2"/>
      <c r="AU184" s="2"/>
      <c r="AV184" s="2"/>
      <c r="AW184" s="2">
        <v>0</v>
      </c>
      <c r="AX184" s="2"/>
      <c r="AY184" s="2"/>
      <c r="AZ184" s="2">
        <v>0</v>
      </c>
      <c r="BA184" s="2"/>
      <c r="BB184" s="2"/>
      <c r="BC184" s="2"/>
      <c r="BD184" s="2"/>
      <c r="BE184" s="2"/>
      <c r="BF184" s="2">
        <v>0</v>
      </c>
      <c r="BG184" s="2"/>
      <c r="BH184" s="2"/>
      <c r="BI184" s="2">
        <v>0</v>
      </c>
      <c r="BJ184" s="2"/>
      <c r="BK184" s="2"/>
      <c r="BL184" s="2"/>
      <c r="BM184" s="2">
        <v>0</v>
      </c>
      <c r="BN184" s="2"/>
      <c r="BO184" s="2"/>
      <c r="BP184" s="2"/>
      <c r="BQ184" s="2">
        <v>1</v>
      </c>
      <c r="BR184" s="2"/>
      <c r="BS184" s="2"/>
      <c r="BT184" s="2"/>
      <c r="BU184" s="2"/>
      <c r="BV184" s="2"/>
      <c r="BW184" s="2">
        <v>0</v>
      </c>
      <c r="BX184" s="2"/>
      <c r="BY184" s="2"/>
      <c r="BZ184" s="2"/>
      <c r="CA184" s="2">
        <v>0</v>
      </c>
      <c r="CB184" s="2"/>
      <c r="CC184" s="2"/>
      <c r="CD184" s="2">
        <v>0</v>
      </c>
      <c r="CE184" s="2"/>
      <c r="CF184" s="2"/>
      <c r="CG184" s="2"/>
      <c r="CH184" s="2"/>
      <c r="CI184" s="2">
        <v>0</v>
      </c>
      <c r="CJ184" s="2"/>
      <c r="CK184" s="2"/>
      <c r="CL184" s="2">
        <v>0</v>
      </c>
      <c r="CM184" s="2"/>
      <c r="CN184" s="2"/>
      <c r="CO184" s="2"/>
      <c r="CP184" s="2"/>
      <c r="CQ184" s="2">
        <v>0</v>
      </c>
      <c r="CR184" s="2"/>
      <c r="CS184" s="2"/>
      <c r="CT184" s="2">
        <v>1</v>
      </c>
      <c r="CU184" s="2"/>
      <c r="CV184" s="2"/>
      <c r="CW184" s="2"/>
      <c r="CX184" s="2"/>
      <c r="CY184" s="2"/>
      <c r="CZ184" s="2">
        <v>0</v>
      </c>
      <c r="DA184" s="2"/>
      <c r="DB184" s="2"/>
      <c r="DC184" s="2"/>
      <c r="DD184" s="2">
        <v>0</v>
      </c>
      <c r="DE184" s="2"/>
      <c r="DF184" s="2"/>
      <c r="DG184" s="2"/>
      <c r="DH184" s="2">
        <v>0</v>
      </c>
      <c r="DI184" s="2"/>
      <c r="DJ184" s="2"/>
      <c r="DK184" s="2">
        <v>0</v>
      </c>
      <c r="DL184" s="2"/>
      <c r="DM184" s="2"/>
      <c r="DN184" s="2"/>
      <c r="DO184" s="2">
        <v>0</v>
      </c>
      <c r="DP184" s="2"/>
      <c r="DQ184" s="2"/>
      <c r="DR184" s="2">
        <v>0</v>
      </c>
      <c r="DS184" s="2"/>
      <c r="DT184" s="2">
        <v>4</v>
      </c>
    </row>
    <row r="185" spans="1:124" x14ac:dyDescent="0.25">
      <c r="A185" s="6" t="s">
        <v>456</v>
      </c>
      <c r="B185">
        <v>0</v>
      </c>
      <c r="G185">
        <v>0</v>
      </c>
      <c r="I185">
        <v>0</v>
      </c>
      <c r="K185">
        <v>0</v>
      </c>
      <c r="N185">
        <v>0</v>
      </c>
      <c r="R185">
        <v>0</v>
      </c>
      <c r="U185">
        <v>0</v>
      </c>
      <c r="AA185">
        <v>0</v>
      </c>
      <c r="AF185">
        <v>0</v>
      </c>
      <c r="AI185">
        <v>0</v>
      </c>
      <c r="AM185">
        <v>0</v>
      </c>
      <c r="AR185">
        <v>0</v>
      </c>
      <c r="AW185">
        <v>0</v>
      </c>
      <c r="AZ185">
        <v>0</v>
      </c>
      <c r="BF185">
        <v>0</v>
      </c>
      <c r="BI185">
        <v>0</v>
      </c>
      <c r="BM185">
        <v>0</v>
      </c>
      <c r="BQ185">
        <v>0</v>
      </c>
      <c r="BW185">
        <v>0</v>
      </c>
      <c r="CA185">
        <v>0</v>
      </c>
      <c r="CD185">
        <v>0</v>
      </c>
      <c r="CI185">
        <v>0</v>
      </c>
      <c r="CL185">
        <v>0</v>
      </c>
      <c r="CQ185">
        <v>0</v>
      </c>
      <c r="CT185">
        <v>0</v>
      </c>
      <c r="CZ185">
        <v>0</v>
      </c>
      <c r="DD185">
        <v>0</v>
      </c>
      <c r="DH185">
        <v>0</v>
      </c>
      <c r="DK185">
        <v>0</v>
      </c>
      <c r="DO185">
        <v>0</v>
      </c>
      <c r="DR185">
        <v>0</v>
      </c>
      <c r="DT185">
        <v>0</v>
      </c>
    </row>
    <row r="186" spans="1:124" x14ac:dyDescent="0.25">
      <c r="A186" s="6" t="s">
        <v>150</v>
      </c>
      <c r="B186">
        <v>0</v>
      </c>
      <c r="G186">
        <v>2</v>
      </c>
      <c r="I186">
        <v>0</v>
      </c>
      <c r="K186">
        <v>2</v>
      </c>
      <c r="N186">
        <v>0</v>
      </c>
      <c r="R186">
        <v>2</v>
      </c>
      <c r="U186">
        <v>0</v>
      </c>
      <c r="AA186">
        <v>0</v>
      </c>
      <c r="AF186">
        <v>0</v>
      </c>
      <c r="AI186">
        <v>2</v>
      </c>
      <c r="AM186">
        <v>3</v>
      </c>
      <c r="AR186">
        <v>0</v>
      </c>
      <c r="AW186">
        <v>0</v>
      </c>
      <c r="AZ186">
        <v>0</v>
      </c>
      <c r="BF186">
        <v>0</v>
      </c>
      <c r="BI186">
        <v>0</v>
      </c>
      <c r="BM186">
        <v>3</v>
      </c>
      <c r="BQ186">
        <v>8</v>
      </c>
      <c r="BW186">
        <v>0</v>
      </c>
      <c r="CA186">
        <v>0</v>
      </c>
      <c r="CD186">
        <v>0</v>
      </c>
      <c r="CI186">
        <v>2</v>
      </c>
      <c r="CL186">
        <v>2</v>
      </c>
      <c r="CQ186">
        <v>0</v>
      </c>
      <c r="CT186">
        <v>0</v>
      </c>
      <c r="CZ186">
        <v>0</v>
      </c>
      <c r="DD186">
        <v>0</v>
      </c>
      <c r="DH186">
        <v>0</v>
      </c>
      <c r="DK186">
        <v>0</v>
      </c>
      <c r="DO186">
        <v>0</v>
      </c>
      <c r="DR186">
        <v>0</v>
      </c>
      <c r="DT186">
        <v>26</v>
      </c>
    </row>
    <row r="187" spans="1:124" x14ac:dyDescent="0.25">
      <c r="A187" s="6" t="s">
        <v>152</v>
      </c>
      <c r="B187" s="2">
        <v>0</v>
      </c>
      <c r="C187" s="2"/>
      <c r="D187" s="2"/>
      <c r="E187" s="2"/>
      <c r="F187" s="2"/>
      <c r="G187" s="2">
        <v>0</v>
      </c>
      <c r="H187" s="2"/>
      <c r="I187" s="2">
        <v>1</v>
      </c>
      <c r="J187" s="2"/>
      <c r="K187" s="2">
        <v>0</v>
      </c>
      <c r="L187" s="2"/>
      <c r="M187" s="2"/>
      <c r="N187" s="2">
        <v>0</v>
      </c>
      <c r="O187" s="2"/>
      <c r="P187" s="2"/>
      <c r="Q187" s="2"/>
      <c r="R187" s="2">
        <v>0</v>
      </c>
      <c r="S187" s="2"/>
      <c r="T187" s="2"/>
      <c r="U187" s="2">
        <v>0</v>
      </c>
      <c r="V187" s="2"/>
      <c r="W187" s="2"/>
      <c r="X187" s="2"/>
      <c r="Y187" s="2"/>
      <c r="Z187" s="2"/>
      <c r="AA187" s="2">
        <v>0</v>
      </c>
      <c r="AB187" s="2"/>
      <c r="AC187" s="2"/>
      <c r="AD187" s="2"/>
      <c r="AE187" s="2"/>
      <c r="AF187" s="2">
        <v>0</v>
      </c>
      <c r="AG187" s="2"/>
      <c r="AH187" s="2"/>
      <c r="AI187" s="2">
        <v>1</v>
      </c>
      <c r="AJ187" s="2"/>
      <c r="AK187" s="2"/>
      <c r="AL187" s="2"/>
      <c r="AM187" s="2">
        <v>0</v>
      </c>
      <c r="AN187" s="2"/>
      <c r="AO187" s="2"/>
      <c r="AP187" s="2"/>
      <c r="AQ187" s="2"/>
      <c r="AR187" s="2">
        <v>0</v>
      </c>
      <c r="AS187" s="2"/>
      <c r="AT187" s="2"/>
      <c r="AU187" s="2"/>
      <c r="AV187" s="2"/>
      <c r="AW187" s="2">
        <v>0</v>
      </c>
      <c r="AX187" s="2"/>
      <c r="AY187" s="2"/>
      <c r="AZ187" s="2">
        <v>0</v>
      </c>
      <c r="BA187" s="2"/>
      <c r="BB187" s="2"/>
      <c r="BC187" s="2"/>
      <c r="BD187" s="2"/>
      <c r="BE187" s="2"/>
      <c r="BF187" s="2">
        <v>0</v>
      </c>
      <c r="BG187" s="2"/>
      <c r="BH187" s="2"/>
      <c r="BI187" s="2">
        <v>0</v>
      </c>
      <c r="BJ187" s="2"/>
      <c r="BK187" s="2"/>
      <c r="BL187" s="2"/>
      <c r="BM187" s="2">
        <v>1</v>
      </c>
      <c r="BN187" s="2"/>
      <c r="BO187" s="2"/>
      <c r="BP187" s="2"/>
      <c r="BQ187" s="2">
        <v>0</v>
      </c>
      <c r="BR187" s="2"/>
      <c r="BS187" s="2"/>
      <c r="BT187" s="2"/>
      <c r="BU187" s="2"/>
      <c r="BV187" s="2"/>
      <c r="BW187" s="2">
        <v>0</v>
      </c>
      <c r="BX187" s="2"/>
      <c r="BY187" s="2"/>
      <c r="BZ187" s="2"/>
      <c r="CA187" s="2">
        <v>0</v>
      </c>
      <c r="CB187" s="2"/>
      <c r="CC187" s="2"/>
      <c r="CD187" s="2">
        <v>0</v>
      </c>
      <c r="CE187" s="2"/>
      <c r="CF187" s="2"/>
      <c r="CG187" s="2"/>
      <c r="CH187" s="2"/>
      <c r="CI187" s="2">
        <v>0</v>
      </c>
      <c r="CJ187" s="2"/>
      <c r="CK187" s="2"/>
      <c r="CL187" s="2">
        <v>0</v>
      </c>
      <c r="CM187" s="2"/>
      <c r="CN187" s="2"/>
      <c r="CO187" s="2"/>
      <c r="CP187" s="2"/>
      <c r="CQ187" s="2">
        <v>1</v>
      </c>
      <c r="CR187" s="2"/>
      <c r="CS187" s="2"/>
      <c r="CT187" s="2">
        <v>0</v>
      </c>
      <c r="CU187" s="2"/>
      <c r="CV187" s="2"/>
      <c r="CW187" s="2"/>
      <c r="CX187" s="2"/>
      <c r="CY187" s="2"/>
      <c r="CZ187" s="2">
        <v>0</v>
      </c>
      <c r="DA187" s="2"/>
      <c r="DB187" s="2"/>
      <c r="DC187" s="2"/>
      <c r="DD187" s="2">
        <v>0</v>
      </c>
      <c r="DE187" s="2"/>
      <c r="DF187" s="2"/>
      <c r="DG187" s="2"/>
      <c r="DH187" s="2">
        <v>0</v>
      </c>
      <c r="DI187" s="2"/>
      <c r="DJ187" s="2"/>
      <c r="DK187" s="2">
        <v>0</v>
      </c>
      <c r="DL187" s="2"/>
      <c r="DM187" s="2"/>
      <c r="DN187" s="2"/>
      <c r="DO187" s="2">
        <v>0</v>
      </c>
      <c r="DP187" s="2"/>
      <c r="DQ187" s="2"/>
      <c r="DR187" s="2">
        <v>0</v>
      </c>
      <c r="DS187" s="2"/>
      <c r="DT187" s="2">
        <v>4</v>
      </c>
    </row>
    <row r="188" spans="1:124" x14ac:dyDescent="0.25">
      <c r="A188" s="6" t="s">
        <v>154</v>
      </c>
      <c r="B188" s="2">
        <v>0</v>
      </c>
      <c r="C188" s="2"/>
      <c r="D188" s="2"/>
      <c r="E188" s="2"/>
      <c r="F188" s="2"/>
      <c r="G188" s="2">
        <v>0</v>
      </c>
      <c r="H188" s="2"/>
      <c r="I188" s="2">
        <v>0</v>
      </c>
      <c r="J188" s="2"/>
      <c r="K188" s="2">
        <v>1</v>
      </c>
      <c r="L188" s="2"/>
      <c r="M188" s="2"/>
      <c r="N188" s="2">
        <v>0</v>
      </c>
      <c r="O188" s="2"/>
      <c r="P188" s="2"/>
      <c r="Q188" s="2"/>
      <c r="R188" s="2">
        <v>0</v>
      </c>
      <c r="S188" s="2"/>
      <c r="T188" s="2"/>
      <c r="U188" s="2">
        <v>0</v>
      </c>
      <c r="V188" s="2"/>
      <c r="W188" s="2"/>
      <c r="X188" s="2"/>
      <c r="Y188" s="2"/>
      <c r="Z188" s="2"/>
      <c r="AA188" s="2">
        <v>0</v>
      </c>
      <c r="AB188" s="2"/>
      <c r="AC188" s="2"/>
      <c r="AD188" s="2"/>
      <c r="AE188" s="2"/>
      <c r="AF188" s="2">
        <v>0</v>
      </c>
      <c r="AG188" s="2"/>
      <c r="AH188" s="2"/>
      <c r="AI188" s="2">
        <v>0</v>
      </c>
      <c r="AJ188" s="2"/>
      <c r="AK188" s="2"/>
      <c r="AL188" s="2"/>
      <c r="AM188" s="2">
        <v>1</v>
      </c>
      <c r="AN188" s="2"/>
      <c r="AO188" s="2"/>
      <c r="AP188" s="2"/>
      <c r="AQ188" s="2"/>
      <c r="AR188" s="2">
        <v>0</v>
      </c>
      <c r="AS188" s="2"/>
      <c r="AT188" s="2"/>
      <c r="AU188" s="2"/>
      <c r="AV188" s="2"/>
      <c r="AW188" s="2">
        <v>0</v>
      </c>
      <c r="AX188" s="2"/>
      <c r="AY188" s="2"/>
      <c r="AZ188" s="2">
        <v>0</v>
      </c>
      <c r="BA188" s="2"/>
      <c r="BB188" s="2"/>
      <c r="BC188" s="2"/>
      <c r="BD188" s="2"/>
      <c r="BE188" s="2"/>
      <c r="BF188" s="2">
        <v>0</v>
      </c>
      <c r="BG188" s="2"/>
      <c r="BH188" s="2"/>
      <c r="BI188" s="2">
        <v>0</v>
      </c>
      <c r="BJ188" s="2"/>
      <c r="BK188" s="2"/>
      <c r="BL188" s="2"/>
      <c r="BM188" s="2">
        <v>0</v>
      </c>
      <c r="BN188" s="2"/>
      <c r="BO188" s="2"/>
      <c r="BP188" s="2"/>
      <c r="BQ188" s="2">
        <v>1</v>
      </c>
      <c r="BR188" s="2"/>
      <c r="BS188" s="2"/>
      <c r="BT188" s="2"/>
      <c r="BU188" s="2"/>
      <c r="BV188" s="2"/>
      <c r="BW188" s="2">
        <v>0</v>
      </c>
      <c r="BX188" s="2"/>
      <c r="BY188" s="2"/>
      <c r="BZ188" s="2"/>
      <c r="CA188" s="2">
        <v>0</v>
      </c>
      <c r="CB188" s="2"/>
      <c r="CC188" s="2"/>
      <c r="CD188" s="2">
        <v>0</v>
      </c>
      <c r="CE188" s="2"/>
      <c r="CF188" s="2"/>
      <c r="CG188" s="2"/>
      <c r="CH188" s="2"/>
      <c r="CI188" s="2">
        <v>0</v>
      </c>
      <c r="CJ188" s="2"/>
      <c r="CK188" s="2"/>
      <c r="CL188" s="2">
        <v>0</v>
      </c>
      <c r="CM188" s="2"/>
      <c r="CN188" s="2"/>
      <c r="CO188" s="2"/>
      <c r="CP188" s="2"/>
      <c r="CQ188" s="2">
        <v>0</v>
      </c>
      <c r="CR188" s="2"/>
      <c r="CS188" s="2"/>
      <c r="CT188" s="2">
        <v>1</v>
      </c>
      <c r="CU188" s="2"/>
      <c r="CV188" s="2"/>
      <c r="CW188" s="2"/>
      <c r="CX188" s="2"/>
      <c r="CY188" s="2"/>
      <c r="CZ188" s="2">
        <v>0</v>
      </c>
      <c r="DA188" s="2"/>
      <c r="DB188" s="2"/>
      <c r="DC188" s="2"/>
      <c r="DD188" s="2">
        <v>0</v>
      </c>
      <c r="DE188" s="2"/>
      <c r="DF188" s="2"/>
      <c r="DG188" s="2"/>
      <c r="DH188" s="2">
        <v>0</v>
      </c>
      <c r="DI188" s="2"/>
      <c r="DJ188" s="2"/>
      <c r="DK188" s="2">
        <v>0</v>
      </c>
      <c r="DL188" s="2"/>
      <c r="DM188" s="2"/>
      <c r="DN188" s="2"/>
      <c r="DO188" s="2">
        <v>0</v>
      </c>
      <c r="DP188" s="2"/>
      <c r="DQ188" s="2"/>
      <c r="DR188" s="2">
        <v>0</v>
      </c>
      <c r="DS188" s="2"/>
      <c r="DT188" s="2">
        <v>4</v>
      </c>
    </row>
    <row r="189" spans="1:124" x14ac:dyDescent="0.25">
      <c r="A189" s="6" t="s">
        <v>156</v>
      </c>
      <c r="B189">
        <v>0</v>
      </c>
      <c r="G189">
        <v>0</v>
      </c>
      <c r="I189">
        <v>14</v>
      </c>
      <c r="K189">
        <v>0</v>
      </c>
      <c r="N189">
        <v>0</v>
      </c>
      <c r="R189">
        <v>0</v>
      </c>
      <c r="U189">
        <v>0</v>
      </c>
      <c r="AA189">
        <v>0</v>
      </c>
      <c r="AF189">
        <v>0</v>
      </c>
      <c r="AI189">
        <v>14</v>
      </c>
      <c r="AM189">
        <v>18</v>
      </c>
      <c r="AR189">
        <v>0</v>
      </c>
      <c r="AW189">
        <v>0</v>
      </c>
      <c r="AZ189">
        <v>0</v>
      </c>
      <c r="BF189">
        <v>0</v>
      </c>
      <c r="BI189">
        <v>0</v>
      </c>
      <c r="BM189">
        <v>14</v>
      </c>
      <c r="BQ189">
        <v>18</v>
      </c>
      <c r="BW189">
        <v>0</v>
      </c>
      <c r="CA189">
        <v>0</v>
      </c>
      <c r="CD189">
        <v>0</v>
      </c>
      <c r="CI189">
        <v>0</v>
      </c>
      <c r="CL189">
        <v>0</v>
      </c>
      <c r="CQ189">
        <v>14</v>
      </c>
      <c r="CT189">
        <v>15</v>
      </c>
      <c r="CZ189">
        <v>0</v>
      </c>
      <c r="DD189">
        <v>0</v>
      </c>
      <c r="DH189">
        <v>0</v>
      </c>
      <c r="DK189">
        <v>0</v>
      </c>
      <c r="DO189">
        <v>0</v>
      </c>
      <c r="DR189">
        <v>0</v>
      </c>
      <c r="DT189">
        <v>107</v>
      </c>
    </row>
    <row r="190" spans="1:124" x14ac:dyDescent="0.25">
      <c r="A190" s="6" t="s">
        <v>158</v>
      </c>
      <c r="B190">
        <v>0</v>
      </c>
      <c r="G190">
        <v>68</v>
      </c>
      <c r="I190">
        <v>0</v>
      </c>
      <c r="K190">
        <v>0</v>
      </c>
      <c r="N190">
        <v>0</v>
      </c>
      <c r="R190">
        <v>40</v>
      </c>
      <c r="U190">
        <v>0</v>
      </c>
      <c r="AA190">
        <v>24</v>
      </c>
      <c r="AF190">
        <v>32</v>
      </c>
      <c r="AI190">
        <v>0</v>
      </c>
      <c r="AM190">
        <v>0</v>
      </c>
      <c r="AR190">
        <v>19</v>
      </c>
      <c r="AW190">
        <v>0</v>
      </c>
      <c r="AZ190">
        <v>0</v>
      </c>
      <c r="BF190">
        <v>22</v>
      </c>
      <c r="BI190">
        <v>1</v>
      </c>
      <c r="BM190">
        <v>0</v>
      </c>
      <c r="BQ190">
        <v>0</v>
      </c>
      <c r="BW190">
        <v>0</v>
      </c>
      <c r="CA190">
        <v>46</v>
      </c>
      <c r="CD190">
        <v>0</v>
      </c>
      <c r="CI190">
        <v>10</v>
      </c>
      <c r="CL190">
        <v>43</v>
      </c>
      <c r="CQ190">
        <v>0</v>
      </c>
      <c r="CT190">
        <v>0</v>
      </c>
      <c r="CZ190">
        <v>0</v>
      </c>
      <c r="DD190">
        <v>0</v>
      </c>
      <c r="DH190">
        <v>0</v>
      </c>
      <c r="DK190">
        <v>0</v>
      </c>
      <c r="DO190">
        <v>0</v>
      </c>
      <c r="DR190">
        <v>0</v>
      </c>
      <c r="DT190">
        <v>305</v>
      </c>
    </row>
    <row r="191" spans="1:124" x14ac:dyDescent="0.25">
      <c r="A191" s="6" t="s">
        <v>160</v>
      </c>
      <c r="B191">
        <v>0</v>
      </c>
      <c r="G191">
        <v>10</v>
      </c>
      <c r="I191">
        <v>0</v>
      </c>
      <c r="K191">
        <v>0</v>
      </c>
      <c r="N191">
        <v>0</v>
      </c>
      <c r="R191">
        <v>2</v>
      </c>
      <c r="U191">
        <v>0</v>
      </c>
      <c r="AA191">
        <v>0</v>
      </c>
      <c r="AF191">
        <v>4</v>
      </c>
      <c r="AI191">
        <v>0</v>
      </c>
      <c r="AM191">
        <v>0</v>
      </c>
      <c r="AR191">
        <v>0</v>
      </c>
      <c r="AW191">
        <v>0</v>
      </c>
      <c r="AZ191">
        <v>0</v>
      </c>
      <c r="BF191">
        <v>0</v>
      </c>
      <c r="BI191">
        <v>6</v>
      </c>
      <c r="BM191">
        <v>0</v>
      </c>
      <c r="BQ191">
        <v>0</v>
      </c>
      <c r="BW191">
        <v>0</v>
      </c>
      <c r="CA191">
        <v>0</v>
      </c>
      <c r="CD191">
        <v>0</v>
      </c>
      <c r="CI191">
        <v>1</v>
      </c>
      <c r="CL191">
        <v>5</v>
      </c>
      <c r="CQ191">
        <v>0</v>
      </c>
      <c r="CT191">
        <v>0</v>
      </c>
      <c r="CZ191">
        <v>0</v>
      </c>
      <c r="DD191">
        <v>0</v>
      </c>
      <c r="DH191">
        <v>0</v>
      </c>
      <c r="DK191">
        <v>0</v>
      </c>
      <c r="DO191">
        <v>0</v>
      </c>
      <c r="DR191">
        <v>0</v>
      </c>
      <c r="DT191">
        <v>28</v>
      </c>
    </row>
    <row r="192" spans="1:124" x14ac:dyDescent="0.25">
      <c r="A192" s="6" t="s">
        <v>162</v>
      </c>
      <c r="B192">
        <v>0</v>
      </c>
      <c r="G192">
        <v>0</v>
      </c>
      <c r="I192">
        <v>0</v>
      </c>
      <c r="K192">
        <v>0</v>
      </c>
      <c r="N192">
        <v>0</v>
      </c>
      <c r="R192">
        <v>0</v>
      </c>
      <c r="U192">
        <v>0</v>
      </c>
      <c r="AA192">
        <v>0</v>
      </c>
      <c r="AF192">
        <v>0</v>
      </c>
      <c r="AI192">
        <v>0</v>
      </c>
      <c r="AM192">
        <v>0</v>
      </c>
      <c r="AR192">
        <v>0</v>
      </c>
      <c r="AW192">
        <v>0</v>
      </c>
      <c r="AZ192">
        <v>0</v>
      </c>
      <c r="BF192">
        <v>0</v>
      </c>
      <c r="BI192">
        <v>0</v>
      </c>
      <c r="BM192">
        <v>0</v>
      </c>
      <c r="BQ192">
        <v>0</v>
      </c>
      <c r="BW192">
        <v>0</v>
      </c>
      <c r="CA192">
        <v>0</v>
      </c>
      <c r="CD192">
        <v>0</v>
      </c>
      <c r="CI192">
        <v>0</v>
      </c>
      <c r="CL192">
        <v>0</v>
      </c>
      <c r="CQ192">
        <v>0</v>
      </c>
      <c r="CT192">
        <v>0</v>
      </c>
      <c r="CZ192">
        <v>0</v>
      </c>
      <c r="DD192">
        <v>0</v>
      </c>
      <c r="DH192">
        <v>0</v>
      </c>
      <c r="DK192">
        <v>0</v>
      </c>
      <c r="DO192">
        <v>0</v>
      </c>
      <c r="DR192">
        <v>0</v>
      </c>
      <c r="DT192">
        <v>0</v>
      </c>
    </row>
    <row r="193" spans="1:124" x14ac:dyDescent="0.25">
      <c r="A193" s="6" t="s">
        <v>164</v>
      </c>
      <c r="B193">
        <v>0</v>
      </c>
      <c r="G193">
        <v>0</v>
      </c>
      <c r="I193">
        <v>0</v>
      </c>
      <c r="K193">
        <v>0</v>
      </c>
      <c r="N193">
        <v>0</v>
      </c>
      <c r="R193">
        <v>0</v>
      </c>
      <c r="U193">
        <v>0</v>
      </c>
      <c r="AA193">
        <v>0</v>
      </c>
      <c r="AF193">
        <v>0</v>
      </c>
      <c r="AI193">
        <v>0</v>
      </c>
      <c r="AM193">
        <v>0</v>
      </c>
      <c r="AR193">
        <v>0</v>
      </c>
      <c r="AW193">
        <v>0</v>
      </c>
      <c r="AZ193">
        <v>0</v>
      </c>
      <c r="BF193">
        <v>0</v>
      </c>
      <c r="BI193">
        <v>0</v>
      </c>
      <c r="BM193">
        <v>0</v>
      </c>
      <c r="BQ193">
        <v>0</v>
      </c>
      <c r="BW193">
        <v>0</v>
      </c>
      <c r="CA193">
        <v>0</v>
      </c>
      <c r="CD193">
        <v>0</v>
      </c>
      <c r="CI193">
        <v>0</v>
      </c>
      <c r="CL193">
        <v>0</v>
      </c>
      <c r="CQ193">
        <v>0</v>
      </c>
      <c r="CT193">
        <v>0</v>
      </c>
      <c r="CZ193">
        <v>0</v>
      </c>
      <c r="DD193">
        <v>0</v>
      </c>
      <c r="DH193">
        <v>0</v>
      </c>
      <c r="DK193">
        <v>0</v>
      </c>
      <c r="DO193">
        <v>0</v>
      </c>
      <c r="DR193">
        <v>0</v>
      </c>
      <c r="DT193">
        <v>0</v>
      </c>
    </row>
    <row r="194" spans="1:124" x14ac:dyDescent="0.25">
      <c r="A194" s="6" t="s">
        <v>166</v>
      </c>
      <c r="B194">
        <v>0</v>
      </c>
      <c r="G194">
        <v>0</v>
      </c>
      <c r="I194">
        <v>0</v>
      </c>
      <c r="K194">
        <v>0</v>
      </c>
      <c r="N194">
        <v>0</v>
      </c>
      <c r="R194">
        <v>0</v>
      </c>
      <c r="U194">
        <v>0</v>
      </c>
      <c r="AA194">
        <v>0</v>
      </c>
      <c r="AF194">
        <v>0</v>
      </c>
      <c r="AI194">
        <v>0</v>
      </c>
      <c r="AM194">
        <v>0</v>
      </c>
      <c r="AR194">
        <v>0</v>
      </c>
      <c r="AW194">
        <v>0</v>
      </c>
      <c r="AZ194">
        <v>0</v>
      </c>
      <c r="BF194">
        <v>0</v>
      </c>
      <c r="BI194">
        <v>0</v>
      </c>
      <c r="BM194">
        <v>0</v>
      </c>
      <c r="BQ194">
        <v>0</v>
      </c>
      <c r="BW194">
        <v>0</v>
      </c>
      <c r="CA194">
        <v>0</v>
      </c>
      <c r="CD194">
        <v>0</v>
      </c>
      <c r="CI194">
        <v>0</v>
      </c>
      <c r="CL194">
        <v>0</v>
      </c>
      <c r="CQ194">
        <v>0</v>
      </c>
      <c r="CT194">
        <v>0</v>
      </c>
      <c r="CZ194">
        <v>0</v>
      </c>
      <c r="DD194">
        <v>0</v>
      </c>
      <c r="DH194">
        <v>0</v>
      </c>
      <c r="DK194">
        <v>0</v>
      </c>
      <c r="DO194">
        <v>0</v>
      </c>
      <c r="DR194">
        <v>0</v>
      </c>
      <c r="DT194">
        <v>0</v>
      </c>
    </row>
    <row r="195" spans="1:124" x14ac:dyDescent="0.25">
      <c r="A195" s="5" t="s">
        <v>1160</v>
      </c>
    </row>
    <row r="196" spans="1:124" x14ac:dyDescent="0.25">
      <c r="A196" s="6" t="s">
        <v>131</v>
      </c>
      <c r="C196">
        <v>40</v>
      </c>
      <c r="G196">
        <v>56</v>
      </c>
      <c r="J196">
        <v>0</v>
      </c>
      <c r="L196">
        <v>0</v>
      </c>
      <c r="N196">
        <v>0</v>
      </c>
      <c r="R196">
        <v>29</v>
      </c>
      <c r="U196">
        <v>0</v>
      </c>
      <c r="AA196">
        <v>2</v>
      </c>
      <c r="AF196">
        <v>3</v>
      </c>
      <c r="AI196">
        <v>28</v>
      </c>
      <c r="AM196">
        <v>0</v>
      </c>
      <c r="AR196">
        <v>0</v>
      </c>
      <c r="AW196">
        <v>16</v>
      </c>
      <c r="BA196">
        <v>28</v>
      </c>
      <c r="BE196">
        <v>0</v>
      </c>
      <c r="BI196">
        <v>21</v>
      </c>
      <c r="BM196">
        <v>0</v>
      </c>
      <c r="BQ196">
        <v>0</v>
      </c>
      <c r="BW196">
        <v>0</v>
      </c>
      <c r="CA196">
        <v>36</v>
      </c>
      <c r="CD196">
        <v>0</v>
      </c>
      <c r="CI196">
        <v>20</v>
      </c>
      <c r="CL196">
        <v>26</v>
      </c>
      <c r="CQ196">
        <v>0</v>
      </c>
      <c r="CT196">
        <v>0</v>
      </c>
      <c r="CW196">
        <v>0</v>
      </c>
      <c r="DC196">
        <v>32</v>
      </c>
      <c r="DG196">
        <v>16</v>
      </c>
      <c r="DJ196">
        <v>20</v>
      </c>
      <c r="DN196">
        <v>32</v>
      </c>
      <c r="DQ196">
        <v>0</v>
      </c>
      <c r="DT196">
        <v>405</v>
      </c>
    </row>
    <row r="197" spans="1:124" x14ac:dyDescent="0.25">
      <c r="A197" s="6" t="s">
        <v>134</v>
      </c>
      <c r="B197" s="2"/>
      <c r="C197" s="2">
        <v>0</v>
      </c>
      <c r="D197" s="2"/>
      <c r="E197" s="2"/>
      <c r="F197" s="2"/>
      <c r="G197" s="2">
        <v>0</v>
      </c>
      <c r="H197" s="2"/>
      <c r="I197" s="2"/>
      <c r="J197" s="2">
        <v>0</v>
      </c>
      <c r="K197" s="2"/>
      <c r="L197" s="2">
        <v>0</v>
      </c>
      <c r="M197" s="2"/>
      <c r="N197" s="2">
        <v>0</v>
      </c>
      <c r="O197" s="2"/>
      <c r="P197" s="2"/>
      <c r="Q197" s="2"/>
      <c r="R197" s="2">
        <v>0</v>
      </c>
      <c r="S197" s="2"/>
      <c r="T197" s="2"/>
      <c r="U197" s="2">
        <v>0</v>
      </c>
      <c r="V197" s="2"/>
      <c r="W197" s="2"/>
      <c r="X197" s="2"/>
      <c r="Y197" s="2"/>
      <c r="Z197" s="2"/>
      <c r="AA197" s="2">
        <v>0</v>
      </c>
      <c r="AB197" s="2"/>
      <c r="AC197" s="2"/>
      <c r="AD197" s="2"/>
      <c r="AE197" s="2"/>
      <c r="AF197" s="2">
        <v>0</v>
      </c>
      <c r="AG197" s="2"/>
      <c r="AH197" s="2"/>
      <c r="AI197" s="2">
        <v>0</v>
      </c>
      <c r="AJ197" s="2"/>
      <c r="AK197" s="2"/>
      <c r="AL197" s="2"/>
      <c r="AM197" s="2">
        <v>0</v>
      </c>
      <c r="AN197" s="2"/>
      <c r="AO197" s="2"/>
      <c r="AP197" s="2"/>
      <c r="AQ197" s="2"/>
      <c r="AR197" s="2">
        <v>0</v>
      </c>
      <c r="AS197" s="2"/>
      <c r="AT197" s="2"/>
      <c r="AU197" s="2"/>
      <c r="AV197" s="2"/>
      <c r="AW197" s="2">
        <v>0</v>
      </c>
      <c r="AX197" s="2"/>
      <c r="AY197" s="2"/>
      <c r="AZ197" s="2"/>
      <c r="BA197" s="2">
        <v>0</v>
      </c>
      <c r="BB197" s="2"/>
      <c r="BC197" s="2"/>
      <c r="BD197" s="2"/>
      <c r="BE197" s="2">
        <v>0</v>
      </c>
      <c r="BF197" s="2"/>
      <c r="BG197" s="2"/>
      <c r="BH197" s="2"/>
      <c r="BI197" s="2">
        <v>0</v>
      </c>
      <c r="BJ197" s="2"/>
      <c r="BK197" s="2"/>
      <c r="BL197" s="2"/>
      <c r="BM197" s="2">
        <v>0</v>
      </c>
      <c r="BN197" s="2"/>
      <c r="BO197" s="2"/>
      <c r="BP197" s="2"/>
      <c r="BQ197" s="2">
        <v>0</v>
      </c>
      <c r="BR197" s="2"/>
      <c r="BS197" s="2"/>
      <c r="BT197" s="2"/>
      <c r="BU197" s="2"/>
      <c r="BV197" s="2"/>
      <c r="BW197" s="2">
        <v>0</v>
      </c>
      <c r="BX197" s="2"/>
      <c r="BY197" s="2"/>
      <c r="BZ197" s="2"/>
      <c r="CA197" s="2">
        <v>0</v>
      </c>
      <c r="CB197" s="2"/>
      <c r="CC197" s="2"/>
      <c r="CD197" s="2">
        <v>0</v>
      </c>
      <c r="CE197" s="2"/>
      <c r="CF197" s="2"/>
      <c r="CG197" s="2"/>
      <c r="CH197" s="2"/>
      <c r="CI197" s="2">
        <v>0</v>
      </c>
      <c r="CJ197" s="2"/>
      <c r="CK197" s="2"/>
      <c r="CL197" s="2">
        <v>0</v>
      </c>
      <c r="CM197" s="2"/>
      <c r="CN197" s="2"/>
      <c r="CO197" s="2"/>
      <c r="CP197" s="2"/>
      <c r="CQ197" s="2">
        <v>0</v>
      </c>
      <c r="CR197" s="2"/>
      <c r="CS197" s="2"/>
      <c r="CT197" s="2">
        <v>0</v>
      </c>
      <c r="CU197" s="2"/>
      <c r="CV197" s="2"/>
      <c r="CW197" s="2">
        <v>0</v>
      </c>
      <c r="CX197" s="2"/>
      <c r="CY197" s="2"/>
      <c r="CZ197" s="2"/>
      <c r="DA197" s="2"/>
      <c r="DB197" s="2"/>
      <c r="DC197" s="2">
        <v>0</v>
      </c>
      <c r="DD197" s="2"/>
      <c r="DE197" s="2"/>
      <c r="DF197" s="2"/>
      <c r="DG197" s="2">
        <v>0</v>
      </c>
      <c r="DH197" s="2"/>
      <c r="DI197" s="2"/>
      <c r="DJ197" s="2">
        <v>0</v>
      </c>
      <c r="DK197" s="2"/>
      <c r="DL197" s="2"/>
      <c r="DM197" s="2"/>
      <c r="DN197" s="2">
        <v>0</v>
      </c>
      <c r="DO197" s="2"/>
      <c r="DP197" s="2"/>
      <c r="DQ197" s="2">
        <v>0</v>
      </c>
      <c r="DR197" s="2"/>
      <c r="DS197" s="2"/>
      <c r="DT197" s="2">
        <v>0</v>
      </c>
    </row>
    <row r="198" spans="1:124" x14ac:dyDescent="0.25">
      <c r="A198" s="6" t="s">
        <v>136</v>
      </c>
      <c r="B198" s="2"/>
      <c r="C198" s="2">
        <v>0</v>
      </c>
      <c r="D198" s="2"/>
      <c r="E198" s="2"/>
      <c r="F198" s="2"/>
      <c r="G198" s="2">
        <v>0</v>
      </c>
      <c r="H198" s="2"/>
      <c r="I198" s="2"/>
      <c r="J198" s="2">
        <v>0</v>
      </c>
      <c r="K198" s="2"/>
      <c r="L198" s="2">
        <v>0</v>
      </c>
      <c r="M198" s="2"/>
      <c r="N198" s="2">
        <v>0</v>
      </c>
      <c r="O198" s="2"/>
      <c r="P198" s="2"/>
      <c r="Q198" s="2"/>
      <c r="R198" s="2">
        <v>0</v>
      </c>
      <c r="S198" s="2"/>
      <c r="T198" s="2"/>
      <c r="U198" s="2">
        <v>0</v>
      </c>
      <c r="V198" s="2"/>
      <c r="W198" s="2"/>
      <c r="X198" s="2"/>
      <c r="Y198" s="2"/>
      <c r="Z198" s="2"/>
      <c r="AA198" s="2">
        <v>0</v>
      </c>
      <c r="AB198" s="2"/>
      <c r="AC198" s="2"/>
      <c r="AD198" s="2"/>
      <c r="AE198" s="2"/>
      <c r="AF198" s="2">
        <v>0</v>
      </c>
      <c r="AG198" s="2"/>
      <c r="AH198" s="2"/>
      <c r="AI198" s="2">
        <v>0</v>
      </c>
      <c r="AJ198" s="2"/>
      <c r="AK198" s="2"/>
      <c r="AL198" s="2"/>
      <c r="AM198" s="2">
        <v>0</v>
      </c>
      <c r="AN198" s="2"/>
      <c r="AO198" s="2"/>
      <c r="AP198" s="2"/>
      <c r="AQ198" s="2"/>
      <c r="AR198" s="2">
        <v>0</v>
      </c>
      <c r="AS198" s="2"/>
      <c r="AT198" s="2"/>
      <c r="AU198" s="2"/>
      <c r="AV198" s="2"/>
      <c r="AW198" s="2">
        <v>0</v>
      </c>
      <c r="AX198" s="2"/>
      <c r="AY198" s="2"/>
      <c r="AZ198" s="2"/>
      <c r="BA198" s="2">
        <v>0</v>
      </c>
      <c r="BB198" s="2"/>
      <c r="BC198" s="2"/>
      <c r="BD198" s="2"/>
      <c r="BE198" s="2">
        <v>0</v>
      </c>
      <c r="BF198" s="2"/>
      <c r="BG198" s="2"/>
      <c r="BH198" s="2"/>
      <c r="BI198" s="2">
        <v>0</v>
      </c>
      <c r="BJ198" s="2"/>
      <c r="BK198" s="2"/>
      <c r="BL198" s="2"/>
      <c r="BM198" s="2">
        <v>0</v>
      </c>
      <c r="BN198" s="2"/>
      <c r="BO198" s="2"/>
      <c r="BP198" s="2"/>
      <c r="BQ198" s="2">
        <v>0</v>
      </c>
      <c r="BR198" s="2"/>
      <c r="BS198" s="2"/>
      <c r="BT198" s="2"/>
      <c r="BU198" s="2"/>
      <c r="BV198" s="2"/>
      <c r="BW198" s="2">
        <v>0</v>
      </c>
      <c r="BX198" s="2"/>
      <c r="BY198" s="2"/>
      <c r="BZ198" s="2"/>
      <c r="CA198" s="2">
        <v>0</v>
      </c>
      <c r="CB198" s="2"/>
      <c r="CC198" s="2"/>
      <c r="CD198" s="2">
        <v>0</v>
      </c>
      <c r="CE198" s="2"/>
      <c r="CF198" s="2"/>
      <c r="CG198" s="2"/>
      <c r="CH198" s="2"/>
      <c r="CI198" s="2">
        <v>0</v>
      </c>
      <c r="CJ198" s="2"/>
      <c r="CK198" s="2"/>
      <c r="CL198" s="2">
        <v>0</v>
      </c>
      <c r="CM198" s="2"/>
      <c r="CN198" s="2"/>
      <c r="CO198" s="2"/>
      <c r="CP198" s="2"/>
      <c r="CQ198" s="2">
        <v>0</v>
      </c>
      <c r="CR198" s="2"/>
      <c r="CS198" s="2"/>
      <c r="CT198" s="2">
        <v>0</v>
      </c>
      <c r="CU198" s="2"/>
      <c r="CV198" s="2"/>
      <c r="CW198" s="2">
        <v>0</v>
      </c>
      <c r="CX198" s="2"/>
      <c r="CY198" s="2"/>
      <c r="CZ198" s="2"/>
      <c r="DA198" s="2"/>
      <c r="DB198" s="2"/>
      <c r="DC198" s="2">
        <v>0</v>
      </c>
      <c r="DD198" s="2"/>
      <c r="DE198" s="2"/>
      <c r="DF198" s="2"/>
      <c r="DG198" s="2">
        <v>0</v>
      </c>
      <c r="DH198" s="2"/>
      <c r="DI198" s="2"/>
      <c r="DJ198" s="2">
        <v>0</v>
      </c>
      <c r="DK198" s="2"/>
      <c r="DL198" s="2"/>
      <c r="DM198" s="2"/>
      <c r="DN198" s="2">
        <v>1</v>
      </c>
      <c r="DO198" s="2"/>
      <c r="DP198" s="2"/>
      <c r="DQ198" s="2">
        <v>0</v>
      </c>
      <c r="DR198" s="2"/>
      <c r="DS198" s="2"/>
      <c r="DT198" s="2">
        <v>1</v>
      </c>
    </row>
    <row r="199" spans="1:124" x14ac:dyDescent="0.25">
      <c r="A199" s="6" t="s">
        <v>138</v>
      </c>
      <c r="B199" s="2"/>
      <c r="C199" s="2">
        <v>1</v>
      </c>
      <c r="D199" s="2"/>
      <c r="E199" s="2"/>
      <c r="F199" s="2"/>
      <c r="G199" s="2">
        <v>2</v>
      </c>
      <c r="H199" s="2"/>
      <c r="I199" s="2"/>
      <c r="J199" s="2">
        <v>0</v>
      </c>
      <c r="K199" s="2"/>
      <c r="L199" s="2">
        <v>0</v>
      </c>
      <c r="M199" s="2"/>
      <c r="N199" s="2">
        <v>0</v>
      </c>
      <c r="O199" s="2"/>
      <c r="P199" s="2"/>
      <c r="Q199" s="2"/>
      <c r="R199" s="2">
        <v>1</v>
      </c>
      <c r="S199" s="2"/>
      <c r="T199" s="2"/>
      <c r="U199" s="2">
        <v>0</v>
      </c>
      <c r="V199" s="2"/>
      <c r="W199" s="2"/>
      <c r="X199" s="2"/>
      <c r="Y199" s="2"/>
      <c r="Z199" s="2"/>
      <c r="AA199" s="2">
        <v>0</v>
      </c>
      <c r="AB199" s="2"/>
      <c r="AC199" s="2"/>
      <c r="AD199" s="2"/>
      <c r="AE199" s="2"/>
      <c r="AF199" s="2">
        <v>0</v>
      </c>
      <c r="AG199" s="2"/>
      <c r="AH199" s="2"/>
      <c r="AI199" s="2">
        <v>0</v>
      </c>
      <c r="AJ199" s="2"/>
      <c r="AK199" s="2"/>
      <c r="AL199" s="2"/>
      <c r="AM199" s="2">
        <v>0</v>
      </c>
      <c r="AN199" s="2"/>
      <c r="AO199" s="2"/>
      <c r="AP199" s="2"/>
      <c r="AQ199" s="2"/>
      <c r="AR199" s="2">
        <v>0</v>
      </c>
      <c r="AS199" s="2"/>
      <c r="AT199" s="2"/>
      <c r="AU199" s="2"/>
      <c r="AV199" s="2"/>
      <c r="AW199" s="2">
        <v>1</v>
      </c>
      <c r="AX199" s="2"/>
      <c r="AY199" s="2"/>
      <c r="AZ199" s="2"/>
      <c r="BA199" s="2">
        <v>0</v>
      </c>
      <c r="BB199" s="2"/>
      <c r="BC199" s="2"/>
      <c r="BD199" s="2"/>
      <c r="BE199" s="2">
        <v>0</v>
      </c>
      <c r="BF199" s="2"/>
      <c r="BG199" s="2"/>
      <c r="BH199" s="2"/>
      <c r="BI199" s="2">
        <v>1</v>
      </c>
      <c r="BJ199" s="2"/>
      <c r="BK199" s="2"/>
      <c r="BL199" s="2"/>
      <c r="BM199" s="2">
        <v>0</v>
      </c>
      <c r="BN199" s="2"/>
      <c r="BO199" s="2"/>
      <c r="BP199" s="2"/>
      <c r="BQ199" s="2">
        <v>0</v>
      </c>
      <c r="BR199" s="2"/>
      <c r="BS199" s="2"/>
      <c r="BT199" s="2"/>
      <c r="BU199" s="2"/>
      <c r="BV199" s="2"/>
      <c r="BW199" s="2">
        <v>0</v>
      </c>
      <c r="BX199" s="2"/>
      <c r="BY199" s="2"/>
      <c r="BZ199" s="2"/>
      <c r="CA199" s="2">
        <v>1</v>
      </c>
      <c r="CB199" s="2"/>
      <c r="CC199" s="2"/>
      <c r="CD199" s="2">
        <v>0</v>
      </c>
      <c r="CE199" s="2"/>
      <c r="CF199" s="2"/>
      <c r="CG199" s="2"/>
      <c r="CH199" s="2"/>
      <c r="CI199" s="2">
        <v>1</v>
      </c>
      <c r="CJ199" s="2"/>
      <c r="CK199" s="2"/>
      <c r="CL199" s="2">
        <v>0</v>
      </c>
      <c r="CM199" s="2"/>
      <c r="CN199" s="2"/>
      <c r="CO199" s="2"/>
      <c r="CP199" s="2"/>
      <c r="CQ199" s="2">
        <v>0</v>
      </c>
      <c r="CR199" s="2"/>
      <c r="CS199" s="2"/>
      <c r="CT199" s="2">
        <v>0</v>
      </c>
      <c r="CU199" s="2"/>
      <c r="CV199" s="2"/>
      <c r="CW199" s="2">
        <v>0</v>
      </c>
      <c r="CX199" s="2"/>
      <c r="CY199" s="2"/>
      <c r="CZ199" s="2"/>
      <c r="DA199" s="2"/>
      <c r="DB199" s="2"/>
      <c r="DC199" s="2">
        <v>1</v>
      </c>
      <c r="DD199" s="2"/>
      <c r="DE199" s="2"/>
      <c r="DF199" s="2"/>
      <c r="DG199" s="2">
        <v>1</v>
      </c>
      <c r="DH199" s="2"/>
      <c r="DI199" s="2"/>
      <c r="DJ199" s="2">
        <v>1</v>
      </c>
      <c r="DK199" s="2"/>
      <c r="DL199" s="2"/>
      <c r="DM199" s="2"/>
      <c r="DN199" s="2">
        <v>1</v>
      </c>
      <c r="DO199" s="2"/>
      <c r="DP199" s="2"/>
      <c r="DQ199" s="2">
        <v>0</v>
      </c>
      <c r="DR199" s="2"/>
      <c r="DS199" s="2"/>
      <c r="DT199" s="2">
        <v>12</v>
      </c>
    </row>
    <row r="200" spans="1:124" x14ac:dyDescent="0.25">
      <c r="A200" s="6" t="s">
        <v>140</v>
      </c>
      <c r="B200" s="2"/>
      <c r="C200" s="2">
        <v>0</v>
      </c>
      <c r="D200" s="2"/>
      <c r="E200" s="2"/>
      <c r="F200" s="2"/>
      <c r="G200" s="2">
        <v>0</v>
      </c>
      <c r="H200" s="2"/>
      <c r="I200" s="2"/>
      <c r="J200" s="2">
        <v>0</v>
      </c>
      <c r="K200" s="2"/>
      <c r="L200" s="2">
        <v>0</v>
      </c>
      <c r="M200" s="2"/>
      <c r="N200" s="2">
        <v>0</v>
      </c>
      <c r="O200" s="2"/>
      <c r="P200" s="2"/>
      <c r="Q200" s="2"/>
      <c r="R200" s="2">
        <v>0</v>
      </c>
      <c r="S200" s="2"/>
      <c r="T200" s="2"/>
      <c r="U200" s="2">
        <v>0</v>
      </c>
      <c r="V200" s="2"/>
      <c r="W200" s="2"/>
      <c r="X200" s="2"/>
      <c r="Y200" s="2"/>
      <c r="Z200" s="2"/>
      <c r="AA200" s="2">
        <v>0</v>
      </c>
      <c r="AB200" s="2"/>
      <c r="AC200" s="2"/>
      <c r="AD200" s="2"/>
      <c r="AE200" s="2"/>
      <c r="AF200" s="2">
        <v>0</v>
      </c>
      <c r="AG200" s="2"/>
      <c r="AH200" s="2"/>
      <c r="AI200" s="2">
        <v>0</v>
      </c>
      <c r="AJ200" s="2"/>
      <c r="AK200" s="2"/>
      <c r="AL200" s="2"/>
      <c r="AM200" s="2">
        <v>0</v>
      </c>
      <c r="AN200" s="2"/>
      <c r="AO200" s="2"/>
      <c r="AP200" s="2"/>
      <c r="AQ200" s="2"/>
      <c r="AR200" s="2">
        <v>0</v>
      </c>
      <c r="AS200" s="2"/>
      <c r="AT200" s="2"/>
      <c r="AU200" s="2"/>
      <c r="AV200" s="2"/>
      <c r="AW200" s="2">
        <v>0</v>
      </c>
      <c r="AX200" s="2"/>
      <c r="AY200" s="2"/>
      <c r="AZ200" s="2"/>
      <c r="BA200" s="2">
        <v>1</v>
      </c>
      <c r="BB200" s="2"/>
      <c r="BC200" s="2"/>
      <c r="BD200" s="2"/>
      <c r="BE200" s="2">
        <v>0</v>
      </c>
      <c r="BF200" s="2"/>
      <c r="BG200" s="2"/>
      <c r="BH200" s="2"/>
      <c r="BI200" s="2">
        <v>0</v>
      </c>
      <c r="BJ200" s="2"/>
      <c r="BK200" s="2"/>
      <c r="BL200" s="2"/>
      <c r="BM200" s="2">
        <v>0</v>
      </c>
      <c r="BN200" s="2"/>
      <c r="BO200" s="2"/>
      <c r="BP200" s="2"/>
      <c r="BQ200" s="2">
        <v>0</v>
      </c>
      <c r="BR200" s="2"/>
      <c r="BS200" s="2"/>
      <c r="BT200" s="2"/>
      <c r="BU200" s="2"/>
      <c r="BV200" s="2"/>
      <c r="BW200" s="2">
        <v>0</v>
      </c>
      <c r="BX200" s="2"/>
      <c r="BY200" s="2"/>
      <c r="BZ200" s="2"/>
      <c r="CA200" s="2">
        <v>0</v>
      </c>
      <c r="CB200" s="2"/>
      <c r="CC200" s="2"/>
      <c r="CD200" s="2">
        <v>0</v>
      </c>
      <c r="CE200" s="2"/>
      <c r="CF200" s="2"/>
      <c r="CG200" s="2"/>
      <c r="CH200" s="2"/>
      <c r="CI200" s="2">
        <v>0</v>
      </c>
      <c r="CJ200" s="2"/>
      <c r="CK200" s="2"/>
      <c r="CL200" s="2">
        <v>1</v>
      </c>
      <c r="CM200" s="2"/>
      <c r="CN200" s="2"/>
      <c r="CO200" s="2"/>
      <c r="CP200" s="2"/>
      <c r="CQ200" s="2">
        <v>0</v>
      </c>
      <c r="CR200" s="2"/>
      <c r="CS200" s="2"/>
      <c r="CT200" s="2">
        <v>0</v>
      </c>
      <c r="CU200" s="2"/>
      <c r="CV200" s="2"/>
      <c r="CW200" s="2">
        <v>0</v>
      </c>
      <c r="CX200" s="2"/>
      <c r="CY200" s="2"/>
      <c r="CZ200" s="2"/>
      <c r="DA200" s="2"/>
      <c r="DB200" s="2"/>
      <c r="DC200" s="2">
        <v>0</v>
      </c>
      <c r="DD200" s="2"/>
      <c r="DE200" s="2"/>
      <c r="DF200" s="2"/>
      <c r="DG200" s="2">
        <v>0</v>
      </c>
      <c r="DH200" s="2"/>
      <c r="DI200" s="2"/>
      <c r="DJ200" s="2">
        <v>0</v>
      </c>
      <c r="DK200" s="2"/>
      <c r="DL200" s="2"/>
      <c r="DM200" s="2"/>
      <c r="DN200" s="2">
        <v>0</v>
      </c>
      <c r="DO200" s="2"/>
      <c r="DP200" s="2"/>
      <c r="DQ200" s="2">
        <v>0</v>
      </c>
      <c r="DR200" s="2"/>
      <c r="DS200" s="2"/>
      <c r="DT200" s="2">
        <v>2</v>
      </c>
    </row>
    <row r="201" spans="1:124" x14ac:dyDescent="0.25">
      <c r="A201" s="6" t="s">
        <v>142</v>
      </c>
      <c r="C201">
        <v>0</v>
      </c>
      <c r="G201">
        <v>2</v>
      </c>
      <c r="J201">
        <v>0</v>
      </c>
      <c r="L201">
        <v>0</v>
      </c>
      <c r="N201">
        <v>0</v>
      </c>
      <c r="R201">
        <v>0</v>
      </c>
      <c r="U201">
        <v>0</v>
      </c>
      <c r="AA201">
        <v>0</v>
      </c>
      <c r="AF201">
        <v>0</v>
      </c>
      <c r="AI201">
        <v>0</v>
      </c>
      <c r="AM201">
        <v>0</v>
      </c>
      <c r="AR201">
        <v>0</v>
      </c>
      <c r="AW201">
        <v>0</v>
      </c>
      <c r="BA201">
        <v>0</v>
      </c>
      <c r="BE201">
        <v>0</v>
      </c>
      <c r="BI201">
        <v>0</v>
      </c>
      <c r="BM201">
        <v>0</v>
      </c>
      <c r="BQ201">
        <v>0</v>
      </c>
      <c r="BW201">
        <v>0</v>
      </c>
      <c r="CA201">
        <v>0</v>
      </c>
      <c r="CD201">
        <v>0</v>
      </c>
      <c r="CI201">
        <v>0</v>
      </c>
      <c r="CL201">
        <v>0</v>
      </c>
      <c r="CQ201">
        <v>0</v>
      </c>
      <c r="CT201">
        <v>0</v>
      </c>
      <c r="CW201">
        <v>0</v>
      </c>
      <c r="DC201">
        <v>0</v>
      </c>
      <c r="DG201">
        <v>0</v>
      </c>
      <c r="DJ201">
        <v>0</v>
      </c>
      <c r="DN201">
        <v>0</v>
      </c>
      <c r="DQ201">
        <v>0</v>
      </c>
      <c r="DT201">
        <v>2</v>
      </c>
    </row>
    <row r="202" spans="1:124" x14ac:dyDescent="0.25">
      <c r="A202" s="6" t="s">
        <v>144</v>
      </c>
      <c r="C202">
        <v>0</v>
      </c>
      <c r="G202">
        <v>0</v>
      </c>
      <c r="J202">
        <v>0</v>
      </c>
      <c r="L202">
        <v>0</v>
      </c>
      <c r="N202">
        <v>0</v>
      </c>
      <c r="R202">
        <v>0</v>
      </c>
      <c r="U202">
        <v>0</v>
      </c>
      <c r="AA202">
        <v>0</v>
      </c>
      <c r="AF202">
        <v>0</v>
      </c>
      <c r="AI202">
        <v>0</v>
      </c>
      <c r="AM202">
        <v>0</v>
      </c>
      <c r="AR202">
        <v>0</v>
      </c>
      <c r="AW202">
        <v>0</v>
      </c>
      <c r="BA202">
        <v>0</v>
      </c>
      <c r="BE202">
        <v>0</v>
      </c>
      <c r="BI202">
        <v>0</v>
      </c>
      <c r="BM202">
        <v>0</v>
      </c>
      <c r="BQ202">
        <v>0</v>
      </c>
      <c r="BW202">
        <v>0</v>
      </c>
      <c r="CA202">
        <v>1</v>
      </c>
      <c r="CD202">
        <v>0</v>
      </c>
      <c r="CI202">
        <v>0</v>
      </c>
      <c r="CL202">
        <v>0</v>
      </c>
      <c r="CQ202">
        <v>0</v>
      </c>
      <c r="CT202">
        <v>0</v>
      </c>
      <c r="CW202">
        <v>0</v>
      </c>
      <c r="DC202">
        <v>0</v>
      </c>
      <c r="DG202">
        <v>0</v>
      </c>
      <c r="DJ202">
        <v>0</v>
      </c>
      <c r="DN202">
        <v>0</v>
      </c>
      <c r="DQ202">
        <v>0</v>
      </c>
      <c r="DT202">
        <v>1</v>
      </c>
    </row>
    <row r="203" spans="1:124" x14ac:dyDescent="0.25">
      <c r="A203" s="6" t="s">
        <v>146</v>
      </c>
      <c r="B203" s="2"/>
      <c r="C203" s="2">
        <v>0</v>
      </c>
      <c r="D203" s="2"/>
      <c r="E203" s="2"/>
      <c r="F203" s="2"/>
      <c r="G203" s="2">
        <v>0</v>
      </c>
      <c r="H203" s="2"/>
      <c r="I203" s="2"/>
      <c r="J203" s="2">
        <v>0</v>
      </c>
      <c r="K203" s="2"/>
      <c r="L203" s="2">
        <v>0</v>
      </c>
      <c r="M203" s="2"/>
      <c r="N203" s="2">
        <v>0</v>
      </c>
      <c r="O203" s="2"/>
      <c r="P203" s="2"/>
      <c r="Q203" s="2"/>
      <c r="R203" s="2">
        <v>0</v>
      </c>
      <c r="S203" s="2"/>
      <c r="T203" s="2"/>
      <c r="U203" s="2">
        <v>0</v>
      </c>
      <c r="V203" s="2"/>
      <c r="W203" s="2"/>
      <c r="X203" s="2"/>
      <c r="Y203" s="2"/>
      <c r="Z203" s="2"/>
      <c r="AA203" s="2">
        <v>0</v>
      </c>
      <c r="AB203" s="2"/>
      <c r="AC203" s="2"/>
      <c r="AD203" s="2"/>
      <c r="AE203" s="2"/>
      <c r="AF203" s="2">
        <v>0</v>
      </c>
      <c r="AG203" s="2"/>
      <c r="AH203" s="2"/>
      <c r="AI203" s="2">
        <v>1</v>
      </c>
      <c r="AJ203" s="2"/>
      <c r="AK203" s="2"/>
      <c r="AL203" s="2"/>
      <c r="AM203" s="2">
        <v>0</v>
      </c>
      <c r="AN203" s="2"/>
      <c r="AO203" s="2"/>
      <c r="AP203" s="2"/>
      <c r="AQ203" s="2"/>
      <c r="AR203" s="2">
        <v>0</v>
      </c>
      <c r="AS203" s="2"/>
      <c r="AT203" s="2"/>
      <c r="AU203" s="2"/>
      <c r="AV203" s="2"/>
      <c r="AW203" s="2">
        <v>0</v>
      </c>
      <c r="AX203" s="2"/>
      <c r="AY203" s="2"/>
      <c r="AZ203" s="2"/>
      <c r="BA203" s="2">
        <v>0</v>
      </c>
      <c r="BB203" s="2"/>
      <c r="BC203" s="2"/>
      <c r="BD203" s="2"/>
      <c r="BE203" s="2">
        <v>0</v>
      </c>
      <c r="BF203" s="2"/>
      <c r="BG203" s="2"/>
      <c r="BH203" s="2"/>
      <c r="BI203" s="2">
        <v>0</v>
      </c>
      <c r="BJ203" s="2"/>
      <c r="BK203" s="2"/>
      <c r="BL203" s="2"/>
      <c r="BM203" s="2">
        <v>1</v>
      </c>
      <c r="BN203" s="2"/>
      <c r="BO203" s="2"/>
      <c r="BP203" s="2"/>
      <c r="BQ203" s="2">
        <v>0</v>
      </c>
      <c r="BR203" s="2"/>
      <c r="BS203" s="2"/>
      <c r="BT203" s="2"/>
      <c r="BU203" s="2"/>
      <c r="BV203" s="2"/>
      <c r="BW203" s="2">
        <v>0</v>
      </c>
      <c r="BX203" s="2"/>
      <c r="BY203" s="2"/>
      <c r="BZ203" s="2"/>
      <c r="CA203" s="2">
        <v>0</v>
      </c>
      <c r="CB203" s="2"/>
      <c r="CC203" s="2"/>
      <c r="CD203" s="2">
        <v>0</v>
      </c>
      <c r="CE203" s="2"/>
      <c r="CF203" s="2"/>
      <c r="CG203" s="2"/>
      <c r="CH203" s="2"/>
      <c r="CI203" s="2">
        <v>0</v>
      </c>
      <c r="CJ203" s="2"/>
      <c r="CK203" s="2"/>
      <c r="CL203" s="2">
        <v>0</v>
      </c>
      <c r="CM203" s="2"/>
      <c r="CN203" s="2"/>
      <c r="CO203" s="2"/>
      <c r="CP203" s="2"/>
      <c r="CQ203" s="2">
        <v>1</v>
      </c>
      <c r="CR203" s="2"/>
      <c r="CS203" s="2"/>
      <c r="CT203" s="2">
        <v>0</v>
      </c>
      <c r="CU203" s="2"/>
      <c r="CV203" s="2"/>
      <c r="CW203" s="2">
        <v>0</v>
      </c>
      <c r="CX203" s="2"/>
      <c r="CY203" s="2"/>
      <c r="CZ203" s="2"/>
      <c r="DA203" s="2"/>
      <c r="DB203" s="2"/>
      <c r="DC203" s="2">
        <v>0</v>
      </c>
      <c r="DD203" s="2"/>
      <c r="DE203" s="2"/>
      <c r="DF203" s="2"/>
      <c r="DG203" s="2">
        <v>0</v>
      </c>
      <c r="DH203" s="2"/>
      <c r="DI203" s="2"/>
      <c r="DJ203" s="2">
        <v>0</v>
      </c>
      <c r="DK203" s="2"/>
      <c r="DL203" s="2"/>
      <c r="DM203" s="2"/>
      <c r="DN203" s="2">
        <v>0</v>
      </c>
      <c r="DO203" s="2"/>
      <c r="DP203" s="2"/>
      <c r="DQ203" s="2">
        <v>1</v>
      </c>
      <c r="DR203" s="2"/>
      <c r="DS203" s="2"/>
      <c r="DT203" s="2">
        <v>4</v>
      </c>
    </row>
    <row r="204" spans="1:124" x14ac:dyDescent="0.25">
      <c r="A204" s="6" t="s">
        <v>454</v>
      </c>
      <c r="C204">
        <v>0</v>
      </c>
      <c r="G204">
        <v>0</v>
      </c>
      <c r="J204">
        <v>0</v>
      </c>
      <c r="L204">
        <v>0</v>
      </c>
      <c r="N204">
        <v>0</v>
      </c>
      <c r="R204">
        <v>0</v>
      </c>
      <c r="U204">
        <v>0</v>
      </c>
      <c r="AA204">
        <v>0</v>
      </c>
      <c r="AF204">
        <v>0</v>
      </c>
      <c r="AI204">
        <v>0</v>
      </c>
      <c r="AM204">
        <v>0</v>
      </c>
      <c r="AR204">
        <v>0</v>
      </c>
      <c r="AW204">
        <v>0</v>
      </c>
      <c r="BA204">
        <v>0</v>
      </c>
      <c r="BE204">
        <v>0</v>
      </c>
      <c r="BI204">
        <v>0</v>
      </c>
      <c r="BM204">
        <v>1</v>
      </c>
      <c r="BQ204">
        <v>0</v>
      </c>
      <c r="BW204">
        <v>0</v>
      </c>
      <c r="CA204">
        <v>0</v>
      </c>
      <c r="CD204">
        <v>0</v>
      </c>
      <c r="CI204">
        <v>0</v>
      </c>
      <c r="CL204">
        <v>0</v>
      </c>
      <c r="CQ204">
        <v>0</v>
      </c>
      <c r="CT204">
        <v>0</v>
      </c>
      <c r="CW204">
        <v>0</v>
      </c>
      <c r="DC204">
        <v>0</v>
      </c>
      <c r="DG204">
        <v>0</v>
      </c>
      <c r="DJ204">
        <v>0</v>
      </c>
      <c r="DN204">
        <v>0</v>
      </c>
      <c r="DQ204">
        <v>0</v>
      </c>
      <c r="DT204">
        <v>1</v>
      </c>
    </row>
    <row r="205" spans="1:124" x14ac:dyDescent="0.25">
      <c r="A205" s="6" t="s">
        <v>148</v>
      </c>
      <c r="B205" s="2"/>
      <c r="C205" s="2">
        <v>0</v>
      </c>
      <c r="D205" s="2"/>
      <c r="E205" s="2"/>
      <c r="F205" s="2"/>
      <c r="G205" s="2">
        <v>0</v>
      </c>
      <c r="H205" s="2"/>
      <c r="I205" s="2"/>
      <c r="J205" s="2">
        <v>0</v>
      </c>
      <c r="K205" s="2"/>
      <c r="L205" s="2">
        <v>0</v>
      </c>
      <c r="M205" s="2"/>
      <c r="N205" s="2">
        <v>0</v>
      </c>
      <c r="O205" s="2"/>
      <c r="P205" s="2"/>
      <c r="Q205" s="2"/>
      <c r="R205" s="2">
        <v>0</v>
      </c>
      <c r="S205" s="2"/>
      <c r="T205" s="2"/>
      <c r="U205" s="2">
        <v>0</v>
      </c>
      <c r="V205" s="2"/>
      <c r="W205" s="2"/>
      <c r="X205" s="2"/>
      <c r="Y205" s="2"/>
      <c r="Z205" s="2"/>
      <c r="AA205" s="2">
        <v>0</v>
      </c>
      <c r="AB205" s="2"/>
      <c r="AC205" s="2"/>
      <c r="AD205" s="2"/>
      <c r="AE205" s="2"/>
      <c r="AF205" s="2">
        <v>0</v>
      </c>
      <c r="AG205" s="2"/>
      <c r="AH205" s="2"/>
      <c r="AI205" s="2">
        <v>0</v>
      </c>
      <c r="AJ205" s="2"/>
      <c r="AK205" s="2"/>
      <c r="AL205" s="2"/>
      <c r="AM205" s="2">
        <v>1</v>
      </c>
      <c r="AN205" s="2"/>
      <c r="AO205" s="2"/>
      <c r="AP205" s="2"/>
      <c r="AQ205" s="2"/>
      <c r="AR205" s="2">
        <v>0</v>
      </c>
      <c r="AS205" s="2"/>
      <c r="AT205" s="2"/>
      <c r="AU205" s="2"/>
      <c r="AV205" s="2"/>
      <c r="AW205" s="2">
        <v>0</v>
      </c>
      <c r="AX205" s="2"/>
      <c r="AY205" s="2"/>
      <c r="AZ205" s="2"/>
      <c r="BA205" s="2">
        <v>0</v>
      </c>
      <c r="BB205" s="2"/>
      <c r="BC205" s="2"/>
      <c r="BD205" s="2"/>
      <c r="BE205" s="2">
        <v>0</v>
      </c>
      <c r="BF205" s="2"/>
      <c r="BG205" s="2"/>
      <c r="BH205" s="2"/>
      <c r="BI205" s="2">
        <v>0</v>
      </c>
      <c r="BJ205" s="2"/>
      <c r="BK205" s="2"/>
      <c r="BL205" s="2"/>
      <c r="BM205" s="2">
        <v>0</v>
      </c>
      <c r="BN205" s="2"/>
      <c r="BO205" s="2"/>
      <c r="BP205" s="2"/>
      <c r="BQ205" s="2">
        <v>1</v>
      </c>
      <c r="BR205" s="2"/>
      <c r="BS205" s="2"/>
      <c r="BT205" s="2"/>
      <c r="BU205" s="2"/>
      <c r="BV205" s="2"/>
      <c r="BW205" s="2">
        <v>0</v>
      </c>
      <c r="BX205" s="2"/>
      <c r="BY205" s="2"/>
      <c r="BZ205" s="2"/>
      <c r="CA205" s="2">
        <v>0</v>
      </c>
      <c r="CB205" s="2"/>
      <c r="CC205" s="2"/>
      <c r="CD205" s="2">
        <v>0</v>
      </c>
      <c r="CE205" s="2"/>
      <c r="CF205" s="2"/>
      <c r="CG205" s="2"/>
      <c r="CH205" s="2"/>
      <c r="CI205" s="2">
        <v>0</v>
      </c>
      <c r="CJ205" s="2"/>
      <c r="CK205" s="2"/>
      <c r="CL205" s="2">
        <v>0</v>
      </c>
      <c r="CM205" s="2"/>
      <c r="CN205" s="2"/>
      <c r="CO205" s="2"/>
      <c r="CP205" s="2"/>
      <c r="CQ205" s="2">
        <v>0</v>
      </c>
      <c r="CR205" s="2"/>
      <c r="CS205" s="2"/>
      <c r="CT205" s="2">
        <v>1</v>
      </c>
      <c r="CU205" s="2"/>
      <c r="CV205" s="2"/>
      <c r="CW205" s="2">
        <v>0</v>
      </c>
      <c r="CX205" s="2"/>
      <c r="CY205" s="2"/>
      <c r="CZ205" s="2"/>
      <c r="DA205" s="2"/>
      <c r="DB205" s="2"/>
      <c r="DC205" s="2">
        <v>0</v>
      </c>
      <c r="DD205" s="2"/>
      <c r="DE205" s="2"/>
      <c r="DF205" s="2"/>
      <c r="DG205" s="2">
        <v>0</v>
      </c>
      <c r="DH205" s="2"/>
      <c r="DI205" s="2"/>
      <c r="DJ205" s="2">
        <v>0</v>
      </c>
      <c r="DK205" s="2"/>
      <c r="DL205" s="2"/>
      <c r="DM205" s="2"/>
      <c r="DN205" s="2">
        <v>0</v>
      </c>
      <c r="DO205" s="2"/>
      <c r="DP205" s="2"/>
      <c r="DQ205" s="2">
        <v>0</v>
      </c>
      <c r="DR205" s="2"/>
      <c r="DS205" s="2"/>
      <c r="DT205" s="2">
        <v>3</v>
      </c>
    </row>
    <row r="206" spans="1:124" x14ac:dyDescent="0.25">
      <c r="A206" s="6" t="s">
        <v>456</v>
      </c>
      <c r="C206">
        <v>0</v>
      </c>
      <c r="G206">
        <v>0</v>
      </c>
      <c r="J206">
        <v>0</v>
      </c>
      <c r="L206">
        <v>0</v>
      </c>
      <c r="N206">
        <v>0</v>
      </c>
      <c r="R206">
        <v>0</v>
      </c>
      <c r="U206">
        <v>0</v>
      </c>
      <c r="AA206">
        <v>0</v>
      </c>
      <c r="AF206">
        <v>0</v>
      </c>
      <c r="AI206">
        <v>0</v>
      </c>
      <c r="AM206">
        <v>1</v>
      </c>
      <c r="AR206">
        <v>0</v>
      </c>
      <c r="AW206">
        <v>0</v>
      </c>
      <c r="BA206">
        <v>0</v>
      </c>
      <c r="BE206">
        <v>0</v>
      </c>
      <c r="BI206">
        <v>0</v>
      </c>
      <c r="BM206">
        <v>0</v>
      </c>
      <c r="BQ206">
        <v>1</v>
      </c>
      <c r="BW206">
        <v>0</v>
      </c>
      <c r="CA206">
        <v>0</v>
      </c>
      <c r="CD206">
        <v>0</v>
      </c>
      <c r="CI206">
        <v>0</v>
      </c>
      <c r="CL206">
        <v>0</v>
      </c>
      <c r="CQ206">
        <v>0</v>
      </c>
      <c r="CT206">
        <v>1</v>
      </c>
      <c r="CW206">
        <v>0</v>
      </c>
      <c r="DC206">
        <v>0</v>
      </c>
      <c r="DG206">
        <v>0</v>
      </c>
      <c r="DJ206">
        <v>0</v>
      </c>
      <c r="DN206">
        <v>0</v>
      </c>
      <c r="DQ206">
        <v>0</v>
      </c>
      <c r="DT206">
        <v>3</v>
      </c>
    </row>
    <row r="207" spans="1:124" x14ac:dyDescent="0.25">
      <c r="A207" s="6" t="s">
        <v>150</v>
      </c>
      <c r="C207">
        <v>0</v>
      </c>
      <c r="G207">
        <v>0</v>
      </c>
      <c r="J207">
        <v>0</v>
      </c>
      <c r="L207">
        <v>0</v>
      </c>
      <c r="N207">
        <v>0</v>
      </c>
      <c r="R207">
        <v>2</v>
      </c>
      <c r="U207">
        <v>0</v>
      </c>
      <c r="AA207">
        <v>0</v>
      </c>
      <c r="AF207">
        <v>0</v>
      </c>
      <c r="AI207">
        <v>4</v>
      </c>
      <c r="AM207">
        <v>9</v>
      </c>
      <c r="AR207">
        <v>0</v>
      </c>
      <c r="AW207">
        <v>0</v>
      </c>
      <c r="BA207">
        <v>0</v>
      </c>
      <c r="BE207">
        <v>0</v>
      </c>
      <c r="BI207">
        <v>0</v>
      </c>
      <c r="BM207">
        <v>7</v>
      </c>
      <c r="BQ207">
        <v>7</v>
      </c>
      <c r="BW207">
        <v>0</v>
      </c>
      <c r="CA207">
        <v>1</v>
      </c>
      <c r="CD207">
        <v>0</v>
      </c>
      <c r="CI207">
        <v>0</v>
      </c>
      <c r="CL207">
        <v>0</v>
      </c>
      <c r="CQ207">
        <v>0</v>
      </c>
      <c r="CT207">
        <v>13</v>
      </c>
      <c r="CW207">
        <v>0</v>
      </c>
      <c r="DC207">
        <v>2</v>
      </c>
      <c r="DG207">
        <v>0</v>
      </c>
      <c r="DJ207">
        <v>1</v>
      </c>
      <c r="DN207">
        <v>1</v>
      </c>
      <c r="DQ207">
        <v>2</v>
      </c>
      <c r="DT207">
        <v>49</v>
      </c>
    </row>
    <row r="208" spans="1:124" x14ac:dyDescent="0.25">
      <c r="A208" s="6" t="s">
        <v>152</v>
      </c>
      <c r="B208" s="2"/>
      <c r="C208" s="2">
        <v>0</v>
      </c>
      <c r="D208" s="2"/>
      <c r="E208" s="2"/>
      <c r="F208" s="2"/>
      <c r="G208" s="2">
        <v>0</v>
      </c>
      <c r="H208" s="2"/>
      <c r="I208" s="2"/>
      <c r="J208" s="2">
        <v>0</v>
      </c>
      <c r="K208" s="2"/>
      <c r="L208" s="2">
        <v>0</v>
      </c>
      <c r="M208" s="2"/>
      <c r="N208" s="2">
        <v>0</v>
      </c>
      <c r="O208" s="2"/>
      <c r="P208" s="2"/>
      <c r="Q208" s="2"/>
      <c r="R208" s="2">
        <v>0</v>
      </c>
      <c r="S208" s="2"/>
      <c r="T208" s="2"/>
      <c r="U208" s="2">
        <v>0</v>
      </c>
      <c r="V208" s="2"/>
      <c r="W208" s="2"/>
      <c r="X208" s="2"/>
      <c r="Y208" s="2"/>
      <c r="Z208" s="2"/>
      <c r="AA208" s="2">
        <v>0</v>
      </c>
      <c r="AB208" s="2"/>
      <c r="AC208" s="2"/>
      <c r="AD208" s="2"/>
      <c r="AE208" s="2"/>
      <c r="AF208" s="2">
        <v>0</v>
      </c>
      <c r="AG208" s="2"/>
      <c r="AH208" s="2"/>
      <c r="AI208" s="2">
        <v>1</v>
      </c>
      <c r="AJ208" s="2"/>
      <c r="AK208" s="2"/>
      <c r="AL208" s="2"/>
      <c r="AM208" s="2">
        <v>0</v>
      </c>
      <c r="AN208" s="2"/>
      <c r="AO208" s="2"/>
      <c r="AP208" s="2"/>
      <c r="AQ208" s="2"/>
      <c r="AR208" s="2">
        <v>0</v>
      </c>
      <c r="AS208" s="2"/>
      <c r="AT208" s="2"/>
      <c r="AU208" s="2"/>
      <c r="AV208" s="2"/>
      <c r="AW208" s="2">
        <v>0</v>
      </c>
      <c r="AX208" s="2"/>
      <c r="AY208" s="2"/>
      <c r="AZ208" s="2"/>
      <c r="BA208" s="2">
        <v>0</v>
      </c>
      <c r="BB208" s="2"/>
      <c r="BC208" s="2"/>
      <c r="BD208" s="2"/>
      <c r="BE208" s="2">
        <v>0</v>
      </c>
      <c r="BF208" s="2"/>
      <c r="BG208" s="2"/>
      <c r="BH208" s="2"/>
      <c r="BI208" s="2">
        <v>0</v>
      </c>
      <c r="BJ208" s="2"/>
      <c r="BK208" s="2"/>
      <c r="BL208" s="2"/>
      <c r="BM208" s="2">
        <v>1</v>
      </c>
      <c r="BN208" s="2"/>
      <c r="BO208" s="2"/>
      <c r="BP208" s="2"/>
      <c r="BQ208" s="2">
        <v>0</v>
      </c>
      <c r="BR208" s="2"/>
      <c r="BS208" s="2"/>
      <c r="BT208" s="2"/>
      <c r="BU208" s="2"/>
      <c r="BV208" s="2"/>
      <c r="BW208" s="2">
        <v>0</v>
      </c>
      <c r="BX208" s="2"/>
      <c r="BY208" s="2"/>
      <c r="BZ208" s="2"/>
      <c r="CA208" s="2">
        <v>0</v>
      </c>
      <c r="CB208" s="2"/>
      <c r="CC208" s="2"/>
      <c r="CD208" s="2">
        <v>0</v>
      </c>
      <c r="CE208" s="2"/>
      <c r="CF208" s="2"/>
      <c r="CG208" s="2"/>
      <c r="CH208" s="2"/>
      <c r="CI208" s="2">
        <v>0</v>
      </c>
      <c r="CJ208" s="2"/>
      <c r="CK208" s="2"/>
      <c r="CL208" s="2">
        <v>0</v>
      </c>
      <c r="CM208" s="2"/>
      <c r="CN208" s="2"/>
      <c r="CO208" s="2"/>
      <c r="CP208" s="2"/>
      <c r="CQ208" s="2">
        <v>1</v>
      </c>
      <c r="CR208" s="2"/>
      <c r="CS208" s="2"/>
      <c r="CT208" s="2">
        <v>0</v>
      </c>
      <c r="CU208" s="2"/>
      <c r="CV208" s="2"/>
      <c r="CW208" s="2">
        <v>0</v>
      </c>
      <c r="CX208" s="2"/>
      <c r="CY208" s="2"/>
      <c r="CZ208" s="2"/>
      <c r="DA208" s="2"/>
      <c r="DB208" s="2"/>
      <c r="DC208" s="2">
        <v>0</v>
      </c>
      <c r="DD208" s="2"/>
      <c r="DE208" s="2"/>
      <c r="DF208" s="2"/>
      <c r="DG208" s="2">
        <v>0</v>
      </c>
      <c r="DH208" s="2"/>
      <c r="DI208" s="2"/>
      <c r="DJ208" s="2">
        <v>0</v>
      </c>
      <c r="DK208" s="2"/>
      <c r="DL208" s="2"/>
      <c r="DM208" s="2"/>
      <c r="DN208" s="2">
        <v>0</v>
      </c>
      <c r="DO208" s="2"/>
      <c r="DP208" s="2"/>
      <c r="DQ208" s="2">
        <v>1</v>
      </c>
      <c r="DR208" s="2"/>
      <c r="DS208" s="2"/>
      <c r="DT208" s="2">
        <v>4</v>
      </c>
    </row>
    <row r="209" spans="1:124" x14ac:dyDescent="0.25">
      <c r="A209" s="6" t="s">
        <v>154</v>
      </c>
      <c r="B209" s="2"/>
      <c r="C209" s="2">
        <v>0</v>
      </c>
      <c r="D209" s="2"/>
      <c r="E209" s="2"/>
      <c r="F209" s="2"/>
      <c r="G209" s="2">
        <v>0</v>
      </c>
      <c r="H209" s="2"/>
      <c r="I209" s="2"/>
      <c r="J209" s="2">
        <v>0</v>
      </c>
      <c r="K209" s="2"/>
      <c r="L209" s="2">
        <v>0</v>
      </c>
      <c r="M209" s="2"/>
      <c r="N209" s="2">
        <v>0</v>
      </c>
      <c r="O209" s="2"/>
      <c r="P209" s="2"/>
      <c r="Q209" s="2"/>
      <c r="R209" s="2">
        <v>0</v>
      </c>
      <c r="S209" s="2"/>
      <c r="T209" s="2"/>
      <c r="U209" s="2">
        <v>0</v>
      </c>
      <c r="V209" s="2"/>
      <c r="W209" s="2"/>
      <c r="X209" s="2"/>
      <c r="Y209" s="2"/>
      <c r="Z209" s="2"/>
      <c r="AA209" s="2">
        <v>0</v>
      </c>
      <c r="AB209" s="2"/>
      <c r="AC209" s="2"/>
      <c r="AD209" s="2"/>
      <c r="AE209" s="2"/>
      <c r="AF209" s="2">
        <v>0</v>
      </c>
      <c r="AG209" s="2"/>
      <c r="AH209" s="2"/>
      <c r="AI209" s="2">
        <v>0</v>
      </c>
      <c r="AJ209" s="2"/>
      <c r="AK209" s="2"/>
      <c r="AL209" s="2"/>
      <c r="AM209" s="2">
        <v>1</v>
      </c>
      <c r="AN209" s="2"/>
      <c r="AO209" s="2"/>
      <c r="AP209" s="2"/>
      <c r="AQ209" s="2"/>
      <c r="AR209" s="2">
        <v>0</v>
      </c>
      <c r="AS209" s="2"/>
      <c r="AT209" s="2"/>
      <c r="AU209" s="2"/>
      <c r="AV209" s="2"/>
      <c r="AW209" s="2">
        <v>0</v>
      </c>
      <c r="AX209" s="2"/>
      <c r="AY209" s="2"/>
      <c r="AZ209" s="2"/>
      <c r="BA209" s="2">
        <v>0</v>
      </c>
      <c r="BB209" s="2"/>
      <c r="BC209" s="2"/>
      <c r="BD209" s="2"/>
      <c r="BE209" s="2">
        <v>0</v>
      </c>
      <c r="BF209" s="2"/>
      <c r="BG209" s="2"/>
      <c r="BH209" s="2"/>
      <c r="BI209" s="2">
        <v>0</v>
      </c>
      <c r="BJ209" s="2"/>
      <c r="BK209" s="2"/>
      <c r="BL209" s="2"/>
      <c r="BM209" s="2">
        <v>0</v>
      </c>
      <c r="BN209" s="2"/>
      <c r="BO209" s="2"/>
      <c r="BP209" s="2"/>
      <c r="BQ209" s="2">
        <v>1</v>
      </c>
      <c r="BR209" s="2"/>
      <c r="BS209" s="2"/>
      <c r="BT209" s="2"/>
      <c r="BU209" s="2"/>
      <c r="BV209" s="2"/>
      <c r="BW209" s="2">
        <v>0</v>
      </c>
      <c r="BX209" s="2"/>
      <c r="BY209" s="2"/>
      <c r="BZ209" s="2"/>
      <c r="CA209" s="2">
        <v>0</v>
      </c>
      <c r="CB209" s="2"/>
      <c r="CC209" s="2"/>
      <c r="CD209" s="2">
        <v>0</v>
      </c>
      <c r="CE209" s="2"/>
      <c r="CF209" s="2"/>
      <c r="CG209" s="2"/>
      <c r="CH209" s="2"/>
      <c r="CI209" s="2">
        <v>0</v>
      </c>
      <c r="CJ209" s="2"/>
      <c r="CK209" s="2"/>
      <c r="CL209" s="2">
        <v>0</v>
      </c>
      <c r="CM209" s="2"/>
      <c r="CN209" s="2"/>
      <c r="CO209" s="2"/>
      <c r="CP209" s="2"/>
      <c r="CQ209" s="2">
        <v>0</v>
      </c>
      <c r="CR209" s="2"/>
      <c r="CS209" s="2"/>
      <c r="CT209" s="2">
        <v>1</v>
      </c>
      <c r="CU209" s="2"/>
      <c r="CV209" s="2"/>
      <c r="CW209" s="2">
        <v>0</v>
      </c>
      <c r="CX209" s="2"/>
      <c r="CY209" s="2"/>
      <c r="CZ209" s="2"/>
      <c r="DA209" s="2"/>
      <c r="DB209" s="2"/>
      <c r="DC209" s="2">
        <v>0</v>
      </c>
      <c r="DD209" s="2"/>
      <c r="DE209" s="2"/>
      <c r="DF209" s="2"/>
      <c r="DG209" s="2">
        <v>0</v>
      </c>
      <c r="DH209" s="2"/>
      <c r="DI209" s="2"/>
      <c r="DJ209" s="2">
        <v>0</v>
      </c>
      <c r="DK209" s="2"/>
      <c r="DL209" s="2"/>
      <c r="DM209" s="2"/>
      <c r="DN209" s="2">
        <v>0</v>
      </c>
      <c r="DO209" s="2"/>
      <c r="DP209" s="2"/>
      <c r="DQ209" s="2">
        <v>0</v>
      </c>
      <c r="DR209" s="2"/>
      <c r="DS209" s="2"/>
      <c r="DT209" s="2">
        <v>3</v>
      </c>
    </row>
    <row r="210" spans="1:124" x14ac:dyDescent="0.25">
      <c r="A210" s="6" t="s">
        <v>156</v>
      </c>
      <c r="C210">
        <v>0</v>
      </c>
      <c r="G210">
        <v>0</v>
      </c>
      <c r="J210">
        <v>0</v>
      </c>
      <c r="L210">
        <v>0</v>
      </c>
      <c r="N210">
        <v>0</v>
      </c>
      <c r="R210">
        <v>0</v>
      </c>
      <c r="U210">
        <v>0</v>
      </c>
      <c r="AA210">
        <v>0</v>
      </c>
      <c r="AF210">
        <v>0</v>
      </c>
      <c r="AI210">
        <v>0</v>
      </c>
      <c r="AM210">
        <v>20</v>
      </c>
      <c r="AR210">
        <v>0</v>
      </c>
      <c r="AW210">
        <v>0</v>
      </c>
      <c r="BA210">
        <v>0</v>
      </c>
      <c r="BE210">
        <v>0</v>
      </c>
      <c r="BI210">
        <v>0</v>
      </c>
      <c r="BM210">
        <v>23</v>
      </c>
      <c r="BQ210">
        <v>16</v>
      </c>
      <c r="BW210">
        <v>0</v>
      </c>
      <c r="CA210">
        <v>0</v>
      </c>
      <c r="CD210">
        <v>0</v>
      </c>
      <c r="CI210">
        <v>0</v>
      </c>
      <c r="CL210">
        <v>0</v>
      </c>
      <c r="CQ210">
        <v>14</v>
      </c>
      <c r="CT210">
        <v>20</v>
      </c>
      <c r="CW210">
        <v>0</v>
      </c>
      <c r="DC210">
        <v>0</v>
      </c>
      <c r="DG210">
        <v>0</v>
      </c>
      <c r="DJ210">
        <v>0</v>
      </c>
      <c r="DN210">
        <v>0</v>
      </c>
      <c r="DQ210">
        <v>14</v>
      </c>
      <c r="DT210">
        <v>107</v>
      </c>
    </row>
    <row r="211" spans="1:124" x14ac:dyDescent="0.25">
      <c r="A211" s="6" t="s">
        <v>158</v>
      </c>
      <c r="C211">
        <v>6</v>
      </c>
      <c r="G211">
        <v>44</v>
      </c>
      <c r="J211">
        <v>0</v>
      </c>
      <c r="L211">
        <v>0</v>
      </c>
      <c r="N211">
        <v>0</v>
      </c>
      <c r="R211">
        <v>1</v>
      </c>
      <c r="U211">
        <v>0</v>
      </c>
      <c r="AA211">
        <v>12</v>
      </c>
      <c r="AF211">
        <v>18</v>
      </c>
      <c r="AI211">
        <v>0</v>
      </c>
      <c r="AM211">
        <v>0</v>
      </c>
      <c r="AR211">
        <v>27</v>
      </c>
      <c r="AW211">
        <v>0</v>
      </c>
      <c r="BA211">
        <v>0</v>
      </c>
      <c r="BE211">
        <v>0</v>
      </c>
      <c r="BI211">
        <v>10</v>
      </c>
      <c r="BM211">
        <v>0</v>
      </c>
      <c r="BQ211">
        <v>0</v>
      </c>
      <c r="BW211">
        <v>0</v>
      </c>
      <c r="CA211">
        <v>18</v>
      </c>
      <c r="CD211">
        <v>0</v>
      </c>
      <c r="CI211">
        <v>14</v>
      </c>
      <c r="CL211">
        <v>23</v>
      </c>
      <c r="CQ211">
        <v>0</v>
      </c>
      <c r="CT211">
        <v>0</v>
      </c>
      <c r="CW211">
        <v>0</v>
      </c>
      <c r="DC211">
        <v>0</v>
      </c>
      <c r="DG211">
        <v>0</v>
      </c>
      <c r="DJ211">
        <v>0</v>
      </c>
      <c r="DN211">
        <v>14</v>
      </c>
      <c r="DQ211">
        <v>0</v>
      </c>
      <c r="DT211">
        <v>187</v>
      </c>
    </row>
    <row r="212" spans="1:124" x14ac:dyDescent="0.25">
      <c r="A212" s="6" t="s">
        <v>160</v>
      </c>
      <c r="C212">
        <v>0</v>
      </c>
      <c r="G212">
        <v>0</v>
      </c>
      <c r="J212">
        <v>0</v>
      </c>
      <c r="L212">
        <v>0</v>
      </c>
      <c r="N212">
        <v>0</v>
      </c>
      <c r="R212">
        <v>0</v>
      </c>
      <c r="U212">
        <v>0</v>
      </c>
      <c r="AA212">
        <v>0</v>
      </c>
      <c r="AF212">
        <v>8</v>
      </c>
      <c r="AI212">
        <v>0</v>
      </c>
      <c r="AM212">
        <v>0</v>
      </c>
      <c r="AR212">
        <v>6</v>
      </c>
      <c r="AW212">
        <v>0</v>
      </c>
      <c r="BA212">
        <v>0</v>
      </c>
      <c r="BE212">
        <v>0</v>
      </c>
      <c r="BI212">
        <v>0</v>
      </c>
      <c r="BM212">
        <v>0</v>
      </c>
      <c r="BQ212">
        <v>0</v>
      </c>
      <c r="BW212">
        <v>0</v>
      </c>
      <c r="CA212">
        <v>4</v>
      </c>
      <c r="CD212">
        <v>0</v>
      </c>
      <c r="CI212">
        <v>4</v>
      </c>
      <c r="CL212">
        <v>0</v>
      </c>
      <c r="CQ212">
        <v>0</v>
      </c>
      <c r="CT212">
        <v>0</v>
      </c>
      <c r="CW212">
        <v>0</v>
      </c>
      <c r="DC212">
        <v>0</v>
      </c>
      <c r="DG212">
        <v>0</v>
      </c>
      <c r="DJ212">
        <v>0</v>
      </c>
      <c r="DN212">
        <v>0</v>
      </c>
      <c r="DQ212">
        <v>0</v>
      </c>
      <c r="DT212">
        <v>22</v>
      </c>
    </row>
    <row r="213" spans="1:124" x14ac:dyDescent="0.25">
      <c r="A213" s="6" t="s">
        <v>162</v>
      </c>
      <c r="C213">
        <v>0</v>
      </c>
      <c r="G213">
        <v>0</v>
      </c>
      <c r="J213">
        <v>0</v>
      </c>
      <c r="L213">
        <v>0</v>
      </c>
      <c r="N213">
        <v>0</v>
      </c>
      <c r="R213">
        <v>0</v>
      </c>
      <c r="U213">
        <v>0</v>
      </c>
      <c r="AA213">
        <v>0</v>
      </c>
      <c r="AF213">
        <v>0</v>
      </c>
      <c r="AI213">
        <v>0</v>
      </c>
      <c r="AM213">
        <v>0</v>
      </c>
      <c r="AR213">
        <v>0</v>
      </c>
      <c r="AW213">
        <v>0</v>
      </c>
      <c r="BA213">
        <v>0</v>
      </c>
      <c r="BE213">
        <v>0</v>
      </c>
      <c r="BI213">
        <v>0</v>
      </c>
      <c r="BM213">
        <v>0</v>
      </c>
      <c r="BQ213">
        <v>0</v>
      </c>
      <c r="BW213">
        <v>0</v>
      </c>
      <c r="CA213">
        <v>0</v>
      </c>
      <c r="CD213">
        <v>0</v>
      </c>
      <c r="CI213">
        <v>0</v>
      </c>
      <c r="CL213">
        <v>0</v>
      </c>
      <c r="CQ213">
        <v>0</v>
      </c>
      <c r="CT213">
        <v>0</v>
      </c>
      <c r="CW213">
        <v>0</v>
      </c>
      <c r="DC213">
        <v>0</v>
      </c>
      <c r="DG213">
        <v>0</v>
      </c>
      <c r="DJ213">
        <v>0</v>
      </c>
      <c r="DN213">
        <v>3</v>
      </c>
      <c r="DQ213">
        <v>0</v>
      </c>
      <c r="DT213">
        <v>3</v>
      </c>
    </row>
    <row r="214" spans="1:124" x14ac:dyDescent="0.25">
      <c r="A214" s="6" t="s">
        <v>164</v>
      </c>
      <c r="C214">
        <v>0</v>
      </c>
      <c r="G214">
        <v>0</v>
      </c>
      <c r="J214">
        <v>0</v>
      </c>
      <c r="L214">
        <v>0</v>
      </c>
      <c r="N214">
        <v>0</v>
      </c>
      <c r="R214">
        <v>0</v>
      </c>
      <c r="U214">
        <v>0</v>
      </c>
      <c r="AA214">
        <v>0</v>
      </c>
      <c r="AF214">
        <v>0</v>
      </c>
      <c r="AI214">
        <v>0</v>
      </c>
      <c r="AM214">
        <v>0</v>
      </c>
      <c r="AR214">
        <v>0</v>
      </c>
      <c r="AW214">
        <v>0</v>
      </c>
      <c r="BA214">
        <v>0</v>
      </c>
      <c r="BE214">
        <v>0</v>
      </c>
      <c r="BI214">
        <v>0</v>
      </c>
      <c r="BM214">
        <v>0</v>
      </c>
      <c r="BQ214">
        <v>0</v>
      </c>
      <c r="BW214">
        <v>0</v>
      </c>
      <c r="CA214">
        <v>0</v>
      </c>
      <c r="CD214">
        <v>0</v>
      </c>
      <c r="CI214">
        <v>0</v>
      </c>
      <c r="CL214">
        <v>0</v>
      </c>
      <c r="CQ214">
        <v>0</v>
      </c>
      <c r="CT214">
        <v>0</v>
      </c>
      <c r="CW214">
        <v>0</v>
      </c>
      <c r="DC214">
        <v>0</v>
      </c>
      <c r="DG214">
        <v>0</v>
      </c>
      <c r="DJ214">
        <v>0</v>
      </c>
      <c r="DN214">
        <v>0</v>
      </c>
      <c r="DQ214">
        <v>0</v>
      </c>
      <c r="DT214">
        <v>0</v>
      </c>
    </row>
    <row r="215" spans="1:124" x14ac:dyDescent="0.25">
      <c r="A215" s="6" t="s">
        <v>166</v>
      </c>
      <c r="C215">
        <v>0</v>
      </c>
      <c r="G215">
        <v>0</v>
      </c>
      <c r="J215">
        <v>0</v>
      </c>
      <c r="L215">
        <v>0</v>
      </c>
      <c r="N215">
        <v>0</v>
      </c>
      <c r="R215">
        <v>0</v>
      </c>
      <c r="U215">
        <v>0</v>
      </c>
      <c r="AA215">
        <v>0</v>
      </c>
      <c r="AF215">
        <v>0</v>
      </c>
      <c r="AI215">
        <v>0</v>
      </c>
      <c r="AM215">
        <v>0</v>
      </c>
      <c r="AR215">
        <v>0</v>
      </c>
      <c r="AW215">
        <v>0</v>
      </c>
      <c r="BA215">
        <v>0</v>
      </c>
      <c r="BE215">
        <v>0</v>
      </c>
      <c r="BI215">
        <v>0</v>
      </c>
      <c r="BM215">
        <v>0</v>
      </c>
      <c r="BQ215">
        <v>0</v>
      </c>
      <c r="BW215">
        <v>0</v>
      </c>
      <c r="CA215">
        <v>0</v>
      </c>
      <c r="CD215">
        <v>0</v>
      </c>
      <c r="CI215">
        <v>0</v>
      </c>
      <c r="CL215">
        <v>0</v>
      </c>
      <c r="CQ215">
        <v>0</v>
      </c>
      <c r="CT215">
        <v>0</v>
      </c>
      <c r="CW215">
        <v>0</v>
      </c>
      <c r="DC215">
        <v>0</v>
      </c>
      <c r="DG215">
        <v>0</v>
      </c>
      <c r="DJ215">
        <v>0</v>
      </c>
      <c r="DN215">
        <v>0</v>
      </c>
      <c r="DQ215">
        <v>0</v>
      </c>
      <c r="DT215">
        <v>0</v>
      </c>
    </row>
    <row r="216" spans="1:124" x14ac:dyDescent="0.25">
      <c r="A216" s="5" t="s">
        <v>1237</v>
      </c>
    </row>
    <row r="217" spans="1:124" x14ac:dyDescent="0.25">
      <c r="A217" s="6" t="s">
        <v>131</v>
      </c>
      <c r="C217">
        <v>0</v>
      </c>
      <c r="I217">
        <v>0</v>
      </c>
      <c r="K217">
        <v>0</v>
      </c>
      <c r="CX217">
        <v>11</v>
      </c>
      <c r="DC217">
        <v>36</v>
      </c>
      <c r="DG217">
        <v>35</v>
      </c>
      <c r="DJ217">
        <v>0</v>
      </c>
      <c r="DN217">
        <v>28</v>
      </c>
      <c r="DS217">
        <v>0</v>
      </c>
      <c r="DT217">
        <v>110</v>
      </c>
    </row>
    <row r="218" spans="1:124" x14ac:dyDescent="0.25">
      <c r="A218" s="6" t="s">
        <v>134</v>
      </c>
      <c r="B218" s="2"/>
      <c r="C218" s="2">
        <v>0</v>
      </c>
      <c r="D218" s="2"/>
      <c r="E218" s="2"/>
      <c r="F218" s="2"/>
      <c r="G218" s="2"/>
      <c r="H218" s="2"/>
      <c r="I218" s="2">
        <v>0</v>
      </c>
      <c r="J218" s="2"/>
      <c r="K218" s="2"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>
        <v>0</v>
      </c>
      <c r="CY218" s="2"/>
      <c r="CZ218" s="2"/>
      <c r="DA218" s="2"/>
      <c r="DB218" s="2"/>
      <c r="DC218" s="2">
        <v>0</v>
      </c>
      <c r="DD218" s="2"/>
      <c r="DE218" s="2"/>
      <c r="DF218" s="2"/>
      <c r="DG218" s="2">
        <v>0</v>
      </c>
      <c r="DH218" s="2"/>
      <c r="DI218" s="2"/>
      <c r="DJ218" s="2">
        <v>0</v>
      </c>
      <c r="DK218" s="2"/>
      <c r="DL218" s="2"/>
      <c r="DM218" s="2"/>
      <c r="DN218" s="2">
        <v>0</v>
      </c>
      <c r="DO218" s="2"/>
      <c r="DP218" s="2"/>
      <c r="DQ218" s="2"/>
      <c r="DR218" s="2"/>
      <c r="DS218" s="2">
        <v>0</v>
      </c>
      <c r="DT218" s="2">
        <v>0</v>
      </c>
    </row>
    <row r="219" spans="1:124" x14ac:dyDescent="0.25">
      <c r="A219" s="6" t="s">
        <v>136</v>
      </c>
      <c r="B219" s="2"/>
      <c r="C219" s="2">
        <v>0</v>
      </c>
      <c r="D219" s="2"/>
      <c r="E219" s="2"/>
      <c r="F219" s="2"/>
      <c r="G219" s="2"/>
      <c r="H219" s="2"/>
      <c r="I219" s="2">
        <v>0</v>
      </c>
      <c r="J219" s="2"/>
      <c r="K219" s="2">
        <v>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>
        <v>0</v>
      </c>
      <c r="CY219" s="2"/>
      <c r="CZ219" s="2"/>
      <c r="DA219" s="2"/>
      <c r="DB219" s="2"/>
      <c r="DC219" s="2">
        <v>0</v>
      </c>
      <c r="DD219" s="2"/>
      <c r="DE219" s="2"/>
      <c r="DF219" s="2"/>
      <c r="DG219" s="2">
        <v>0</v>
      </c>
      <c r="DH219" s="2"/>
      <c r="DI219" s="2"/>
      <c r="DJ219" s="2">
        <v>0</v>
      </c>
      <c r="DK219" s="2"/>
      <c r="DL219" s="2"/>
      <c r="DM219" s="2"/>
      <c r="DN219" s="2">
        <v>0</v>
      </c>
      <c r="DO219" s="2"/>
      <c r="DP219" s="2"/>
      <c r="DQ219" s="2"/>
      <c r="DR219" s="2"/>
      <c r="DS219" s="2">
        <v>0</v>
      </c>
      <c r="DT219" s="2">
        <v>0</v>
      </c>
    </row>
    <row r="220" spans="1:124" x14ac:dyDescent="0.25">
      <c r="A220" s="6" t="s">
        <v>138</v>
      </c>
      <c r="B220" s="2"/>
      <c r="C220" s="2">
        <v>1</v>
      </c>
      <c r="D220" s="2"/>
      <c r="E220" s="2"/>
      <c r="F220" s="2"/>
      <c r="G220" s="2"/>
      <c r="H220" s="2"/>
      <c r="I220" s="2">
        <v>0</v>
      </c>
      <c r="J220" s="2"/>
      <c r="K220" s="2">
        <v>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>
        <v>0</v>
      </c>
      <c r="CY220" s="2"/>
      <c r="CZ220" s="2"/>
      <c r="DA220" s="2"/>
      <c r="DB220" s="2"/>
      <c r="DC220" s="2">
        <v>1</v>
      </c>
      <c r="DD220" s="2"/>
      <c r="DE220" s="2"/>
      <c r="DF220" s="2"/>
      <c r="DG220" s="2">
        <v>0</v>
      </c>
      <c r="DH220" s="2"/>
      <c r="DI220" s="2"/>
      <c r="DJ220" s="2">
        <v>0</v>
      </c>
      <c r="DK220" s="2"/>
      <c r="DL220" s="2"/>
      <c r="DM220" s="2"/>
      <c r="DN220" s="2">
        <v>0</v>
      </c>
      <c r="DO220" s="2"/>
      <c r="DP220" s="2"/>
      <c r="DQ220" s="2"/>
      <c r="DR220" s="2"/>
      <c r="DS220" s="2">
        <v>0</v>
      </c>
      <c r="DT220" s="2">
        <v>2</v>
      </c>
    </row>
    <row r="221" spans="1:124" x14ac:dyDescent="0.25">
      <c r="A221" s="6" t="s">
        <v>140</v>
      </c>
      <c r="B221" s="2"/>
      <c r="C221" s="2">
        <v>0</v>
      </c>
      <c r="D221" s="2"/>
      <c r="E221" s="2"/>
      <c r="F221" s="2"/>
      <c r="G221" s="2"/>
      <c r="H221" s="2"/>
      <c r="I221" s="2">
        <v>0</v>
      </c>
      <c r="J221" s="2"/>
      <c r="K221" s="2">
        <v>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>
        <v>0</v>
      </c>
      <c r="CY221" s="2"/>
      <c r="CZ221" s="2"/>
      <c r="DA221" s="2"/>
      <c r="DB221" s="2"/>
      <c r="DC221" s="2">
        <v>0</v>
      </c>
      <c r="DD221" s="2"/>
      <c r="DE221" s="2"/>
      <c r="DF221" s="2"/>
      <c r="DG221" s="2">
        <v>1</v>
      </c>
      <c r="DH221" s="2"/>
      <c r="DI221" s="2"/>
      <c r="DJ221" s="2">
        <v>0</v>
      </c>
      <c r="DK221" s="2"/>
      <c r="DL221" s="2"/>
      <c r="DM221" s="2"/>
      <c r="DN221" s="2">
        <v>1</v>
      </c>
      <c r="DO221" s="2"/>
      <c r="DP221" s="2"/>
      <c r="DQ221" s="2"/>
      <c r="DR221" s="2"/>
      <c r="DS221" s="2">
        <v>0</v>
      </c>
      <c r="DT221" s="2">
        <v>2</v>
      </c>
    </row>
    <row r="222" spans="1:124" x14ac:dyDescent="0.25">
      <c r="A222" s="6" t="s">
        <v>142</v>
      </c>
      <c r="C222">
        <v>0</v>
      </c>
      <c r="I222">
        <v>0</v>
      </c>
      <c r="K222">
        <v>1</v>
      </c>
      <c r="CX222">
        <v>0</v>
      </c>
      <c r="DC222">
        <v>0</v>
      </c>
      <c r="DG222">
        <v>0</v>
      </c>
      <c r="DJ222">
        <v>0</v>
      </c>
      <c r="DN222">
        <v>0</v>
      </c>
      <c r="DS222">
        <v>0</v>
      </c>
      <c r="DT222">
        <v>1</v>
      </c>
    </row>
    <row r="223" spans="1:124" x14ac:dyDescent="0.25">
      <c r="A223" s="6" t="s">
        <v>144</v>
      </c>
      <c r="C223">
        <v>0</v>
      </c>
      <c r="I223">
        <v>0</v>
      </c>
      <c r="K223">
        <v>0</v>
      </c>
      <c r="CX223">
        <v>0</v>
      </c>
      <c r="DC223">
        <v>0</v>
      </c>
      <c r="DG223">
        <v>0</v>
      </c>
      <c r="DJ223">
        <v>0</v>
      </c>
      <c r="DN223">
        <v>0</v>
      </c>
      <c r="DS223">
        <v>0</v>
      </c>
      <c r="DT223">
        <v>0</v>
      </c>
    </row>
    <row r="224" spans="1:124" x14ac:dyDescent="0.25">
      <c r="A224" s="6" t="s">
        <v>146</v>
      </c>
      <c r="B224" s="2"/>
      <c r="C224" s="2">
        <v>0</v>
      </c>
      <c r="D224" s="2"/>
      <c r="E224" s="2"/>
      <c r="F224" s="2"/>
      <c r="G224" s="2"/>
      <c r="H224" s="2"/>
      <c r="I224" s="2">
        <v>1</v>
      </c>
      <c r="J224" s="2"/>
      <c r="K224" s="2">
        <v>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>
        <v>0</v>
      </c>
      <c r="CY224" s="2"/>
      <c r="CZ224" s="2"/>
      <c r="DA224" s="2"/>
      <c r="DB224" s="2"/>
      <c r="DC224" s="2">
        <v>0</v>
      </c>
      <c r="DD224" s="2"/>
      <c r="DE224" s="2"/>
      <c r="DF224" s="2"/>
      <c r="DG224" s="2">
        <v>0</v>
      </c>
      <c r="DH224" s="2"/>
      <c r="DI224" s="2"/>
      <c r="DJ224" s="2">
        <v>0</v>
      </c>
      <c r="DK224" s="2"/>
      <c r="DL224" s="2"/>
      <c r="DM224" s="2"/>
      <c r="DN224" s="2">
        <v>0</v>
      </c>
      <c r="DO224" s="2"/>
      <c r="DP224" s="2"/>
      <c r="DQ224" s="2"/>
      <c r="DR224" s="2"/>
      <c r="DS224" s="2">
        <v>0</v>
      </c>
      <c r="DT224" s="2">
        <v>1</v>
      </c>
    </row>
    <row r="225" spans="1:124" x14ac:dyDescent="0.25">
      <c r="A225" s="6" t="s">
        <v>454</v>
      </c>
      <c r="C225">
        <v>0</v>
      </c>
      <c r="I225">
        <v>0</v>
      </c>
      <c r="K225">
        <v>0</v>
      </c>
      <c r="CX225">
        <v>0</v>
      </c>
      <c r="DC225">
        <v>0</v>
      </c>
      <c r="DG225">
        <v>0</v>
      </c>
      <c r="DJ225">
        <v>0</v>
      </c>
      <c r="DN225">
        <v>0</v>
      </c>
      <c r="DS225">
        <v>0</v>
      </c>
      <c r="DT225">
        <v>0</v>
      </c>
    </row>
    <row r="226" spans="1:124" x14ac:dyDescent="0.25">
      <c r="A226" s="6" t="s">
        <v>148</v>
      </c>
      <c r="B226" s="2"/>
      <c r="C226" s="2">
        <v>0</v>
      </c>
      <c r="D226" s="2"/>
      <c r="E226" s="2"/>
      <c r="F226" s="2"/>
      <c r="G226" s="2"/>
      <c r="H226" s="2"/>
      <c r="I226" s="2">
        <v>0</v>
      </c>
      <c r="J226" s="2"/>
      <c r="K226" s="2">
        <v>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>
        <v>0</v>
      </c>
      <c r="CY226" s="2"/>
      <c r="CZ226" s="2"/>
      <c r="DA226" s="2"/>
      <c r="DB226" s="2"/>
      <c r="DC226" s="2">
        <v>0</v>
      </c>
      <c r="DD226" s="2"/>
      <c r="DE226" s="2"/>
      <c r="DF226" s="2"/>
      <c r="DG226" s="2">
        <v>0</v>
      </c>
      <c r="DH226" s="2"/>
      <c r="DI226" s="2"/>
      <c r="DJ226" s="2">
        <v>0</v>
      </c>
      <c r="DK226" s="2"/>
      <c r="DL226" s="2"/>
      <c r="DM226" s="2"/>
      <c r="DN226" s="2">
        <v>0</v>
      </c>
      <c r="DO226" s="2"/>
      <c r="DP226" s="2"/>
      <c r="DQ226" s="2"/>
      <c r="DR226" s="2"/>
      <c r="DS226" s="2">
        <v>0</v>
      </c>
      <c r="DT226" s="2">
        <v>1</v>
      </c>
    </row>
    <row r="227" spans="1:124" x14ac:dyDescent="0.25">
      <c r="A227" s="6" t="s">
        <v>456</v>
      </c>
      <c r="C227">
        <v>0</v>
      </c>
      <c r="I227">
        <v>0</v>
      </c>
      <c r="K227">
        <v>0</v>
      </c>
      <c r="CX227">
        <v>0</v>
      </c>
      <c r="DC227">
        <v>0</v>
      </c>
      <c r="DG227">
        <v>0</v>
      </c>
      <c r="DJ227">
        <v>0</v>
      </c>
      <c r="DN227">
        <v>0</v>
      </c>
      <c r="DS227">
        <v>0</v>
      </c>
      <c r="DT227">
        <v>0</v>
      </c>
    </row>
    <row r="228" spans="1:124" x14ac:dyDescent="0.25">
      <c r="A228" s="6" t="s">
        <v>150</v>
      </c>
      <c r="C228">
        <v>0</v>
      </c>
      <c r="I228">
        <v>0</v>
      </c>
      <c r="K228">
        <v>1</v>
      </c>
      <c r="CX228">
        <v>0</v>
      </c>
      <c r="DC228">
        <v>0</v>
      </c>
      <c r="DG228">
        <v>0</v>
      </c>
      <c r="DJ228">
        <v>1</v>
      </c>
      <c r="DN228">
        <v>0</v>
      </c>
      <c r="DS228">
        <v>0</v>
      </c>
      <c r="DT228">
        <v>2</v>
      </c>
    </row>
    <row r="229" spans="1:124" x14ac:dyDescent="0.25">
      <c r="A229" s="6" t="s">
        <v>152</v>
      </c>
      <c r="B229" s="2"/>
      <c r="C229" s="2">
        <v>0</v>
      </c>
      <c r="D229" s="2"/>
      <c r="E229" s="2"/>
      <c r="F229" s="2"/>
      <c r="G229" s="2"/>
      <c r="H229" s="2"/>
      <c r="I229" s="2">
        <v>1</v>
      </c>
      <c r="J229" s="2"/>
      <c r="K229" s="2">
        <v>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>
        <v>0</v>
      </c>
      <c r="CY229" s="2"/>
      <c r="CZ229" s="2"/>
      <c r="DA229" s="2"/>
      <c r="DB229" s="2"/>
      <c r="DC229" s="2">
        <v>0</v>
      </c>
      <c r="DD229" s="2"/>
      <c r="DE229" s="2"/>
      <c r="DF229" s="2"/>
      <c r="DG229" s="2">
        <v>0</v>
      </c>
      <c r="DH229" s="2"/>
      <c r="DI229" s="2"/>
      <c r="DJ229" s="2">
        <v>0</v>
      </c>
      <c r="DK229" s="2"/>
      <c r="DL229" s="2"/>
      <c r="DM229" s="2"/>
      <c r="DN229" s="2">
        <v>0</v>
      </c>
      <c r="DO229" s="2"/>
      <c r="DP229" s="2"/>
      <c r="DQ229" s="2"/>
      <c r="DR229" s="2"/>
      <c r="DS229" s="2">
        <v>0</v>
      </c>
      <c r="DT229" s="2">
        <v>1</v>
      </c>
    </row>
    <row r="230" spans="1:124" x14ac:dyDescent="0.25">
      <c r="A230" s="6" t="s">
        <v>154</v>
      </c>
      <c r="B230" s="2"/>
      <c r="C230" s="2">
        <v>0</v>
      </c>
      <c r="D230" s="2"/>
      <c r="E230" s="2"/>
      <c r="F230" s="2"/>
      <c r="G230" s="2"/>
      <c r="H230" s="2"/>
      <c r="I230" s="2">
        <v>0</v>
      </c>
      <c r="J230" s="2"/>
      <c r="K230" s="2">
        <v>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>
        <v>0</v>
      </c>
      <c r="CY230" s="2"/>
      <c r="CZ230" s="2"/>
      <c r="DA230" s="2"/>
      <c r="DB230" s="2"/>
      <c r="DC230" s="2">
        <v>0</v>
      </c>
      <c r="DD230" s="2"/>
      <c r="DE230" s="2"/>
      <c r="DF230" s="2"/>
      <c r="DG230" s="2">
        <v>0</v>
      </c>
      <c r="DH230" s="2"/>
      <c r="DI230" s="2"/>
      <c r="DJ230" s="2">
        <v>0</v>
      </c>
      <c r="DK230" s="2"/>
      <c r="DL230" s="2"/>
      <c r="DM230" s="2"/>
      <c r="DN230" s="2">
        <v>0</v>
      </c>
      <c r="DO230" s="2"/>
      <c r="DP230" s="2"/>
      <c r="DQ230" s="2"/>
      <c r="DR230" s="2"/>
      <c r="DS230" s="2">
        <v>0</v>
      </c>
      <c r="DT230" s="2">
        <v>1</v>
      </c>
    </row>
    <row r="231" spans="1:124" x14ac:dyDescent="0.25">
      <c r="A231" s="6" t="s">
        <v>156</v>
      </c>
      <c r="C231">
        <v>0</v>
      </c>
      <c r="I231">
        <v>0</v>
      </c>
      <c r="K231">
        <v>0</v>
      </c>
      <c r="CX231">
        <v>0</v>
      </c>
      <c r="DC231">
        <v>0</v>
      </c>
      <c r="DG231">
        <v>0</v>
      </c>
      <c r="DJ231">
        <v>0</v>
      </c>
      <c r="DN231">
        <v>0</v>
      </c>
      <c r="DS231">
        <v>0</v>
      </c>
      <c r="DT231">
        <v>0</v>
      </c>
    </row>
    <row r="232" spans="1:124" x14ac:dyDescent="0.25">
      <c r="A232" s="6" t="s">
        <v>158</v>
      </c>
      <c r="C232">
        <v>6</v>
      </c>
      <c r="I232">
        <v>0</v>
      </c>
      <c r="K232">
        <v>0</v>
      </c>
      <c r="CX232">
        <v>5</v>
      </c>
      <c r="DC232">
        <v>0</v>
      </c>
      <c r="DG232">
        <v>0</v>
      </c>
      <c r="DJ232">
        <v>0</v>
      </c>
      <c r="DN232">
        <v>15</v>
      </c>
      <c r="DS232">
        <v>0</v>
      </c>
      <c r="DT232">
        <v>26</v>
      </c>
    </row>
    <row r="233" spans="1:124" x14ac:dyDescent="0.25">
      <c r="A233" s="6" t="s">
        <v>160</v>
      </c>
      <c r="C233">
        <v>0</v>
      </c>
      <c r="I233">
        <v>0</v>
      </c>
      <c r="K233">
        <v>0</v>
      </c>
      <c r="CX233">
        <v>0</v>
      </c>
      <c r="DC233">
        <v>0</v>
      </c>
      <c r="DG233">
        <v>0</v>
      </c>
      <c r="DJ233">
        <v>0</v>
      </c>
      <c r="DN233">
        <v>0</v>
      </c>
      <c r="DS233">
        <v>0</v>
      </c>
      <c r="DT233">
        <v>0</v>
      </c>
    </row>
    <row r="234" spans="1:124" x14ac:dyDescent="0.25">
      <c r="A234" s="6" t="s">
        <v>162</v>
      </c>
      <c r="C234">
        <v>0</v>
      </c>
      <c r="I234">
        <v>0</v>
      </c>
      <c r="K234">
        <v>0</v>
      </c>
      <c r="CX234">
        <v>0</v>
      </c>
      <c r="DC234">
        <v>0</v>
      </c>
      <c r="DG234">
        <v>0</v>
      </c>
      <c r="DJ234">
        <v>0</v>
      </c>
      <c r="DN234">
        <v>0</v>
      </c>
      <c r="DS234">
        <v>0</v>
      </c>
      <c r="DT234">
        <v>0</v>
      </c>
    </row>
    <row r="235" spans="1:124" x14ac:dyDescent="0.25">
      <c r="A235" s="6" t="s">
        <v>164</v>
      </c>
      <c r="C235">
        <v>0</v>
      </c>
      <c r="I235">
        <v>0</v>
      </c>
      <c r="K235">
        <v>0</v>
      </c>
      <c r="CX235">
        <v>0</v>
      </c>
      <c r="DC235">
        <v>0</v>
      </c>
      <c r="DG235">
        <v>0</v>
      </c>
      <c r="DJ235">
        <v>0</v>
      </c>
      <c r="DN235">
        <v>0</v>
      </c>
      <c r="DS235">
        <v>0</v>
      </c>
      <c r="DT235">
        <v>0</v>
      </c>
    </row>
    <row r="236" spans="1:124" x14ac:dyDescent="0.25">
      <c r="A236" s="6" t="s">
        <v>166</v>
      </c>
      <c r="C236">
        <v>0</v>
      </c>
      <c r="I236">
        <v>0</v>
      </c>
      <c r="K236">
        <v>0</v>
      </c>
      <c r="CX236">
        <v>0</v>
      </c>
      <c r="DC236">
        <v>0</v>
      </c>
      <c r="DG236">
        <v>0</v>
      </c>
      <c r="DJ236">
        <v>0</v>
      </c>
      <c r="DN236">
        <v>0</v>
      </c>
      <c r="DS236">
        <v>0</v>
      </c>
      <c r="DT236">
        <v>0</v>
      </c>
    </row>
    <row r="237" spans="1:124" x14ac:dyDescent="0.25">
      <c r="A237" s="5" t="s">
        <v>1238</v>
      </c>
    </row>
    <row r="238" spans="1:124" x14ac:dyDescent="0.25">
      <c r="A238" s="6" t="s">
        <v>131</v>
      </c>
      <c r="CQ238">
        <v>0</v>
      </c>
      <c r="CT238">
        <v>0</v>
      </c>
      <c r="DT238">
        <v>0</v>
      </c>
    </row>
    <row r="239" spans="1:124" x14ac:dyDescent="0.25">
      <c r="A239" s="6" t="s">
        <v>134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>
        <v>0</v>
      </c>
      <c r="CR239" s="2"/>
      <c r="CS239" s="2"/>
      <c r="CT239" s="2">
        <v>0</v>
      </c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>
        <v>0</v>
      </c>
    </row>
    <row r="240" spans="1:124" x14ac:dyDescent="0.25">
      <c r="A240" s="6" t="s">
        <v>136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>
        <v>0</v>
      </c>
      <c r="CR240" s="2"/>
      <c r="CS240" s="2"/>
      <c r="CT240" s="2">
        <v>0</v>
      </c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>
        <v>0</v>
      </c>
    </row>
    <row r="241" spans="1:124" x14ac:dyDescent="0.25">
      <c r="A241" s="6" t="s">
        <v>138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>
        <v>0</v>
      </c>
      <c r="CR241" s="2"/>
      <c r="CS241" s="2"/>
      <c r="CT241" s="2">
        <v>0</v>
      </c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>
        <v>0</v>
      </c>
    </row>
    <row r="242" spans="1:124" x14ac:dyDescent="0.25">
      <c r="A242" s="6" t="s">
        <v>140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>
        <v>0</v>
      </c>
      <c r="CR242" s="2"/>
      <c r="CS242" s="2"/>
      <c r="CT242" s="2">
        <v>0</v>
      </c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>
        <v>0</v>
      </c>
    </row>
    <row r="243" spans="1:124" x14ac:dyDescent="0.25">
      <c r="A243" s="6" t="s">
        <v>142</v>
      </c>
      <c r="CQ243">
        <v>0</v>
      </c>
      <c r="CT243">
        <v>0</v>
      </c>
      <c r="DT243">
        <v>0</v>
      </c>
    </row>
    <row r="244" spans="1:124" x14ac:dyDescent="0.25">
      <c r="A244" s="6" t="s">
        <v>144</v>
      </c>
      <c r="CQ244">
        <v>0</v>
      </c>
      <c r="CT244">
        <v>0</v>
      </c>
      <c r="DT244">
        <v>0</v>
      </c>
    </row>
    <row r="245" spans="1:124" x14ac:dyDescent="0.25">
      <c r="A245" s="6" t="s">
        <v>146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>
        <v>1</v>
      </c>
      <c r="CR245" s="2"/>
      <c r="CS245" s="2"/>
      <c r="CT245" s="2">
        <v>0</v>
      </c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>
        <v>1</v>
      </c>
    </row>
    <row r="246" spans="1:124" x14ac:dyDescent="0.25">
      <c r="A246" s="6" t="s">
        <v>454</v>
      </c>
      <c r="CQ246">
        <v>1</v>
      </c>
      <c r="CT246">
        <v>0</v>
      </c>
      <c r="DT246">
        <v>1</v>
      </c>
    </row>
    <row r="247" spans="1:124" x14ac:dyDescent="0.25">
      <c r="A247" s="6" t="s">
        <v>148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>
        <v>0</v>
      </c>
      <c r="CR247" s="2"/>
      <c r="CS247" s="2"/>
      <c r="CT247" s="2">
        <v>1</v>
      </c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>
        <v>1</v>
      </c>
    </row>
    <row r="248" spans="1:124" x14ac:dyDescent="0.25">
      <c r="A248" s="6" t="s">
        <v>456</v>
      </c>
      <c r="CQ248">
        <v>0</v>
      </c>
      <c r="CT248">
        <v>0</v>
      </c>
      <c r="DT248">
        <v>0</v>
      </c>
    </row>
    <row r="249" spans="1:124" x14ac:dyDescent="0.25">
      <c r="A249" s="6" t="s">
        <v>150</v>
      </c>
      <c r="CQ249">
        <v>4</v>
      </c>
      <c r="CT249">
        <v>3</v>
      </c>
      <c r="DT249">
        <v>7</v>
      </c>
    </row>
    <row r="250" spans="1:124" x14ac:dyDescent="0.25">
      <c r="A250" s="6" t="s">
        <v>152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>
        <v>1</v>
      </c>
      <c r="CR250" s="2"/>
      <c r="CS250" s="2"/>
      <c r="CT250" s="2">
        <v>0</v>
      </c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>
        <v>1</v>
      </c>
    </row>
    <row r="251" spans="1:124" x14ac:dyDescent="0.25">
      <c r="A251" s="6" t="s">
        <v>154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>
        <v>0</v>
      </c>
      <c r="CR251" s="2"/>
      <c r="CS251" s="2"/>
      <c r="CT251" s="2">
        <v>1</v>
      </c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>
        <v>1</v>
      </c>
    </row>
    <row r="252" spans="1:124" x14ac:dyDescent="0.25">
      <c r="A252" s="6" t="s">
        <v>156</v>
      </c>
      <c r="CQ252">
        <v>23</v>
      </c>
      <c r="CT252">
        <v>16</v>
      </c>
      <c r="DT252">
        <v>39</v>
      </c>
    </row>
    <row r="253" spans="1:124" x14ac:dyDescent="0.25">
      <c r="A253" s="6" t="s">
        <v>158</v>
      </c>
      <c r="CQ253">
        <v>0</v>
      </c>
      <c r="CT253">
        <v>0</v>
      </c>
      <c r="DT253">
        <v>0</v>
      </c>
    </row>
    <row r="254" spans="1:124" x14ac:dyDescent="0.25">
      <c r="A254" s="6" t="s">
        <v>160</v>
      </c>
      <c r="CQ254">
        <v>0</v>
      </c>
      <c r="CT254">
        <v>0</v>
      </c>
      <c r="DT254">
        <v>0</v>
      </c>
    </row>
    <row r="255" spans="1:124" x14ac:dyDescent="0.25">
      <c r="A255" s="6" t="s">
        <v>162</v>
      </c>
      <c r="CQ255">
        <v>0</v>
      </c>
      <c r="CT255">
        <v>0</v>
      </c>
      <c r="DT255">
        <v>0</v>
      </c>
    </row>
    <row r="256" spans="1:124" x14ac:dyDescent="0.25">
      <c r="A256" s="6" t="s">
        <v>164</v>
      </c>
      <c r="CQ256">
        <v>0</v>
      </c>
      <c r="CT256">
        <v>0</v>
      </c>
      <c r="DT256">
        <v>0</v>
      </c>
    </row>
    <row r="257" spans="1:124" x14ac:dyDescent="0.25">
      <c r="A257" s="6" t="s">
        <v>166</v>
      </c>
      <c r="CQ257">
        <v>0</v>
      </c>
      <c r="CT257">
        <v>0</v>
      </c>
      <c r="DT257">
        <v>0</v>
      </c>
    </row>
    <row r="258" spans="1:124" x14ac:dyDescent="0.25">
      <c r="A258" s="5" t="s">
        <v>1323</v>
      </c>
    </row>
    <row r="259" spans="1:124" x14ac:dyDescent="0.25">
      <c r="A259" s="6" t="s">
        <v>131</v>
      </c>
      <c r="C259">
        <v>24</v>
      </c>
      <c r="F259">
        <v>0</v>
      </c>
      <c r="I259">
        <v>0</v>
      </c>
      <c r="K259">
        <v>0</v>
      </c>
      <c r="N259">
        <v>0</v>
      </c>
      <c r="R259">
        <v>32</v>
      </c>
      <c r="W259">
        <v>0</v>
      </c>
      <c r="AB259">
        <v>0</v>
      </c>
      <c r="AH259">
        <v>0</v>
      </c>
      <c r="AK259">
        <v>0</v>
      </c>
      <c r="AO259">
        <v>0</v>
      </c>
      <c r="AR259">
        <v>27</v>
      </c>
      <c r="AV259">
        <v>0</v>
      </c>
      <c r="BA259">
        <v>16</v>
      </c>
      <c r="BF259">
        <v>23</v>
      </c>
      <c r="BI259">
        <v>16</v>
      </c>
      <c r="BM259">
        <v>0</v>
      </c>
      <c r="BQ259">
        <v>0</v>
      </c>
      <c r="BV259">
        <v>0</v>
      </c>
      <c r="CA259">
        <v>24</v>
      </c>
      <c r="CE259">
        <v>44</v>
      </c>
      <c r="CH259">
        <v>0</v>
      </c>
      <c r="CL259">
        <v>23</v>
      </c>
      <c r="CQ259">
        <v>0</v>
      </c>
      <c r="CT259">
        <v>0</v>
      </c>
      <c r="CY259">
        <v>0</v>
      </c>
      <c r="DB259">
        <v>0</v>
      </c>
      <c r="DG259">
        <v>42</v>
      </c>
      <c r="DJ259">
        <v>39</v>
      </c>
      <c r="DN259">
        <v>36</v>
      </c>
      <c r="DQ259">
        <v>0</v>
      </c>
      <c r="DT259">
        <v>346</v>
      </c>
    </row>
    <row r="260" spans="1:124" x14ac:dyDescent="0.25">
      <c r="A260" s="6" t="s">
        <v>134</v>
      </c>
      <c r="B260" s="2"/>
      <c r="C260" s="2">
        <v>0</v>
      </c>
      <c r="D260" s="2"/>
      <c r="E260" s="2"/>
      <c r="F260" s="2">
        <v>0</v>
      </c>
      <c r="G260" s="2"/>
      <c r="H260" s="2"/>
      <c r="I260" s="2">
        <v>0</v>
      </c>
      <c r="J260" s="2"/>
      <c r="K260" s="2">
        <v>0</v>
      </c>
      <c r="L260" s="2"/>
      <c r="M260" s="2"/>
      <c r="N260" s="2">
        <v>0</v>
      </c>
      <c r="O260" s="2"/>
      <c r="P260" s="2"/>
      <c r="Q260" s="2"/>
      <c r="R260" s="2">
        <v>0</v>
      </c>
      <c r="S260" s="2"/>
      <c r="T260" s="2"/>
      <c r="U260" s="2"/>
      <c r="V260" s="2"/>
      <c r="W260" s="2">
        <v>0</v>
      </c>
      <c r="X260" s="2"/>
      <c r="Y260" s="2"/>
      <c r="Z260" s="2"/>
      <c r="AA260" s="2"/>
      <c r="AB260" s="2">
        <v>0</v>
      </c>
      <c r="AC260" s="2"/>
      <c r="AD260" s="2"/>
      <c r="AE260" s="2"/>
      <c r="AF260" s="2"/>
      <c r="AG260" s="2"/>
      <c r="AH260" s="2">
        <v>0</v>
      </c>
      <c r="AI260" s="2"/>
      <c r="AJ260" s="2"/>
      <c r="AK260" s="2">
        <v>0</v>
      </c>
      <c r="AL260" s="2"/>
      <c r="AM260" s="2"/>
      <c r="AN260" s="2"/>
      <c r="AO260" s="2">
        <v>0</v>
      </c>
      <c r="AP260" s="2"/>
      <c r="AQ260" s="2"/>
      <c r="AR260" s="2">
        <v>0</v>
      </c>
      <c r="AS260" s="2"/>
      <c r="AT260" s="2"/>
      <c r="AU260" s="2"/>
      <c r="AV260" s="2">
        <v>0</v>
      </c>
      <c r="AW260" s="2"/>
      <c r="AX260" s="2"/>
      <c r="AY260" s="2"/>
      <c r="AZ260" s="2"/>
      <c r="BA260" s="2">
        <v>0</v>
      </c>
      <c r="BB260" s="2"/>
      <c r="BC260" s="2"/>
      <c r="BD260" s="2"/>
      <c r="BE260" s="2"/>
      <c r="BF260" s="2">
        <v>0</v>
      </c>
      <c r="BG260" s="2"/>
      <c r="BH260" s="2"/>
      <c r="BI260" s="2">
        <v>0</v>
      </c>
      <c r="BJ260" s="2"/>
      <c r="BK260" s="2"/>
      <c r="BL260" s="2"/>
      <c r="BM260" s="2">
        <v>0</v>
      </c>
      <c r="BN260" s="2"/>
      <c r="BO260" s="2"/>
      <c r="BP260" s="2"/>
      <c r="BQ260" s="2">
        <v>0</v>
      </c>
      <c r="BR260" s="2"/>
      <c r="BS260" s="2"/>
      <c r="BT260" s="2"/>
      <c r="BU260" s="2"/>
      <c r="BV260" s="2">
        <v>0</v>
      </c>
      <c r="BW260" s="2"/>
      <c r="BX260" s="2"/>
      <c r="BY260" s="2"/>
      <c r="BZ260" s="2"/>
      <c r="CA260" s="2">
        <v>0</v>
      </c>
      <c r="CB260" s="2"/>
      <c r="CC260" s="2"/>
      <c r="CD260" s="2"/>
      <c r="CE260" s="2">
        <v>0</v>
      </c>
      <c r="CF260" s="2"/>
      <c r="CG260" s="2"/>
      <c r="CH260" s="2">
        <v>0</v>
      </c>
      <c r="CI260" s="2"/>
      <c r="CJ260" s="2"/>
      <c r="CK260" s="2"/>
      <c r="CL260" s="2">
        <v>0</v>
      </c>
      <c r="CM260" s="2"/>
      <c r="CN260" s="2"/>
      <c r="CO260" s="2"/>
      <c r="CP260" s="2"/>
      <c r="CQ260" s="2">
        <v>0</v>
      </c>
      <c r="CR260" s="2"/>
      <c r="CS260" s="2"/>
      <c r="CT260" s="2">
        <v>0</v>
      </c>
      <c r="CU260" s="2"/>
      <c r="CV260" s="2"/>
      <c r="CW260" s="2"/>
      <c r="CX260" s="2"/>
      <c r="CY260" s="2">
        <v>0</v>
      </c>
      <c r="CZ260" s="2"/>
      <c r="DA260" s="2"/>
      <c r="DB260" s="2">
        <v>0</v>
      </c>
      <c r="DC260" s="2"/>
      <c r="DD260" s="2"/>
      <c r="DE260" s="2"/>
      <c r="DF260" s="2"/>
      <c r="DG260" s="2">
        <v>0</v>
      </c>
      <c r="DH260" s="2"/>
      <c r="DI260" s="2"/>
      <c r="DJ260" s="2">
        <v>0</v>
      </c>
      <c r="DK260" s="2"/>
      <c r="DL260" s="2"/>
      <c r="DM260" s="2"/>
      <c r="DN260" s="2">
        <v>0</v>
      </c>
      <c r="DO260" s="2"/>
      <c r="DP260" s="2"/>
      <c r="DQ260" s="2">
        <v>0</v>
      </c>
      <c r="DR260" s="2"/>
      <c r="DS260" s="2"/>
      <c r="DT260" s="2">
        <v>0</v>
      </c>
    </row>
    <row r="261" spans="1:124" x14ac:dyDescent="0.25">
      <c r="A261" s="6" t="s">
        <v>136</v>
      </c>
      <c r="B261" s="2"/>
      <c r="C261" s="2">
        <v>0</v>
      </c>
      <c r="D261" s="2"/>
      <c r="E261" s="2"/>
      <c r="F261" s="2">
        <v>0</v>
      </c>
      <c r="G261" s="2"/>
      <c r="H261" s="2"/>
      <c r="I261" s="2">
        <v>0</v>
      </c>
      <c r="J261" s="2"/>
      <c r="K261" s="2">
        <v>0</v>
      </c>
      <c r="L261" s="2"/>
      <c r="M261" s="2"/>
      <c r="N261" s="2">
        <v>0</v>
      </c>
      <c r="O261" s="2"/>
      <c r="P261" s="2"/>
      <c r="Q261" s="2"/>
      <c r="R261" s="2">
        <v>0</v>
      </c>
      <c r="S261" s="2"/>
      <c r="T261" s="2"/>
      <c r="U261" s="2"/>
      <c r="V261" s="2"/>
      <c r="W261" s="2">
        <v>0</v>
      </c>
      <c r="X261" s="2"/>
      <c r="Y261" s="2"/>
      <c r="Z261" s="2"/>
      <c r="AA261" s="2"/>
      <c r="AB261" s="2">
        <v>0</v>
      </c>
      <c r="AC261" s="2"/>
      <c r="AD261" s="2"/>
      <c r="AE261" s="2"/>
      <c r="AF261" s="2"/>
      <c r="AG261" s="2"/>
      <c r="AH261" s="2">
        <v>0</v>
      </c>
      <c r="AI261" s="2"/>
      <c r="AJ261" s="2"/>
      <c r="AK261" s="2">
        <v>0</v>
      </c>
      <c r="AL261" s="2"/>
      <c r="AM261" s="2"/>
      <c r="AN261" s="2"/>
      <c r="AO261" s="2">
        <v>0</v>
      </c>
      <c r="AP261" s="2"/>
      <c r="AQ261" s="2"/>
      <c r="AR261" s="2">
        <v>0</v>
      </c>
      <c r="AS261" s="2"/>
      <c r="AT261" s="2"/>
      <c r="AU261" s="2"/>
      <c r="AV261" s="2">
        <v>0</v>
      </c>
      <c r="AW261" s="2"/>
      <c r="AX261" s="2"/>
      <c r="AY261" s="2"/>
      <c r="AZ261" s="2"/>
      <c r="BA261" s="2">
        <v>0</v>
      </c>
      <c r="BB261" s="2"/>
      <c r="BC261" s="2"/>
      <c r="BD261" s="2"/>
      <c r="BE261" s="2"/>
      <c r="BF261" s="2">
        <v>0</v>
      </c>
      <c r="BG261" s="2"/>
      <c r="BH261" s="2"/>
      <c r="BI261" s="2">
        <v>0</v>
      </c>
      <c r="BJ261" s="2"/>
      <c r="BK261" s="2"/>
      <c r="BL261" s="2"/>
      <c r="BM261" s="2">
        <v>0</v>
      </c>
      <c r="BN261" s="2"/>
      <c r="BO261" s="2"/>
      <c r="BP261" s="2"/>
      <c r="BQ261" s="2">
        <v>0</v>
      </c>
      <c r="BR261" s="2"/>
      <c r="BS261" s="2"/>
      <c r="BT261" s="2"/>
      <c r="BU261" s="2"/>
      <c r="BV261" s="2">
        <v>0</v>
      </c>
      <c r="BW261" s="2"/>
      <c r="BX261" s="2"/>
      <c r="BY261" s="2"/>
      <c r="BZ261" s="2"/>
      <c r="CA261" s="2">
        <v>0</v>
      </c>
      <c r="CB261" s="2"/>
      <c r="CC261" s="2"/>
      <c r="CD261" s="2"/>
      <c r="CE261" s="2">
        <v>0</v>
      </c>
      <c r="CF261" s="2"/>
      <c r="CG261" s="2"/>
      <c r="CH261" s="2">
        <v>0</v>
      </c>
      <c r="CI261" s="2"/>
      <c r="CJ261" s="2"/>
      <c r="CK261" s="2"/>
      <c r="CL261" s="2">
        <v>0</v>
      </c>
      <c r="CM261" s="2"/>
      <c r="CN261" s="2"/>
      <c r="CO261" s="2"/>
      <c r="CP261" s="2"/>
      <c r="CQ261" s="2">
        <v>0</v>
      </c>
      <c r="CR261" s="2"/>
      <c r="CS261" s="2"/>
      <c r="CT261" s="2">
        <v>0</v>
      </c>
      <c r="CU261" s="2"/>
      <c r="CV261" s="2"/>
      <c r="CW261" s="2"/>
      <c r="CX261" s="2"/>
      <c r="CY261" s="2">
        <v>0</v>
      </c>
      <c r="CZ261" s="2"/>
      <c r="DA261" s="2"/>
      <c r="DB261" s="2">
        <v>0</v>
      </c>
      <c r="DC261" s="2"/>
      <c r="DD261" s="2"/>
      <c r="DE261" s="2"/>
      <c r="DF261" s="2"/>
      <c r="DG261" s="2">
        <v>0</v>
      </c>
      <c r="DH261" s="2"/>
      <c r="DI261" s="2"/>
      <c r="DJ261" s="2">
        <v>0</v>
      </c>
      <c r="DK261" s="2"/>
      <c r="DL261" s="2"/>
      <c r="DM261" s="2"/>
      <c r="DN261" s="2">
        <v>0</v>
      </c>
      <c r="DO261" s="2"/>
      <c r="DP261" s="2"/>
      <c r="DQ261" s="2">
        <v>0</v>
      </c>
      <c r="DR261" s="2"/>
      <c r="DS261" s="2"/>
      <c r="DT261" s="2">
        <v>0</v>
      </c>
    </row>
    <row r="262" spans="1:124" x14ac:dyDescent="0.25">
      <c r="A262" s="6" t="s">
        <v>138</v>
      </c>
      <c r="B262" s="2"/>
      <c r="C262" s="2">
        <v>1</v>
      </c>
      <c r="D262" s="2"/>
      <c r="E262" s="2"/>
      <c r="F262" s="2">
        <v>0</v>
      </c>
      <c r="G262" s="2"/>
      <c r="H262" s="2"/>
      <c r="I262" s="2">
        <v>0</v>
      </c>
      <c r="J262" s="2"/>
      <c r="K262" s="2">
        <v>0</v>
      </c>
      <c r="L262" s="2"/>
      <c r="M262" s="2"/>
      <c r="N262" s="2">
        <v>0</v>
      </c>
      <c r="O262" s="2"/>
      <c r="P262" s="2"/>
      <c r="Q262" s="2"/>
      <c r="R262" s="2">
        <v>1</v>
      </c>
      <c r="S262" s="2"/>
      <c r="T262" s="2"/>
      <c r="U262" s="2"/>
      <c r="V262" s="2"/>
      <c r="W262" s="2">
        <v>0</v>
      </c>
      <c r="X262" s="2"/>
      <c r="Y262" s="2"/>
      <c r="Z262" s="2"/>
      <c r="AA262" s="2"/>
      <c r="AB262" s="2">
        <v>0</v>
      </c>
      <c r="AC262" s="2"/>
      <c r="AD262" s="2"/>
      <c r="AE262" s="2"/>
      <c r="AF262" s="2"/>
      <c r="AG262" s="2"/>
      <c r="AH262" s="2">
        <v>0</v>
      </c>
      <c r="AI262" s="2"/>
      <c r="AJ262" s="2"/>
      <c r="AK262" s="2">
        <v>0</v>
      </c>
      <c r="AL262" s="2"/>
      <c r="AM262" s="2"/>
      <c r="AN262" s="2"/>
      <c r="AO262" s="2">
        <v>0</v>
      </c>
      <c r="AP262" s="2"/>
      <c r="AQ262" s="2"/>
      <c r="AR262" s="2">
        <v>0</v>
      </c>
      <c r="AS262" s="2"/>
      <c r="AT262" s="2"/>
      <c r="AU262" s="2"/>
      <c r="AV262" s="2">
        <v>0</v>
      </c>
      <c r="AW262" s="2"/>
      <c r="AX262" s="2"/>
      <c r="AY262" s="2"/>
      <c r="AZ262" s="2"/>
      <c r="BA262" s="2">
        <v>1</v>
      </c>
      <c r="BB262" s="2"/>
      <c r="BC262" s="2"/>
      <c r="BD262" s="2"/>
      <c r="BE262" s="2"/>
      <c r="BF262" s="2">
        <v>1</v>
      </c>
      <c r="BG262" s="2"/>
      <c r="BH262" s="2"/>
      <c r="BI262" s="2">
        <v>1</v>
      </c>
      <c r="BJ262" s="2"/>
      <c r="BK262" s="2"/>
      <c r="BL262" s="2"/>
      <c r="BM262" s="2">
        <v>0</v>
      </c>
      <c r="BN262" s="2"/>
      <c r="BO262" s="2"/>
      <c r="BP262" s="2"/>
      <c r="BQ262" s="2">
        <v>0</v>
      </c>
      <c r="BR262" s="2"/>
      <c r="BS262" s="2"/>
      <c r="BT262" s="2"/>
      <c r="BU262" s="2"/>
      <c r="BV262" s="2">
        <v>0</v>
      </c>
      <c r="BW262" s="2"/>
      <c r="BX262" s="2"/>
      <c r="BY262" s="2"/>
      <c r="BZ262" s="2"/>
      <c r="CA262" s="2">
        <v>1</v>
      </c>
      <c r="CB262" s="2"/>
      <c r="CC262" s="2"/>
      <c r="CD262" s="2"/>
      <c r="CE262" s="2">
        <v>1</v>
      </c>
      <c r="CF262" s="2"/>
      <c r="CG262" s="2"/>
      <c r="CH262" s="2">
        <v>0</v>
      </c>
      <c r="CI262" s="2"/>
      <c r="CJ262" s="2"/>
      <c r="CK262" s="2"/>
      <c r="CL262" s="2">
        <v>1</v>
      </c>
      <c r="CM262" s="2"/>
      <c r="CN262" s="2"/>
      <c r="CO262" s="2"/>
      <c r="CP262" s="2"/>
      <c r="CQ262" s="2">
        <v>0</v>
      </c>
      <c r="CR262" s="2"/>
      <c r="CS262" s="2"/>
      <c r="CT262" s="2">
        <v>0</v>
      </c>
      <c r="CU262" s="2"/>
      <c r="CV262" s="2"/>
      <c r="CW262" s="2"/>
      <c r="CX262" s="2"/>
      <c r="CY262" s="2">
        <v>0</v>
      </c>
      <c r="CZ262" s="2"/>
      <c r="DA262" s="2"/>
      <c r="DB262" s="2">
        <v>0</v>
      </c>
      <c r="DC262" s="2"/>
      <c r="DD262" s="2"/>
      <c r="DE262" s="2"/>
      <c r="DF262" s="2"/>
      <c r="DG262" s="2">
        <v>1</v>
      </c>
      <c r="DH262" s="2"/>
      <c r="DI262" s="2"/>
      <c r="DJ262" s="2">
        <v>1</v>
      </c>
      <c r="DK262" s="2"/>
      <c r="DL262" s="2"/>
      <c r="DM262" s="2"/>
      <c r="DN262" s="2">
        <v>1</v>
      </c>
      <c r="DO262" s="2"/>
      <c r="DP262" s="2"/>
      <c r="DQ262" s="2">
        <v>0</v>
      </c>
      <c r="DR262" s="2"/>
      <c r="DS262" s="2"/>
      <c r="DT262" s="2">
        <v>11</v>
      </c>
    </row>
    <row r="263" spans="1:124" x14ac:dyDescent="0.25">
      <c r="A263" s="6" t="s">
        <v>140</v>
      </c>
      <c r="B263" s="2"/>
      <c r="C263" s="2">
        <v>0</v>
      </c>
      <c r="D263" s="2"/>
      <c r="E263" s="2"/>
      <c r="F263" s="2">
        <v>0</v>
      </c>
      <c r="G263" s="2"/>
      <c r="H263" s="2"/>
      <c r="I263" s="2">
        <v>0</v>
      </c>
      <c r="J263" s="2"/>
      <c r="K263" s="2">
        <v>0</v>
      </c>
      <c r="L263" s="2"/>
      <c r="M263" s="2"/>
      <c r="N263" s="2">
        <v>0</v>
      </c>
      <c r="O263" s="2"/>
      <c r="P263" s="2"/>
      <c r="Q263" s="2"/>
      <c r="R263" s="2">
        <v>0</v>
      </c>
      <c r="S263" s="2"/>
      <c r="T263" s="2"/>
      <c r="U263" s="2"/>
      <c r="V263" s="2"/>
      <c r="W263" s="2">
        <v>0</v>
      </c>
      <c r="X263" s="2"/>
      <c r="Y263" s="2"/>
      <c r="Z263" s="2"/>
      <c r="AA263" s="2"/>
      <c r="AB263" s="2">
        <v>0</v>
      </c>
      <c r="AC263" s="2"/>
      <c r="AD263" s="2"/>
      <c r="AE263" s="2"/>
      <c r="AF263" s="2"/>
      <c r="AG263" s="2"/>
      <c r="AH263" s="2">
        <v>0</v>
      </c>
      <c r="AI263" s="2"/>
      <c r="AJ263" s="2"/>
      <c r="AK263" s="2">
        <v>0</v>
      </c>
      <c r="AL263" s="2"/>
      <c r="AM263" s="2"/>
      <c r="AN263" s="2"/>
      <c r="AO263" s="2">
        <v>0</v>
      </c>
      <c r="AP263" s="2"/>
      <c r="AQ263" s="2"/>
      <c r="AR263" s="2">
        <v>0</v>
      </c>
      <c r="AS263" s="2"/>
      <c r="AT263" s="2"/>
      <c r="AU263" s="2"/>
      <c r="AV263" s="2">
        <v>0</v>
      </c>
      <c r="AW263" s="2"/>
      <c r="AX263" s="2"/>
      <c r="AY263" s="2"/>
      <c r="AZ263" s="2"/>
      <c r="BA263" s="2">
        <v>0</v>
      </c>
      <c r="BB263" s="2"/>
      <c r="BC263" s="2"/>
      <c r="BD263" s="2"/>
      <c r="BE263" s="2"/>
      <c r="BF263" s="2">
        <v>0</v>
      </c>
      <c r="BG263" s="2"/>
      <c r="BH263" s="2"/>
      <c r="BI263" s="2">
        <v>0</v>
      </c>
      <c r="BJ263" s="2"/>
      <c r="BK263" s="2"/>
      <c r="BL263" s="2"/>
      <c r="BM263" s="2">
        <v>0</v>
      </c>
      <c r="BN263" s="2"/>
      <c r="BO263" s="2"/>
      <c r="BP263" s="2"/>
      <c r="BQ263" s="2">
        <v>0</v>
      </c>
      <c r="BR263" s="2"/>
      <c r="BS263" s="2"/>
      <c r="BT263" s="2"/>
      <c r="BU263" s="2"/>
      <c r="BV263" s="2">
        <v>0</v>
      </c>
      <c r="BW263" s="2"/>
      <c r="BX263" s="2"/>
      <c r="BY263" s="2"/>
      <c r="BZ263" s="2"/>
      <c r="CA263" s="2">
        <v>0</v>
      </c>
      <c r="CB263" s="2"/>
      <c r="CC263" s="2"/>
      <c r="CD263" s="2"/>
      <c r="CE263" s="2">
        <v>0</v>
      </c>
      <c r="CF263" s="2"/>
      <c r="CG263" s="2"/>
      <c r="CH263" s="2">
        <v>0</v>
      </c>
      <c r="CI263" s="2"/>
      <c r="CJ263" s="2"/>
      <c r="CK263" s="2"/>
      <c r="CL263" s="2">
        <v>0</v>
      </c>
      <c r="CM263" s="2"/>
      <c r="CN263" s="2"/>
      <c r="CO263" s="2"/>
      <c r="CP263" s="2"/>
      <c r="CQ263" s="2">
        <v>0</v>
      </c>
      <c r="CR263" s="2"/>
      <c r="CS263" s="2"/>
      <c r="CT263" s="2">
        <v>0</v>
      </c>
      <c r="CU263" s="2"/>
      <c r="CV263" s="2"/>
      <c r="CW263" s="2"/>
      <c r="CX263" s="2"/>
      <c r="CY263" s="2">
        <v>0</v>
      </c>
      <c r="CZ263" s="2"/>
      <c r="DA263" s="2"/>
      <c r="DB263" s="2">
        <v>0</v>
      </c>
      <c r="DC263" s="2"/>
      <c r="DD263" s="2"/>
      <c r="DE263" s="2"/>
      <c r="DF263" s="2"/>
      <c r="DG263" s="2">
        <v>0</v>
      </c>
      <c r="DH263" s="2"/>
      <c r="DI263" s="2"/>
      <c r="DJ263" s="2">
        <v>0</v>
      </c>
      <c r="DK263" s="2"/>
      <c r="DL263" s="2"/>
      <c r="DM263" s="2"/>
      <c r="DN263" s="2">
        <v>0</v>
      </c>
      <c r="DO263" s="2"/>
      <c r="DP263" s="2"/>
      <c r="DQ263" s="2">
        <v>0</v>
      </c>
      <c r="DR263" s="2"/>
      <c r="DS263" s="2"/>
      <c r="DT263" s="2">
        <v>0</v>
      </c>
    </row>
    <row r="264" spans="1:124" x14ac:dyDescent="0.25">
      <c r="A264" s="6" t="s">
        <v>142</v>
      </c>
      <c r="C264">
        <v>0</v>
      </c>
      <c r="F264">
        <v>0</v>
      </c>
      <c r="I264">
        <v>0</v>
      </c>
      <c r="K264">
        <v>1</v>
      </c>
      <c r="N264">
        <v>0</v>
      </c>
      <c r="R264">
        <v>0</v>
      </c>
      <c r="W264">
        <v>0</v>
      </c>
      <c r="AB264">
        <v>0</v>
      </c>
      <c r="AH264">
        <v>0</v>
      </c>
      <c r="AK264">
        <v>0</v>
      </c>
      <c r="AO264">
        <v>0</v>
      </c>
      <c r="AR264">
        <v>0</v>
      </c>
      <c r="AV264">
        <v>0</v>
      </c>
      <c r="BA264">
        <v>0</v>
      </c>
      <c r="BF264">
        <v>0</v>
      </c>
      <c r="BI264">
        <v>0</v>
      </c>
      <c r="BM264">
        <v>0</v>
      </c>
      <c r="BQ264">
        <v>0</v>
      </c>
      <c r="BV264">
        <v>0</v>
      </c>
      <c r="CA264">
        <v>0</v>
      </c>
      <c r="CE264">
        <v>1</v>
      </c>
      <c r="CH264">
        <v>0</v>
      </c>
      <c r="CL264">
        <v>1</v>
      </c>
      <c r="CQ264">
        <v>0</v>
      </c>
      <c r="CT264">
        <v>0</v>
      </c>
      <c r="CY264">
        <v>0</v>
      </c>
      <c r="DB264">
        <v>0</v>
      </c>
      <c r="DG264">
        <v>0</v>
      </c>
      <c r="DJ264">
        <v>1</v>
      </c>
      <c r="DN264">
        <v>0</v>
      </c>
      <c r="DQ264">
        <v>0</v>
      </c>
      <c r="DT264">
        <v>4</v>
      </c>
    </row>
    <row r="265" spans="1:124" x14ac:dyDescent="0.25">
      <c r="A265" s="6" t="s">
        <v>144</v>
      </c>
      <c r="C265">
        <v>0</v>
      </c>
      <c r="F265">
        <v>0</v>
      </c>
      <c r="I265">
        <v>0</v>
      </c>
      <c r="K265">
        <v>0</v>
      </c>
      <c r="N265">
        <v>0</v>
      </c>
      <c r="R265">
        <v>0</v>
      </c>
      <c r="W265">
        <v>0</v>
      </c>
      <c r="AB265">
        <v>0</v>
      </c>
      <c r="AH265">
        <v>0</v>
      </c>
      <c r="AK265">
        <v>0</v>
      </c>
      <c r="AO265">
        <v>0</v>
      </c>
      <c r="AR265">
        <v>0</v>
      </c>
      <c r="AV265">
        <v>0</v>
      </c>
      <c r="BA265">
        <v>0</v>
      </c>
      <c r="BF265">
        <v>0</v>
      </c>
      <c r="BI265">
        <v>0</v>
      </c>
      <c r="BM265">
        <v>0</v>
      </c>
      <c r="BQ265">
        <v>0</v>
      </c>
      <c r="BV265">
        <v>0</v>
      </c>
      <c r="CA265">
        <v>1</v>
      </c>
      <c r="CE265">
        <v>0</v>
      </c>
      <c r="CH265">
        <v>0</v>
      </c>
      <c r="CL265">
        <v>0</v>
      </c>
      <c r="CQ265">
        <v>0</v>
      </c>
      <c r="CT265">
        <v>0</v>
      </c>
      <c r="CY265">
        <v>0</v>
      </c>
      <c r="DB265">
        <v>0</v>
      </c>
      <c r="DG265">
        <v>0</v>
      </c>
      <c r="DJ265">
        <v>0</v>
      </c>
      <c r="DN265">
        <v>0</v>
      </c>
      <c r="DQ265">
        <v>0</v>
      </c>
      <c r="DT265">
        <v>1</v>
      </c>
    </row>
    <row r="266" spans="1:124" x14ac:dyDescent="0.25">
      <c r="A266" s="6" t="s">
        <v>146</v>
      </c>
      <c r="B266" s="2"/>
      <c r="C266" s="2">
        <v>0</v>
      </c>
      <c r="D266" s="2"/>
      <c r="E266" s="2"/>
      <c r="F266" s="2">
        <v>0</v>
      </c>
      <c r="G266" s="2"/>
      <c r="H266" s="2"/>
      <c r="I266" s="2">
        <v>1</v>
      </c>
      <c r="J266" s="2"/>
      <c r="K266" s="2">
        <v>0</v>
      </c>
      <c r="L266" s="2"/>
      <c r="M266" s="2"/>
      <c r="N266" s="2">
        <v>0</v>
      </c>
      <c r="O266" s="2"/>
      <c r="P266" s="2"/>
      <c r="Q266" s="2"/>
      <c r="R266" s="2">
        <v>0</v>
      </c>
      <c r="S266" s="2"/>
      <c r="T266" s="2"/>
      <c r="U266" s="2"/>
      <c r="V266" s="2"/>
      <c r="W266" s="2">
        <v>0</v>
      </c>
      <c r="X266" s="2"/>
      <c r="Y266" s="2"/>
      <c r="Z266" s="2"/>
      <c r="AA266" s="2"/>
      <c r="AB266" s="2">
        <v>0</v>
      </c>
      <c r="AC266" s="2"/>
      <c r="AD266" s="2"/>
      <c r="AE266" s="2"/>
      <c r="AF266" s="2"/>
      <c r="AG266" s="2"/>
      <c r="AH266" s="2">
        <v>0</v>
      </c>
      <c r="AI266" s="2"/>
      <c r="AJ266" s="2"/>
      <c r="AK266" s="2">
        <v>0</v>
      </c>
      <c r="AL266" s="2"/>
      <c r="AM266" s="2"/>
      <c r="AN266" s="2"/>
      <c r="AO266" s="2">
        <v>0</v>
      </c>
      <c r="AP266" s="2"/>
      <c r="AQ266" s="2"/>
      <c r="AR266" s="2">
        <v>0</v>
      </c>
      <c r="AS266" s="2"/>
      <c r="AT266" s="2"/>
      <c r="AU266" s="2"/>
      <c r="AV266" s="2">
        <v>0</v>
      </c>
      <c r="AW266" s="2"/>
      <c r="AX266" s="2"/>
      <c r="AY266" s="2"/>
      <c r="AZ266" s="2"/>
      <c r="BA266" s="2">
        <v>0</v>
      </c>
      <c r="BB266" s="2"/>
      <c r="BC266" s="2"/>
      <c r="BD266" s="2"/>
      <c r="BE266" s="2"/>
      <c r="BF266" s="2">
        <v>0</v>
      </c>
      <c r="BG266" s="2"/>
      <c r="BH266" s="2"/>
      <c r="BI266" s="2">
        <v>0</v>
      </c>
      <c r="BJ266" s="2"/>
      <c r="BK266" s="2"/>
      <c r="BL266" s="2"/>
      <c r="BM266" s="2">
        <v>1</v>
      </c>
      <c r="BN266" s="2"/>
      <c r="BO266" s="2"/>
      <c r="BP266" s="2"/>
      <c r="BQ266" s="2">
        <v>0</v>
      </c>
      <c r="BR266" s="2"/>
      <c r="BS266" s="2"/>
      <c r="BT266" s="2"/>
      <c r="BU266" s="2"/>
      <c r="BV266" s="2">
        <v>0</v>
      </c>
      <c r="BW266" s="2"/>
      <c r="BX266" s="2"/>
      <c r="BY266" s="2"/>
      <c r="BZ266" s="2"/>
      <c r="CA266" s="2">
        <v>0</v>
      </c>
      <c r="CB266" s="2"/>
      <c r="CC266" s="2"/>
      <c r="CD266" s="2"/>
      <c r="CE266" s="2">
        <v>0</v>
      </c>
      <c r="CF266" s="2"/>
      <c r="CG266" s="2"/>
      <c r="CH266" s="2">
        <v>0</v>
      </c>
      <c r="CI266" s="2"/>
      <c r="CJ266" s="2"/>
      <c r="CK266" s="2"/>
      <c r="CL266" s="2">
        <v>0</v>
      </c>
      <c r="CM266" s="2"/>
      <c r="CN266" s="2"/>
      <c r="CO266" s="2"/>
      <c r="CP266" s="2"/>
      <c r="CQ266" s="2">
        <v>1</v>
      </c>
      <c r="CR266" s="2"/>
      <c r="CS266" s="2"/>
      <c r="CT266" s="2">
        <v>0</v>
      </c>
      <c r="CU266" s="2"/>
      <c r="CV266" s="2"/>
      <c r="CW266" s="2"/>
      <c r="CX266" s="2"/>
      <c r="CY266" s="2">
        <v>0</v>
      </c>
      <c r="CZ266" s="2"/>
      <c r="DA266" s="2"/>
      <c r="DB266" s="2">
        <v>0</v>
      </c>
      <c r="DC266" s="2"/>
      <c r="DD266" s="2"/>
      <c r="DE266" s="2"/>
      <c r="DF266" s="2"/>
      <c r="DG266" s="2">
        <v>0</v>
      </c>
      <c r="DH266" s="2"/>
      <c r="DI266" s="2"/>
      <c r="DJ266" s="2">
        <v>0</v>
      </c>
      <c r="DK266" s="2"/>
      <c r="DL266" s="2"/>
      <c r="DM266" s="2"/>
      <c r="DN266" s="2">
        <v>0</v>
      </c>
      <c r="DO266" s="2"/>
      <c r="DP266" s="2"/>
      <c r="DQ266" s="2">
        <v>1</v>
      </c>
      <c r="DR266" s="2"/>
      <c r="DS266" s="2"/>
      <c r="DT266" s="2">
        <v>4</v>
      </c>
    </row>
    <row r="267" spans="1:124" x14ac:dyDescent="0.25">
      <c r="A267" s="6" t="s">
        <v>454</v>
      </c>
      <c r="C267">
        <v>0</v>
      </c>
      <c r="F267">
        <v>0</v>
      </c>
      <c r="I267">
        <v>0</v>
      </c>
      <c r="K267">
        <v>0</v>
      </c>
      <c r="N267">
        <v>0</v>
      </c>
      <c r="R267">
        <v>0</v>
      </c>
      <c r="W267">
        <v>0</v>
      </c>
      <c r="AB267">
        <v>0</v>
      </c>
      <c r="AH267">
        <v>0</v>
      </c>
      <c r="AK267">
        <v>0</v>
      </c>
      <c r="AO267">
        <v>0</v>
      </c>
      <c r="AR267">
        <v>0</v>
      </c>
      <c r="AV267">
        <v>0</v>
      </c>
      <c r="BA267">
        <v>0</v>
      </c>
      <c r="BF267">
        <v>0</v>
      </c>
      <c r="BI267">
        <v>0</v>
      </c>
      <c r="BM267">
        <v>0</v>
      </c>
      <c r="BQ267">
        <v>0</v>
      </c>
      <c r="BV267">
        <v>0</v>
      </c>
      <c r="CA267">
        <v>0</v>
      </c>
      <c r="CE267">
        <v>0</v>
      </c>
      <c r="CH267">
        <v>0</v>
      </c>
      <c r="CL267">
        <v>0</v>
      </c>
      <c r="CQ267">
        <v>0</v>
      </c>
      <c r="CT267">
        <v>0</v>
      </c>
      <c r="CY267">
        <v>0</v>
      </c>
      <c r="DB267">
        <v>0</v>
      </c>
      <c r="DG267">
        <v>0</v>
      </c>
      <c r="DJ267">
        <v>0</v>
      </c>
      <c r="DN267">
        <v>0</v>
      </c>
      <c r="DQ267">
        <v>0</v>
      </c>
      <c r="DT267">
        <v>0</v>
      </c>
    </row>
    <row r="268" spans="1:124" x14ac:dyDescent="0.25">
      <c r="A268" s="6" t="s">
        <v>148</v>
      </c>
      <c r="B268" s="2"/>
      <c r="C268" s="2">
        <v>0</v>
      </c>
      <c r="D268" s="2"/>
      <c r="E268" s="2"/>
      <c r="F268" s="2">
        <v>0</v>
      </c>
      <c r="G268" s="2"/>
      <c r="H268" s="2"/>
      <c r="I268" s="2">
        <v>0</v>
      </c>
      <c r="J268" s="2"/>
      <c r="K268" s="2">
        <v>1</v>
      </c>
      <c r="L268" s="2"/>
      <c r="M268" s="2"/>
      <c r="N268" s="2">
        <v>0</v>
      </c>
      <c r="O268" s="2"/>
      <c r="P268" s="2"/>
      <c r="Q268" s="2"/>
      <c r="R268" s="2">
        <v>0</v>
      </c>
      <c r="S268" s="2"/>
      <c r="T268" s="2"/>
      <c r="U268" s="2"/>
      <c r="V268" s="2"/>
      <c r="W268" s="2">
        <v>0</v>
      </c>
      <c r="X268" s="2"/>
      <c r="Y268" s="2"/>
      <c r="Z268" s="2"/>
      <c r="AA268" s="2"/>
      <c r="AB268" s="2">
        <v>0</v>
      </c>
      <c r="AC268" s="2"/>
      <c r="AD268" s="2"/>
      <c r="AE268" s="2"/>
      <c r="AF268" s="2"/>
      <c r="AG268" s="2"/>
      <c r="AH268" s="2">
        <v>0</v>
      </c>
      <c r="AI268" s="2"/>
      <c r="AJ268" s="2"/>
      <c r="AK268" s="2">
        <v>0</v>
      </c>
      <c r="AL268" s="2"/>
      <c r="AM268" s="2"/>
      <c r="AN268" s="2"/>
      <c r="AO268" s="2">
        <v>0</v>
      </c>
      <c r="AP268" s="2"/>
      <c r="AQ268" s="2"/>
      <c r="AR268" s="2">
        <v>0</v>
      </c>
      <c r="AS268" s="2"/>
      <c r="AT268" s="2"/>
      <c r="AU268" s="2"/>
      <c r="AV268" s="2">
        <v>0</v>
      </c>
      <c r="AW268" s="2"/>
      <c r="AX268" s="2"/>
      <c r="AY268" s="2"/>
      <c r="AZ268" s="2"/>
      <c r="BA268" s="2">
        <v>0</v>
      </c>
      <c r="BB268" s="2"/>
      <c r="BC268" s="2"/>
      <c r="BD268" s="2"/>
      <c r="BE268" s="2"/>
      <c r="BF268" s="2">
        <v>0</v>
      </c>
      <c r="BG268" s="2"/>
      <c r="BH268" s="2"/>
      <c r="BI268" s="2">
        <v>0</v>
      </c>
      <c r="BJ268" s="2"/>
      <c r="BK268" s="2"/>
      <c r="BL268" s="2"/>
      <c r="BM268" s="2">
        <v>0</v>
      </c>
      <c r="BN268" s="2"/>
      <c r="BO268" s="2"/>
      <c r="BP268" s="2"/>
      <c r="BQ268" s="2">
        <v>1</v>
      </c>
      <c r="BR268" s="2"/>
      <c r="BS268" s="2"/>
      <c r="BT268" s="2"/>
      <c r="BU268" s="2"/>
      <c r="BV268" s="2">
        <v>0</v>
      </c>
      <c r="BW268" s="2"/>
      <c r="BX268" s="2"/>
      <c r="BY268" s="2"/>
      <c r="BZ268" s="2"/>
      <c r="CA268" s="2">
        <v>0</v>
      </c>
      <c r="CB268" s="2"/>
      <c r="CC268" s="2"/>
      <c r="CD268" s="2"/>
      <c r="CE268" s="2">
        <v>0</v>
      </c>
      <c r="CF268" s="2"/>
      <c r="CG268" s="2"/>
      <c r="CH268" s="2">
        <v>0</v>
      </c>
      <c r="CI268" s="2"/>
      <c r="CJ268" s="2"/>
      <c r="CK268" s="2"/>
      <c r="CL268" s="2">
        <v>0</v>
      </c>
      <c r="CM268" s="2"/>
      <c r="CN268" s="2"/>
      <c r="CO268" s="2"/>
      <c r="CP268" s="2"/>
      <c r="CQ268" s="2">
        <v>0</v>
      </c>
      <c r="CR268" s="2"/>
      <c r="CS268" s="2"/>
      <c r="CT268" s="2">
        <v>1</v>
      </c>
      <c r="CU268" s="2"/>
      <c r="CV268" s="2"/>
      <c r="CW268" s="2"/>
      <c r="CX268" s="2"/>
      <c r="CY268" s="2">
        <v>0</v>
      </c>
      <c r="CZ268" s="2"/>
      <c r="DA268" s="2"/>
      <c r="DB268" s="2">
        <v>0</v>
      </c>
      <c r="DC268" s="2"/>
      <c r="DD268" s="2"/>
      <c r="DE268" s="2"/>
      <c r="DF268" s="2"/>
      <c r="DG268" s="2">
        <v>0</v>
      </c>
      <c r="DH268" s="2"/>
      <c r="DI268" s="2"/>
      <c r="DJ268" s="2">
        <v>0</v>
      </c>
      <c r="DK268" s="2"/>
      <c r="DL268" s="2"/>
      <c r="DM268" s="2"/>
      <c r="DN268" s="2">
        <v>0</v>
      </c>
      <c r="DO268" s="2"/>
      <c r="DP268" s="2"/>
      <c r="DQ268" s="2">
        <v>0</v>
      </c>
      <c r="DR268" s="2"/>
      <c r="DS268" s="2"/>
      <c r="DT268" s="2">
        <v>3</v>
      </c>
    </row>
    <row r="269" spans="1:124" x14ac:dyDescent="0.25">
      <c r="A269" s="6" t="s">
        <v>456</v>
      </c>
      <c r="C269">
        <v>0</v>
      </c>
      <c r="F269">
        <v>0</v>
      </c>
      <c r="I269">
        <v>0</v>
      </c>
      <c r="K269">
        <v>0</v>
      </c>
      <c r="N269">
        <v>0</v>
      </c>
      <c r="R269">
        <v>0</v>
      </c>
      <c r="W269">
        <v>0</v>
      </c>
      <c r="AB269">
        <v>0</v>
      </c>
      <c r="AH269">
        <v>0</v>
      </c>
      <c r="AK269">
        <v>0</v>
      </c>
      <c r="AO269">
        <v>0</v>
      </c>
      <c r="AR269">
        <v>0</v>
      </c>
      <c r="AV269">
        <v>0</v>
      </c>
      <c r="BA269">
        <v>0</v>
      </c>
      <c r="BF269">
        <v>0</v>
      </c>
      <c r="BI269">
        <v>0</v>
      </c>
      <c r="BM269">
        <v>0</v>
      </c>
      <c r="BQ269">
        <v>0</v>
      </c>
      <c r="BV269">
        <v>0</v>
      </c>
      <c r="CA269">
        <v>0</v>
      </c>
      <c r="CE269">
        <v>0</v>
      </c>
      <c r="CH269">
        <v>0</v>
      </c>
      <c r="CL269">
        <v>0</v>
      </c>
      <c r="CQ269">
        <v>0</v>
      </c>
      <c r="CT269">
        <v>0</v>
      </c>
      <c r="CY269">
        <v>0</v>
      </c>
      <c r="DB269">
        <v>0</v>
      </c>
      <c r="DG269">
        <v>0</v>
      </c>
      <c r="DJ269">
        <v>0</v>
      </c>
      <c r="DN269">
        <v>0</v>
      </c>
      <c r="DQ269">
        <v>0</v>
      </c>
      <c r="DT269">
        <v>0</v>
      </c>
    </row>
    <row r="270" spans="1:124" x14ac:dyDescent="0.25">
      <c r="A270" s="6" t="s">
        <v>150</v>
      </c>
      <c r="C270">
        <v>0</v>
      </c>
      <c r="F270">
        <v>0</v>
      </c>
      <c r="I270">
        <v>0</v>
      </c>
      <c r="K270">
        <v>1</v>
      </c>
      <c r="N270">
        <v>0</v>
      </c>
      <c r="R270">
        <v>2</v>
      </c>
      <c r="W270">
        <v>0</v>
      </c>
      <c r="AB270">
        <v>0</v>
      </c>
      <c r="AH270">
        <v>0</v>
      </c>
      <c r="AK270">
        <v>0</v>
      </c>
      <c r="AO270">
        <v>0</v>
      </c>
      <c r="AR270">
        <v>0</v>
      </c>
      <c r="AV270">
        <v>0</v>
      </c>
      <c r="BA270">
        <v>0</v>
      </c>
      <c r="BF270">
        <v>0</v>
      </c>
      <c r="BI270">
        <v>0</v>
      </c>
      <c r="BM270">
        <v>3</v>
      </c>
      <c r="BQ270">
        <v>6</v>
      </c>
      <c r="BV270">
        <v>2</v>
      </c>
      <c r="CA270">
        <v>0</v>
      </c>
      <c r="CE270">
        <v>0</v>
      </c>
      <c r="CH270">
        <v>0</v>
      </c>
      <c r="CL270">
        <v>0</v>
      </c>
      <c r="CQ270">
        <v>0</v>
      </c>
      <c r="CT270">
        <v>0</v>
      </c>
      <c r="CY270">
        <v>0</v>
      </c>
      <c r="DB270">
        <v>0</v>
      </c>
      <c r="DG270">
        <v>0</v>
      </c>
      <c r="DJ270">
        <v>0</v>
      </c>
      <c r="DN270">
        <v>1</v>
      </c>
      <c r="DQ270">
        <v>0</v>
      </c>
      <c r="DT270">
        <v>15</v>
      </c>
    </row>
    <row r="271" spans="1:124" x14ac:dyDescent="0.25">
      <c r="A271" s="6" t="s">
        <v>152</v>
      </c>
      <c r="B271" s="2"/>
      <c r="C271" s="2">
        <v>0</v>
      </c>
      <c r="D271" s="2"/>
      <c r="E271" s="2"/>
      <c r="F271" s="2">
        <v>0</v>
      </c>
      <c r="G271" s="2"/>
      <c r="H271" s="2"/>
      <c r="I271" s="2">
        <v>1</v>
      </c>
      <c r="J271" s="2"/>
      <c r="K271" s="2">
        <v>0</v>
      </c>
      <c r="L271" s="2"/>
      <c r="M271" s="2"/>
      <c r="N271" s="2">
        <v>0</v>
      </c>
      <c r="O271" s="2"/>
      <c r="P271" s="2"/>
      <c r="Q271" s="2"/>
      <c r="R271" s="2">
        <v>0</v>
      </c>
      <c r="S271" s="2"/>
      <c r="T271" s="2"/>
      <c r="U271" s="2"/>
      <c r="V271" s="2"/>
      <c r="W271" s="2">
        <v>0</v>
      </c>
      <c r="X271" s="2"/>
      <c r="Y271" s="2"/>
      <c r="Z271" s="2"/>
      <c r="AA271" s="2"/>
      <c r="AB271" s="2">
        <v>0</v>
      </c>
      <c r="AC271" s="2"/>
      <c r="AD271" s="2"/>
      <c r="AE271" s="2"/>
      <c r="AF271" s="2"/>
      <c r="AG271" s="2"/>
      <c r="AH271" s="2">
        <v>0</v>
      </c>
      <c r="AI271" s="2"/>
      <c r="AJ271" s="2"/>
      <c r="AK271" s="2">
        <v>0</v>
      </c>
      <c r="AL271" s="2"/>
      <c r="AM271" s="2"/>
      <c r="AN271" s="2"/>
      <c r="AO271" s="2">
        <v>0</v>
      </c>
      <c r="AP271" s="2"/>
      <c r="AQ271" s="2"/>
      <c r="AR271" s="2">
        <v>0</v>
      </c>
      <c r="AS271" s="2"/>
      <c r="AT271" s="2"/>
      <c r="AU271" s="2"/>
      <c r="AV271" s="2">
        <v>0</v>
      </c>
      <c r="AW271" s="2"/>
      <c r="AX271" s="2"/>
      <c r="AY271" s="2"/>
      <c r="AZ271" s="2"/>
      <c r="BA271" s="2">
        <v>0</v>
      </c>
      <c r="BB271" s="2"/>
      <c r="BC271" s="2"/>
      <c r="BD271" s="2"/>
      <c r="BE271" s="2"/>
      <c r="BF271" s="2">
        <v>0</v>
      </c>
      <c r="BG271" s="2"/>
      <c r="BH271" s="2"/>
      <c r="BI271" s="2">
        <v>0</v>
      </c>
      <c r="BJ271" s="2"/>
      <c r="BK271" s="2"/>
      <c r="BL271" s="2"/>
      <c r="BM271" s="2">
        <v>1</v>
      </c>
      <c r="BN271" s="2"/>
      <c r="BO271" s="2"/>
      <c r="BP271" s="2"/>
      <c r="BQ271" s="2">
        <v>0</v>
      </c>
      <c r="BR271" s="2"/>
      <c r="BS271" s="2"/>
      <c r="BT271" s="2"/>
      <c r="BU271" s="2"/>
      <c r="BV271" s="2">
        <v>0</v>
      </c>
      <c r="BW271" s="2"/>
      <c r="BX271" s="2"/>
      <c r="BY271" s="2"/>
      <c r="BZ271" s="2"/>
      <c r="CA271" s="2">
        <v>0</v>
      </c>
      <c r="CB271" s="2"/>
      <c r="CC271" s="2"/>
      <c r="CD271" s="2"/>
      <c r="CE271" s="2">
        <v>0</v>
      </c>
      <c r="CF271" s="2"/>
      <c r="CG271" s="2"/>
      <c r="CH271" s="2">
        <v>0</v>
      </c>
      <c r="CI271" s="2"/>
      <c r="CJ271" s="2"/>
      <c r="CK271" s="2"/>
      <c r="CL271" s="2">
        <v>0</v>
      </c>
      <c r="CM271" s="2"/>
      <c r="CN271" s="2"/>
      <c r="CO271" s="2"/>
      <c r="CP271" s="2"/>
      <c r="CQ271" s="2">
        <v>1</v>
      </c>
      <c r="CR271" s="2"/>
      <c r="CS271" s="2"/>
      <c r="CT271" s="2">
        <v>0</v>
      </c>
      <c r="CU271" s="2"/>
      <c r="CV271" s="2"/>
      <c r="CW271" s="2"/>
      <c r="CX271" s="2"/>
      <c r="CY271" s="2">
        <v>0</v>
      </c>
      <c r="CZ271" s="2"/>
      <c r="DA271" s="2"/>
      <c r="DB271" s="2">
        <v>0</v>
      </c>
      <c r="DC271" s="2"/>
      <c r="DD271" s="2"/>
      <c r="DE271" s="2"/>
      <c r="DF271" s="2"/>
      <c r="DG271" s="2">
        <v>0</v>
      </c>
      <c r="DH271" s="2"/>
      <c r="DI271" s="2"/>
      <c r="DJ271" s="2">
        <v>0</v>
      </c>
      <c r="DK271" s="2"/>
      <c r="DL271" s="2"/>
      <c r="DM271" s="2"/>
      <c r="DN271" s="2">
        <v>0</v>
      </c>
      <c r="DO271" s="2"/>
      <c r="DP271" s="2"/>
      <c r="DQ271" s="2">
        <v>1</v>
      </c>
      <c r="DR271" s="2"/>
      <c r="DS271" s="2"/>
      <c r="DT271" s="2">
        <v>4</v>
      </c>
    </row>
    <row r="272" spans="1:124" x14ac:dyDescent="0.25">
      <c r="A272" s="6" t="s">
        <v>154</v>
      </c>
      <c r="B272" s="2"/>
      <c r="C272" s="2">
        <v>0</v>
      </c>
      <c r="D272" s="2"/>
      <c r="E272" s="2"/>
      <c r="F272" s="2">
        <v>0</v>
      </c>
      <c r="G272" s="2"/>
      <c r="H272" s="2"/>
      <c r="I272" s="2">
        <v>0</v>
      </c>
      <c r="J272" s="2"/>
      <c r="K272" s="2">
        <v>1</v>
      </c>
      <c r="L272" s="2"/>
      <c r="M272" s="2"/>
      <c r="N272" s="2">
        <v>0</v>
      </c>
      <c r="O272" s="2"/>
      <c r="P272" s="2"/>
      <c r="Q272" s="2"/>
      <c r="R272" s="2">
        <v>0</v>
      </c>
      <c r="S272" s="2"/>
      <c r="T272" s="2"/>
      <c r="U272" s="2"/>
      <c r="V272" s="2"/>
      <c r="W272" s="2">
        <v>0</v>
      </c>
      <c r="X272" s="2"/>
      <c r="Y272" s="2"/>
      <c r="Z272" s="2"/>
      <c r="AA272" s="2"/>
      <c r="AB272" s="2">
        <v>0</v>
      </c>
      <c r="AC272" s="2"/>
      <c r="AD272" s="2"/>
      <c r="AE272" s="2"/>
      <c r="AF272" s="2"/>
      <c r="AG272" s="2"/>
      <c r="AH272" s="2">
        <v>0</v>
      </c>
      <c r="AI272" s="2"/>
      <c r="AJ272" s="2"/>
      <c r="AK272" s="2">
        <v>0</v>
      </c>
      <c r="AL272" s="2"/>
      <c r="AM272" s="2"/>
      <c r="AN272" s="2"/>
      <c r="AO272" s="2">
        <v>0</v>
      </c>
      <c r="AP272" s="2"/>
      <c r="AQ272" s="2"/>
      <c r="AR272" s="2">
        <v>0</v>
      </c>
      <c r="AS272" s="2"/>
      <c r="AT272" s="2"/>
      <c r="AU272" s="2"/>
      <c r="AV272" s="2">
        <v>0</v>
      </c>
      <c r="AW272" s="2"/>
      <c r="AX272" s="2"/>
      <c r="AY272" s="2"/>
      <c r="AZ272" s="2"/>
      <c r="BA272" s="2">
        <v>0</v>
      </c>
      <c r="BB272" s="2"/>
      <c r="BC272" s="2"/>
      <c r="BD272" s="2"/>
      <c r="BE272" s="2"/>
      <c r="BF272" s="2">
        <v>0</v>
      </c>
      <c r="BG272" s="2"/>
      <c r="BH272" s="2"/>
      <c r="BI272" s="2">
        <v>0</v>
      </c>
      <c r="BJ272" s="2"/>
      <c r="BK272" s="2"/>
      <c r="BL272" s="2"/>
      <c r="BM272" s="2">
        <v>0</v>
      </c>
      <c r="BN272" s="2"/>
      <c r="BO272" s="2"/>
      <c r="BP272" s="2"/>
      <c r="BQ272" s="2">
        <v>1</v>
      </c>
      <c r="BR272" s="2"/>
      <c r="BS272" s="2"/>
      <c r="BT272" s="2"/>
      <c r="BU272" s="2"/>
      <c r="BV272" s="2">
        <v>0</v>
      </c>
      <c r="BW272" s="2"/>
      <c r="BX272" s="2"/>
      <c r="BY272" s="2"/>
      <c r="BZ272" s="2"/>
      <c r="CA272" s="2">
        <v>0</v>
      </c>
      <c r="CB272" s="2"/>
      <c r="CC272" s="2"/>
      <c r="CD272" s="2"/>
      <c r="CE272" s="2">
        <v>0</v>
      </c>
      <c r="CF272" s="2"/>
      <c r="CG272" s="2"/>
      <c r="CH272" s="2">
        <v>0</v>
      </c>
      <c r="CI272" s="2"/>
      <c r="CJ272" s="2"/>
      <c r="CK272" s="2"/>
      <c r="CL272" s="2">
        <v>0</v>
      </c>
      <c r="CM272" s="2"/>
      <c r="CN272" s="2"/>
      <c r="CO272" s="2"/>
      <c r="CP272" s="2"/>
      <c r="CQ272" s="2">
        <v>0</v>
      </c>
      <c r="CR272" s="2"/>
      <c r="CS272" s="2"/>
      <c r="CT272" s="2">
        <v>1</v>
      </c>
      <c r="CU272" s="2"/>
      <c r="CV272" s="2"/>
      <c r="CW272" s="2"/>
      <c r="CX272" s="2"/>
      <c r="CY272" s="2">
        <v>0</v>
      </c>
      <c r="CZ272" s="2"/>
      <c r="DA272" s="2"/>
      <c r="DB272" s="2">
        <v>0</v>
      </c>
      <c r="DC272" s="2"/>
      <c r="DD272" s="2"/>
      <c r="DE272" s="2"/>
      <c r="DF272" s="2"/>
      <c r="DG272" s="2">
        <v>0</v>
      </c>
      <c r="DH272" s="2"/>
      <c r="DI272" s="2"/>
      <c r="DJ272" s="2">
        <v>0</v>
      </c>
      <c r="DK272" s="2"/>
      <c r="DL272" s="2"/>
      <c r="DM272" s="2"/>
      <c r="DN272" s="2">
        <v>0</v>
      </c>
      <c r="DO272" s="2"/>
      <c r="DP272" s="2"/>
      <c r="DQ272" s="2">
        <v>0</v>
      </c>
      <c r="DR272" s="2"/>
      <c r="DS272" s="2"/>
      <c r="DT272" s="2">
        <v>3</v>
      </c>
    </row>
    <row r="273" spans="1:124" x14ac:dyDescent="0.25">
      <c r="A273" s="6" t="s">
        <v>156</v>
      </c>
      <c r="C273">
        <v>0</v>
      </c>
      <c r="F273">
        <v>0</v>
      </c>
      <c r="I273">
        <v>0</v>
      </c>
      <c r="K273">
        <v>0</v>
      </c>
      <c r="N273">
        <v>0</v>
      </c>
      <c r="R273">
        <v>0</v>
      </c>
      <c r="W273">
        <v>0</v>
      </c>
      <c r="AB273">
        <v>0</v>
      </c>
      <c r="AH273">
        <v>0</v>
      </c>
      <c r="AK273">
        <v>0</v>
      </c>
      <c r="AO273">
        <v>0</v>
      </c>
      <c r="AR273">
        <v>0</v>
      </c>
      <c r="AV273">
        <v>0</v>
      </c>
      <c r="BA273">
        <v>0</v>
      </c>
      <c r="BF273">
        <v>0</v>
      </c>
      <c r="BI273">
        <v>0</v>
      </c>
      <c r="BM273">
        <v>18</v>
      </c>
      <c r="BQ273">
        <v>15</v>
      </c>
      <c r="BV273">
        <v>0</v>
      </c>
      <c r="CA273">
        <v>0</v>
      </c>
      <c r="CE273">
        <v>0</v>
      </c>
      <c r="CH273">
        <v>0</v>
      </c>
      <c r="CL273">
        <v>0</v>
      </c>
      <c r="CQ273">
        <v>18</v>
      </c>
      <c r="CT273">
        <v>18</v>
      </c>
      <c r="CY273">
        <v>0</v>
      </c>
      <c r="DB273">
        <v>0</v>
      </c>
      <c r="DG273">
        <v>0</v>
      </c>
      <c r="DJ273">
        <v>0</v>
      </c>
      <c r="DN273">
        <v>0</v>
      </c>
      <c r="DQ273">
        <v>0</v>
      </c>
      <c r="DT273">
        <v>69</v>
      </c>
    </row>
    <row r="274" spans="1:124" x14ac:dyDescent="0.25">
      <c r="A274" s="6" t="s">
        <v>158</v>
      </c>
      <c r="C274">
        <v>0</v>
      </c>
      <c r="F274">
        <v>0</v>
      </c>
      <c r="I274">
        <v>0</v>
      </c>
      <c r="K274">
        <v>0</v>
      </c>
      <c r="N274">
        <v>0</v>
      </c>
      <c r="R274">
        <v>40</v>
      </c>
      <c r="W274">
        <v>0</v>
      </c>
      <c r="AB274">
        <v>0</v>
      </c>
      <c r="AH274">
        <v>0</v>
      </c>
      <c r="AK274">
        <v>0</v>
      </c>
      <c r="AO274">
        <v>0</v>
      </c>
      <c r="AR274">
        <v>0</v>
      </c>
      <c r="AV274">
        <v>0</v>
      </c>
      <c r="BA274">
        <v>0</v>
      </c>
      <c r="BF274">
        <v>20</v>
      </c>
      <c r="BI274">
        <v>1</v>
      </c>
      <c r="BM274">
        <v>0</v>
      </c>
      <c r="BQ274">
        <v>0</v>
      </c>
      <c r="BV274">
        <v>0</v>
      </c>
      <c r="CA274">
        <v>22</v>
      </c>
      <c r="CE274">
        <v>53</v>
      </c>
      <c r="CH274">
        <v>0</v>
      </c>
      <c r="CL274">
        <v>0</v>
      </c>
      <c r="CQ274">
        <v>0</v>
      </c>
      <c r="CT274">
        <v>0</v>
      </c>
      <c r="CY274">
        <v>0</v>
      </c>
      <c r="DB274">
        <v>0</v>
      </c>
      <c r="DG274">
        <v>0</v>
      </c>
      <c r="DJ274">
        <v>0</v>
      </c>
      <c r="DN274">
        <v>0</v>
      </c>
      <c r="DQ274">
        <v>0</v>
      </c>
      <c r="DT274">
        <v>136</v>
      </c>
    </row>
    <row r="275" spans="1:124" x14ac:dyDescent="0.25">
      <c r="A275" s="6" t="s">
        <v>160</v>
      </c>
      <c r="C275">
        <v>0</v>
      </c>
      <c r="F275">
        <v>0</v>
      </c>
      <c r="I275">
        <v>0</v>
      </c>
      <c r="K275">
        <v>0</v>
      </c>
      <c r="N275">
        <v>0</v>
      </c>
      <c r="R275">
        <v>2</v>
      </c>
      <c r="W275">
        <v>0</v>
      </c>
      <c r="AB275">
        <v>0</v>
      </c>
      <c r="AH275">
        <v>0</v>
      </c>
      <c r="AK275">
        <v>0</v>
      </c>
      <c r="AO275">
        <v>0</v>
      </c>
      <c r="AR275">
        <v>0</v>
      </c>
      <c r="AV275">
        <v>0</v>
      </c>
      <c r="BA275">
        <v>0</v>
      </c>
      <c r="BF275">
        <v>0</v>
      </c>
      <c r="BI275">
        <v>6</v>
      </c>
      <c r="BM275">
        <v>0</v>
      </c>
      <c r="BQ275">
        <v>0</v>
      </c>
      <c r="BV275">
        <v>0</v>
      </c>
      <c r="CA275">
        <v>0</v>
      </c>
      <c r="CE275">
        <v>0</v>
      </c>
      <c r="CH275">
        <v>0</v>
      </c>
      <c r="CL275">
        <v>0</v>
      </c>
      <c r="CQ275">
        <v>0</v>
      </c>
      <c r="CT275">
        <v>0</v>
      </c>
      <c r="CY275">
        <v>0</v>
      </c>
      <c r="DB275">
        <v>0</v>
      </c>
      <c r="DG275">
        <v>0</v>
      </c>
      <c r="DJ275">
        <v>0</v>
      </c>
      <c r="DN275">
        <v>0</v>
      </c>
      <c r="DQ275">
        <v>0</v>
      </c>
      <c r="DT275">
        <v>8</v>
      </c>
    </row>
    <row r="276" spans="1:124" x14ac:dyDescent="0.25">
      <c r="A276" s="6" t="s">
        <v>162</v>
      </c>
      <c r="C276">
        <v>0</v>
      </c>
      <c r="F276">
        <v>0</v>
      </c>
      <c r="I276">
        <v>0</v>
      </c>
      <c r="K276">
        <v>0</v>
      </c>
      <c r="N276">
        <v>0</v>
      </c>
      <c r="R276">
        <v>0</v>
      </c>
      <c r="W276">
        <v>0</v>
      </c>
      <c r="AB276">
        <v>0</v>
      </c>
      <c r="AH276">
        <v>0</v>
      </c>
      <c r="AK276">
        <v>0</v>
      </c>
      <c r="AO276">
        <v>0</v>
      </c>
      <c r="AR276">
        <v>0</v>
      </c>
      <c r="AV276">
        <v>0</v>
      </c>
      <c r="BA276">
        <v>0</v>
      </c>
      <c r="BF276">
        <v>0</v>
      </c>
      <c r="BI276">
        <v>0</v>
      </c>
      <c r="BM276">
        <v>0</v>
      </c>
      <c r="BQ276">
        <v>0</v>
      </c>
      <c r="BV276">
        <v>0</v>
      </c>
      <c r="CA276">
        <v>0</v>
      </c>
      <c r="CE276">
        <v>0</v>
      </c>
      <c r="CH276">
        <v>0</v>
      </c>
      <c r="CL276">
        <v>0</v>
      </c>
      <c r="CQ276">
        <v>0</v>
      </c>
      <c r="CT276">
        <v>0</v>
      </c>
      <c r="CY276">
        <v>0</v>
      </c>
      <c r="DB276">
        <v>0</v>
      </c>
      <c r="DG276">
        <v>0</v>
      </c>
      <c r="DJ276">
        <v>0</v>
      </c>
      <c r="DN276">
        <v>0</v>
      </c>
      <c r="DQ276">
        <v>0</v>
      </c>
      <c r="DT276">
        <v>0</v>
      </c>
    </row>
    <row r="277" spans="1:124" x14ac:dyDescent="0.25">
      <c r="A277" s="6" t="s">
        <v>164</v>
      </c>
      <c r="C277">
        <v>0</v>
      </c>
      <c r="F277">
        <v>0</v>
      </c>
      <c r="I277">
        <v>0</v>
      </c>
      <c r="K277">
        <v>0</v>
      </c>
      <c r="N277">
        <v>0</v>
      </c>
      <c r="R277">
        <v>0</v>
      </c>
      <c r="W277">
        <v>0</v>
      </c>
      <c r="AB277">
        <v>0</v>
      </c>
      <c r="AH277">
        <v>0</v>
      </c>
      <c r="AK277">
        <v>0</v>
      </c>
      <c r="AO277">
        <v>0</v>
      </c>
      <c r="AR277">
        <v>0</v>
      </c>
      <c r="AV277">
        <v>0</v>
      </c>
      <c r="BA277">
        <v>0</v>
      </c>
      <c r="BF277">
        <v>0</v>
      </c>
      <c r="BI277">
        <v>0</v>
      </c>
      <c r="BM277">
        <v>0</v>
      </c>
      <c r="BQ277">
        <v>0</v>
      </c>
      <c r="BV277">
        <v>0</v>
      </c>
      <c r="CA277">
        <v>0</v>
      </c>
      <c r="CE277">
        <v>0</v>
      </c>
      <c r="CH277">
        <v>0</v>
      </c>
      <c r="CL277">
        <v>0</v>
      </c>
      <c r="CQ277">
        <v>0</v>
      </c>
      <c r="CT277">
        <v>0</v>
      </c>
      <c r="CY277">
        <v>0</v>
      </c>
      <c r="DB277">
        <v>0</v>
      </c>
      <c r="DG277">
        <v>0</v>
      </c>
      <c r="DJ277">
        <v>0</v>
      </c>
      <c r="DN277">
        <v>0</v>
      </c>
      <c r="DQ277">
        <v>0</v>
      </c>
      <c r="DT277">
        <v>0</v>
      </c>
    </row>
    <row r="278" spans="1:124" x14ac:dyDescent="0.25">
      <c r="A278" s="6" t="s">
        <v>166</v>
      </c>
      <c r="C278">
        <v>0</v>
      </c>
      <c r="F278">
        <v>0</v>
      </c>
      <c r="I278">
        <v>0</v>
      </c>
      <c r="K278">
        <v>0</v>
      </c>
      <c r="N278">
        <v>0</v>
      </c>
      <c r="R278">
        <v>0</v>
      </c>
      <c r="W278">
        <v>0</v>
      </c>
      <c r="AB278">
        <v>0</v>
      </c>
      <c r="AH278">
        <v>0</v>
      </c>
      <c r="AK278">
        <v>0</v>
      </c>
      <c r="AO278">
        <v>0</v>
      </c>
      <c r="AR278">
        <v>0</v>
      </c>
      <c r="AV278">
        <v>0</v>
      </c>
      <c r="BA278">
        <v>0</v>
      </c>
      <c r="BF278">
        <v>0</v>
      </c>
      <c r="BI278">
        <v>0</v>
      </c>
      <c r="BM278">
        <v>0</v>
      </c>
      <c r="BQ278">
        <v>0</v>
      </c>
      <c r="BV278">
        <v>0</v>
      </c>
      <c r="CA278">
        <v>0</v>
      </c>
      <c r="CE278">
        <v>0</v>
      </c>
      <c r="CH278">
        <v>0</v>
      </c>
      <c r="CL278">
        <v>0</v>
      </c>
      <c r="CQ278">
        <v>0</v>
      </c>
      <c r="CT278">
        <v>0</v>
      </c>
      <c r="CY278">
        <v>0</v>
      </c>
      <c r="DB278">
        <v>0</v>
      </c>
      <c r="DG278">
        <v>0</v>
      </c>
      <c r="DJ278">
        <v>0</v>
      </c>
      <c r="DN278">
        <v>0</v>
      </c>
      <c r="DQ278">
        <v>0</v>
      </c>
      <c r="DT278">
        <v>0</v>
      </c>
    </row>
    <row r="279" spans="1:124" x14ac:dyDescent="0.25">
      <c r="A279" s="5" t="s">
        <v>132</v>
      </c>
      <c r="B279">
        <v>0</v>
      </c>
      <c r="C279">
        <v>204</v>
      </c>
      <c r="D279">
        <v>0</v>
      </c>
      <c r="E279">
        <v>0</v>
      </c>
      <c r="F279">
        <v>0</v>
      </c>
      <c r="G279">
        <v>356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41</v>
      </c>
      <c r="N279">
        <v>0</v>
      </c>
      <c r="O279">
        <v>0</v>
      </c>
      <c r="P279">
        <v>0</v>
      </c>
      <c r="Q279">
        <v>0</v>
      </c>
      <c r="R279">
        <v>202</v>
      </c>
      <c r="S279">
        <v>0</v>
      </c>
      <c r="T279">
        <v>0</v>
      </c>
      <c r="U279">
        <v>0</v>
      </c>
      <c r="V279">
        <v>243</v>
      </c>
      <c r="W279">
        <v>0</v>
      </c>
      <c r="X279">
        <v>0</v>
      </c>
      <c r="Y279">
        <v>0</v>
      </c>
      <c r="Z279">
        <v>0</v>
      </c>
      <c r="AA279">
        <v>184</v>
      </c>
      <c r="AB279">
        <v>0</v>
      </c>
      <c r="AC279">
        <v>0</v>
      </c>
      <c r="AD279">
        <v>0</v>
      </c>
      <c r="AE279">
        <v>0</v>
      </c>
      <c r="AF279">
        <v>190</v>
      </c>
      <c r="AG279">
        <v>0</v>
      </c>
      <c r="AH279">
        <v>0</v>
      </c>
      <c r="AI279">
        <v>66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42</v>
      </c>
      <c r="AS279">
        <v>0</v>
      </c>
      <c r="AT279">
        <v>0</v>
      </c>
      <c r="AU279">
        <v>0</v>
      </c>
      <c r="AV279">
        <v>0</v>
      </c>
      <c r="AW279">
        <v>180</v>
      </c>
      <c r="AX279">
        <v>0</v>
      </c>
      <c r="AY279">
        <v>0</v>
      </c>
      <c r="AZ279">
        <v>0</v>
      </c>
      <c r="BA279">
        <v>201</v>
      </c>
      <c r="BB279">
        <v>0</v>
      </c>
      <c r="BC279">
        <v>0</v>
      </c>
      <c r="BD279">
        <v>0</v>
      </c>
      <c r="BE279">
        <v>0</v>
      </c>
      <c r="BF279">
        <v>181</v>
      </c>
      <c r="BG279">
        <v>0</v>
      </c>
      <c r="BH279">
        <v>0</v>
      </c>
      <c r="BI279">
        <v>193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15</v>
      </c>
      <c r="BW279">
        <v>0</v>
      </c>
      <c r="BX279">
        <v>0</v>
      </c>
      <c r="BY279">
        <v>0</v>
      </c>
      <c r="BZ279">
        <v>0</v>
      </c>
      <c r="CA279">
        <v>192</v>
      </c>
      <c r="CB279">
        <v>0</v>
      </c>
      <c r="CC279">
        <v>0</v>
      </c>
      <c r="CD279">
        <v>0</v>
      </c>
      <c r="CE279">
        <v>187</v>
      </c>
      <c r="CF279">
        <v>0</v>
      </c>
      <c r="CG279">
        <v>0</v>
      </c>
      <c r="CH279">
        <v>0</v>
      </c>
      <c r="CI279">
        <v>183</v>
      </c>
      <c r="CJ279">
        <v>0</v>
      </c>
      <c r="CK279">
        <v>0</v>
      </c>
      <c r="CL279">
        <v>193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23</v>
      </c>
      <c r="CY279">
        <v>0</v>
      </c>
      <c r="CZ279">
        <v>0</v>
      </c>
      <c r="DA279">
        <v>0</v>
      </c>
      <c r="DB279">
        <v>0</v>
      </c>
      <c r="DC279">
        <v>184</v>
      </c>
      <c r="DD279">
        <v>0</v>
      </c>
      <c r="DE279">
        <v>0</v>
      </c>
      <c r="DF279">
        <v>0</v>
      </c>
      <c r="DG279">
        <v>167</v>
      </c>
      <c r="DH279">
        <v>0</v>
      </c>
      <c r="DI279">
        <v>0</v>
      </c>
      <c r="DJ279">
        <v>179</v>
      </c>
      <c r="DK279">
        <v>0</v>
      </c>
      <c r="DL279">
        <v>0</v>
      </c>
      <c r="DM279">
        <v>0</v>
      </c>
      <c r="DN279">
        <v>164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3770</v>
      </c>
    </row>
    <row r="280" spans="1:124" x14ac:dyDescent="0.25">
      <c r="A280" s="5" t="s">
        <v>133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</row>
    <row r="281" spans="1:124" x14ac:dyDescent="0.25">
      <c r="A281" s="5" t="s">
        <v>135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4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4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1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9</v>
      </c>
    </row>
    <row r="282" spans="1:124" x14ac:dyDescent="0.25">
      <c r="A282" s="5" t="s">
        <v>137</v>
      </c>
      <c r="B282" s="2">
        <v>0</v>
      </c>
      <c r="C282" s="2">
        <v>7</v>
      </c>
      <c r="D282" s="2">
        <v>0</v>
      </c>
      <c r="E282" s="2">
        <v>0</v>
      </c>
      <c r="F282" s="2">
        <v>0</v>
      </c>
      <c r="G282" s="2">
        <v>12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6</v>
      </c>
      <c r="S282" s="2">
        <v>0</v>
      </c>
      <c r="T282" s="2">
        <v>0</v>
      </c>
      <c r="U282" s="2">
        <v>0</v>
      </c>
      <c r="V282" s="2">
        <v>5</v>
      </c>
      <c r="W282" s="2">
        <v>0</v>
      </c>
      <c r="X282" s="2">
        <v>0</v>
      </c>
      <c r="Y282" s="2">
        <v>0</v>
      </c>
      <c r="Z282" s="2">
        <v>0</v>
      </c>
      <c r="AA282" s="2">
        <v>5</v>
      </c>
      <c r="AB282" s="2">
        <v>0</v>
      </c>
      <c r="AC282" s="2">
        <v>0</v>
      </c>
      <c r="AD282" s="2">
        <v>0</v>
      </c>
      <c r="AE282" s="2">
        <v>0</v>
      </c>
      <c r="AF282" s="2">
        <v>5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5</v>
      </c>
      <c r="AX282" s="2">
        <v>0</v>
      </c>
      <c r="AY282" s="2">
        <v>0</v>
      </c>
      <c r="AZ282" s="2">
        <v>0</v>
      </c>
      <c r="BA282" s="2">
        <v>5</v>
      </c>
      <c r="BB282" s="2">
        <v>0</v>
      </c>
      <c r="BC282" s="2">
        <v>0</v>
      </c>
      <c r="BD282" s="2">
        <v>0</v>
      </c>
      <c r="BE282" s="2">
        <v>0</v>
      </c>
      <c r="BF282" s="2">
        <v>5</v>
      </c>
      <c r="BG282" s="2">
        <v>0</v>
      </c>
      <c r="BH282" s="2">
        <v>0</v>
      </c>
      <c r="BI282" s="2">
        <v>5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6</v>
      </c>
      <c r="CB282" s="2">
        <v>0</v>
      </c>
      <c r="CC282" s="2">
        <v>0</v>
      </c>
      <c r="CD282" s="2">
        <v>0</v>
      </c>
      <c r="CE282" s="2">
        <v>5</v>
      </c>
      <c r="CF282" s="2">
        <v>0</v>
      </c>
      <c r="CG282" s="2">
        <v>0</v>
      </c>
      <c r="CH282" s="2">
        <v>0</v>
      </c>
      <c r="CI282" s="2">
        <v>5</v>
      </c>
      <c r="CJ282" s="2">
        <v>0</v>
      </c>
      <c r="CK282" s="2">
        <v>0</v>
      </c>
      <c r="CL282" s="2">
        <v>5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5</v>
      </c>
      <c r="DD282" s="2">
        <v>0</v>
      </c>
      <c r="DE282" s="2">
        <v>0</v>
      </c>
      <c r="DF282" s="2">
        <v>0</v>
      </c>
      <c r="DG282" s="2">
        <v>4</v>
      </c>
      <c r="DH282" s="2">
        <v>0</v>
      </c>
      <c r="DI282" s="2">
        <v>0</v>
      </c>
      <c r="DJ282" s="2">
        <v>5</v>
      </c>
      <c r="DK282" s="2">
        <v>0</v>
      </c>
      <c r="DL282" s="2">
        <v>0</v>
      </c>
      <c r="DM282" s="2">
        <v>0</v>
      </c>
      <c r="DN282" s="2">
        <v>5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100</v>
      </c>
    </row>
    <row r="283" spans="1:124" x14ac:dyDescent="0.25">
      <c r="A283" s="5" t="s">
        <v>139</v>
      </c>
      <c r="B283" s="2">
        <v>0</v>
      </c>
      <c r="C283" s="2">
        <v>1</v>
      </c>
      <c r="D283" s="2">
        <v>0</v>
      </c>
      <c r="E283" s="2">
        <v>0</v>
      </c>
      <c r="F283" s="2">
        <v>0</v>
      </c>
      <c r="G283" s="2">
        <v>2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 s="2">
        <v>0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1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1</v>
      </c>
      <c r="AX283" s="2">
        <v>0</v>
      </c>
      <c r="AY283" s="2">
        <v>0</v>
      </c>
      <c r="AZ283" s="2">
        <v>0</v>
      </c>
      <c r="BA283" s="2">
        <v>1</v>
      </c>
      <c r="BB283" s="2">
        <v>0</v>
      </c>
      <c r="BC283" s="2">
        <v>0</v>
      </c>
      <c r="BD283" s="2">
        <v>0</v>
      </c>
      <c r="BE283" s="2">
        <v>0</v>
      </c>
      <c r="BF283" s="2">
        <v>1</v>
      </c>
      <c r="BG283" s="2">
        <v>0</v>
      </c>
      <c r="BH283" s="2">
        <v>0</v>
      </c>
      <c r="BI283" s="2">
        <v>2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1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1</v>
      </c>
      <c r="CJ283" s="2">
        <v>0</v>
      </c>
      <c r="CK283" s="2">
        <v>0</v>
      </c>
      <c r="CL283" s="2">
        <v>1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1</v>
      </c>
      <c r="DD283" s="2">
        <v>0</v>
      </c>
      <c r="DE283" s="2">
        <v>0</v>
      </c>
      <c r="DF283" s="2">
        <v>0</v>
      </c>
      <c r="DG283" s="2">
        <v>1</v>
      </c>
      <c r="DH283" s="2">
        <v>0</v>
      </c>
      <c r="DI283" s="2">
        <v>0</v>
      </c>
      <c r="DJ283" s="2">
        <v>1</v>
      </c>
      <c r="DK283" s="2">
        <v>0</v>
      </c>
      <c r="DL283" s="2">
        <v>0</v>
      </c>
      <c r="DM283" s="2">
        <v>0</v>
      </c>
      <c r="DN283" s="2">
        <v>1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19</v>
      </c>
    </row>
    <row r="284" spans="1:124" x14ac:dyDescent="0.25">
      <c r="A284" s="5" t="s">
        <v>141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8</v>
      </c>
      <c r="H284">
        <v>0</v>
      </c>
      <c r="I284">
        <v>0</v>
      </c>
      <c r="J284">
        <v>0</v>
      </c>
      <c r="K284">
        <v>6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29</v>
      </c>
    </row>
    <row r="285" spans="1:124" x14ac:dyDescent="0.25">
      <c r="A285" s="5" t="s">
        <v>143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11</v>
      </c>
    </row>
    <row r="286" spans="1:124" x14ac:dyDescent="0.25">
      <c r="A286" s="5" t="s">
        <v>145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6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6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6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7</v>
      </c>
      <c r="DR286" s="2">
        <v>0</v>
      </c>
      <c r="DS286" s="2">
        <v>0</v>
      </c>
      <c r="DT286" s="2">
        <v>31</v>
      </c>
    </row>
    <row r="287" spans="1:124" x14ac:dyDescent="0.25">
      <c r="A287" s="5" t="s">
        <v>455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5</v>
      </c>
    </row>
    <row r="288" spans="1:124" x14ac:dyDescent="0.25">
      <c r="A288" s="5" t="s">
        <v>147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12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6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6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6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30</v>
      </c>
    </row>
    <row r="289" spans="1:124" x14ac:dyDescent="0.25">
      <c r="A289" s="5" t="s">
        <v>457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4</v>
      </c>
    </row>
    <row r="290" spans="1:124" x14ac:dyDescent="0.25">
      <c r="A290" s="5" t="s">
        <v>149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9</v>
      </c>
      <c r="J290">
        <v>0</v>
      </c>
      <c r="K290">
        <v>8</v>
      </c>
      <c r="L290">
        <v>0</v>
      </c>
      <c r="M290">
        <v>5</v>
      </c>
      <c r="N290">
        <v>0</v>
      </c>
      <c r="O290">
        <v>0</v>
      </c>
      <c r="P290">
        <v>0</v>
      </c>
      <c r="Q290">
        <v>0</v>
      </c>
      <c r="R290">
        <v>6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16</v>
      </c>
      <c r="AJ290">
        <v>0</v>
      </c>
      <c r="AK290">
        <v>0</v>
      </c>
      <c r="AL290">
        <v>0</v>
      </c>
      <c r="AM290">
        <v>24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13</v>
      </c>
      <c r="BN290">
        <v>0</v>
      </c>
      <c r="BO290">
        <v>0</v>
      </c>
      <c r="BP290">
        <v>0</v>
      </c>
      <c r="BQ290">
        <v>45</v>
      </c>
      <c r="BR290">
        <v>0</v>
      </c>
      <c r="BS290">
        <v>0</v>
      </c>
      <c r="BT290">
        <v>0</v>
      </c>
      <c r="BU290">
        <v>0</v>
      </c>
      <c r="BV290">
        <v>2</v>
      </c>
      <c r="BW290">
        <v>0</v>
      </c>
      <c r="BX290">
        <v>0</v>
      </c>
      <c r="BY290">
        <v>0</v>
      </c>
      <c r="BZ290">
        <v>0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</v>
      </c>
      <c r="CJ290">
        <v>0</v>
      </c>
      <c r="CK290">
        <v>0</v>
      </c>
      <c r="CL290">
        <v>2</v>
      </c>
      <c r="CM290">
        <v>0</v>
      </c>
      <c r="CN290">
        <v>0</v>
      </c>
      <c r="CO290">
        <v>0</v>
      </c>
      <c r="CP290">
        <v>0</v>
      </c>
      <c r="CQ290">
        <v>8</v>
      </c>
      <c r="CR290">
        <v>0</v>
      </c>
      <c r="CS290">
        <v>0</v>
      </c>
      <c r="CT290">
        <v>27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2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</v>
      </c>
      <c r="DK290">
        <v>0</v>
      </c>
      <c r="DL290">
        <v>0</v>
      </c>
      <c r="DM290">
        <v>0</v>
      </c>
      <c r="DN290">
        <v>4</v>
      </c>
      <c r="DO290">
        <v>0</v>
      </c>
      <c r="DP290">
        <v>0</v>
      </c>
      <c r="DQ290">
        <v>8</v>
      </c>
      <c r="DR290">
        <v>0</v>
      </c>
      <c r="DS290">
        <v>0</v>
      </c>
      <c r="DT290">
        <v>195</v>
      </c>
    </row>
    <row r="291" spans="1:124" x14ac:dyDescent="0.25">
      <c r="A291" s="5" t="s">
        <v>151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6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6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6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6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7</v>
      </c>
      <c r="DR291" s="2">
        <v>0</v>
      </c>
      <c r="DS291" s="2">
        <v>0</v>
      </c>
      <c r="DT291" s="2">
        <v>31</v>
      </c>
    </row>
    <row r="292" spans="1:124" x14ac:dyDescent="0.25">
      <c r="A292" s="5" t="s">
        <v>153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6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6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6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6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24</v>
      </c>
    </row>
    <row r="293" spans="1:124" x14ac:dyDescent="0.25">
      <c r="A293" s="5" t="s">
        <v>155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55</v>
      </c>
      <c r="AJ293">
        <v>0</v>
      </c>
      <c r="AK293">
        <v>0</v>
      </c>
      <c r="AL293">
        <v>0</v>
      </c>
      <c r="AM293">
        <v>69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55</v>
      </c>
      <c r="BN293">
        <v>0</v>
      </c>
      <c r="BO293">
        <v>0</v>
      </c>
      <c r="BP293">
        <v>0</v>
      </c>
      <c r="BQ293">
        <v>69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69</v>
      </c>
      <c r="CR293">
        <v>0</v>
      </c>
      <c r="CS293">
        <v>0</v>
      </c>
      <c r="CT293">
        <v>69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49</v>
      </c>
      <c r="DR293">
        <v>0</v>
      </c>
      <c r="DS293">
        <v>0</v>
      </c>
      <c r="DT293">
        <v>490</v>
      </c>
    </row>
    <row r="294" spans="1:124" x14ac:dyDescent="0.25">
      <c r="A294" s="5" t="s">
        <v>157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386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9</v>
      </c>
      <c r="N294">
        <v>0</v>
      </c>
      <c r="O294">
        <v>0</v>
      </c>
      <c r="P294">
        <v>0</v>
      </c>
      <c r="Q294">
        <v>0</v>
      </c>
      <c r="R294">
        <v>161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123</v>
      </c>
      <c r="AB294">
        <v>0</v>
      </c>
      <c r="AC294">
        <v>0</v>
      </c>
      <c r="AD294">
        <v>0</v>
      </c>
      <c r="AE294">
        <v>0</v>
      </c>
      <c r="AF294">
        <v>227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121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10</v>
      </c>
      <c r="BB294">
        <v>0</v>
      </c>
      <c r="BC294">
        <v>0</v>
      </c>
      <c r="BD294">
        <v>0</v>
      </c>
      <c r="BE294">
        <v>0</v>
      </c>
      <c r="BF294">
        <v>293</v>
      </c>
      <c r="BG294">
        <v>0</v>
      </c>
      <c r="BH294">
        <v>0</v>
      </c>
      <c r="BI294">
        <v>13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205</v>
      </c>
      <c r="CB294">
        <v>0</v>
      </c>
      <c r="CC294">
        <v>0</v>
      </c>
      <c r="CD294">
        <v>0</v>
      </c>
      <c r="CE294">
        <v>127</v>
      </c>
      <c r="CF294">
        <v>0</v>
      </c>
      <c r="CG294">
        <v>0</v>
      </c>
      <c r="CH294">
        <v>0</v>
      </c>
      <c r="CI294">
        <v>109</v>
      </c>
      <c r="CJ294">
        <v>0</v>
      </c>
      <c r="CK294">
        <v>0</v>
      </c>
      <c r="CL294">
        <v>103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19</v>
      </c>
      <c r="CY294">
        <v>0</v>
      </c>
      <c r="CZ294">
        <v>0</v>
      </c>
      <c r="DA294">
        <v>0</v>
      </c>
      <c r="DB294">
        <v>0</v>
      </c>
      <c r="DC294">
        <v>4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50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1973</v>
      </c>
    </row>
    <row r="295" spans="1:124" x14ac:dyDescent="0.25">
      <c r="A295" s="5" t="s">
        <v>159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106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</v>
      </c>
      <c r="AB295">
        <v>0</v>
      </c>
      <c r="AC295">
        <v>0</v>
      </c>
      <c r="AD295">
        <v>0</v>
      </c>
      <c r="AE295">
        <v>0</v>
      </c>
      <c r="AF295">
        <v>16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12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3</v>
      </c>
      <c r="BW295">
        <v>0</v>
      </c>
      <c r="BX295">
        <v>0</v>
      </c>
      <c r="BY295">
        <v>0</v>
      </c>
      <c r="BZ295">
        <v>0</v>
      </c>
      <c r="CA295">
        <v>12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9</v>
      </c>
      <c r="CJ295">
        <v>0</v>
      </c>
      <c r="CK295">
        <v>0</v>
      </c>
      <c r="CL295">
        <v>10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198</v>
      </c>
    </row>
    <row r="296" spans="1:124" x14ac:dyDescent="0.25">
      <c r="A296" s="5" t="s">
        <v>161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3</v>
      </c>
    </row>
    <row r="297" spans="1:124" x14ac:dyDescent="0.25">
      <c r="A297" s="5" t="s">
        <v>163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</row>
    <row r="298" spans="1:124" x14ac:dyDescent="0.25">
      <c r="A298" s="5" t="s">
        <v>165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B4438"/>
  <sheetViews>
    <sheetView tabSelected="1" workbookViewId="0">
      <pane ySplit="1" topLeftCell="A3972" activePane="bottomLeft" state="frozen"/>
      <selection pane="bottomLeft" activeCell="A4164" sqref="A4164"/>
    </sheetView>
  </sheetViews>
  <sheetFormatPr baseColWidth="10" defaultRowHeight="15" x14ac:dyDescent="0.25"/>
  <cols>
    <col min="1" max="1" width="12.7109375" customWidth="1"/>
    <col min="2" max="2" width="19" bestFit="1" customWidth="1"/>
    <col min="3" max="3" width="12.7109375" customWidth="1"/>
    <col min="4" max="5" width="12.7109375" style="1" customWidth="1"/>
    <col min="6" max="6" width="12.7109375" style="2" customWidth="1"/>
    <col min="7" max="7" width="19.5703125" bestFit="1" customWidth="1"/>
    <col min="8" max="8" width="12.7109375" customWidth="1"/>
    <col min="9" max="12" width="12.7109375" style="2" customWidth="1"/>
    <col min="13" max="14" width="12.7109375" customWidth="1"/>
    <col min="15" max="16" width="12.7109375" style="2" customWidth="1"/>
    <col min="17" max="17" width="12.7109375" customWidth="1"/>
    <col min="18" max="19" width="12.7109375" style="2" customWidth="1"/>
    <col min="20" max="20" width="12.7109375" customWidth="1"/>
  </cols>
  <sheetData>
    <row r="1" spans="1:28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  <c r="AA1" s="8" t="s">
        <v>243</v>
      </c>
      <c r="AB1" s="8" t="s">
        <v>244</v>
      </c>
    </row>
    <row r="2" spans="1:28" hidden="1" x14ac:dyDescent="0.25">
      <c r="A2" t="s">
        <v>20</v>
      </c>
      <c r="B2" t="s">
        <v>21</v>
      </c>
      <c r="C2" t="s">
        <v>22</v>
      </c>
      <c r="D2" s="1">
        <v>45769</v>
      </c>
      <c r="E2" s="1">
        <v>45769</v>
      </c>
      <c r="F2" s="2">
        <v>50</v>
      </c>
      <c r="G2" s="3" t="s">
        <v>23</v>
      </c>
      <c r="H2" s="3">
        <v>30</v>
      </c>
      <c r="I2" s="2">
        <v>0</v>
      </c>
      <c r="J2" s="2">
        <v>0</v>
      </c>
      <c r="K2" s="2">
        <v>1</v>
      </c>
      <c r="L2" s="2">
        <v>0</v>
      </c>
      <c r="M2">
        <v>0</v>
      </c>
      <c r="N2">
        <v>0</v>
      </c>
      <c r="O2" s="2">
        <v>0</v>
      </c>
      <c r="P2" s="2">
        <v>0</v>
      </c>
      <c r="Q2">
        <v>0</v>
      </c>
      <c r="R2" s="2">
        <v>0</v>
      </c>
      <c r="S2" s="2">
        <v>0</v>
      </c>
      <c r="T2" t="s">
        <v>24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idden="1" x14ac:dyDescent="0.25">
      <c r="A3" t="s">
        <v>25</v>
      </c>
      <c r="B3" t="s">
        <v>26</v>
      </c>
      <c r="C3" t="s">
        <v>27</v>
      </c>
      <c r="D3" s="1">
        <v>45769</v>
      </c>
      <c r="E3" s="1">
        <v>45769</v>
      </c>
      <c r="F3" s="2">
        <v>23</v>
      </c>
      <c r="G3" s="3" t="s">
        <v>23</v>
      </c>
      <c r="H3">
        <v>20</v>
      </c>
      <c r="I3" s="2">
        <v>0</v>
      </c>
      <c r="J3" s="2">
        <v>0</v>
      </c>
      <c r="K3" s="2">
        <v>1</v>
      </c>
      <c r="L3" s="2">
        <v>0</v>
      </c>
      <c r="M3">
        <v>0</v>
      </c>
      <c r="N3">
        <v>0</v>
      </c>
      <c r="O3" s="2">
        <v>0</v>
      </c>
      <c r="P3" s="2">
        <v>0</v>
      </c>
      <c r="Q3">
        <v>0</v>
      </c>
      <c r="R3" s="2">
        <v>0</v>
      </c>
      <c r="S3" s="2">
        <v>0</v>
      </c>
      <c r="T3" t="s">
        <v>28</v>
      </c>
      <c r="U3" s="2">
        <v>0</v>
      </c>
      <c r="V3" s="2">
        <v>16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idden="1" x14ac:dyDescent="0.25">
      <c r="A4" t="s">
        <v>29</v>
      </c>
      <c r="B4" t="s">
        <v>30</v>
      </c>
      <c r="C4" t="s">
        <v>31</v>
      </c>
      <c r="D4" s="1">
        <v>45769</v>
      </c>
      <c r="E4" s="1">
        <v>45769</v>
      </c>
      <c r="F4" s="2">
        <v>33</v>
      </c>
      <c r="G4" s="3" t="s">
        <v>23</v>
      </c>
      <c r="H4">
        <v>28</v>
      </c>
      <c r="I4" s="2">
        <v>0</v>
      </c>
      <c r="J4" s="2">
        <v>0</v>
      </c>
      <c r="K4" s="2">
        <v>1</v>
      </c>
      <c r="L4" s="2">
        <v>0</v>
      </c>
      <c r="M4">
        <v>0</v>
      </c>
      <c r="N4">
        <v>0</v>
      </c>
      <c r="O4" s="2">
        <v>0</v>
      </c>
      <c r="P4" s="2">
        <v>0</v>
      </c>
      <c r="Q4">
        <v>0</v>
      </c>
      <c r="R4" s="2">
        <v>0</v>
      </c>
      <c r="S4" s="2">
        <v>0</v>
      </c>
      <c r="T4" t="s">
        <v>32</v>
      </c>
      <c r="U4" s="2">
        <v>0</v>
      </c>
      <c r="V4" s="2">
        <v>49</v>
      </c>
      <c r="W4" s="2">
        <v>2</v>
      </c>
      <c r="X4" s="2">
        <v>0</v>
      </c>
      <c r="Y4" s="2">
        <v>15</v>
      </c>
      <c r="Z4" s="2">
        <v>0</v>
      </c>
      <c r="AA4" s="2">
        <v>0</v>
      </c>
      <c r="AB4" s="2">
        <v>0</v>
      </c>
    </row>
    <row r="5" spans="1:28" hidden="1" x14ac:dyDescent="0.25">
      <c r="A5" t="s">
        <v>33</v>
      </c>
      <c r="B5" t="s">
        <v>34</v>
      </c>
      <c r="C5" t="s">
        <v>35</v>
      </c>
      <c r="D5" s="1">
        <v>45769</v>
      </c>
      <c r="E5" s="1">
        <v>45769</v>
      </c>
      <c r="F5" s="2">
        <v>43</v>
      </c>
      <c r="G5" s="3" t="s">
        <v>23</v>
      </c>
      <c r="H5">
        <v>14</v>
      </c>
      <c r="I5" s="2">
        <v>0</v>
      </c>
      <c r="J5" s="2">
        <v>0</v>
      </c>
      <c r="K5" s="2">
        <v>0</v>
      </c>
      <c r="L5" s="2">
        <v>1</v>
      </c>
      <c r="M5">
        <v>0</v>
      </c>
      <c r="N5">
        <v>0</v>
      </c>
      <c r="O5" s="2">
        <v>0</v>
      </c>
      <c r="P5" s="2">
        <v>0</v>
      </c>
      <c r="Q5">
        <v>0</v>
      </c>
      <c r="R5" s="2">
        <v>0</v>
      </c>
      <c r="S5" s="2">
        <v>0</v>
      </c>
      <c r="T5" t="s">
        <v>36</v>
      </c>
      <c r="U5" s="2">
        <v>0</v>
      </c>
      <c r="V5" s="2">
        <v>28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hidden="1" x14ac:dyDescent="0.25">
      <c r="A6" t="s">
        <v>37</v>
      </c>
      <c r="B6" t="s">
        <v>38</v>
      </c>
      <c r="C6" t="s">
        <v>39</v>
      </c>
      <c r="D6" s="1">
        <v>45769</v>
      </c>
      <c r="E6" s="1">
        <v>45769</v>
      </c>
      <c r="F6" s="2">
        <v>22</v>
      </c>
      <c r="G6" s="3" t="s">
        <v>23</v>
      </c>
      <c r="H6">
        <v>19</v>
      </c>
      <c r="I6" s="2">
        <v>0</v>
      </c>
      <c r="J6" s="2">
        <v>0</v>
      </c>
      <c r="K6" s="2">
        <v>1</v>
      </c>
      <c r="L6" s="2">
        <v>0</v>
      </c>
      <c r="M6">
        <v>0</v>
      </c>
      <c r="N6">
        <v>0</v>
      </c>
      <c r="O6" s="2">
        <v>0</v>
      </c>
      <c r="P6" s="2">
        <v>0</v>
      </c>
      <c r="Q6">
        <v>0</v>
      </c>
      <c r="R6" s="2">
        <v>0</v>
      </c>
      <c r="S6" s="2">
        <v>0</v>
      </c>
      <c r="T6" t="s">
        <v>40</v>
      </c>
      <c r="U6" s="2">
        <v>0</v>
      </c>
      <c r="V6" s="2">
        <v>0</v>
      </c>
      <c r="W6" s="2">
        <v>2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idden="1" x14ac:dyDescent="0.25">
      <c r="A7" t="s">
        <v>53</v>
      </c>
      <c r="B7" t="s">
        <v>56</v>
      </c>
      <c r="C7" t="s">
        <v>54</v>
      </c>
      <c r="D7" s="1">
        <v>45769</v>
      </c>
      <c r="E7" s="1">
        <v>45769</v>
      </c>
      <c r="F7" s="2">
        <v>53</v>
      </c>
      <c r="G7" s="3" t="s">
        <v>23</v>
      </c>
      <c r="H7">
        <v>1</v>
      </c>
      <c r="I7" s="2">
        <v>0</v>
      </c>
      <c r="J7" s="2">
        <v>0</v>
      </c>
      <c r="K7" s="2">
        <v>0</v>
      </c>
      <c r="L7" s="2">
        <v>0</v>
      </c>
      <c r="M7">
        <v>0</v>
      </c>
      <c r="N7">
        <v>0</v>
      </c>
      <c r="O7" s="2">
        <v>0</v>
      </c>
      <c r="P7" s="2">
        <v>0</v>
      </c>
      <c r="Q7">
        <v>0</v>
      </c>
      <c r="R7" s="2">
        <v>0</v>
      </c>
      <c r="S7" s="2">
        <v>0</v>
      </c>
      <c r="T7" t="s">
        <v>55</v>
      </c>
      <c r="U7" s="2">
        <v>0</v>
      </c>
      <c r="V7" s="2">
        <v>16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hidden="1" x14ac:dyDescent="0.25">
      <c r="A8" t="s">
        <v>57</v>
      </c>
      <c r="B8" t="s">
        <v>47</v>
      </c>
      <c r="C8">
        <v>0</v>
      </c>
      <c r="D8" s="1">
        <v>45769</v>
      </c>
      <c r="E8" s="1">
        <v>45769</v>
      </c>
      <c r="F8" s="2">
        <v>0</v>
      </c>
      <c r="G8" s="3" t="s">
        <v>48</v>
      </c>
      <c r="H8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idden="1" x14ac:dyDescent="0.25">
      <c r="A9" t="s">
        <v>49</v>
      </c>
      <c r="B9" t="s">
        <v>47</v>
      </c>
      <c r="C9">
        <v>0</v>
      </c>
      <c r="D9" s="1">
        <v>45769</v>
      </c>
      <c r="E9" s="1">
        <v>45769</v>
      </c>
      <c r="F9" s="2">
        <v>0</v>
      </c>
      <c r="G9" s="3" t="s">
        <v>50</v>
      </c>
      <c r="H9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idden="1" x14ac:dyDescent="0.25">
      <c r="A10" t="s">
        <v>51</v>
      </c>
      <c r="B10" t="s">
        <v>47</v>
      </c>
      <c r="C10">
        <v>0</v>
      </c>
      <c r="D10" s="1">
        <v>45769</v>
      </c>
      <c r="E10" s="1">
        <v>45769</v>
      </c>
      <c r="F10" s="2">
        <v>0</v>
      </c>
      <c r="G10" s="3" t="s">
        <v>50</v>
      </c>
      <c r="H10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idden="1" x14ac:dyDescent="0.25">
      <c r="A11" t="s">
        <v>47</v>
      </c>
      <c r="B11" t="s">
        <v>52</v>
      </c>
      <c r="C11">
        <v>0</v>
      </c>
      <c r="D11" s="1">
        <v>45769</v>
      </c>
      <c r="E11" s="1">
        <v>45769</v>
      </c>
      <c r="F11" s="2">
        <v>0</v>
      </c>
      <c r="G11" s="3" t="s">
        <v>50</v>
      </c>
      <c r="H11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idden="1" x14ac:dyDescent="0.25">
      <c r="A12" t="s">
        <v>53</v>
      </c>
      <c r="B12" t="s">
        <v>57</v>
      </c>
      <c r="C12" t="s">
        <v>54</v>
      </c>
      <c r="D12" s="1">
        <v>45770</v>
      </c>
      <c r="E12" s="1">
        <v>45770</v>
      </c>
      <c r="F12" s="2">
        <v>25</v>
      </c>
      <c r="G12" s="3" t="s">
        <v>23</v>
      </c>
      <c r="H12">
        <v>26</v>
      </c>
      <c r="I12" s="2">
        <v>0</v>
      </c>
      <c r="J12" s="2">
        <v>0</v>
      </c>
      <c r="K12" s="2">
        <v>1</v>
      </c>
      <c r="L12" s="2">
        <v>0</v>
      </c>
      <c r="M12">
        <v>0</v>
      </c>
      <c r="N12">
        <v>0</v>
      </c>
      <c r="O12" s="2">
        <v>0</v>
      </c>
      <c r="P12" s="2">
        <v>0</v>
      </c>
      <c r="Q12">
        <v>0</v>
      </c>
      <c r="R12" s="2">
        <v>0</v>
      </c>
      <c r="S12" s="2">
        <v>0</v>
      </c>
      <c r="T12" t="s">
        <v>58</v>
      </c>
      <c r="U12" s="2">
        <v>0</v>
      </c>
      <c r="V12" s="2">
        <v>22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idden="1" x14ac:dyDescent="0.25">
      <c r="A13" t="s">
        <v>25</v>
      </c>
      <c r="B13" t="s">
        <v>26</v>
      </c>
      <c r="C13" t="s">
        <v>27</v>
      </c>
      <c r="D13" s="1">
        <v>45770</v>
      </c>
      <c r="E13" s="1">
        <v>45770</v>
      </c>
      <c r="F13" s="2">
        <v>23</v>
      </c>
      <c r="G13" s="3" t="s">
        <v>23</v>
      </c>
      <c r="H13">
        <v>25</v>
      </c>
      <c r="I13" s="2">
        <v>0</v>
      </c>
      <c r="J13" s="2">
        <v>0</v>
      </c>
      <c r="K13" s="2">
        <v>1</v>
      </c>
      <c r="L13" s="2">
        <v>0</v>
      </c>
      <c r="M13">
        <v>0</v>
      </c>
      <c r="N13">
        <v>0</v>
      </c>
      <c r="O13" s="2">
        <v>0</v>
      </c>
      <c r="P13" s="2">
        <v>0</v>
      </c>
      <c r="Q13">
        <v>0</v>
      </c>
      <c r="R13" s="2">
        <v>0</v>
      </c>
      <c r="S13" s="2">
        <v>0</v>
      </c>
      <c r="T13" t="s">
        <v>59</v>
      </c>
      <c r="U13" s="2">
        <v>0</v>
      </c>
      <c r="V13" s="2">
        <v>15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idden="1" x14ac:dyDescent="0.25">
      <c r="A14" t="s">
        <v>29</v>
      </c>
      <c r="B14" t="s">
        <v>30</v>
      </c>
      <c r="C14" t="s">
        <v>31</v>
      </c>
      <c r="D14" s="1">
        <v>45770</v>
      </c>
      <c r="E14" s="1">
        <v>45770</v>
      </c>
      <c r="F14" s="2">
        <v>18</v>
      </c>
      <c r="G14" s="3" t="s">
        <v>23</v>
      </c>
      <c r="H14">
        <v>28</v>
      </c>
      <c r="I14" s="2">
        <v>0</v>
      </c>
      <c r="J14" s="2">
        <v>0</v>
      </c>
      <c r="K14" s="2">
        <v>1</v>
      </c>
      <c r="L14" s="2">
        <v>0</v>
      </c>
      <c r="M14">
        <v>0</v>
      </c>
      <c r="N14">
        <v>0</v>
      </c>
      <c r="O14" s="2">
        <v>0</v>
      </c>
      <c r="P14" s="2">
        <v>0</v>
      </c>
      <c r="Q14">
        <v>0</v>
      </c>
      <c r="R14" s="2">
        <v>0</v>
      </c>
      <c r="S14" s="2">
        <v>0</v>
      </c>
      <c r="T14" t="s">
        <v>60</v>
      </c>
      <c r="U14" s="2">
        <v>0</v>
      </c>
      <c r="V14" s="2">
        <v>22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hidden="1" x14ac:dyDescent="0.25">
      <c r="A15" t="s">
        <v>33</v>
      </c>
      <c r="B15" t="s">
        <v>34</v>
      </c>
      <c r="C15" t="s">
        <v>35</v>
      </c>
      <c r="D15" s="1">
        <v>45770</v>
      </c>
      <c r="E15" s="1">
        <v>45770</v>
      </c>
      <c r="F15" s="2">
        <v>30</v>
      </c>
      <c r="G15" s="3" t="s">
        <v>23</v>
      </c>
      <c r="H15">
        <v>11</v>
      </c>
      <c r="I15" s="2">
        <v>0</v>
      </c>
      <c r="J15" s="2">
        <v>0</v>
      </c>
      <c r="K15" s="2">
        <v>0</v>
      </c>
      <c r="L15" s="2">
        <v>1</v>
      </c>
      <c r="M15">
        <v>1</v>
      </c>
      <c r="N15">
        <v>0</v>
      </c>
      <c r="O15" s="2">
        <v>0</v>
      </c>
      <c r="P15" s="2">
        <v>0</v>
      </c>
      <c r="Q15">
        <v>0</v>
      </c>
      <c r="R15" s="2">
        <v>0</v>
      </c>
      <c r="S15" s="2">
        <v>0</v>
      </c>
      <c r="T15" t="s">
        <v>61</v>
      </c>
      <c r="U15" s="2">
        <v>0</v>
      </c>
      <c r="V15" s="2">
        <v>14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idden="1" x14ac:dyDescent="0.25">
      <c r="A16" t="s">
        <v>37</v>
      </c>
      <c r="B16" t="s">
        <v>38</v>
      </c>
      <c r="C16" t="s">
        <v>39</v>
      </c>
      <c r="D16" s="1">
        <v>45770</v>
      </c>
      <c r="E16" s="1">
        <v>45770</v>
      </c>
      <c r="F16" s="2">
        <v>27</v>
      </c>
      <c r="G16" s="3" t="s">
        <v>23</v>
      </c>
      <c r="H16">
        <v>39</v>
      </c>
      <c r="I16" s="2">
        <v>0</v>
      </c>
      <c r="J16" s="2">
        <v>0</v>
      </c>
      <c r="K16" s="2">
        <v>1</v>
      </c>
      <c r="L16" s="2">
        <v>0</v>
      </c>
      <c r="M16">
        <v>0</v>
      </c>
      <c r="N16">
        <v>0</v>
      </c>
      <c r="O16" s="2">
        <v>0</v>
      </c>
      <c r="P16" s="2">
        <v>0</v>
      </c>
      <c r="Q16">
        <v>0</v>
      </c>
      <c r="R16" s="2">
        <v>0</v>
      </c>
      <c r="S16" s="2">
        <v>0</v>
      </c>
      <c r="T16" t="s">
        <v>62</v>
      </c>
      <c r="U16" s="2">
        <v>0</v>
      </c>
      <c r="V16" s="2">
        <v>23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hidden="1" x14ac:dyDescent="0.25">
      <c r="A17" t="s">
        <v>56</v>
      </c>
      <c r="B17" t="s">
        <v>63</v>
      </c>
      <c r="C17">
        <v>0</v>
      </c>
      <c r="D17" s="1">
        <v>45770</v>
      </c>
      <c r="E17" s="1">
        <v>45770</v>
      </c>
      <c r="F17" s="2">
        <v>27</v>
      </c>
      <c r="G17" s="3" t="s">
        <v>23</v>
      </c>
      <c r="H17">
        <v>0</v>
      </c>
      <c r="I17" s="2">
        <v>0</v>
      </c>
      <c r="J17" s="2">
        <v>0</v>
      </c>
      <c r="K17" s="2">
        <v>0</v>
      </c>
      <c r="L17" s="2">
        <v>0</v>
      </c>
      <c r="M17">
        <v>0</v>
      </c>
      <c r="N17">
        <v>0</v>
      </c>
      <c r="O17" s="2">
        <v>0</v>
      </c>
      <c r="P17" s="2">
        <v>0</v>
      </c>
      <c r="Q17">
        <v>0</v>
      </c>
      <c r="R17" s="2">
        <v>0</v>
      </c>
      <c r="S17" s="2">
        <v>0</v>
      </c>
      <c r="T17" t="s">
        <v>62</v>
      </c>
      <c r="U17" s="2">
        <v>0</v>
      </c>
      <c r="V17" s="2">
        <v>20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idden="1" x14ac:dyDescent="0.25">
      <c r="A18" t="s">
        <v>20</v>
      </c>
      <c r="B18" t="s">
        <v>21</v>
      </c>
      <c r="C18">
        <v>0</v>
      </c>
      <c r="D18" s="1">
        <v>45770</v>
      </c>
      <c r="E18" s="1">
        <v>45770</v>
      </c>
      <c r="F18" s="2">
        <v>0</v>
      </c>
      <c r="G18" s="3" t="s">
        <v>48</v>
      </c>
      <c r="H18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idden="1" x14ac:dyDescent="0.25">
      <c r="A19" t="s">
        <v>49</v>
      </c>
      <c r="B19" t="s">
        <v>47</v>
      </c>
      <c r="C19">
        <v>0</v>
      </c>
      <c r="D19" s="1">
        <v>45770</v>
      </c>
      <c r="E19" s="1">
        <v>45770</v>
      </c>
      <c r="F19" s="2">
        <v>0</v>
      </c>
      <c r="G19" s="3" t="s">
        <v>50</v>
      </c>
      <c r="H19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idden="1" x14ac:dyDescent="0.25">
      <c r="A20" t="s">
        <v>51</v>
      </c>
      <c r="B20" t="s">
        <v>47</v>
      </c>
      <c r="C20">
        <v>0</v>
      </c>
      <c r="D20" s="1">
        <v>45770</v>
      </c>
      <c r="E20" s="1">
        <v>45770</v>
      </c>
      <c r="F20" s="2">
        <v>0</v>
      </c>
      <c r="G20" s="3" t="s">
        <v>50</v>
      </c>
      <c r="H20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idden="1" x14ac:dyDescent="0.25">
      <c r="A21" t="s">
        <v>47</v>
      </c>
      <c r="B21" t="s">
        <v>52</v>
      </c>
      <c r="C21">
        <v>0</v>
      </c>
      <c r="D21" s="1">
        <v>45770</v>
      </c>
      <c r="E21" s="1">
        <v>45770</v>
      </c>
      <c r="F21" s="2">
        <v>0</v>
      </c>
      <c r="G21" s="3" t="s">
        <v>50</v>
      </c>
      <c r="H21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idden="1" x14ac:dyDescent="0.25">
      <c r="A22" t="s">
        <v>56</v>
      </c>
      <c r="B22" t="s">
        <v>56</v>
      </c>
      <c r="C22" t="s">
        <v>64</v>
      </c>
      <c r="D22" s="1">
        <v>45771</v>
      </c>
      <c r="E22" s="1">
        <v>45771</v>
      </c>
      <c r="F22" s="2">
        <v>45</v>
      </c>
      <c r="G22" s="3" t="s">
        <v>23</v>
      </c>
      <c r="H22">
        <v>0</v>
      </c>
      <c r="I22" s="2">
        <v>0</v>
      </c>
      <c r="J22" s="2">
        <v>0</v>
      </c>
      <c r="K22" s="2">
        <v>0</v>
      </c>
      <c r="L22" s="2">
        <v>0</v>
      </c>
      <c r="M22">
        <v>0</v>
      </c>
      <c r="N22">
        <v>0</v>
      </c>
      <c r="O22" s="2">
        <v>0</v>
      </c>
      <c r="P22" s="2">
        <v>0</v>
      </c>
      <c r="Q22">
        <v>0</v>
      </c>
      <c r="R22" s="2">
        <v>0</v>
      </c>
      <c r="S22" s="2">
        <v>0</v>
      </c>
      <c r="T22" t="s">
        <v>65</v>
      </c>
      <c r="U22" s="2">
        <v>0</v>
      </c>
      <c r="V22" s="2">
        <v>20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idden="1" x14ac:dyDescent="0.25">
      <c r="A23" t="s">
        <v>53</v>
      </c>
      <c r="B23" t="s">
        <v>57</v>
      </c>
      <c r="C23" t="s">
        <v>54</v>
      </c>
      <c r="D23" s="1">
        <v>45771</v>
      </c>
      <c r="E23" s="1">
        <v>45771</v>
      </c>
      <c r="F23" s="2">
        <v>36</v>
      </c>
      <c r="G23" s="3" t="s">
        <v>23</v>
      </c>
      <c r="H23">
        <v>25</v>
      </c>
      <c r="I23" s="2">
        <v>0</v>
      </c>
      <c r="J23" s="2">
        <v>0</v>
      </c>
      <c r="K23" s="2">
        <v>0</v>
      </c>
      <c r="L23" s="2">
        <v>1</v>
      </c>
      <c r="M23">
        <v>0</v>
      </c>
      <c r="N23">
        <v>0</v>
      </c>
      <c r="O23" s="2">
        <v>0</v>
      </c>
      <c r="P23" s="2">
        <v>0</v>
      </c>
      <c r="Q23">
        <v>0</v>
      </c>
      <c r="R23" s="2">
        <v>0</v>
      </c>
      <c r="S23" s="2">
        <v>0</v>
      </c>
      <c r="T23" t="s">
        <v>66</v>
      </c>
      <c r="U23" s="2">
        <v>0</v>
      </c>
      <c r="V23" s="2">
        <v>13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idden="1" x14ac:dyDescent="0.25">
      <c r="A24" t="s">
        <v>20</v>
      </c>
      <c r="B24" t="s">
        <v>21</v>
      </c>
      <c r="C24" t="s">
        <v>22</v>
      </c>
      <c r="D24" s="1">
        <v>45771</v>
      </c>
      <c r="E24" s="1">
        <v>45771</v>
      </c>
      <c r="F24" s="2">
        <v>34</v>
      </c>
      <c r="G24" s="3" t="s">
        <v>23</v>
      </c>
      <c r="H24">
        <v>30</v>
      </c>
      <c r="I24" s="2">
        <v>0</v>
      </c>
      <c r="J24" s="2">
        <v>0</v>
      </c>
      <c r="K24" s="2">
        <v>1</v>
      </c>
      <c r="L24" s="2">
        <v>0</v>
      </c>
      <c r="M24">
        <v>0</v>
      </c>
      <c r="N24">
        <v>0</v>
      </c>
      <c r="O24" s="2">
        <v>0</v>
      </c>
      <c r="P24" s="2">
        <v>0</v>
      </c>
      <c r="Q24">
        <v>0</v>
      </c>
      <c r="R24" s="2">
        <v>0</v>
      </c>
      <c r="S24" s="2">
        <v>0</v>
      </c>
      <c r="T24" t="s">
        <v>67</v>
      </c>
      <c r="U24" s="2">
        <v>0</v>
      </c>
      <c r="V24" s="2">
        <v>22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idden="1" x14ac:dyDescent="0.25">
      <c r="A25" t="s">
        <v>25</v>
      </c>
      <c r="B25" t="s">
        <v>26</v>
      </c>
      <c r="C25" t="s">
        <v>27</v>
      </c>
      <c r="D25" s="1">
        <v>45771</v>
      </c>
      <c r="E25" s="1">
        <v>45771</v>
      </c>
      <c r="F25" s="2">
        <v>21</v>
      </c>
      <c r="G25" s="3" t="s">
        <v>23</v>
      </c>
      <c r="H25">
        <v>35</v>
      </c>
      <c r="I25" s="2">
        <v>0</v>
      </c>
      <c r="J25" s="2">
        <v>0</v>
      </c>
      <c r="K25" s="2">
        <v>1</v>
      </c>
      <c r="L25" s="2">
        <v>0</v>
      </c>
      <c r="M25">
        <v>0</v>
      </c>
      <c r="N25">
        <v>0</v>
      </c>
      <c r="O25" s="2">
        <v>0</v>
      </c>
      <c r="P25" s="2">
        <v>0</v>
      </c>
      <c r="Q25">
        <v>0</v>
      </c>
      <c r="R25" s="2">
        <v>0</v>
      </c>
      <c r="S25" s="2">
        <v>0</v>
      </c>
      <c r="T25" t="s">
        <v>68</v>
      </c>
      <c r="U25" s="2">
        <v>0</v>
      </c>
      <c r="V25" s="2">
        <v>20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idden="1" x14ac:dyDescent="0.25">
      <c r="A26" t="s">
        <v>37</v>
      </c>
      <c r="B26" t="s">
        <v>38</v>
      </c>
      <c r="C26" t="s">
        <v>39</v>
      </c>
      <c r="D26" s="1">
        <v>45771</v>
      </c>
      <c r="E26" s="1">
        <v>45771</v>
      </c>
      <c r="F26" s="2">
        <v>19</v>
      </c>
      <c r="G26" s="3" t="s">
        <v>23</v>
      </c>
      <c r="H26">
        <v>19</v>
      </c>
      <c r="I26" s="2">
        <v>0</v>
      </c>
      <c r="J26" s="2">
        <v>0</v>
      </c>
      <c r="K26" s="2">
        <v>1</v>
      </c>
      <c r="L26" s="2">
        <v>0</v>
      </c>
      <c r="M26">
        <v>0</v>
      </c>
      <c r="N26">
        <v>0</v>
      </c>
      <c r="O26" s="2">
        <v>0</v>
      </c>
      <c r="P26" s="2">
        <v>0</v>
      </c>
      <c r="Q26">
        <v>0</v>
      </c>
      <c r="R26" s="2">
        <v>0</v>
      </c>
      <c r="S26" s="2">
        <v>0</v>
      </c>
      <c r="T26" t="s">
        <v>69</v>
      </c>
      <c r="U26" s="2">
        <v>0</v>
      </c>
      <c r="V26" s="2">
        <v>14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idden="1" x14ac:dyDescent="0.25">
      <c r="A27" t="s">
        <v>29</v>
      </c>
      <c r="B27" t="s">
        <v>30</v>
      </c>
      <c r="C27" t="s">
        <v>31</v>
      </c>
      <c r="D27" s="1">
        <v>45771</v>
      </c>
      <c r="E27" s="1">
        <v>45771</v>
      </c>
      <c r="F27" s="2">
        <v>33</v>
      </c>
      <c r="G27" s="3" t="s">
        <v>23</v>
      </c>
      <c r="H27">
        <v>28</v>
      </c>
      <c r="I27" s="2">
        <v>0</v>
      </c>
      <c r="J27" s="2">
        <v>0</v>
      </c>
      <c r="K27" s="2">
        <v>1</v>
      </c>
      <c r="L27" s="2">
        <v>0</v>
      </c>
      <c r="M27">
        <v>0</v>
      </c>
      <c r="N27">
        <v>0</v>
      </c>
      <c r="O27" s="2">
        <v>0</v>
      </c>
      <c r="P27" s="2">
        <v>0</v>
      </c>
      <c r="Q27">
        <v>0</v>
      </c>
      <c r="R27" s="2">
        <v>0</v>
      </c>
      <c r="S27" s="2">
        <v>0</v>
      </c>
      <c r="T27" t="s">
        <v>32</v>
      </c>
      <c r="U27" s="2">
        <v>0</v>
      </c>
      <c r="V27" s="2">
        <v>49</v>
      </c>
      <c r="W27" s="2">
        <v>2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idden="1" x14ac:dyDescent="0.25">
      <c r="A28" t="s">
        <v>33</v>
      </c>
      <c r="B28" t="s">
        <v>34</v>
      </c>
      <c r="C28">
        <v>0</v>
      </c>
      <c r="D28" s="1">
        <v>45771</v>
      </c>
      <c r="E28" s="1">
        <v>45771</v>
      </c>
      <c r="F28" s="2">
        <v>0</v>
      </c>
      <c r="G28" s="3" t="s">
        <v>48</v>
      </c>
      <c r="H28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hidden="1" x14ac:dyDescent="0.25">
      <c r="A29" t="s">
        <v>49</v>
      </c>
      <c r="B29" t="s">
        <v>47</v>
      </c>
      <c r="C29">
        <v>0</v>
      </c>
      <c r="D29" s="1">
        <v>45771</v>
      </c>
      <c r="E29" s="1">
        <v>45771</v>
      </c>
      <c r="F29" s="2">
        <v>0</v>
      </c>
      <c r="G29" s="3" t="s">
        <v>50</v>
      </c>
      <c r="H29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idden="1" x14ac:dyDescent="0.25">
      <c r="A30" t="s">
        <v>51</v>
      </c>
      <c r="B30" t="s">
        <v>47</v>
      </c>
      <c r="C30">
        <v>0</v>
      </c>
      <c r="D30" s="1">
        <v>45771</v>
      </c>
      <c r="E30" s="1">
        <v>45771</v>
      </c>
      <c r="F30" s="2">
        <v>0</v>
      </c>
      <c r="G30" s="3" t="s">
        <v>50</v>
      </c>
      <c r="H30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idden="1" x14ac:dyDescent="0.25">
      <c r="A31" t="s">
        <v>47</v>
      </c>
      <c r="B31" t="s">
        <v>52</v>
      </c>
      <c r="C31">
        <v>0</v>
      </c>
      <c r="D31" s="1">
        <v>45771</v>
      </c>
      <c r="E31" s="1">
        <v>45771</v>
      </c>
      <c r="F31" s="2">
        <v>0</v>
      </c>
      <c r="G31" s="3" t="s">
        <v>50</v>
      </c>
      <c r="H31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idden="1" x14ac:dyDescent="0.25">
      <c r="A32" t="s">
        <v>56</v>
      </c>
      <c r="B32" t="s">
        <v>38</v>
      </c>
      <c r="C32" t="s">
        <v>64</v>
      </c>
      <c r="D32" s="1">
        <v>45772</v>
      </c>
      <c r="E32" s="1">
        <v>45772</v>
      </c>
      <c r="F32" s="2">
        <v>37</v>
      </c>
      <c r="G32" s="3" t="s">
        <v>23</v>
      </c>
      <c r="H32">
        <v>29</v>
      </c>
      <c r="I32" s="2">
        <v>0</v>
      </c>
      <c r="J32" s="2">
        <v>0</v>
      </c>
      <c r="K32" s="2">
        <v>1</v>
      </c>
      <c r="L32" s="2">
        <v>0</v>
      </c>
      <c r="M32">
        <v>1</v>
      </c>
      <c r="N32">
        <v>0</v>
      </c>
      <c r="O32" s="2">
        <v>0</v>
      </c>
      <c r="P32" s="2">
        <v>0</v>
      </c>
      <c r="Q32">
        <v>1</v>
      </c>
      <c r="R32" s="2">
        <v>0</v>
      </c>
      <c r="S32" s="2">
        <v>0</v>
      </c>
      <c r="T32" t="s">
        <v>70</v>
      </c>
      <c r="U32" s="2">
        <v>0</v>
      </c>
      <c r="V32" s="2">
        <v>3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idden="1" x14ac:dyDescent="0.25">
      <c r="A33" t="s">
        <v>20</v>
      </c>
      <c r="B33" t="s">
        <v>21</v>
      </c>
      <c r="C33" t="s">
        <v>22</v>
      </c>
      <c r="D33" s="1">
        <v>45772</v>
      </c>
      <c r="E33" s="1">
        <v>45772</v>
      </c>
      <c r="F33" s="2">
        <v>56</v>
      </c>
      <c r="G33" s="3" t="s">
        <v>23</v>
      </c>
      <c r="H33">
        <v>18</v>
      </c>
      <c r="I33" s="2">
        <v>0</v>
      </c>
      <c r="J33" s="2">
        <v>0</v>
      </c>
      <c r="K33" s="2">
        <v>1</v>
      </c>
      <c r="L33" s="2">
        <v>0</v>
      </c>
      <c r="M33">
        <v>0</v>
      </c>
      <c r="N33">
        <v>0</v>
      </c>
      <c r="O33" s="2">
        <v>0</v>
      </c>
      <c r="P33" s="2">
        <v>0</v>
      </c>
      <c r="Q33">
        <v>0</v>
      </c>
      <c r="R33" s="2">
        <v>0</v>
      </c>
      <c r="S33" s="2">
        <v>0</v>
      </c>
      <c r="T33" t="s">
        <v>71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idden="1" x14ac:dyDescent="0.25">
      <c r="A34" t="s">
        <v>33</v>
      </c>
      <c r="B34" t="s">
        <v>34</v>
      </c>
      <c r="C34" t="s">
        <v>35</v>
      </c>
      <c r="D34" s="1">
        <v>45772</v>
      </c>
      <c r="E34" s="1">
        <v>45772</v>
      </c>
      <c r="F34" s="2">
        <v>46</v>
      </c>
      <c r="G34" s="3" t="s">
        <v>23</v>
      </c>
      <c r="H34">
        <v>24</v>
      </c>
      <c r="I34" s="2">
        <v>0</v>
      </c>
      <c r="J34" s="2">
        <v>0</v>
      </c>
      <c r="K34" s="2">
        <v>0</v>
      </c>
      <c r="L34" s="2">
        <v>1</v>
      </c>
      <c r="M34">
        <v>0</v>
      </c>
      <c r="N34">
        <v>0</v>
      </c>
      <c r="O34" s="2">
        <v>0</v>
      </c>
      <c r="P34" s="2">
        <v>0</v>
      </c>
      <c r="Q34">
        <v>0</v>
      </c>
      <c r="R34" s="2">
        <v>0</v>
      </c>
      <c r="S34" s="2">
        <v>0</v>
      </c>
      <c r="T34" t="s">
        <v>72</v>
      </c>
      <c r="U34" s="2">
        <v>0</v>
      </c>
      <c r="V34" s="2">
        <v>15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idden="1" x14ac:dyDescent="0.25">
      <c r="A35" t="s">
        <v>53</v>
      </c>
      <c r="B35" t="s">
        <v>57</v>
      </c>
      <c r="C35" t="s">
        <v>35</v>
      </c>
      <c r="D35" s="1">
        <v>45772</v>
      </c>
      <c r="E35" s="1">
        <v>45772</v>
      </c>
      <c r="F35" s="2">
        <v>46</v>
      </c>
      <c r="G35" s="3" t="s">
        <v>23</v>
      </c>
      <c r="H35">
        <v>28</v>
      </c>
      <c r="I35" s="2">
        <v>0</v>
      </c>
      <c r="J35" s="2">
        <v>0</v>
      </c>
      <c r="K35" s="2">
        <v>0</v>
      </c>
      <c r="L35" s="2">
        <v>1</v>
      </c>
      <c r="M35">
        <v>0</v>
      </c>
      <c r="N35">
        <v>0</v>
      </c>
      <c r="O35" s="2">
        <v>0</v>
      </c>
      <c r="P35" s="2">
        <v>0</v>
      </c>
      <c r="Q35">
        <v>0</v>
      </c>
      <c r="R35" s="2">
        <v>0</v>
      </c>
      <c r="S35" s="2">
        <v>0</v>
      </c>
      <c r="T35" t="s">
        <v>72</v>
      </c>
      <c r="U35" s="2">
        <v>0</v>
      </c>
      <c r="V35" s="2">
        <v>15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idden="1" x14ac:dyDescent="0.25">
      <c r="A36" t="s">
        <v>37</v>
      </c>
      <c r="B36" t="s">
        <v>47</v>
      </c>
      <c r="C36">
        <v>0</v>
      </c>
      <c r="D36" s="1">
        <v>45772</v>
      </c>
      <c r="E36" s="1">
        <v>45772</v>
      </c>
      <c r="F36" s="2">
        <v>0</v>
      </c>
      <c r="G36" s="3" t="s">
        <v>48</v>
      </c>
      <c r="H36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idden="1" x14ac:dyDescent="0.25">
      <c r="A37" t="s">
        <v>25</v>
      </c>
      <c r="B37" t="s">
        <v>26</v>
      </c>
      <c r="C37">
        <v>0</v>
      </c>
      <c r="D37" s="1">
        <v>45772</v>
      </c>
      <c r="E37" s="1">
        <v>45772</v>
      </c>
      <c r="F37" s="2">
        <v>0</v>
      </c>
      <c r="G37" s="3" t="s">
        <v>48</v>
      </c>
      <c r="H37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idden="1" x14ac:dyDescent="0.25">
      <c r="A38" t="s">
        <v>29</v>
      </c>
      <c r="B38" t="s">
        <v>30</v>
      </c>
      <c r="C38">
        <v>0</v>
      </c>
      <c r="D38" s="1">
        <v>45772</v>
      </c>
      <c r="E38" s="1">
        <v>45772</v>
      </c>
      <c r="F38" s="2">
        <v>0</v>
      </c>
      <c r="G38" s="3" t="s">
        <v>48</v>
      </c>
      <c r="H38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idden="1" x14ac:dyDescent="0.25">
      <c r="A39" t="s">
        <v>49</v>
      </c>
      <c r="B39" t="s">
        <v>47</v>
      </c>
      <c r="C39">
        <v>0</v>
      </c>
      <c r="D39" s="1">
        <v>45772</v>
      </c>
      <c r="E39" s="1">
        <v>45772</v>
      </c>
      <c r="F39" s="2">
        <v>0</v>
      </c>
      <c r="G39" s="3" t="s">
        <v>50</v>
      </c>
      <c r="H39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idden="1" x14ac:dyDescent="0.25">
      <c r="A40" t="s">
        <v>51</v>
      </c>
      <c r="B40" t="s">
        <v>47</v>
      </c>
      <c r="C40">
        <v>0</v>
      </c>
      <c r="D40" s="1">
        <v>45772</v>
      </c>
      <c r="E40" s="1">
        <v>45772</v>
      </c>
      <c r="F40" s="2">
        <v>0</v>
      </c>
      <c r="G40" s="3" t="s">
        <v>50</v>
      </c>
      <c r="H40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idden="1" x14ac:dyDescent="0.25">
      <c r="A41" t="s">
        <v>47</v>
      </c>
      <c r="B41" t="s">
        <v>52</v>
      </c>
      <c r="C41">
        <v>0</v>
      </c>
      <c r="D41" s="1">
        <v>45772</v>
      </c>
      <c r="E41" s="1">
        <v>45772</v>
      </c>
      <c r="F41" s="2">
        <v>0</v>
      </c>
      <c r="G41" s="3" t="s">
        <v>50</v>
      </c>
      <c r="H41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idden="1" x14ac:dyDescent="0.25">
      <c r="A42" t="s">
        <v>20</v>
      </c>
      <c r="B42" t="s">
        <v>21</v>
      </c>
      <c r="C42" t="s">
        <v>22</v>
      </c>
      <c r="D42" s="1">
        <v>45773</v>
      </c>
      <c r="E42" s="1">
        <v>45773</v>
      </c>
      <c r="F42" s="2">
        <v>129</v>
      </c>
      <c r="G42" s="3" t="s">
        <v>23</v>
      </c>
      <c r="H42">
        <v>0</v>
      </c>
      <c r="I42" s="2">
        <v>0</v>
      </c>
      <c r="J42" s="2">
        <v>0</v>
      </c>
      <c r="K42" s="2">
        <v>1</v>
      </c>
      <c r="L42" s="2">
        <v>0</v>
      </c>
      <c r="M42">
        <v>0</v>
      </c>
      <c r="N42">
        <v>0</v>
      </c>
      <c r="O42" s="2">
        <v>1</v>
      </c>
      <c r="P42" s="2">
        <v>0</v>
      </c>
      <c r="Q42">
        <v>2</v>
      </c>
      <c r="R42" s="2">
        <v>1</v>
      </c>
      <c r="S42" s="2">
        <v>0</v>
      </c>
      <c r="T42" t="s">
        <v>73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idden="1" x14ac:dyDescent="0.25">
      <c r="A43" t="s">
        <v>25</v>
      </c>
      <c r="B43" t="s">
        <v>26</v>
      </c>
      <c r="C43" t="s">
        <v>27</v>
      </c>
      <c r="D43" s="1">
        <v>45773</v>
      </c>
      <c r="E43" s="1">
        <v>45773</v>
      </c>
      <c r="F43" s="2">
        <v>28</v>
      </c>
      <c r="G43" s="3" t="s">
        <v>23</v>
      </c>
      <c r="H43">
        <v>0</v>
      </c>
      <c r="I43" s="2">
        <v>0</v>
      </c>
      <c r="J43" s="2">
        <v>0</v>
      </c>
      <c r="K43" s="2">
        <v>1</v>
      </c>
      <c r="L43" s="2">
        <v>0</v>
      </c>
      <c r="M43">
        <v>0</v>
      </c>
      <c r="N43">
        <v>0</v>
      </c>
      <c r="O43" s="2">
        <v>1</v>
      </c>
      <c r="P43" s="2">
        <v>0</v>
      </c>
      <c r="Q43">
        <v>1</v>
      </c>
      <c r="R43" s="2">
        <v>1</v>
      </c>
      <c r="S43" s="2">
        <v>0</v>
      </c>
      <c r="T43" t="s">
        <v>74</v>
      </c>
      <c r="U43" s="2">
        <v>12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idden="1" x14ac:dyDescent="0.25">
      <c r="A44" t="s">
        <v>33</v>
      </c>
      <c r="B44" t="s">
        <v>34</v>
      </c>
      <c r="C44" t="s">
        <v>35</v>
      </c>
      <c r="D44" s="1">
        <v>45773</v>
      </c>
      <c r="E44" s="1">
        <v>45773</v>
      </c>
      <c r="F44" s="2">
        <v>49</v>
      </c>
      <c r="G44" s="3" t="s">
        <v>23</v>
      </c>
      <c r="H44">
        <v>0</v>
      </c>
      <c r="I44" s="2">
        <v>0</v>
      </c>
      <c r="J44" s="2">
        <v>0</v>
      </c>
      <c r="K44" s="2">
        <v>0</v>
      </c>
      <c r="L44" s="2">
        <v>0</v>
      </c>
      <c r="M44">
        <v>0</v>
      </c>
      <c r="N44">
        <v>0</v>
      </c>
      <c r="O44" s="2">
        <v>0</v>
      </c>
      <c r="P44" s="2">
        <v>0</v>
      </c>
      <c r="Q44">
        <v>7</v>
      </c>
      <c r="R44" s="2">
        <v>1</v>
      </c>
      <c r="S44" s="2">
        <v>0</v>
      </c>
      <c r="T44" t="s">
        <v>75</v>
      </c>
      <c r="U44" s="2">
        <v>16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</row>
    <row r="45" spans="1:28" hidden="1" x14ac:dyDescent="0.25">
      <c r="A45" t="s">
        <v>37</v>
      </c>
      <c r="B45" t="s">
        <v>57</v>
      </c>
      <c r="C45" t="s">
        <v>39</v>
      </c>
      <c r="D45" s="1">
        <v>45773</v>
      </c>
      <c r="E45" s="1">
        <v>45773</v>
      </c>
      <c r="F45" s="2">
        <v>39</v>
      </c>
      <c r="G45" s="3" t="s">
        <v>23</v>
      </c>
      <c r="H45">
        <v>0</v>
      </c>
      <c r="I45" s="2">
        <v>0</v>
      </c>
      <c r="J45" s="2">
        <v>0</v>
      </c>
      <c r="K45" s="2">
        <v>1</v>
      </c>
      <c r="L45" s="2">
        <v>0</v>
      </c>
      <c r="M45">
        <v>0</v>
      </c>
      <c r="N45">
        <v>0</v>
      </c>
      <c r="O45" s="2">
        <v>1</v>
      </c>
      <c r="P45" s="2">
        <v>0</v>
      </c>
      <c r="Q45">
        <v>2</v>
      </c>
      <c r="R45" s="2">
        <v>1</v>
      </c>
      <c r="S45" s="2">
        <v>0</v>
      </c>
      <c r="T45" t="s">
        <v>76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idden="1" x14ac:dyDescent="0.25">
      <c r="A46" t="s">
        <v>29</v>
      </c>
      <c r="B46" t="s">
        <v>30</v>
      </c>
      <c r="C46" t="s">
        <v>39</v>
      </c>
      <c r="D46" s="1">
        <v>45773</v>
      </c>
      <c r="E46" s="1">
        <v>45773</v>
      </c>
      <c r="F46" s="2">
        <v>39</v>
      </c>
      <c r="G46" s="3" t="s">
        <v>23</v>
      </c>
      <c r="H46">
        <v>0</v>
      </c>
      <c r="I46" s="2">
        <v>0</v>
      </c>
      <c r="J46" s="2">
        <v>0</v>
      </c>
      <c r="K46" s="2">
        <v>1</v>
      </c>
      <c r="L46" s="2">
        <v>0</v>
      </c>
      <c r="M46">
        <v>0</v>
      </c>
      <c r="N46">
        <v>0</v>
      </c>
      <c r="O46" s="2">
        <v>1</v>
      </c>
      <c r="P46" s="2">
        <v>0</v>
      </c>
      <c r="Q46">
        <v>2</v>
      </c>
      <c r="R46" s="2">
        <v>1</v>
      </c>
      <c r="S46" s="2">
        <v>0</v>
      </c>
      <c r="T46" t="s">
        <v>76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idden="1" x14ac:dyDescent="0.25">
      <c r="A47" t="s">
        <v>56</v>
      </c>
      <c r="B47" t="s">
        <v>38</v>
      </c>
      <c r="C47" t="s">
        <v>64</v>
      </c>
      <c r="D47" s="1">
        <v>45774</v>
      </c>
      <c r="E47" s="1">
        <v>45774</v>
      </c>
      <c r="F47" s="2">
        <v>28</v>
      </c>
      <c r="G47" s="3" t="s">
        <v>23</v>
      </c>
      <c r="H47">
        <v>0</v>
      </c>
      <c r="I47" s="2">
        <v>0</v>
      </c>
      <c r="J47" s="2">
        <v>0</v>
      </c>
      <c r="K47" s="2">
        <v>0</v>
      </c>
      <c r="L47" s="2">
        <v>0</v>
      </c>
      <c r="M47">
        <v>0</v>
      </c>
      <c r="N47">
        <v>0</v>
      </c>
      <c r="O47" s="2">
        <v>0</v>
      </c>
      <c r="P47" s="2">
        <v>0</v>
      </c>
      <c r="Q47">
        <v>2</v>
      </c>
      <c r="R47" s="2">
        <v>0</v>
      </c>
      <c r="S47" s="2">
        <v>0</v>
      </c>
      <c r="T47" t="s">
        <v>77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idden="1" x14ac:dyDescent="0.25">
      <c r="A48" t="s">
        <v>20</v>
      </c>
      <c r="B48" t="s">
        <v>21</v>
      </c>
      <c r="C48" t="s">
        <v>22</v>
      </c>
      <c r="D48" s="1">
        <v>45774</v>
      </c>
      <c r="E48" s="1">
        <v>45774</v>
      </c>
      <c r="F48" s="2">
        <v>31</v>
      </c>
      <c r="G48" s="3" t="s">
        <v>23</v>
      </c>
      <c r="H48">
        <v>0</v>
      </c>
      <c r="I48" s="2">
        <v>0</v>
      </c>
      <c r="J48" s="2">
        <v>1</v>
      </c>
      <c r="K48" s="2">
        <v>1</v>
      </c>
      <c r="L48" s="2">
        <v>0</v>
      </c>
      <c r="M48">
        <v>0</v>
      </c>
      <c r="N48">
        <v>0</v>
      </c>
      <c r="O48" s="2">
        <v>0</v>
      </c>
      <c r="P48" s="2">
        <v>1</v>
      </c>
      <c r="Q48">
        <v>4</v>
      </c>
      <c r="R48" s="2">
        <v>0</v>
      </c>
      <c r="S48" s="2">
        <v>1</v>
      </c>
      <c r="T48" t="s">
        <v>78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idden="1" x14ac:dyDescent="0.25">
      <c r="A49" t="s">
        <v>25</v>
      </c>
      <c r="B49" t="s">
        <v>26</v>
      </c>
      <c r="C49" t="s">
        <v>27</v>
      </c>
      <c r="D49" s="1">
        <v>45774</v>
      </c>
      <c r="E49" s="1">
        <v>45774</v>
      </c>
      <c r="F49" s="2">
        <v>183</v>
      </c>
      <c r="G49" s="3" t="s">
        <v>23</v>
      </c>
      <c r="H49">
        <v>0</v>
      </c>
      <c r="I49" s="2">
        <v>0</v>
      </c>
      <c r="J49" s="2">
        <v>0</v>
      </c>
      <c r="K49" s="2">
        <v>1</v>
      </c>
      <c r="L49" s="2">
        <v>0</v>
      </c>
      <c r="M49">
        <v>0</v>
      </c>
      <c r="N49">
        <v>0</v>
      </c>
      <c r="O49" s="2">
        <v>0</v>
      </c>
      <c r="P49" s="2">
        <v>1</v>
      </c>
      <c r="Q49">
        <v>4</v>
      </c>
      <c r="R49" s="2">
        <v>0</v>
      </c>
      <c r="S49" s="2">
        <v>1</v>
      </c>
      <c r="T49" t="s">
        <v>79</v>
      </c>
      <c r="U49" s="2">
        <v>16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idden="1" x14ac:dyDescent="0.25">
      <c r="A50" t="s">
        <v>29</v>
      </c>
      <c r="B50" t="s">
        <v>30</v>
      </c>
      <c r="C50" t="s">
        <v>31</v>
      </c>
      <c r="D50" s="1">
        <v>45774</v>
      </c>
      <c r="E50" s="1">
        <v>45774</v>
      </c>
      <c r="F50" s="2">
        <v>19</v>
      </c>
      <c r="G50" s="3" t="s">
        <v>23</v>
      </c>
      <c r="H50">
        <v>0</v>
      </c>
      <c r="I50" s="2">
        <v>0</v>
      </c>
      <c r="J50" s="2">
        <v>0</v>
      </c>
      <c r="K50" s="2">
        <v>1</v>
      </c>
      <c r="L50" s="2">
        <v>0</v>
      </c>
      <c r="M50">
        <v>0</v>
      </c>
      <c r="N50">
        <v>0</v>
      </c>
      <c r="O50" s="2">
        <v>0</v>
      </c>
      <c r="P50" s="2">
        <v>1</v>
      </c>
      <c r="Q50">
        <v>4</v>
      </c>
      <c r="R50" s="2">
        <v>0</v>
      </c>
      <c r="S50" s="2">
        <v>1</v>
      </c>
      <c r="T50" t="s">
        <v>80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idden="1" x14ac:dyDescent="0.25">
      <c r="A51" t="s">
        <v>33</v>
      </c>
      <c r="B51" t="s">
        <v>34</v>
      </c>
      <c r="C51" t="s">
        <v>35</v>
      </c>
      <c r="D51" s="1">
        <v>45774</v>
      </c>
      <c r="E51" s="1">
        <v>45774</v>
      </c>
      <c r="F51" s="2">
        <v>38</v>
      </c>
      <c r="G51" s="3" t="s">
        <v>23</v>
      </c>
      <c r="H51">
        <v>0</v>
      </c>
      <c r="I51" s="2">
        <v>0</v>
      </c>
      <c r="J51" s="2">
        <v>0</v>
      </c>
      <c r="K51" s="2">
        <v>0</v>
      </c>
      <c r="L51" s="2">
        <v>0</v>
      </c>
      <c r="M51">
        <v>0</v>
      </c>
      <c r="N51">
        <v>0</v>
      </c>
      <c r="O51" s="2">
        <v>0</v>
      </c>
      <c r="P51" s="2">
        <v>1</v>
      </c>
      <c r="Q51">
        <v>4</v>
      </c>
      <c r="R51" s="2">
        <v>0</v>
      </c>
      <c r="S51" s="2">
        <v>1</v>
      </c>
      <c r="T51" t="s">
        <v>81</v>
      </c>
      <c r="U51" s="2">
        <v>15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</row>
    <row r="52" spans="1:28" hidden="1" x14ac:dyDescent="0.25">
      <c r="A52" t="s">
        <v>37</v>
      </c>
      <c r="B52" t="s">
        <v>57</v>
      </c>
      <c r="C52" t="s">
        <v>39</v>
      </c>
      <c r="D52" s="1">
        <v>45774</v>
      </c>
      <c r="E52" s="1">
        <v>45774</v>
      </c>
      <c r="F52" s="2">
        <v>58</v>
      </c>
      <c r="G52" s="3" t="s">
        <v>23</v>
      </c>
      <c r="H52">
        <v>0</v>
      </c>
      <c r="I52" s="2">
        <v>0</v>
      </c>
      <c r="J52" s="2">
        <v>0</v>
      </c>
      <c r="K52" s="2">
        <v>1</v>
      </c>
      <c r="L52" s="2">
        <v>0</v>
      </c>
      <c r="M52">
        <v>0</v>
      </c>
      <c r="N52">
        <v>0</v>
      </c>
      <c r="O52" s="2">
        <v>0</v>
      </c>
      <c r="P52" s="2">
        <v>1</v>
      </c>
      <c r="Q52">
        <v>4</v>
      </c>
      <c r="R52" s="2">
        <v>0</v>
      </c>
      <c r="S52" s="2">
        <v>1</v>
      </c>
      <c r="T52" t="s">
        <v>82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idden="1" x14ac:dyDescent="0.25">
      <c r="A53" t="s">
        <v>56</v>
      </c>
      <c r="B53" t="s">
        <v>63</v>
      </c>
      <c r="C53" t="s">
        <v>64</v>
      </c>
      <c r="D53" s="1">
        <v>45775</v>
      </c>
      <c r="E53" s="1">
        <v>45775</v>
      </c>
      <c r="F53" s="2">
        <v>36</v>
      </c>
      <c r="G53" s="3" t="s">
        <v>23</v>
      </c>
      <c r="H53">
        <v>0</v>
      </c>
      <c r="I53" s="2">
        <v>1</v>
      </c>
      <c r="J53" s="2">
        <v>0</v>
      </c>
      <c r="K53" s="2">
        <v>0</v>
      </c>
      <c r="L53" s="2">
        <v>0</v>
      </c>
      <c r="M53">
        <v>0</v>
      </c>
      <c r="N53">
        <v>0</v>
      </c>
      <c r="O53" s="2">
        <v>0</v>
      </c>
      <c r="P53" s="2">
        <v>0</v>
      </c>
      <c r="Q53">
        <v>0</v>
      </c>
      <c r="R53" s="2">
        <v>0</v>
      </c>
      <c r="S53" s="2">
        <v>0</v>
      </c>
      <c r="T53" t="s">
        <v>83</v>
      </c>
      <c r="U53" s="2">
        <v>0</v>
      </c>
      <c r="V53" s="2">
        <v>66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idden="1" x14ac:dyDescent="0.25">
      <c r="A54" t="s">
        <v>20</v>
      </c>
      <c r="B54" t="s">
        <v>21</v>
      </c>
      <c r="C54" t="s">
        <v>22</v>
      </c>
      <c r="D54" s="1">
        <v>45775</v>
      </c>
      <c r="E54" s="1">
        <v>45775</v>
      </c>
      <c r="F54" s="2">
        <v>31</v>
      </c>
      <c r="G54" s="3" t="s">
        <v>23</v>
      </c>
      <c r="H54">
        <v>0</v>
      </c>
      <c r="I54" s="2">
        <v>1</v>
      </c>
      <c r="J54" s="2">
        <v>0</v>
      </c>
      <c r="K54" s="2">
        <v>0</v>
      </c>
      <c r="L54" s="2">
        <v>0</v>
      </c>
      <c r="M54">
        <v>0</v>
      </c>
      <c r="N54">
        <v>0</v>
      </c>
      <c r="O54" s="2">
        <v>0</v>
      </c>
      <c r="P54" s="2">
        <v>0</v>
      </c>
      <c r="Q54">
        <v>2</v>
      </c>
      <c r="R54" s="2">
        <v>0</v>
      </c>
      <c r="S54" s="2">
        <v>0</v>
      </c>
      <c r="T54" t="s">
        <v>84</v>
      </c>
      <c r="U54" s="2">
        <v>0</v>
      </c>
      <c r="V54" s="2">
        <v>66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idden="1" x14ac:dyDescent="0.25">
      <c r="A55" t="s">
        <v>25</v>
      </c>
      <c r="B55" t="s">
        <v>26</v>
      </c>
      <c r="C55" t="s">
        <v>27</v>
      </c>
      <c r="D55" s="1">
        <v>45775</v>
      </c>
      <c r="E55" s="1">
        <v>45775</v>
      </c>
      <c r="F55" s="2">
        <v>29</v>
      </c>
      <c r="G55" s="3" t="s">
        <v>23</v>
      </c>
      <c r="H55">
        <v>0</v>
      </c>
      <c r="I55" s="2">
        <v>1</v>
      </c>
      <c r="J55" s="2">
        <v>0</v>
      </c>
      <c r="K55" s="2">
        <v>0</v>
      </c>
      <c r="L55" s="2">
        <v>0</v>
      </c>
      <c r="M55">
        <v>0</v>
      </c>
      <c r="N55">
        <v>0</v>
      </c>
      <c r="O55" s="2">
        <v>0</v>
      </c>
      <c r="P55" s="2">
        <v>0</v>
      </c>
      <c r="Q55">
        <v>2</v>
      </c>
      <c r="R55" s="2">
        <v>0</v>
      </c>
      <c r="S55" s="2">
        <v>0</v>
      </c>
      <c r="T55" t="s">
        <v>85</v>
      </c>
      <c r="U55" s="2">
        <v>0</v>
      </c>
      <c r="V55" s="2">
        <v>60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</row>
    <row r="56" spans="1:28" hidden="1" x14ac:dyDescent="0.25">
      <c r="A56" t="s">
        <v>29</v>
      </c>
      <c r="B56" t="s">
        <v>30</v>
      </c>
      <c r="C56" t="s">
        <v>31</v>
      </c>
      <c r="D56" s="1">
        <v>45775</v>
      </c>
      <c r="E56" s="1">
        <v>45775</v>
      </c>
      <c r="F56" s="2">
        <v>27</v>
      </c>
      <c r="G56" s="3" t="s">
        <v>23</v>
      </c>
      <c r="H56">
        <v>1</v>
      </c>
      <c r="I56" s="2">
        <v>1</v>
      </c>
      <c r="J56" s="2">
        <v>0</v>
      </c>
      <c r="K56" s="2">
        <v>0</v>
      </c>
      <c r="L56" s="2">
        <v>0</v>
      </c>
      <c r="M56">
        <v>0</v>
      </c>
      <c r="N56">
        <v>0</v>
      </c>
      <c r="O56" s="2">
        <v>0</v>
      </c>
      <c r="P56" s="2">
        <v>0</v>
      </c>
      <c r="Q56">
        <v>0</v>
      </c>
      <c r="R56" s="2">
        <v>0</v>
      </c>
      <c r="S56" s="2">
        <v>0</v>
      </c>
      <c r="T56" t="s">
        <v>86</v>
      </c>
      <c r="U56" s="2">
        <v>0</v>
      </c>
      <c r="V56" s="2">
        <v>42</v>
      </c>
      <c r="W56" s="2">
        <v>10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idden="1" x14ac:dyDescent="0.25">
      <c r="A57" t="s">
        <v>33</v>
      </c>
      <c r="B57" t="s">
        <v>34</v>
      </c>
      <c r="C57" t="s">
        <v>35</v>
      </c>
      <c r="D57" s="1">
        <v>45775</v>
      </c>
      <c r="E57" s="1">
        <v>45775</v>
      </c>
      <c r="F57" s="2">
        <v>69</v>
      </c>
      <c r="G57" s="3" t="s">
        <v>23</v>
      </c>
      <c r="H57">
        <v>0</v>
      </c>
      <c r="I57" s="2">
        <v>1</v>
      </c>
      <c r="J57" s="2">
        <v>0</v>
      </c>
      <c r="K57" s="2">
        <v>0</v>
      </c>
      <c r="L57" s="2">
        <v>0</v>
      </c>
      <c r="M57">
        <v>0</v>
      </c>
      <c r="N57">
        <v>0</v>
      </c>
      <c r="O57" s="2">
        <v>0</v>
      </c>
      <c r="P57" s="2">
        <v>0</v>
      </c>
      <c r="Q57">
        <v>0</v>
      </c>
      <c r="R57" s="2">
        <v>0</v>
      </c>
      <c r="S57" s="2">
        <v>0</v>
      </c>
      <c r="T57" t="s">
        <v>87</v>
      </c>
      <c r="U57" s="2">
        <v>0</v>
      </c>
      <c r="V57" s="2">
        <v>16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idden="1" x14ac:dyDescent="0.25">
      <c r="A58" t="s">
        <v>37</v>
      </c>
      <c r="B58" t="s">
        <v>38</v>
      </c>
      <c r="C58" t="s">
        <v>39</v>
      </c>
      <c r="D58" s="1">
        <v>45775</v>
      </c>
      <c r="E58" s="1">
        <v>45775</v>
      </c>
      <c r="F58" s="2">
        <v>26</v>
      </c>
      <c r="G58" s="3" t="s">
        <v>23</v>
      </c>
      <c r="H58">
        <v>0</v>
      </c>
      <c r="I58" s="2">
        <v>1</v>
      </c>
      <c r="J58" s="2">
        <v>0</v>
      </c>
      <c r="K58" s="2">
        <v>0</v>
      </c>
      <c r="L58" s="2">
        <v>0</v>
      </c>
      <c r="M58">
        <v>0</v>
      </c>
      <c r="N58">
        <v>0</v>
      </c>
      <c r="O58" s="2">
        <v>0</v>
      </c>
      <c r="P58" s="2">
        <v>0</v>
      </c>
      <c r="Q58">
        <v>2</v>
      </c>
      <c r="R58" s="2">
        <v>0</v>
      </c>
      <c r="S58" s="2">
        <v>0</v>
      </c>
      <c r="T58" t="s">
        <v>88</v>
      </c>
      <c r="U58" s="2">
        <v>0</v>
      </c>
      <c r="V58">
        <v>66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idden="1" x14ac:dyDescent="0.25">
      <c r="A59" t="s">
        <v>47</v>
      </c>
      <c r="B59" t="s">
        <v>57</v>
      </c>
      <c r="C59" t="s">
        <v>39</v>
      </c>
      <c r="D59" s="1">
        <v>45775</v>
      </c>
      <c r="E59" s="1">
        <v>45775</v>
      </c>
      <c r="F59" s="2">
        <v>26</v>
      </c>
      <c r="G59" t="s">
        <v>23</v>
      </c>
      <c r="H59">
        <v>0</v>
      </c>
      <c r="I59" s="2">
        <v>1</v>
      </c>
      <c r="J59" s="2">
        <v>0</v>
      </c>
      <c r="K59" s="2">
        <v>0</v>
      </c>
      <c r="L59" s="2">
        <v>0</v>
      </c>
      <c r="M59">
        <v>0</v>
      </c>
      <c r="N59">
        <v>0</v>
      </c>
      <c r="O59" s="2">
        <v>0</v>
      </c>
      <c r="P59" s="2">
        <v>0</v>
      </c>
      <c r="Q59">
        <v>0</v>
      </c>
      <c r="R59" s="2">
        <v>0</v>
      </c>
      <c r="S59" s="2">
        <v>0</v>
      </c>
      <c r="T59" t="s">
        <v>88</v>
      </c>
      <c r="U59" s="2">
        <v>0</v>
      </c>
      <c r="V59">
        <v>16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 hidden="1" x14ac:dyDescent="0.25">
      <c r="A60" t="s">
        <v>53</v>
      </c>
      <c r="B60" t="s">
        <v>47</v>
      </c>
      <c r="C60" t="s">
        <v>39</v>
      </c>
      <c r="D60" s="1">
        <v>45775</v>
      </c>
      <c r="E60" s="1">
        <v>45775</v>
      </c>
      <c r="F60" s="2">
        <v>26</v>
      </c>
      <c r="G60" t="s">
        <v>23</v>
      </c>
      <c r="H60">
        <v>0</v>
      </c>
      <c r="I60" s="2">
        <v>0</v>
      </c>
      <c r="J60" s="2">
        <v>0</v>
      </c>
      <c r="K60" s="2">
        <v>0</v>
      </c>
      <c r="L60" s="2">
        <v>0</v>
      </c>
      <c r="M60">
        <v>0</v>
      </c>
      <c r="N60">
        <v>0</v>
      </c>
      <c r="O60" s="2">
        <v>0</v>
      </c>
      <c r="P60" s="2">
        <v>0</v>
      </c>
      <c r="Q60">
        <v>0</v>
      </c>
      <c r="R60" s="2">
        <v>0</v>
      </c>
      <c r="S60" s="2">
        <v>0</v>
      </c>
      <c r="T60" t="s">
        <v>88</v>
      </c>
      <c r="U60" s="2">
        <v>0</v>
      </c>
      <c r="V60">
        <v>16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 hidden="1" x14ac:dyDescent="0.25">
      <c r="A61" t="s">
        <v>49</v>
      </c>
      <c r="B61" t="s">
        <v>47</v>
      </c>
      <c r="C61">
        <v>0</v>
      </c>
      <c r="D61" s="1">
        <v>45775</v>
      </c>
      <c r="E61" s="1">
        <v>45775</v>
      </c>
      <c r="F61" s="2">
        <v>0</v>
      </c>
      <c r="G61" s="3" t="s">
        <v>50</v>
      </c>
      <c r="H61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idden="1" x14ac:dyDescent="0.25">
      <c r="A62" t="s">
        <v>51</v>
      </c>
      <c r="B62" t="s">
        <v>47</v>
      </c>
      <c r="C62">
        <v>0</v>
      </c>
      <c r="D62" s="1">
        <v>45775</v>
      </c>
      <c r="E62" s="1">
        <v>45775</v>
      </c>
      <c r="F62" s="2">
        <v>0</v>
      </c>
      <c r="G62" s="3" t="s">
        <v>50</v>
      </c>
      <c r="H6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idden="1" x14ac:dyDescent="0.25">
      <c r="A63" t="s">
        <v>47</v>
      </c>
      <c r="B63" t="s">
        <v>52</v>
      </c>
      <c r="C63">
        <v>0</v>
      </c>
      <c r="D63" s="1">
        <v>45775</v>
      </c>
      <c r="E63" s="1">
        <v>45775</v>
      </c>
      <c r="F63" s="2">
        <v>0</v>
      </c>
      <c r="G63" s="3" t="s">
        <v>50</v>
      </c>
      <c r="H63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idden="1" x14ac:dyDescent="0.25">
      <c r="A64" t="s">
        <v>56</v>
      </c>
      <c r="B64" t="s">
        <v>30</v>
      </c>
      <c r="C64" t="s">
        <v>64</v>
      </c>
      <c r="D64" s="1">
        <v>45776</v>
      </c>
      <c r="E64" s="1">
        <v>45776</v>
      </c>
      <c r="F64" s="2">
        <v>31</v>
      </c>
      <c r="G64" s="3" t="s">
        <v>23</v>
      </c>
      <c r="H64">
        <v>15</v>
      </c>
      <c r="I64" s="2">
        <v>0</v>
      </c>
      <c r="J64" s="2">
        <v>0</v>
      </c>
      <c r="K64" s="2">
        <v>1</v>
      </c>
      <c r="L64" s="2">
        <v>0</v>
      </c>
      <c r="M64">
        <v>0</v>
      </c>
      <c r="N64">
        <v>0</v>
      </c>
      <c r="O64" s="2">
        <v>0</v>
      </c>
      <c r="P64" s="2">
        <v>0</v>
      </c>
      <c r="Q64">
        <v>1</v>
      </c>
      <c r="R64" s="2">
        <v>0</v>
      </c>
      <c r="S64" s="2">
        <v>0</v>
      </c>
      <c r="T64" t="s">
        <v>89</v>
      </c>
      <c r="U64" s="2">
        <v>0</v>
      </c>
      <c r="V64" s="2">
        <v>55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idden="1" x14ac:dyDescent="0.25">
      <c r="A65" t="s">
        <v>53</v>
      </c>
      <c r="B65" t="s">
        <v>38</v>
      </c>
      <c r="C65" t="s">
        <v>54</v>
      </c>
      <c r="D65" s="1">
        <v>45776</v>
      </c>
      <c r="E65" s="1">
        <v>45776</v>
      </c>
      <c r="F65" s="2">
        <v>54</v>
      </c>
      <c r="G65" s="3" t="s">
        <v>23</v>
      </c>
      <c r="H65">
        <v>24</v>
      </c>
      <c r="I65" s="2">
        <v>0</v>
      </c>
      <c r="J65" s="2">
        <v>0</v>
      </c>
      <c r="K65" s="2">
        <v>1</v>
      </c>
      <c r="L65" s="2">
        <v>0</v>
      </c>
      <c r="M65">
        <v>1</v>
      </c>
      <c r="N65">
        <v>0</v>
      </c>
      <c r="O65" s="2">
        <v>0</v>
      </c>
      <c r="P65" s="2">
        <v>0</v>
      </c>
      <c r="Q65">
        <v>0</v>
      </c>
      <c r="R65" s="2">
        <v>0</v>
      </c>
      <c r="S65" s="2">
        <v>0</v>
      </c>
      <c r="T65" t="s">
        <v>90</v>
      </c>
      <c r="U65" s="2">
        <v>0</v>
      </c>
      <c r="V65" s="2">
        <v>22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idden="1" x14ac:dyDescent="0.25">
      <c r="A66" t="s">
        <v>20</v>
      </c>
      <c r="B66" t="s">
        <v>21</v>
      </c>
      <c r="C66" t="s">
        <v>22</v>
      </c>
      <c r="D66" s="1">
        <v>45776</v>
      </c>
      <c r="E66" s="1">
        <v>45776</v>
      </c>
      <c r="F66" s="2">
        <v>24</v>
      </c>
      <c r="G66" s="3" t="s">
        <v>23</v>
      </c>
      <c r="H66">
        <v>14</v>
      </c>
      <c r="I66" s="2">
        <v>0</v>
      </c>
      <c r="J66" s="2">
        <v>0</v>
      </c>
      <c r="K66" s="2">
        <v>0</v>
      </c>
      <c r="L66" s="2">
        <v>1</v>
      </c>
      <c r="M66">
        <v>0</v>
      </c>
      <c r="N66">
        <v>0</v>
      </c>
      <c r="O66" s="2">
        <v>0</v>
      </c>
      <c r="P66" s="2">
        <v>0</v>
      </c>
      <c r="Q66">
        <v>1</v>
      </c>
      <c r="R66" s="2">
        <v>0</v>
      </c>
      <c r="S66" s="2">
        <v>0</v>
      </c>
      <c r="T66" t="s">
        <v>91</v>
      </c>
      <c r="U66" s="2">
        <v>0</v>
      </c>
      <c r="V66" s="2">
        <v>51</v>
      </c>
      <c r="W66" s="2">
        <v>7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idden="1" x14ac:dyDescent="0.25">
      <c r="A67" t="s">
        <v>25</v>
      </c>
      <c r="B67" t="s">
        <v>26</v>
      </c>
      <c r="C67" t="s">
        <v>27</v>
      </c>
      <c r="D67" s="1">
        <v>45776</v>
      </c>
      <c r="E67" s="1">
        <v>45776</v>
      </c>
      <c r="F67" s="2">
        <v>24</v>
      </c>
      <c r="G67" s="3" t="s">
        <v>23</v>
      </c>
      <c r="H67">
        <v>25</v>
      </c>
      <c r="I67" s="2">
        <v>0</v>
      </c>
      <c r="J67" s="2">
        <v>0</v>
      </c>
      <c r="K67" s="2">
        <v>1</v>
      </c>
      <c r="L67" s="2">
        <v>0</v>
      </c>
      <c r="M67">
        <v>0</v>
      </c>
      <c r="N67">
        <v>0</v>
      </c>
      <c r="O67" s="2">
        <v>0</v>
      </c>
      <c r="P67" s="2">
        <v>0</v>
      </c>
      <c r="Q67">
        <v>0</v>
      </c>
      <c r="R67" s="2">
        <v>0</v>
      </c>
      <c r="S67" s="2">
        <v>0</v>
      </c>
      <c r="T67" t="s">
        <v>92</v>
      </c>
      <c r="U67" s="2">
        <v>0</v>
      </c>
      <c r="V67" s="2">
        <v>2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idden="1" x14ac:dyDescent="0.25">
      <c r="A68" t="s">
        <v>33</v>
      </c>
      <c r="B68" t="s">
        <v>34</v>
      </c>
      <c r="C68" t="s">
        <v>35</v>
      </c>
      <c r="D68" s="1">
        <v>45776</v>
      </c>
      <c r="E68" s="1">
        <v>45776</v>
      </c>
      <c r="F68" s="2">
        <v>28</v>
      </c>
      <c r="G68" s="3" t="s">
        <v>23</v>
      </c>
      <c r="H68">
        <v>10</v>
      </c>
      <c r="I68" s="2">
        <v>0</v>
      </c>
      <c r="J68" s="2">
        <v>0</v>
      </c>
      <c r="K68" s="2">
        <v>0</v>
      </c>
      <c r="L68" s="2">
        <v>0</v>
      </c>
      <c r="M68">
        <v>1</v>
      </c>
      <c r="N68">
        <v>0</v>
      </c>
      <c r="O68" s="2">
        <v>0</v>
      </c>
      <c r="P68" s="2">
        <v>0</v>
      </c>
      <c r="Q68">
        <v>0</v>
      </c>
      <c r="R68" s="2">
        <v>0</v>
      </c>
      <c r="S68" s="2">
        <v>0</v>
      </c>
      <c r="T68" t="s">
        <v>93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idden="1" x14ac:dyDescent="0.25">
      <c r="A69" t="s">
        <v>37</v>
      </c>
      <c r="B69" t="s">
        <v>57</v>
      </c>
      <c r="C69" t="s">
        <v>39</v>
      </c>
      <c r="D69" s="1">
        <v>45776</v>
      </c>
      <c r="E69" s="1">
        <v>45776</v>
      </c>
      <c r="F69" s="2">
        <v>23</v>
      </c>
      <c r="G69" s="3" t="s">
        <v>23</v>
      </c>
      <c r="H69">
        <v>39</v>
      </c>
      <c r="I69" s="2">
        <v>0</v>
      </c>
      <c r="J69" s="2">
        <v>0</v>
      </c>
      <c r="K69" s="2">
        <v>1</v>
      </c>
      <c r="L69" s="2">
        <v>0</v>
      </c>
      <c r="M69">
        <v>0</v>
      </c>
      <c r="N69">
        <v>0</v>
      </c>
      <c r="O69" s="2">
        <v>0</v>
      </c>
      <c r="P69" s="2">
        <v>0</v>
      </c>
      <c r="Q69">
        <v>0</v>
      </c>
      <c r="R69" s="2">
        <v>0</v>
      </c>
      <c r="S69" s="2">
        <v>0</v>
      </c>
      <c r="T69" t="s">
        <v>94</v>
      </c>
      <c r="U69" s="2">
        <v>0</v>
      </c>
      <c r="V69" s="2">
        <v>22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idden="1" x14ac:dyDescent="0.25">
      <c r="A70" t="s">
        <v>29</v>
      </c>
      <c r="B70" t="s">
        <v>47</v>
      </c>
      <c r="C70">
        <v>0</v>
      </c>
      <c r="D70" s="1">
        <v>45776</v>
      </c>
      <c r="E70" s="1">
        <v>45776</v>
      </c>
      <c r="F70" s="2">
        <v>31</v>
      </c>
      <c r="G70" s="3" t="s">
        <v>23</v>
      </c>
      <c r="H70">
        <v>15</v>
      </c>
      <c r="I70" s="2">
        <v>0</v>
      </c>
      <c r="J70" s="2">
        <v>0</v>
      </c>
      <c r="K70" s="2">
        <v>1</v>
      </c>
      <c r="L70" s="2">
        <v>0</v>
      </c>
      <c r="M70">
        <v>0</v>
      </c>
      <c r="N70">
        <v>0</v>
      </c>
      <c r="O70" s="2">
        <v>0</v>
      </c>
      <c r="P70" s="2">
        <v>0</v>
      </c>
      <c r="Q70">
        <v>1</v>
      </c>
      <c r="R70" s="2">
        <v>0</v>
      </c>
      <c r="S70" s="2">
        <v>0</v>
      </c>
      <c r="T70" t="s">
        <v>89</v>
      </c>
      <c r="U70" s="2">
        <v>0</v>
      </c>
      <c r="V70" s="2">
        <v>55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idden="1" x14ac:dyDescent="0.25">
      <c r="A71" t="s">
        <v>49</v>
      </c>
      <c r="B71" t="s">
        <v>47</v>
      </c>
      <c r="C71">
        <v>0</v>
      </c>
      <c r="D71" s="1">
        <v>45776</v>
      </c>
      <c r="E71" s="1">
        <v>45776</v>
      </c>
      <c r="F71" s="2">
        <v>0</v>
      </c>
      <c r="G71" s="3" t="s">
        <v>50</v>
      </c>
      <c r="H71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idden="1" x14ac:dyDescent="0.25">
      <c r="A72" t="s">
        <v>51</v>
      </c>
      <c r="B72" t="s">
        <v>47</v>
      </c>
      <c r="C72">
        <v>0</v>
      </c>
      <c r="D72" s="1">
        <v>45776</v>
      </c>
      <c r="E72" s="1">
        <v>45776</v>
      </c>
      <c r="F72" s="2">
        <v>0</v>
      </c>
      <c r="G72" s="3" t="s">
        <v>50</v>
      </c>
      <c r="H7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idden="1" x14ac:dyDescent="0.25">
      <c r="A73" t="s">
        <v>47</v>
      </c>
      <c r="B73" t="s">
        <v>52</v>
      </c>
      <c r="C73">
        <v>0</v>
      </c>
      <c r="D73" s="1">
        <v>45776</v>
      </c>
      <c r="E73" s="1">
        <v>45776</v>
      </c>
      <c r="F73" s="2">
        <v>0</v>
      </c>
      <c r="G73" s="3" t="s">
        <v>50</v>
      </c>
      <c r="H73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idden="1" x14ac:dyDescent="0.25">
      <c r="A74" t="s">
        <v>56</v>
      </c>
      <c r="B74" t="s">
        <v>63</v>
      </c>
      <c r="C74" t="s">
        <v>64</v>
      </c>
      <c r="D74" s="1">
        <v>45777</v>
      </c>
      <c r="E74" s="1">
        <v>45777</v>
      </c>
      <c r="F74" s="2">
        <v>34</v>
      </c>
      <c r="G74" s="3" t="s">
        <v>23</v>
      </c>
      <c r="H74">
        <v>30</v>
      </c>
      <c r="I74" s="2">
        <v>0</v>
      </c>
      <c r="J74" s="2">
        <v>1</v>
      </c>
      <c r="K74" s="2">
        <v>1</v>
      </c>
      <c r="L74" s="2">
        <v>0</v>
      </c>
      <c r="M74">
        <v>0</v>
      </c>
      <c r="N74">
        <v>0</v>
      </c>
      <c r="O74" s="2">
        <v>0</v>
      </c>
      <c r="P74" s="2">
        <v>0</v>
      </c>
      <c r="Q74">
        <v>0</v>
      </c>
      <c r="R74" s="2">
        <v>0</v>
      </c>
      <c r="S74" s="2">
        <v>0</v>
      </c>
      <c r="T74" t="s">
        <v>95</v>
      </c>
      <c r="U74" s="2">
        <v>0</v>
      </c>
      <c r="V74" s="2">
        <v>47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idden="1" x14ac:dyDescent="0.25">
      <c r="A75" t="s">
        <v>20</v>
      </c>
      <c r="B75" t="s">
        <v>21</v>
      </c>
      <c r="C75" t="s">
        <v>22</v>
      </c>
      <c r="D75" s="1">
        <v>45777</v>
      </c>
      <c r="E75" s="1">
        <v>45777</v>
      </c>
      <c r="F75" s="2">
        <v>31</v>
      </c>
      <c r="G75" s="3" t="s">
        <v>23</v>
      </c>
      <c r="H75">
        <v>14</v>
      </c>
      <c r="I75" s="2">
        <v>0</v>
      </c>
      <c r="J75" s="2">
        <v>0</v>
      </c>
      <c r="K75" s="2">
        <v>0</v>
      </c>
      <c r="L75" s="2">
        <v>1</v>
      </c>
      <c r="M75">
        <v>0</v>
      </c>
      <c r="N75">
        <v>0</v>
      </c>
      <c r="O75" s="2">
        <v>0</v>
      </c>
      <c r="P75" s="2">
        <v>0</v>
      </c>
      <c r="Q75">
        <v>0</v>
      </c>
      <c r="R75" s="2">
        <v>0</v>
      </c>
      <c r="S75" s="2">
        <v>0</v>
      </c>
      <c r="T75" t="s">
        <v>96</v>
      </c>
      <c r="U75" s="2">
        <v>0</v>
      </c>
      <c r="V75" s="2">
        <v>61</v>
      </c>
      <c r="W75" s="2">
        <v>6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idden="1" x14ac:dyDescent="0.25">
      <c r="A76" t="s">
        <v>25</v>
      </c>
      <c r="B76" t="s">
        <v>26</v>
      </c>
      <c r="C76" t="s">
        <v>27</v>
      </c>
      <c r="D76" s="1">
        <v>45777</v>
      </c>
      <c r="E76" s="1">
        <v>45777</v>
      </c>
      <c r="F76" s="2">
        <v>29</v>
      </c>
      <c r="G76" s="3" t="s">
        <v>23</v>
      </c>
      <c r="H76">
        <v>32</v>
      </c>
      <c r="I76" s="2">
        <v>0</v>
      </c>
      <c r="J76" s="2">
        <v>0</v>
      </c>
      <c r="K76" s="2">
        <v>1</v>
      </c>
      <c r="L76" s="2">
        <v>0</v>
      </c>
      <c r="M76">
        <v>0</v>
      </c>
      <c r="N76">
        <v>0</v>
      </c>
      <c r="O76" s="2">
        <v>0</v>
      </c>
      <c r="P76" s="2">
        <v>0</v>
      </c>
      <c r="Q76">
        <v>0</v>
      </c>
      <c r="R76" s="2">
        <v>0</v>
      </c>
      <c r="S76" s="2">
        <v>0</v>
      </c>
      <c r="T76" t="s">
        <v>97</v>
      </c>
      <c r="U76" s="2">
        <v>0</v>
      </c>
      <c r="V76" s="2">
        <v>40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idden="1" x14ac:dyDescent="0.25">
      <c r="A77" t="s">
        <v>33</v>
      </c>
      <c r="B77" t="s">
        <v>34</v>
      </c>
      <c r="C77" t="s">
        <v>35</v>
      </c>
      <c r="D77" s="1">
        <v>45777</v>
      </c>
      <c r="E77" s="1">
        <v>45777</v>
      </c>
      <c r="F77" s="2">
        <v>106</v>
      </c>
      <c r="G77" s="3" t="s">
        <v>23</v>
      </c>
      <c r="H77">
        <v>27</v>
      </c>
      <c r="I77" s="2">
        <v>0</v>
      </c>
      <c r="J77" s="2">
        <v>1</v>
      </c>
      <c r="K77" s="2">
        <v>1</v>
      </c>
      <c r="L77" s="2">
        <v>0</v>
      </c>
      <c r="M77">
        <v>1</v>
      </c>
      <c r="N77">
        <v>0</v>
      </c>
      <c r="O77" s="2">
        <v>0</v>
      </c>
      <c r="P77" s="2">
        <v>0</v>
      </c>
      <c r="Q77">
        <v>0</v>
      </c>
      <c r="R77" s="2">
        <v>0</v>
      </c>
      <c r="S77" s="2">
        <v>0</v>
      </c>
      <c r="T77" t="s">
        <v>98</v>
      </c>
      <c r="U77" s="2">
        <v>0</v>
      </c>
      <c r="V77" s="2">
        <v>45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idden="1" x14ac:dyDescent="0.25">
      <c r="A78" t="s">
        <v>37</v>
      </c>
      <c r="B78" t="s">
        <v>57</v>
      </c>
      <c r="C78" t="s">
        <v>39</v>
      </c>
      <c r="D78" s="1">
        <v>45777</v>
      </c>
      <c r="E78" s="1">
        <v>45777</v>
      </c>
      <c r="F78" s="2">
        <v>21</v>
      </c>
      <c r="G78" s="3" t="s">
        <v>23</v>
      </c>
      <c r="H78">
        <v>28</v>
      </c>
      <c r="I78" s="2">
        <v>0</v>
      </c>
      <c r="J78" s="2">
        <v>0</v>
      </c>
      <c r="K78" s="2">
        <v>1</v>
      </c>
      <c r="L78" s="2">
        <v>0</v>
      </c>
      <c r="M78">
        <v>0</v>
      </c>
      <c r="N78">
        <v>0</v>
      </c>
      <c r="O78" s="2">
        <v>0</v>
      </c>
      <c r="P78" s="2">
        <v>0</v>
      </c>
      <c r="Q78">
        <v>0</v>
      </c>
      <c r="R78" s="2">
        <v>0</v>
      </c>
      <c r="S78" s="2">
        <v>0</v>
      </c>
      <c r="T78" t="s">
        <v>99</v>
      </c>
      <c r="U78" s="2">
        <v>0</v>
      </c>
      <c r="V78" s="2">
        <v>44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idden="1" x14ac:dyDescent="0.25">
      <c r="A79" t="s">
        <v>53</v>
      </c>
      <c r="B79" t="s">
        <v>38</v>
      </c>
      <c r="C79">
        <v>0</v>
      </c>
      <c r="D79" s="1">
        <v>45777</v>
      </c>
      <c r="E79" s="1">
        <v>45777</v>
      </c>
      <c r="F79" s="2">
        <v>0</v>
      </c>
      <c r="G79" s="3" t="s">
        <v>48</v>
      </c>
      <c r="H79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idden="1" x14ac:dyDescent="0.25">
      <c r="A80" t="s">
        <v>29</v>
      </c>
      <c r="B80" t="s">
        <v>30</v>
      </c>
      <c r="C80" t="s">
        <v>31</v>
      </c>
      <c r="D80" s="1">
        <v>45777</v>
      </c>
      <c r="E80" s="1">
        <v>45777</v>
      </c>
      <c r="F80" s="2">
        <v>0</v>
      </c>
      <c r="G80" s="3" t="s">
        <v>48</v>
      </c>
      <c r="H80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idden="1" x14ac:dyDescent="0.25">
      <c r="A81" t="s">
        <v>49</v>
      </c>
      <c r="B81" t="s">
        <v>47</v>
      </c>
      <c r="C81">
        <v>0</v>
      </c>
      <c r="D81" s="1">
        <v>45777</v>
      </c>
      <c r="E81" s="1">
        <v>45777</v>
      </c>
      <c r="F81" s="2">
        <v>0</v>
      </c>
      <c r="G81" s="3" t="s">
        <v>50</v>
      </c>
      <c r="H81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idden="1" x14ac:dyDescent="0.25">
      <c r="A82" t="s">
        <v>51</v>
      </c>
      <c r="B82" t="s">
        <v>47</v>
      </c>
      <c r="C82">
        <v>0</v>
      </c>
      <c r="D82" s="1">
        <v>45777</v>
      </c>
      <c r="E82" s="1">
        <v>45777</v>
      </c>
      <c r="F82" s="2">
        <v>0</v>
      </c>
      <c r="G82" s="3" t="s">
        <v>50</v>
      </c>
      <c r="H8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idden="1" x14ac:dyDescent="0.25">
      <c r="A83" t="s">
        <v>47</v>
      </c>
      <c r="B83" t="s">
        <v>52</v>
      </c>
      <c r="C83">
        <v>0</v>
      </c>
      <c r="D83" s="1">
        <v>45777</v>
      </c>
      <c r="E83" s="1">
        <v>45777</v>
      </c>
      <c r="F83" s="2">
        <v>0</v>
      </c>
      <c r="G83" s="3" t="s">
        <v>50</v>
      </c>
      <c r="H83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idden="1" x14ac:dyDescent="0.25">
      <c r="A84" t="s">
        <v>53</v>
      </c>
      <c r="B84" t="s">
        <v>38</v>
      </c>
      <c r="C84" t="s">
        <v>54</v>
      </c>
      <c r="D84" s="1">
        <v>45778</v>
      </c>
      <c r="E84" s="1">
        <v>45778</v>
      </c>
      <c r="F84" s="2">
        <v>55</v>
      </c>
      <c r="G84" s="3" t="s">
        <v>23</v>
      </c>
      <c r="H84">
        <v>0</v>
      </c>
      <c r="I84" s="2">
        <v>0</v>
      </c>
      <c r="J84" s="2">
        <v>0</v>
      </c>
      <c r="K84" s="2">
        <v>1</v>
      </c>
      <c r="L84" s="2">
        <v>0</v>
      </c>
      <c r="M84">
        <v>0</v>
      </c>
      <c r="N84">
        <v>0</v>
      </c>
      <c r="O84" s="2">
        <v>0</v>
      </c>
      <c r="P84" s="2">
        <v>1</v>
      </c>
      <c r="Q84">
        <v>4</v>
      </c>
      <c r="R84" s="2">
        <v>0</v>
      </c>
      <c r="S84" s="2">
        <v>1</v>
      </c>
      <c r="T84" t="s">
        <v>100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idden="1" x14ac:dyDescent="0.25">
      <c r="A85" t="s">
        <v>20</v>
      </c>
      <c r="B85" t="s">
        <v>21</v>
      </c>
      <c r="C85" t="s">
        <v>22</v>
      </c>
      <c r="D85" s="1">
        <v>45778</v>
      </c>
      <c r="E85" s="1">
        <v>45778</v>
      </c>
      <c r="F85" s="2">
        <v>80</v>
      </c>
      <c r="G85" s="3" t="s">
        <v>23</v>
      </c>
      <c r="H85">
        <v>0</v>
      </c>
      <c r="I85" s="2">
        <v>0</v>
      </c>
      <c r="J85" s="2">
        <v>0</v>
      </c>
      <c r="K85" s="2">
        <v>0</v>
      </c>
      <c r="L85" s="2">
        <v>1</v>
      </c>
      <c r="M85">
        <v>0</v>
      </c>
      <c r="N85">
        <v>0</v>
      </c>
      <c r="O85" s="2">
        <v>0</v>
      </c>
      <c r="P85" s="2">
        <v>1</v>
      </c>
      <c r="Q85">
        <v>7</v>
      </c>
      <c r="R85" s="2">
        <v>0</v>
      </c>
      <c r="S85" s="2">
        <v>1</v>
      </c>
      <c r="T85" t="s">
        <v>101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idden="1" x14ac:dyDescent="0.25">
      <c r="A86" t="s">
        <v>63</v>
      </c>
      <c r="B86" t="s">
        <v>34</v>
      </c>
      <c r="C86" t="s">
        <v>102</v>
      </c>
      <c r="D86" s="1">
        <v>45778</v>
      </c>
      <c r="E86" s="1">
        <v>45778</v>
      </c>
      <c r="F86" s="2">
        <v>105</v>
      </c>
      <c r="G86" s="3" t="s">
        <v>23</v>
      </c>
      <c r="H86">
        <v>0</v>
      </c>
      <c r="I86" s="2">
        <v>0</v>
      </c>
      <c r="J86" s="2">
        <v>0</v>
      </c>
      <c r="K86" s="2">
        <v>1</v>
      </c>
      <c r="L86" s="2">
        <v>0</v>
      </c>
      <c r="M86">
        <v>0</v>
      </c>
      <c r="N86">
        <v>0</v>
      </c>
      <c r="O86" s="2">
        <v>0</v>
      </c>
      <c r="P86" s="2">
        <v>1</v>
      </c>
      <c r="Q86">
        <v>5</v>
      </c>
      <c r="R86" s="2">
        <v>0</v>
      </c>
      <c r="S86" s="2">
        <v>1</v>
      </c>
      <c r="T86" t="s">
        <v>103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idden="1" x14ac:dyDescent="0.25">
      <c r="A87" t="s">
        <v>29</v>
      </c>
      <c r="B87" t="s">
        <v>30</v>
      </c>
      <c r="C87" t="s">
        <v>31</v>
      </c>
      <c r="D87" s="1">
        <v>45778</v>
      </c>
      <c r="E87" s="1">
        <v>45778</v>
      </c>
      <c r="F87" s="2">
        <v>23</v>
      </c>
      <c r="G87" s="3" t="s">
        <v>23</v>
      </c>
      <c r="H87">
        <v>0</v>
      </c>
      <c r="I87" s="2">
        <v>0</v>
      </c>
      <c r="J87" s="2">
        <v>0</v>
      </c>
      <c r="K87" s="2">
        <v>1</v>
      </c>
      <c r="L87" s="2">
        <v>0</v>
      </c>
      <c r="M87">
        <v>0</v>
      </c>
      <c r="N87">
        <v>0</v>
      </c>
      <c r="O87" s="2">
        <v>0</v>
      </c>
      <c r="P87" s="2">
        <v>1</v>
      </c>
      <c r="Q87">
        <v>7</v>
      </c>
      <c r="R87" s="2">
        <v>0</v>
      </c>
      <c r="S87" s="2">
        <v>1</v>
      </c>
      <c r="T87" t="s">
        <v>104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idden="1" x14ac:dyDescent="0.25">
      <c r="A88" t="s">
        <v>105</v>
      </c>
      <c r="B88" t="s">
        <v>106</v>
      </c>
      <c r="C88" t="s">
        <v>107</v>
      </c>
      <c r="D88" s="1">
        <v>45778</v>
      </c>
      <c r="E88" s="1">
        <v>45778</v>
      </c>
      <c r="F88" s="2">
        <v>30</v>
      </c>
      <c r="G88" s="3" t="s">
        <v>23</v>
      </c>
      <c r="H88">
        <v>0</v>
      </c>
      <c r="I88" s="2">
        <v>0</v>
      </c>
      <c r="J88" s="2">
        <v>0</v>
      </c>
      <c r="K88" s="2">
        <v>1</v>
      </c>
      <c r="L88" s="2">
        <v>0</v>
      </c>
      <c r="M88">
        <v>0</v>
      </c>
      <c r="N88">
        <v>0</v>
      </c>
      <c r="O88" s="2">
        <v>0</v>
      </c>
      <c r="P88" s="2">
        <v>1</v>
      </c>
      <c r="Q88">
        <v>4</v>
      </c>
      <c r="R88" s="2">
        <v>0</v>
      </c>
      <c r="S88" s="2">
        <v>1</v>
      </c>
      <c r="T88" t="s">
        <v>108</v>
      </c>
      <c r="U88" s="2">
        <v>12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idden="1" x14ac:dyDescent="0.25">
      <c r="A89" t="s">
        <v>53</v>
      </c>
      <c r="B89" t="s">
        <v>38</v>
      </c>
      <c r="C89" t="s">
        <v>54</v>
      </c>
      <c r="D89" s="1">
        <v>45779</v>
      </c>
      <c r="E89" s="1">
        <v>45779</v>
      </c>
      <c r="F89" s="2">
        <v>36</v>
      </c>
      <c r="G89" s="3" t="s">
        <v>23</v>
      </c>
      <c r="H89">
        <v>16</v>
      </c>
      <c r="I89" s="2">
        <v>0</v>
      </c>
      <c r="J89" s="2">
        <v>0</v>
      </c>
      <c r="K89" s="2">
        <v>1</v>
      </c>
      <c r="L89" s="2">
        <v>0</v>
      </c>
      <c r="M89">
        <v>0</v>
      </c>
      <c r="N89">
        <v>0</v>
      </c>
      <c r="O89" s="2">
        <v>0</v>
      </c>
      <c r="P89" s="2">
        <v>0</v>
      </c>
      <c r="Q89">
        <v>0</v>
      </c>
      <c r="R89" s="2">
        <v>0</v>
      </c>
      <c r="S89" s="2">
        <v>0</v>
      </c>
      <c r="T89" t="s">
        <v>109</v>
      </c>
      <c r="U89" s="2">
        <v>0</v>
      </c>
      <c r="V89" s="2">
        <v>40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idden="1" x14ac:dyDescent="0.25">
      <c r="A90" t="s">
        <v>20</v>
      </c>
      <c r="B90" t="s">
        <v>21</v>
      </c>
      <c r="C90" t="s">
        <v>22</v>
      </c>
      <c r="D90" s="1">
        <v>45779</v>
      </c>
      <c r="E90" s="1">
        <v>45779</v>
      </c>
      <c r="F90" s="2">
        <v>27</v>
      </c>
      <c r="G90" s="3" t="s">
        <v>23</v>
      </c>
      <c r="H90">
        <v>18</v>
      </c>
      <c r="I90" s="2">
        <v>0</v>
      </c>
      <c r="J90" s="2">
        <v>0</v>
      </c>
      <c r="K90" s="2">
        <v>0</v>
      </c>
      <c r="L90" s="2">
        <v>1</v>
      </c>
      <c r="M90">
        <v>0</v>
      </c>
      <c r="N90">
        <v>0</v>
      </c>
      <c r="O90" s="2">
        <v>0</v>
      </c>
      <c r="P90" s="2">
        <v>0</v>
      </c>
      <c r="Q90">
        <v>0</v>
      </c>
      <c r="R90" s="2">
        <v>0</v>
      </c>
      <c r="S90" s="2">
        <v>0</v>
      </c>
      <c r="T90" t="s">
        <v>110</v>
      </c>
      <c r="U90" s="2">
        <v>0</v>
      </c>
      <c r="V90" s="2">
        <v>44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idden="1" x14ac:dyDescent="0.25">
      <c r="A91" t="s">
        <v>25</v>
      </c>
      <c r="B91" t="s">
        <v>26</v>
      </c>
      <c r="C91" t="s">
        <v>27</v>
      </c>
      <c r="D91" s="1">
        <v>45779</v>
      </c>
      <c r="E91" s="1">
        <v>45779</v>
      </c>
      <c r="F91" s="2">
        <v>47</v>
      </c>
      <c r="G91" s="3" t="s">
        <v>23</v>
      </c>
      <c r="H91">
        <v>19</v>
      </c>
      <c r="I91" s="2">
        <v>0</v>
      </c>
      <c r="J91" s="2">
        <v>0</v>
      </c>
      <c r="K91" s="2">
        <v>1</v>
      </c>
      <c r="L91" s="2">
        <v>0</v>
      </c>
      <c r="M91">
        <v>0</v>
      </c>
      <c r="N91">
        <v>0</v>
      </c>
      <c r="O91" s="2">
        <v>0</v>
      </c>
      <c r="P91" s="2">
        <v>0</v>
      </c>
      <c r="Q91">
        <v>0</v>
      </c>
      <c r="R91" s="2">
        <v>0</v>
      </c>
      <c r="S91" s="2">
        <v>0</v>
      </c>
      <c r="T91" t="s">
        <v>111</v>
      </c>
      <c r="U91" s="2">
        <v>0</v>
      </c>
      <c r="V91" s="2">
        <v>59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idden="1" x14ac:dyDescent="0.25">
      <c r="A92" t="s">
        <v>33</v>
      </c>
      <c r="B92" t="s">
        <v>47</v>
      </c>
      <c r="C92" t="s">
        <v>35</v>
      </c>
      <c r="D92" s="1">
        <v>45779</v>
      </c>
      <c r="E92" s="1">
        <v>45779</v>
      </c>
      <c r="F92" s="2">
        <v>22</v>
      </c>
      <c r="G92" s="3" t="s">
        <v>23</v>
      </c>
      <c r="H92">
        <v>0</v>
      </c>
      <c r="I92" s="2">
        <v>0</v>
      </c>
      <c r="J92" s="2">
        <v>0</v>
      </c>
      <c r="K92" s="2">
        <v>0</v>
      </c>
      <c r="L92" s="2">
        <v>0</v>
      </c>
      <c r="M92">
        <v>0</v>
      </c>
      <c r="N92">
        <v>0</v>
      </c>
      <c r="O92" s="2">
        <v>0</v>
      </c>
      <c r="P92" s="2">
        <v>0</v>
      </c>
      <c r="Q92">
        <v>0</v>
      </c>
      <c r="R92" s="2">
        <v>0</v>
      </c>
      <c r="S92" s="2">
        <v>0</v>
      </c>
      <c r="T92" t="s">
        <v>112</v>
      </c>
      <c r="U92" s="2">
        <v>0</v>
      </c>
      <c r="V92" s="2">
        <v>76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4.25" hidden="1" customHeight="1" x14ac:dyDescent="0.25">
      <c r="A93" t="s">
        <v>37</v>
      </c>
      <c r="B93" t="s">
        <v>57</v>
      </c>
      <c r="C93" t="s">
        <v>39</v>
      </c>
      <c r="D93" s="1">
        <v>45779</v>
      </c>
      <c r="E93" s="1">
        <v>45779</v>
      </c>
      <c r="F93" s="2">
        <v>19</v>
      </c>
      <c r="G93" s="3" t="s">
        <v>23</v>
      </c>
      <c r="H93">
        <v>20</v>
      </c>
      <c r="I93" s="2">
        <v>0</v>
      </c>
      <c r="J93" s="2">
        <v>0</v>
      </c>
      <c r="K93" s="2">
        <v>1</v>
      </c>
      <c r="L93" s="2">
        <v>0</v>
      </c>
      <c r="M93">
        <v>0</v>
      </c>
      <c r="N93">
        <v>0</v>
      </c>
      <c r="O93" s="2">
        <v>0</v>
      </c>
      <c r="P93" s="2">
        <v>0</v>
      </c>
      <c r="Q93">
        <v>0</v>
      </c>
      <c r="R93" s="2">
        <v>0</v>
      </c>
      <c r="S93" s="2">
        <v>0</v>
      </c>
      <c r="T93" t="s">
        <v>113</v>
      </c>
      <c r="U93" s="2">
        <v>0</v>
      </c>
      <c r="V93" s="2">
        <v>36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idden="1" x14ac:dyDescent="0.25">
      <c r="A94" t="s">
        <v>29</v>
      </c>
      <c r="B94" t="s">
        <v>30</v>
      </c>
      <c r="C94" t="s">
        <v>31</v>
      </c>
      <c r="D94" s="1">
        <v>45779</v>
      </c>
      <c r="E94" s="1">
        <v>45779</v>
      </c>
      <c r="F94" s="2">
        <v>0</v>
      </c>
      <c r="G94" s="3" t="s">
        <v>23</v>
      </c>
      <c r="H94">
        <v>19</v>
      </c>
      <c r="I94" s="2">
        <v>0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76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 spans="1:28" hidden="1" x14ac:dyDescent="0.25">
      <c r="A95" t="s">
        <v>56</v>
      </c>
      <c r="B95" t="s">
        <v>47</v>
      </c>
      <c r="C95">
        <v>0</v>
      </c>
      <c r="D95" s="1">
        <v>45779</v>
      </c>
      <c r="E95" s="1">
        <v>45779</v>
      </c>
      <c r="F95" s="2">
        <v>0</v>
      </c>
      <c r="G95" s="3" t="s">
        <v>129</v>
      </c>
      <c r="H95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 spans="1:28" hidden="1" x14ac:dyDescent="0.25">
      <c r="A96" t="s">
        <v>47</v>
      </c>
      <c r="B96" t="s">
        <v>34</v>
      </c>
      <c r="C96">
        <v>0</v>
      </c>
      <c r="D96" s="1">
        <v>45779</v>
      </c>
      <c r="E96" s="1">
        <v>45779</v>
      </c>
      <c r="F96" s="2">
        <v>0</v>
      </c>
      <c r="G96" s="3" t="s">
        <v>48</v>
      </c>
      <c r="H96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idden="1" x14ac:dyDescent="0.25">
      <c r="A97" t="s">
        <v>49</v>
      </c>
      <c r="B97" t="s">
        <v>47</v>
      </c>
      <c r="C97">
        <v>0</v>
      </c>
      <c r="D97" s="1">
        <v>45779</v>
      </c>
      <c r="E97" s="1">
        <v>45779</v>
      </c>
      <c r="F97" s="2">
        <v>0</v>
      </c>
      <c r="G97" s="3" t="s">
        <v>50</v>
      </c>
      <c r="H97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idden="1" x14ac:dyDescent="0.25">
      <c r="A98" t="s">
        <v>51</v>
      </c>
      <c r="B98" t="s">
        <v>47</v>
      </c>
      <c r="C98">
        <v>0</v>
      </c>
      <c r="D98" s="1">
        <v>45779</v>
      </c>
      <c r="E98" s="1">
        <v>45779</v>
      </c>
      <c r="F98" s="2">
        <v>0</v>
      </c>
      <c r="G98" s="3" t="s">
        <v>50</v>
      </c>
      <c r="H98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idden="1" x14ac:dyDescent="0.25">
      <c r="A99" t="s">
        <v>47</v>
      </c>
      <c r="B99" t="s">
        <v>52</v>
      </c>
      <c r="C99">
        <v>0</v>
      </c>
      <c r="D99" s="1">
        <v>45779</v>
      </c>
      <c r="E99" s="1">
        <v>45779</v>
      </c>
      <c r="F99" s="2">
        <v>0</v>
      </c>
      <c r="G99" s="3" t="s">
        <v>50</v>
      </c>
      <c r="H99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 spans="1:28" hidden="1" x14ac:dyDescent="0.25">
      <c r="A100" t="s">
        <v>53</v>
      </c>
      <c r="B100" t="s">
        <v>38</v>
      </c>
      <c r="C100" t="s">
        <v>54</v>
      </c>
      <c r="D100" s="1">
        <v>45780</v>
      </c>
      <c r="E100" s="1">
        <v>45780</v>
      </c>
      <c r="F100" s="2">
        <v>39</v>
      </c>
      <c r="G100" s="3" t="s">
        <v>23</v>
      </c>
      <c r="H100">
        <v>0</v>
      </c>
      <c r="I100" s="2">
        <v>0</v>
      </c>
      <c r="J100" s="2">
        <v>0</v>
      </c>
      <c r="K100" s="2">
        <v>1</v>
      </c>
      <c r="L100" s="2">
        <v>0</v>
      </c>
      <c r="M100">
        <v>0</v>
      </c>
      <c r="N100">
        <v>0</v>
      </c>
      <c r="O100" s="2">
        <v>1</v>
      </c>
      <c r="P100" s="2">
        <v>0</v>
      </c>
      <c r="Q100">
        <v>2</v>
      </c>
      <c r="R100" s="2">
        <v>1</v>
      </c>
      <c r="S100" s="2">
        <v>0</v>
      </c>
      <c r="T100" t="s">
        <v>114</v>
      </c>
      <c r="U100" s="2">
        <v>12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idden="1" x14ac:dyDescent="0.25">
      <c r="A101" t="s">
        <v>20</v>
      </c>
      <c r="B101" t="s">
        <v>115</v>
      </c>
      <c r="C101" t="s">
        <v>22</v>
      </c>
      <c r="D101" s="1">
        <v>45780</v>
      </c>
      <c r="E101" s="1">
        <v>45780</v>
      </c>
      <c r="F101" s="2">
        <v>61</v>
      </c>
      <c r="G101" s="3" t="s">
        <v>23</v>
      </c>
      <c r="H101">
        <v>0</v>
      </c>
      <c r="I101" s="2">
        <v>0</v>
      </c>
      <c r="J101" s="2">
        <v>0</v>
      </c>
      <c r="K101" s="2">
        <v>0</v>
      </c>
      <c r="L101" s="2">
        <v>0</v>
      </c>
      <c r="M101">
        <v>0</v>
      </c>
      <c r="N101">
        <v>0</v>
      </c>
      <c r="O101" s="2">
        <v>1</v>
      </c>
      <c r="P101" s="2">
        <v>0</v>
      </c>
      <c r="Q101">
        <v>8</v>
      </c>
      <c r="R101" s="2">
        <v>1</v>
      </c>
      <c r="S101" s="2">
        <v>0</v>
      </c>
      <c r="T101" t="s">
        <v>116</v>
      </c>
      <c r="U101" s="2">
        <v>16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</v>
      </c>
      <c r="AB101" s="2">
        <v>0</v>
      </c>
    </row>
    <row r="102" spans="1:28" hidden="1" x14ac:dyDescent="0.25">
      <c r="A102" t="s">
        <v>63</v>
      </c>
      <c r="B102" t="s">
        <v>34</v>
      </c>
      <c r="C102" t="s">
        <v>102</v>
      </c>
      <c r="D102" s="1">
        <v>45780</v>
      </c>
      <c r="E102" s="1">
        <v>45780</v>
      </c>
      <c r="F102" s="2">
        <v>38</v>
      </c>
      <c r="G102" s="3" t="s">
        <v>23</v>
      </c>
      <c r="H102">
        <v>0</v>
      </c>
      <c r="I102" s="2">
        <v>0</v>
      </c>
      <c r="J102" s="2">
        <v>0</v>
      </c>
      <c r="K102" s="2">
        <v>1</v>
      </c>
      <c r="L102" s="2">
        <v>0</v>
      </c>
      <c r="M102">
        <v>0</v>
      </c>
      <c r="N102">
        <v>0</v>
      </c>
      <c r="O102" s="2">
        <v>1</v>
      </c>
      <c r="P102" s="2">
        <v>0</v>
      </c>
      <c r="Q102">
        <v>3</v>
      </c>
      <c r="R102" s="2">
        <v>1</v>
      </c>
      <c r="S102" s="2">
        <v>0</v>
      </c>
      <c r="T102" t="s">
        <v>117</v>
      </c>
      <c r="U102" s="2">
        <v>14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idden="1" x14ac:dyDescent="0.25">
      <c r="A103" t="s">
        <v>29</v>
      </c>
      <c r="B103" t="s">
        <v>30</v>
      </c>
      <c r="C103" t="s">
        <v>31</v>
      </c>
      <c r="D103" s="1">
        <v>45780</v>
      </c>
      <c r="E103" s="1">
        <v>45780</v>
      </c>
      <c r="F103" s="2">
        <v>24</v>
      </c>
      <c r="G103" s="3" t="s">
        <v>23</v>
      </c>
      <c r="H103">
        <v>0</v>
      </c>
      <c r="I103" s="2">
        <v>0</v>
      </c>
      <c r="J103" s="2">
        <v>0</v>
      </c>
      <c r="K103" s="2">
        <v>1</v>
      </c>
      <c r="L103" s="2">
        <v>0</v>
      </c>
      <c r="M103">
        <v>0</v>
      </c>
      <c r="N103">
        <v>0</v>
      </c>
      <c r="O103" s="2">
        <v>1</v>
      </c>
      <c r="P103" s="2">
        <v>0</v>
      </c>
      <c r="Q103">
        <v>7</v>
      </c>
      <c r="R103" s="2">
        <v>1</v>
      </c>
      <c r="S103" s="2">
        <v>0</v>
      </c>
      <c r="T103" t="s">
        <v>118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idden="1" x14ac:dyDescent="0.25">
      <c r="A104" t="s">
        <v>105</v>
      </c>
      <c r="B104" t="s">
        <v>21</v>
      </c>
      <c r="C104" t="s">
        <v>107</v>
      </c>
      <c r="D104" s="1">
        <v>45780</v>
      </c>
      <c r="E104" s="1">
        <v>45780</v>
      </c>
      <c r="F104" s="2">
        <v>45</v>
      </c>
      <c r="G104" s="3" t="s">
        <v>23</v>
      </c>
      <c r="H104">
        <v>0</v>
      </c>
      <c r="I104" s="2">
        <v>0</v>
      </c>
      <c r="J104" s="2">
        <v>0</v>
      </c>
      <c r="K104" s="2">
        <v>1</v>
      </c>
      <c r="L104" s="2">
        <v>0</v>
      </c>
      <c r="M104">
        <v>0</v>
      </c>
      <c r="N104">
        <v>0</v>
      </c>
      <c r="O104" s="2">
        <v>1</v>
      </c>
      <c r="P104" s="2">
        <v>0</v>
      </c>
      <c r="Q104">
        <v>1</v>
      </c>
      <c r="R104" s="2">
        <v>1</v>
      </c>
      <c r="S104" s="2">
        <v>0</v>
      </c>
      <c r="T104" t="s">
        <v>119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idden="1" x14ac:dyDescent="0.25">
      <c r="A105" t="s">
        <v>53</v>
      </c>
      <c r="B105" t="s">
        <v>38</v>
      </c>
      <c r="C105" t="s">
        <v>54</v>
      </c>
      <c r="D105" s="1">
        <v>45781</v>
      </c>
      <c r="E105" s="1">
        <v>45781</v>
      </c>
      <c r="F105" s="2">
        <v>50</v>
      </c>
      <c r="G105" s="3" t="s">
        <v>23</v>
      </c>
      <c r="H105">
        <v>0</v>
      </c>
      <c r="I105" s="2">
        <v>0</v>
      </c>
      <c r="J105" s="2">
        <v>1</v>
      </c>
      <c r="K105" s="2">
        <v>1</v>
      </c>
      <c r="L105" s="2">
        <v>0</v>
      </c>
      <c r="M105">
        <v>0</v>
      </c>
      <c r="N105">
        <v>0</v>
      </c>
      <c r="O105" s="2">
        <v>0</v>
      </c>
      <c r="P105" s="2">
        <v>1</v>
      </c>
      <c r="Q105">
        <v>4</v>
      </c>
      <c r="R105" s="2">
        <v>0</v>
      </c>
      <c r="S105" s="2">
        <v>1</v>
      </c>
      <c r="T105" t="s">
        <v>120</v>
      </c>
      <c r="U105" s="2">
        <v>16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idden="1" x14ac:dyDescent="0.25">
      <c r="A106" t="s">
        <v>20</v>
      </c>
      <c r="B106" t="s">
        <v>115</v>
      </c>
      <c r="C106" t="s">
        <v>22</v>
      </c>
      <c r="D106" s="1">
        <v>45781</v>
      </c>
      <c r="E106" s="1">
        <v>45781</v>
      </c>
      <c r="F106" s="2">
        <v>79</v>
      </c>
      <c r="G106" s="3" t="s">
        <v>23</v>
      </c>
      <c r="H106">
        <v>0</v>
      </c>
      <c r="I106" s="2">
        <v>0</v>
      </c>
      <c r="J106" s="2">
        <v>0</v>
      </c>
      <c r="K106" s="2">
        <v>0</v>
      </c>
      <c r="L106" s="2">
        <v>0</v>
      </c>
      <c r="M106">
        <v>0</v>
      </c>
      <c r="N106">
        <v>0</v>
      </c>
      <c r="O106" s="2">
        <v>0</v>
      </c>
      <c r="P106" s="2">
        <v>1</v>
      </c>
      <c r="Q106">
        <v>9</v>
      </c>
      <c r="R106" s="2">
        <v>0</v>
      </c>
      <c r="S106" s="2">
        <v>1</v>
      </c>
      <c r="T106" t="s">
        <v>121</v>
      </c>
      <c r="U106" s="2">
        <v>15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</row>
    <row r="107" spans="1:28" hidden="1" x14ac:dyDescent="0.25">
      <c r="A107" t="s">
        <v>63</v>
      </c>
      <c r="B107" t="s">
        <v>34</v>
      </c>
      <c r="C107" t="s">
        <v>102</v>
      </c>
      <c r="D107" s="1">
        <v>45781</v>
      </c>
      <c r="E107" s="1">
        <v>45781</v>
      </c>
      <c r="F107" s="2">
        <v>109</v>
      </c>
      <c r="G107" s="3" t="s">
        <v>23</v>
      </c>
      <c r="H107">
        <v>0</v>
      </c>
      <c r="I107" s="2">
        <v>0</v>
      </c>
      <c r="J107" s="2">
        <v>0</v>
      </c>
      <c r="K107" s="2">
        <v>1</v>
      </c>
      <c r="L107" s="2">
        <v>0</v>
      </c>
      <c r="M107">
        <v>2</v>
      </c>
      <c r="N107">
        <v>0</v>
      </c>
      <c r="O107" s="2">
        <v>0</v>
      </c>
      <c r="P107" s="2">
        <v>1</v>
      </c>
      <c r="Q107">
        <v>10</v>
      </c>
      <c r="R107" s="2">
        <v>0</v>
      </c>
      <c r="S107" s="2">
        <v>1</v>
      </c>
      <c r="T107" t="s">
        <v>122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idden="1" x14ac:dyDescent="0.25">
      <c r="A108" t="s">
        <v>105</v>
      </c>
      <c r="B108" t="s">
        <v>21</v>
      </c>
      <c r="C108" t="s">
        <v>107</v>
      </c>
      <c r="D108" s="1">
        <v>45781</v>
      </c>
      <c r="E108" s="1">
        <v>45781</v>
      </c>
      <c r="F108" s="2">
        <v>42</v>
      </c>
      <c r="G108" s="3" t="s">
        <v>23</v>
      </c>
      <c r="H108">
        <v>0</v>
      </c>
      <c r="I108" s="2">
        <v>0</v>
      </c>
      <c r="J108" s="2">
        <v>1</v>
      </c>
      <c r="K108" s="2">
        <v>1</v>
      </c>
      <c r="L108" s="2">
        <v>0</v>
      </c>
      <c r="M108">
        <v>0</v>
      </c>
      <c r="N108">
        <v>0</v>
      </c>
      <c r="O108" s="2">
        <v>0</v>
      </c>
      <c r="P108" s="2">
        <v>1</v>
      </c>
      <c r="Q108">
        <v>5</v>
      </c>
      <c r="R108" s="2">
        <v>0</v>
      </c>
      <c r="S108" s="2">
        <v>1</v>
      </c>
      <c r="T108" t="s">
        <v>123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idden="1" x14ac:dyDescent="0.25">
      <c r="A109" t="s">
        <v>29</v>
      </c>
      <c r="B109" t="s">
        <v>30</v>
      </c>
      <c r="C109" t="s">
        <v>31</v>
      </c>
      <c r="D109" s="1">
        <v>45781</v>
      </c>
      <c r="E109" s="1">
        <v>45781</v>
      </c>
      <c r="F109" s="2">
        <v>24</v>
      </c>
      <c r="G109" s="3" t="s">
        <v>23</v>
      </c>
      <c r="H109">
        <v>0</v>
      </c>
      <c r="I109" s="2">
        <v>0</v>
      </c>
      <c r="J109" s="2">
        <v>0</v>
      </c>
      <c r="K109" s="2">
        <v>1</v>
      </c>
      <c r="L109" s="2">
        <v>0</v>
      </c>
      <c r="M109">
        <v>0</v>
      </c>
      <c r="N109">
        <v>0</v>
      </c>
      <c r="O109" s="2">
        <v>0</v>
      </c>
      <c r="P109" s="2">
        <v>1</v>
      </c>
      <c r="Q109">
        <v>8</v>
      </c>
      <c r="R109" s="2">
        <v>0</v>
      </c>
      <c r="S109" s="2">
        <v>1</v>
      </c>
      <c r="T109" t="s">
        <v>118</v>
      </c>
      <c r="U109" s="2">
        <v>0</v>
      </c>
      <c r="V109" s="2">
        <v>0</v>
      </c>
      <c r="W109" s="2">
        <v>17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idden="1" x14ac:dyDescent="0.25">
      <c r="A110" t="s">
        <v>56</v>
      </c>
      <c r="B110" t="s">
        <v>57</v>
      </c>
      <c r="C110" t="s">
        <v>64</v>
      </c>
      <c r="D110" s="1">
        <v>45782</v>
      </c>
      <c r="E110" s="1">
        <v>45782</v>
      </c>
      <c r="F110" s="2">
        <v>25</v>
      </c>
      <c r="G110" s="3" t="s">
        <v>23</v>
      </c>
      <c r="H110">
        <v>0</v>
      </c>
      <c r="I110" s="2">
        <v>0</v>
      </c>
      <c r="J110" s="2">
        <v>0</v>
      </c>
      <c r="K110" s="2">
        <v>0</v>
      </c>
      <c r="L110" s="2">
        <v>0</v>
      </c>
      <c r="M110">
        <v>0</v>
      </c>
      <c r="N110">
        <v>0</v>
      </c>
      <c r="O110" s="2">
        <v>0</v>
      </c>
      <c r="P110" s="2">
        <v>0</v>
      </c>
      <c r="Q110">
        <v>0</v>
      </c>
      <c r="R110" s="2">
        <v>0</v>
      </c>
      <c r="S110" s="2">
        <v>0</v>
      </c>
      <c r="T110" t="s">
        <v>124</v>
      </c>
      <c r="U110">
        <v>0</v>
      </c>
      <c r="V110">
        <v>20</v>
      </c>
      <c r="W110">
        <v>0</v>
      </c>
      <c r="X110">
        <v>0</v>
      </c>
      <c r="Y110">
        <v>0</v>
      </c>
      <c r="Z110">
        <v>0</v>
      </c>
      <c r="AA110" s="2">
        <v>0</v>
      </c>
      <c r="AB110" s="2">
        <v>0</v>
      </c>
    </row>
    <row r="111" spans="1:28" hidden="1" x14ac:dyDescent="0.25">
      <c r="A111" t="s">
        <v>20</v>
      </c>
      <c r="B111" t="s">
        <v>21</v>
      </c>
      <c r="C111" t="s">
        <v>22</v>
      </c>
      <c r="D111" s="1">
        <v>45782</v>
      </c>
      <c r="E111" s="1">
        <v>45782</v>
      </c>
      <c r="F111" s="2">
        <v>93</v>
      </c>
      <c r="G111" s="3" t="s">
        <v>23</v>
      </c>
      <c r="H111">
        <v>20</v>
      </c>
      <c r="I111" s="2">
        <v>0</v>
      </c>
      <c r="J111" s="2">
        <v>0</v>
      </c>
      <c r="K111" s="2">
        <v>0</v>
      </c>
      <c r="L111" s="2">
        <v>0</v>
      </c>
      <c r="M111">
        <v>1</v>
      </c>
      <c r="N111">
        <v>0</v>
      </c>
      <c r="O111" s="2">
        <v>0</v>
      </c>
      <c r="P111" s="2">
        <v>0</v>
      </c>
      <c r="Q111">
        <v>0</v>
      </c>
      <c r="R111" s="2">
        <v>0</v>
      </c>
      <c r="S111" s="2">
        <v>0</v>
      </c>
      <c r="T111" t="s">
        <v>125</v>
      </c>
      <c r="U111">
        <v>0</v>
      </c>
      <c r="V111">
        <v>0</v>
      </c>
      <c r="W111">
        <v>17</v>
      </c>
      <c r="X111">
        <v>0</v>
      </c>
      <c r="Y111">
        <v>0</v>
      </c>
      <c r="Z111">
        <v>0</v>
      </c>
      <c r="AA111" s="2">
        <v>0</v>
      </c>
      <c r="AB111" s="2">
        <v>0</v>
      </c>
    </row>
    <row r="112" spans="1:28" hidden="1" x14ac:dyDescent="0.25">
      <c r="A112" t="s">
        <v>25</v>
      </c>
      <c r="B112" t="s">
        <v>26</v>
      </c>
      <c r="C112" t="s">
        <v>27</v>
      </c>
      <c r="D112" s="1">
        <v>45782</v>
      </c>
      <c r="E112" s="1">
        <v>45782</v>
      </c>
      <c r="F112" s="2">
        <v>19</v>
      </c>
      <c r="G112" s="3" t="s">
        <v>23</v>
      </c>
      <c r="H112">
        <v>7</v>
      </c>
      <c r="I112" s="2">
        <v>0</v>
      </c>
      <c r="J112" s="2">
        <v>0</v>
      </c>
      <c r="K112" s="2">
        <v>0</v>
      </c>
      <c r="L112" s="2">
        <v>0</v>
      </c>
      <c r="M112">
        <v>0</v>
      </c>
      <c r="N112">
        <v>0</v>
      </c>
      <c r="O112" s="2">
        <v>0</v>
      </c>
      <c r="P112" s="2">
        <v>0</v>
      </c>
      <c r="Q112">
        <v>0</v>
      </c>
      <c r="R112" s="2">
        <v>0</v>
      </c>
      <c r="S112" s="2">
        <v>0</v>
      </c>
      <c r="T112" t="s">
        <v>126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2">
        <v>0</v>
      </c>
      <c r="AB112" s="2">
        <v>0</v>
      </c>
    </row>
    <row r="113" spans="1:28" hidden="1" x14ac:dyDescent="0.25">
      <c r="A113" t="s">
        <v>29</v>
      </c>
      <c r="B113" t="s">
        <v>30</v>
      </c>
      <c r="C113" t="s">
        <v>31</v>
      </c>
      <c r="D113" s="1">
        <v>45782</v>
      </c>
      <c r="E113" s="1">
        <v>45782</v>
      </c>
      <c r="F113" s="2">
        <v>23</v>
      </c>
      <c r="G113" s="3" t="s">
        <v>23</v>
      </c>
      <c r="H113">
        <v>7</v>
      </c>
      <c r="I113" s="2">
        <v>0</v>
      </c>
      <c r="J113" s="2">
        <v>0</v>
      </c>
      <c r="K113" s="2">
        <v>0</v>
      </c>
      <c r="L113" s="2">
        <v>0</v>
      </c>
      <c r="M113">
        <v>0</v>
      </c>
      <c r="N113">
        <v>0</v>
      </c>
      <c r="O113" s="2">
        <v>0</v>
      </c>
      <c r="P113" s="2">
        <v>0</v>
      </c>
      <c r="Q113">
        <v>0</v>
      </c>
      <c r="R113" s="2">
        <v>0</v>
      </c>
      <c r="S113" s="2">
        <v>0</v>
      </c>
      <c r="T113" t="s">
        <v>127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s="2">
        <v>0</v>
      </c>
      <c r="AB113" s="2">
        <v>0</v>
      </c>
    </row>
    <row r="114" spans="1:28" hidden="1" x14ac:dyDescent="0.25">
      <c r="A114" t="s">
        <v>37</v>
      </c>
      <c r="B114" t="s">
        <v>38</v>
      </c>
      <c r="C114" t="s">
        <v>39</v>
      </c>
      <c r="D114" s="1">
        <v>45782</v>
      </c>
      <c r="E114" s="1">
        <v>45782</v>
      </c>
      <c r="F114" s="2">
        <v>17</v>
      </c>
      <c r="G114" s="3" t="s">
        <v>23</v>
      </c>
      <c r="H114">
        <v>12</v>
      </c>
      <c r="I114" s="2">
        <v>0</v>
      </c>
      <c r="J114" s="2">
        <v>0</v>
      </c>
      <c r="K114" s="2">
        <v>0</v>
      </c>
      <c r="L114" s="2">
        <v>0</v>
      </c>
      <c r="M114">
        <v>0</v>
      </c>
      <c r="N114">
        <v>1</v>
      </c>
      <c r="O114" s="2">
        <v>0</v>
      </c>
      <c r="P114" s="2">
        <v>0</v>
      </c>
      <c r="Q114">
        <v>0</v>
      </c>
      <c r="R114" s="2">
        <v>0</v>
      </c>
      <c r="S114" s="2">
        <v>0</v>
      </c>
      <c r="T114" t="s">
        <v>128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2">
        <v>0</v>
      </c>
      <c r="AB114" s="2">
        <v>0</v>
      </c>
    </row>
    <row r="115" spans="1:28" hidden="1" x14ac:dyDescent="0.25">
      <c r="A115" t="s">
        <v>53</v>
      </c>
      <c r="B115" t="s">
        <v>34</v>
      </c>
      <c r="C115">
        <v>0</v>
      </c>
      <c r="D115" s="1">
        <v>45782</v>
      </c>
      <c r="E115" s="1">
        <v>45782</v>
      </c>
      <c r="F115" s="2">
        <v>0</v>
      </c>
      <c r="G115" s="3" t="s">
        <v>23</v>
      </c>
      <c r="H115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25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 spans="1:28" hidden="1" x14ac:dyDescent="0.25">
      <c r="A116" t="s">
        <v>33</v>
      </c>
      <c r="B116" t="s">
        <v>47</v>
      </c>
      <c r="C116">
        <v>0</v>
      </c>
      <c r="D116" s="1">
        <v>45782</v>
      </c>
      <c r="E116" s="1">
        <v>45782</v>
      </c>
      <c r="F116" s="2">
        <v>0</v>
      </c>
      <c r="G116" s="3" t="s">
        <v>129</v>
      </c>
      <c r="H116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 spans="1:28" hidden="1" x14ac:dyDescent="0.25">
      <c r="A117" t="s">
        <v>49</v>
      </c>
      <c r="B117" t="s">
        <v>47</v>
      </c>
      <c r="C117">
        <v>0</v>
      </c>
      <c r="D117" s="1">
        <v>45782</v>
      </c>
      <c r="E117" s="1">
        <v>45782</v>
      </c>
      <c r="F117" s="2">
        <v>0</v>
      </c>
      <c r="G117" s="3" t="s">
        <v>50</v>
      </c>
      <c r="H117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idden="1" x14ac:dyDescent="0.25">
      <c r="A118" t="s">
        <v>51</v>
      </c>
      <c r="B118" t="s">
        <v>47</v>
      </c>
      <c r="C118">
        <v>0</v>
      </c>
      <c r="D118" s="1">
        <v>45782</v>
      </c>
      <c r="E118" s="1">
        <v>45782</v>
      </c>
      <c r="F118" s="2">
        <v>0</v>
      </c>
      <c r="G118" s="3" t="s">
        <v>50</v>
      </c>
      <c r="H118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idden="1" x14ac:dyDescent="0.25">
      <c r="A119" t="s">
        <v>47</v>
      </c>
      <c r="B119" t="s">
        <v>52</v>
      </c>
      <c r="C119">
        <v>0</v>
      </c>
      <c r="D119" s="1">
        <v>45782</v>
      </c>
      <c r="E119" s="1">
        <v>45782</v>
      </c>
      <c r="F119" s="2">
        <v>0</v>
      </c>
      <c r="G119" s="3" t="s">
        <v>50</v>
      </c>
      <c r="H119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idden="1" x14ac:dyDescent="0.25">
      <c r="A120" t="s">
        <v>56</v>
      </c>
      <c r="B120" t="s">
        <v>53</v>
      </c>
      <c r="C120" t="s">
        <v>64</v>
      </c>
      <c r="D120" s="1">
        <v>45783</v>
      </c>
      <c r="E120" s="1">
        <v>45783</v>
      </c>
      <c r="F120" s="2">
        <v>20</v>
      </c>
      <c r="G120" s="3" t="s">
        <v>23</v>
      </c>
      <c r="H120">
        <v>34</v>
      </c>
      <c r="I120" s="2">
        <v>0</v>
      </c>
      <c r="J120" s="2">
        <v>0</v>
      </c>
      <c r="K120" s="2">
        <v>1</v>
      </c>
      <c r="L120" s="2">
        <v>0</v>
      </c>
      <c r="M120">
        <v>0</v>
      </c>
      <c r="N120">
        <v>0</v>
      </c>
      <c r="O120" s="2">
        <v>0</v>
      </c>
      <c r="P120" s="2">
        <v>0</v>
      </c>
      <c r="Q120">
        <v>0</v>
      </c>
      <c r="R120" s="2">
        <v>0</v>
      </c>
      <c r="S120" s="2">
        <v>0</v>
      </c>
      <c r="T120" t="s">
        <v>169</v>
      </c>
      <c r="U120" s="2">
        <v>0</v>
      </c>
      <c r="V120" s="2">
        <v>31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idden="1" x14ac:dyDescent="0.25">
      <c r="A121" t="s">
        <v>20</v>
      </c>
      <c r="B121" t="s">
        <v>21</v>
      </c>
      <c r="C121" t="s">
        <v>22</v>
      </c>
      <c r="D121" s="1">
        <v>45783</v>
      </c>
      <c r="E121" s="1">
        <v>45783</v>
      </c>
      <c r="F121" s="2">
        <v>34</v>
      </c>
      <c r="G121" s="3" t="s">
        <v>23</v>
      </c>
      <c r="H121">
        <v>18</v>
      </c>
      <c r="I121" s="2">
        <v>0</v>
      </c>
      <c r="J121" s="2">
        <v>0</v>
      </c>
      <c r="K121" s="2">
        <v>1</v>
      </c>
      <c r="L121" s="2">
        <v>0</v>
      </c>
      <c r="M121">
        <v>0</v>
      </c>
      <c r="N121">
        <v>0</v>
      </c>
      <c r="O121" s="2">
        <v>0</v>
      </c>
      <c r="P121" s="2">
        <v>0</v>
      </c>
      <c r="Q121">
        <v>0</v>
      </c>
      <c r="R121" s="2">
        <v>0</v>
      </c>
      <c r="S121" s="2">
        <v>0</v>
      </c>
      <c r="T121" t="s">
        <v>170</v>
      </c>
      <c r="U121" s="2">
        <v>0</v>
      </c>
      <c r="V121" s="2">
        <v>49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idden="1" x14ac:dyDescent="0.25">
      <c r="A122" t="s">
        <v>63</v>
      </c>
      <c r="B122" t="s">
        <v>30</v>
      </c>
      <c r="C122" t="s">
        <v>102</v>
      </c>
      <c r="D122" s="1">
        <v>45783</v>
      </c>
      <c r="E122" s="1">
        <v>45783</v>
      </c>
      <c r="F122" s="2">
        <v>16</v>
      </c>
      <c r="G122" s="3" t="s">
        <v>23</v>
      </c>
      <c r="H122">
        <v>37</v>
      </c>
      <c r="I122" s="2">
        <v>0</v>
      </c>
      <c r="J122" s="2">
        <v>0</v>
      </c>
      <c r="K122" s="2">
        <v>1</v>
      </c>
      <c r="L122" s="2">
        <v>0</v>
      </c>
      <c r="M122">
        <v>0</v>
      </c>
      <c r="N122">
        <v>0</v>
      </c>
      <c r="O122" s="2">
        <v>0</v>
      </c>
      <c r="P122" s="2">
        <v>0</v>
      </c>
      <c r="Q122">
        <v>0</v>
      </c>
      <c r="R122" s="2">
        <v>0</v>
      </c>
      <c r="S122" s="2">
        <v>0</v>
      </c>
      <c r="T122" t="s">
        <v>171</v>
      </c>
      <c r="U122" s="2">
        <v>0</v>
      </c>
      <c r="V122" s="2">
        <v>31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idden="1" x14ac:dyDescent="0.25">
      <c r="A123" t="s">
        <v>47</v>
      </c>
      <c r="B123" t="s">
        <v>38</v>
      </c>
      <c r="C123" t="s">
        <v>31</v>
      </c>
      <c r="D123" s="1">
        <v>45783</v>
      </c>
      <c r="E123" s="1">
        <v>45783</v>
      </c>
      <c r="F123" s="2">
        <v>35</v>
      </c>
      <c r="G123" s="3" t="s">
        <v>23</v>
      </c>
      <c r="H123">
        <v>17</v>
      </c>
      <c r="I123" s="2">
        <v>0</v>
      </c>
      <c r="J123" s="2">
        <v>0</v>
      </c>
      <c r="K123" s="2">
        <v>0</v>
      </c>
      <c r="L123" s="2">
        <v>1</v>
      </c>
      <c r="M123">
        <v>0</v>
      </c>
      <c r="N123">
        <v>0</v>
      </c>
      <c r="O123" s="2">
        <v>0</v>
      </c>
      <c r="P123" s="2">
        <v>0</v>
      </c>
      <c r="Q123">
        <v>0</v>
      </c>
      <c r="R123" s="2">
        <v>0</v>
      </c>
      <c r="S123" s="2">
        <v>0</v>
      </c>
      <c r="T123" t="s">
        <v>172</v>
      </c>
      <c r="U123" s="2">
        <v>0</v>
      </c>
      <c r="V123" s="2">
        <v>34</v>
      </c>
      <c r="W123" s="2">
        <v>3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idden="1" x14ac:dyDescent="0.25">
      <c r="A124" t="s">
        <v>29</v>
      </c>
      <c r="B124" t="s">
        <v>47</v>
      </c>
      <c r="C124" t="s">
        <v>31</v>
      </c>
      <c r="D124" s="1">
        <v>45783</v>
      </c>
      <c r="E124" s="1">
        <v>45783</v>
      </c>
      <c r="F124" s="2">
        <v>35</v>
      </c>
      <c r="G124" s="3" t="s">
        <v>23</v>
      </c>
      <c r="H124">
        <v>17</v>
      </c>
      <c r="I124" s="2">
        <v>0</v>
      </c>
      <c r="J124" s="2">
        <v>0</v>
      </c>
      <c r="K124" s="2">
        <v>0</v>
      </c>
      <c r="L124" s="2">
        <v>1</v>
      </c>
      <c r="M124">
        <v>0</v>
      </c>
      <c r="N124">
        <v>0</v>
      </c>
      <c r="O124" s="2">
        <v>0</v>
      </c>
      <c r="P124" s="2">
        <v>0</v>
      </c>
      <c r="Q124">
        <v>1</v>
      </c>
      <c r="R124" s="2">
        <v>0</v>
      </c>
      <c r="S124" s="2">
        <v>0</v>
      </c>
      <c r="T124" t="s">
        <v>172</v>
      </c>
      <c r="U124" s="2">
        <v>0</v>
      </c>
      <c r="V124" s="2">
        <v>34</v>
      </c>
      <c r="W124" s="2">
        <v>3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</row>
    <row r="125" spans="1:28" hidden="1" x14ac:dyDescent="0.25">
      <c r="A125" t="s">
        <v>57</v>
      </c>
      <c r="B125" t="s">
        <v>34</v>
      </c>
      <c r="C125" t="s">
        <v>173</v>
      </c>
      <c r="D125" s="1">
        <v>45783</v>
      </c>
      <c r="E125" s="1">
        <v>45783</v>
      </c>
      <c r="F125" s="2">
        <v>26</v>
      </c>
      <c r="G125" s="3" t="s">
        <v>23</v>
      </c>
      <c r="H125">
        <v>16</v>
      </c>
      <c r="I125" s="2">
        <v>0</v>
      </c>
      <c r="J125" s="2">
        <v>0</v>
      </c>
      <c r="K125" s="2">
        <v>1</v>
      </c>
      <c r="L125" s="2">
        <v>0</v>
      </c>
      <c r="M125">
        <v>0</v>
      </c>
      <c r="N125">
        <v>0</v>
      </c>
      <c r="O125" s="2">
        <v>0</v>
      </c>
      <c r="P125" s="2">
        <v>0</v>
      </c>
      <c r="Q125">
        <v>0</v>
      </c>
      <c r="R125" s="2">
        <v>0</v>
      </c>
      <c r="S125" s="2">
        <v>0</v>
      </c>
      <c r="T125" t="s">
        <v>174</v>
      </c>
      <c r="U125" s="2">
        <v>0</v>
      </c>
      <c r="V125" s="2">
        <v>20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idden="1" x14ac:dyDescent="0.25">
      <c r="A126" t="s">
        <v>25</v>
      </c>
      <c r="B126" t="s">
        <v>26</v>
      </c>
      <c r="C126">
        <v>0</v>
      </c>
      <c r="D126" s="1">
        <v>45783</v>
      </c>
      <c r="E126" s="1">
        <v>45783</v>
      </c>
      <c r="F126" s="2">
        <v>0</v>
      </c>
      <c r="G126" s="3" t="s">
        <v>48</v>
      </c>
      <c r="H126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idden="1" x14ac:dyDescent="0.25">
      <c r="A127" t="s">
        <v>37</v>
      </c>
      <c r="B127" t="s">
        <v>47</v>
      </c>
      <c r="C127">
        <v>0</v>
      </c>
      <c r="D127" s="1">
        <v>45783</v>
      </c>
      <c r="E127" s="1">
        <v>45783</v>
      </c>
      <c r="F127" s="2">
        <v>0</v>
      </c>
      <c r="G127" s="3" t="s">
        <v>48</v>
      </c>
      <c r="H127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idden="1" x14ac:dyDescent="0.25">
      <c r="A128" t="s">
        <v>33</v>
      </c>
      <c r="B128" t="s">
        <v>47</v>
      </c>
      <c r="C128">
        <v>0</v>
      </c>
      <c r="D128" s="1">
        <v>45783</v>
      </c>
      <c r="E128" s="1">
        <v>45783</v>
      </c>
      <c r="F128" s="2">
        <v>0</v>
      </c>
      <c r="G128" s="3" t="s">
        <v>129</v>
      </c>
      <c r="H128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idden="1" x14ac:dyDescent="0.25">
      <c r="A129" t="s">
        <v>49</v>
      </c>
      <c r="B129" t="s">
        <v>47</v>
      </c>
      <c r="C129">
        <v>0</v>
      </c>
      <c r="D129" s="1">
        <v>45783</v>
      </c>
      <c r="E129" s="1">
        <v>45783</v>
      </c>
      <c r="F129" s="2">
        <v>0</v>
      </c>
      <c r="G129" s="3" t="s">
        <v>50</v>
      </c>
      <c r="H129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idden="1" x14ac:dyDescent="0.25">
      <c r="A130" t="s">
        <v>51</v>
      </c>
      <c r="B130" t="s">
        <v>47</v>
      </c>
      <c r="C130">
        <v>0</v>
      </c>
      <c r="D130" s="1">
        <v>45783</v>
      </c>
      <c r="E130" s="1">
        <v>45783</v>
      </c>
      <c r="F130" s="2">
        <v>0</v>
      </c>
      <c r="G130" s="3" t="s">
        <v>50</v>
      </c>
      <c r="H130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idden="1" x14ac:dyDescent="0.25">
      <c r="A131" t="s">
        <v>47</v>
      </c>
      <c r="B131" t="s">
        <v>52</v>
      </c>
      <c r="C131">
        <v>0</v>
      </c>
      <c r="D131" s="1">
        <v>45783</v>
      </c>
      <c r="E131" s="1">
        <v>45783</v>
      </c>
      <c r="F131" s="2">
        <v>0</v>
      </c>
      <c r="G131" s="3" t="s">
        <v>50</v>
      </c>
      <c r="H131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idden="1" x14ac:dyDescent="0.25">
      <c r="A132" t="s">
        <v>20</v>
      </c>
      <c r="B132" t="s">
        <v>21</v>
      </c>
      <c r="C132" t="s">
        <v>22</v>
      </c>
      <c r="D132" s="1">
        <v>45784</v>
      </c>
      <c r="E132" s="1">
        <v>45784</v>
      </c>
      <c r="F132" s="2">
        <v>31</v>
      </c>
      <c r="G132" s="3" t="s">
        <v>23</v>
      </c>
      <c r="H132">
        <v>35</v>
      </c>
      <c r="I132" s="2">
        <v>0</v>
      </c>
      <c r="J132" s="2">
        <v>0</v>
      </c>
      <c r="K132" s="2">
        <v>1</v>
      </c>
      <c r="L132" s="2">
        <v>0</v>
      </c>
      <c r="M132">
        <v>1</v>
      </c>
      <c r="N132">
        <v>0</v>
      </c>
      <c r="O132" s="2">
        <v>0</v>
      </c>
      <c r="P132" s="2">
        <v>0</v>
      </c>
      <c r="Q132">
        <v>0</v>
      </c>
      <c r="R132" s="2">
        <v>0</v>
      </c>
      <c r="S132" s="2">
        <v>0</v>
      </c>
      <c r="T132" t="s">
        <v>175</v>
      </c>
      <c r="U132" s="2">
        <v>0</v>
      </c>
      <c r="V132" s="2">
        <v>23</v>
      </c>
      <c r="W132" s="2">
        <v>6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idden="1" x14ac:dyDescent="0.25">
      <c r="A133" t="s">
        <v>63</v>
      </c>
      <c r="B133" t="s">
        <v>26</v>
      </c>
      <c r="C133" t="s">
        <v>102</v>
      </c>
      <c r="D133" s="1">
        <v>45784</v>
      </c>
      <c r="E133" s="1">
        <v>45784</v>
      </c>
      <c r="F133" s="2">
        <v>26</v>
      </c>
      <c r="G133" s="3" t="s">
        <v>23</v>
      </c>
      <c r="H133">
        <v>32</v>
      </c>
      <c r="I133" s="2">
        <v>0</v>
      </c>
      <c r="J133" s="2">
        <v>0</v>
      </c>
      <c r="K133" s="2">
        <v>0</v>
      </c>
      <c r="L133" s="2">
        <v>1</v>
      </c>
      <c r="M133">
        <v>0</v>
      </c>
      <c r="N133">
        <v>1</v>
      </c>
      <c r="O133" s="2">
        <v>0</v>
      </c>
      <c r="P133" s="2">
        <v>0</v>
      </c>
      <c r="Q133">
        <v>0</v>
      </c>
      <c r="R133" s="2">
        <v>0</v>
      </c>
      <c r="S133" s="2">
        <v>0</v>
      </c>
      <c r="T133" t="s">
        <v>176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idden="1" x14ac:dyDescent="0.25">
      <c r="A134" t="s">
        <v>29</v>
      </c>
      <c r="B134" t="s">
        <v>53</v>
      </c>
      <c r="C134" t="s">
        <v>31</v>
      </c>
      <c r="D134" s="1">
        <v>45784</v>
      </c>
      <c r="E134" s="1">
        <v>45784</v>
      </c>
      <c r="F134" s="2">
        <v>66</v>
      </c>
      <c r="G134" s="3" t="s">
        <v>23</v>
      </c>
      <c r="H134">
        <v>35</v>
      </c>
      <c r="I134" s="2">
        <v>0</v>
      </c>
      <c r="J134" s="2">
        <v>0</v>
      </c>
      <c r="K134" s="2">
        <v>1</v>
      </c>
      <c r="L134" s="2">
        <v>0</v>
      </c>
      <c r="M134">
        <v>0</v>
      </c>
      <c r="N134">
        <v>0</v>
      </c>
      <c r="O134" s="2">
        <v>0</v>
      </c>
      <c r="P134" s="2">
        <v>0</v>
      </c>
      <c r="Q134">
        <v>1</v>
      </c>
      <c r="R134" s="2">
        <v>0</v>
      </c>
      <c r="S134" s="2">
        <v>0</v>
      </c>
      <c r="T134" t="s">
        <v>177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idden="1" x14ac:dyDescent="0.25">
      <c r="A135" t="s">
        <v>57</v>
      </c>
      <c r="B135" t="s">
        <v>34</v>
      </c>
      <c r="C135" t="s">
        <v>173</v>
      </c>
      <c r="D135" s="1">
        <v>45784</v>
      </c>
      <c r="E135" s="1">
        <v>45784</v>
      </c>
      <c r="F135" s="2">
        <v>48</v>
      </c>
      <c r="G135" s="3" t="s">
        <v>23</v>
      </c>
      <c r="H135">
        <v>26</v>
      </c>
      <c r="I135" s="2">
        <v>0</v>
      </c>
      <c r="J135" s="2">
        <v>0</v>
      </c>
      <c r="K135" s="2">
        <v>1</v>
      </c>
      <c r="L135" s="2">
        <v>0</v>
      </c>
      <c r="M135">
        <v>0</v>
      </c>
      <c r="N135">
        <v>0</v>
      </c>
      <c r="O135" s="2">
        <v>0</v>
      </c>
      <c r="P135" s="2">
        <v>0</v>
      </c>
      <c r="Q135">
        <v>0</v>
      </c>
      <c r="R135" s="2">
        <v>0</v>
      </c>
      <c r="S135" s="2">
        <v>0</v>
      </c>
      <c r="T135" t="s">
        <v>178</v>
      </c>
      <c r="U135" s="2">
        <v>0</v>
      </c>
      <c r="V135" s="2">
        <f>20+34</f>
        <v>54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idden="1" x14ac:dyDescent="0.25">
      <c r="A136" t="s">
        <v>37</v>
      </c>
      <c r="B136" t="s">
        <v>38</v>
      </c>
      <c r="C136" t="s">
        <v>39</v>
      </c>
      <c r="D136" s="1">
        <v>45784</v>
      </c>
      <c r="E136" s="1">
        <v>45784</v>
      </c>
      <c r="F136" s="2">
        <v>18</v>
      </c>
      <c r="G136" s="3" t="s">
        <v>23</v>
      </c>
      <c r="H136">
        <v>26</v>
      </c>
      <c r="I136" s="2">
        <v>0</v>
      </c>
      <c r="J136" s="2">
        <v>0</v>
      </c>
      <c r="K136" s="2">
        <v>1</v>
      </c>
      <c r="L136" s="2">
        <v>0</v>
      </c>
      <c r="M136">
        <v>0</v>
      </c>
      <c r="N136">
        <v>0</v>
      </c>
      <c r="O136" s="2">
        <v>0</v>
      </c>
      <c r="P136" s="2">
        <v>0</v>
      </c>
      <c r="Q136">
        <v>0</v>
      </c>
      <c r="R136" s="2">
        <v>0</v>
      </c>
      <c r="S136" s="2">
        <v>0</v>
      </c>
      <c r="T136" t="s">
        <v>179</v>
      </c>
      <c r="U136" s="2">
        <v>0</v>
      </c>
      <c r="V136" s="2">
        <v>20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idden="1" x14ac:dyDescent="0.25">
      <c r="A137" t="s">
        <v>105</v>
      </c>
      <c r="B137" t="s">
        <v>206</v>
      </c>
      <c r="C137">
        <v>0</v>
      </c>
      <c r="D137" s="1">
        <v>45784</v>
      </c>
      <c r="E137" s="1">
        <v>45784</v>
      </c>
      <c r="F137" s="2">
        <v>18</v>
      </c>
      <c r="G137" s="3" t="s">
        <v>23</v>
      </c>
      <c r="H137">
        <v>5</v>
      </c>
      <c r="I137" s="2">
        <v>0</v>
      </c>
      <c r="J137" s="2">
        <v>0</v>
      </c>
      <c r="K137" s="2">
        <v>0</v>
      </c>
      <c r="L137" s="2">
        <v>1</v>
      </c>
      <c r="M137">
        <v>0</v>
      </c>
      <c r="N137">
        <v>0</v>
      </c>
      <c r="O137" s="2">
        <v>0</v>
      </c>
      <c r="P137" s="2">
        <v>0</v>
      </c>
      <c r="Q137">
        <v>0</v>
      </c>
      <c r="R137" s="2">
        <v>0</v>
      </c>
      <c r="S137" s="2">
        <v>0</v>
      </c>
      <c r="T137" t="s">
        <v>179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idden="1" x14ac:dyDescent="0.25">
      <c r="A138" t="s">
        <v>25</v>
      </c>
      <c r="B138" t="s">
        <v>47</v>
      </c>
      <c r="C138">
        <v>0</v>
      </c>
      <c r="D138" s="1">
        <v>45784</v>
      </c>
      <c r="E138" s="1">
        <v>45784</v>
      </c>
      <c r="F138" s="2">
        <v>0</v>
      </c>
      <c r="G138" s="3" t="s">
        <v>50</v>
      </c>
      <c r="H138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</row>
    <row r="139" spans="1:28" hidden="1" x14ac:dyDescent="0.25">
      <c r="A139" t="s">
        <v>56</v>
      </c>
      <c r="B139" t="s">
        <v>47</v>
      </c>
      <c r="C139">
        <v>0</v>
      </c>
      <c r="D139" s="1">
        <v>45784</v>
      </c>
      <c r="E139" s="1">
        <v>45784</v>
      </c>
      <c r="F139" s="2">
        <v>0</v>
      </c>
      <c r="G139" s="3" t="s">
        <v>48</v>
      </c>
      <c r="H139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idden="1" x14ac:dyDescent="0.25">
      <c r="A140" t="s">
        <v>47</v>
      </c>
      <c r="B140" t="s">
        <v>30</v>
      </c>
      <c r="C140">
        <v>0</v>
      </c>
      <c r="D140" s="1">
        <v>45784</v>
      </c>
      <c r="E140" s="1">
        <v>45784</v>
      </c>
      <c r="F140" s="2">
        <v>0</v>
      </c>
      <c r="G140" s="3" t="s">
        <v>48</v>
      </c>
      <c r="H140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idden="1" x14ac:dyDescent="0.25">
      <c r="A141" t="s">
        <v>33</v>
      </c>
      <c r="B141" t="s">
        <v>47</v>
      </c>
      <c r="C141">
        <v>0</v>
      </c>
      <c r="D141" s="1">
        <v>45784</v>
      </c>
      <c r="E141" s="1">
        <v>45784</v>
      </c>
      <c r="F141" s="2">
        <v>0</v>
      </c>
      <c r="G141" s="3" t="s">
        <v>129</v>
      </c>
      <c r="H141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idden="1" x14ac:dyDescent="0.25">
      <c r="A142" t="s">
        <v>49</v>
      </c>
      <c r="B142" t="s">
        <v>47</v>
      </c>
      <c r="C142">
        <v>0</v>
      </c>
      <c r="D142" s="1">
        <v>45784</v>
      </c>
      <c r="E142" s="1">
        <v>45784</v>
      </c>
      <c r="F142" s="2">
        <v>0</v>
      </c>
      <c r="G142" s="3" t="s">
        <v>50</v>
      </c>
      <c r="H14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</row>
    <row r="143" spans="1:28" hidden="1" x14ac:dyDescent="0.25">
      <c r="A143" t="s">
        <v>51</v>
      </c>
      <c r="B143" t="s">
        <v>47</v>
      </c>
      <c r="C143">
        <v>0</v>
      </c>
      <c r="D143" s="1">
        <v>45784</v>
      </c>
      <c r="E143" s="1">
        <v>45784</v>
      </c>
      <c r="F143" s="2">
        <v>0</v>
      </c>
      <c r="G143" s="3" t="s">
        <v>50</v>
      </c>
      <c r="H143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idden="1" x14ac:dyDescent="0.25">
      <c r="A144" t="s">
        <v>47</v>
      </c>
      <c r="B144" t="s">
        <v>52</v>
      </c>
      <c r="C144">
        <v>0</v>
      </c>
      <c r="D144" s="1">
        <v>45784</v>
      </c>
      <c r="E144" s="1">
        <v>45784</v>
      </c>
      <c r="F144" s="2">
        <v>0</v>
      </c>
      <c r="G144" s="3" t="s">
        <v>50</v>
      </c>
      <c r="H144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idden="1" x14ac:dyDescent="0.25">
      <c r="A145" t="s">
        <v>56</v>
      </c>
      <c r="B145" t="s">
        <v>53</v>
      </c>
      <c r="C145" t="s">
        <v>64</v>
      </c>
      <c r="D145" s="1">
        <v>45785</v>
      </c>
      <c r="E145" s="1">
        <v>45785</v>
      </c>
      <c r="F145" s="2">
        <v>45</v>
      </c>
      <c r="G145" s="3" t="s">
        <v>23</v>
      </c>
      <c r="H145">
        <v>24</v>
      </c>
      <c r="I145" s="2">
        <v>0</v>
      </c>
      <c r="J145" s="2">
        <v>0</v>
      </c>
      <c r="K145" s="2">
        <v>1</v>
      </c>
      <c r="L145" s="2">
        <v>0</v>
      </c>
      <c r="M145">
        <v>0</v>
      </c>
      <c r="N145">
        <v>0</v>
      </c>
      <c r="O145" s="2">
        <v>0</v>
      </c>
      <c r="P145" s="2">
        <v>0</v>
      </c>
      <c r="Q145">
        <v>1</v>
      </c>
      <c r="R145" s="2">
        <v>0</v>
      </c>
      <c r="S145" s="2">
        <v>0</v>
      </c>
      <c r="T145" t="s">
        <v>180</v>
      </c>
      <c r="U145" s="2">
        <v>0</v>
      </c>
      <c r="V145" s="2">
        <v>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idden="1" x14ac:dyDescent="0.25">
      <c r="A146" t="s">
        <v>20</v>
      </c>
      <c r="B146" t="s">
        <v>21</v>
      </c>
      <c r="C146" t="s">
        <v>22</v>
      </c>
      <c r="D146" s="1">
        <v>45785</v>
      </c>
      <c r="E146" s="1">
        <v>45785</v>
      </c>
      <c r="F146" s="2">
        <v>25</v>
      </c>
      <c r="G146" s="3" t="s">
        <v>23</v>
      </c>
      <c r="H146">
        <v>16</v>
      </c>
      <c r="I146" s="2">
        <v>0</v>
      </c>
      <c r="J146" s="2">
        <v>0</v>
      </c>
      <c r="K146" s="2">
        <v>1</v>
      </c>
      <c r="L146" s="2">
        <v>0</v>
      </c>
      <c r="M146">
        <v>0</v>
      </c>
      <c r="N146">
        <v>0</v>
      </c>
      <c r="O146" s="2">
        <v>0</v>
      </c>
      <c r="P146" s="2">
        <v>0</v>
      </c>
      <c r="Q146">
        <v>0</v>
      </c>
      <c r="R146" s="2">
        <v>0</v>
      </c>
      <c r="S146" s="2">
        <v>0</v>
      </c>
      <c r="T146" t="s">
        <v>181</v>
      </c>
      <c r="U146" s="2">
        <v>0</v>
      </c>
      <c r="V146" s="2">
        <v>22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idden="1" x14ac:dyDescent="0.25">
      <c r="A147" t="s">
        <v>63</v>
      </c>
      <c r="B147" t="s">
        <v>26</v>
      </c>
      <c r="C147" t="s">
        <v>102</v>
      </c>
      <c r="D147" s="1">
        <v>45785</v>
      </c>
      <c r="E147" s="1">
        <v>45785</v>
      </c>
      <c r="F147" s="2">
        <v>63</v>
      </c>
      <c r="G147" s="3" t="s">
        <v>23</v>
      </c>
      <c r="H147">
        <v>28</v>
      </c>
      <c r="I147" s="2">
        <v>0</v>
      </c>
      <c r="J147" s="2">
        <v>0</v>
      </c>
      <c r="K147" s="2">
        <v>0</v>
      </c>
      <c r="L147" s="2">
        <v>1</v>
      </c>
      <c r="M147">
        <v>0</v>
      </c>
      <c r="N147">
        <v>0</v>
      </c>
      <c r="O147" s="2">
        <v>0</v>
      </c>
      <c r="P147" s="2">
        <v>0</v>
      </c>
      <c r="Q147">
        <v>0</v>
      </c>
      <c r="R147" s="2">
        <v>0</v>
      </c>
      <c r="S147" s="2">
        <v>0</v>
      </c>
      <c r="T147" t="s">
        <v>182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idden="1" x14ac:dyDescent="0.25">
      <c r="A148" t="s">
        <v>29</v>
      </c>
      <c r="B148" t="s">
        <v>30</v>
      </c>
      <c r="C148" t="s">
        <v>31</v>
      </c>
      <c r="D148" s="1">
        <v>45785</v>
      </c>
      <c r="E148" s="1">
        <v>45785</v>
      </c>
      <c r="F148" s="2">
        <v>42</v>
      </c>
      <c r="G148" s="3" t="s">
        <v>23</v>
      </c>
      <c r="H148">
        <v>32</v>
      </c>
      <c r="I148" s="2">
        <v>0</v>
      </c>
      <c r="J148" s="2">
        <v>0</v>
      </c>
      <c r="K148" s="2">
        <v>1</v>
      </c>
      <c r="L148" s="2">
        <v>0</v>
      </c>
      <c r="M148">
        <v>0</v>
      </c>
      <c r="N148">
        <v>0</v>
      </c>
      <c r="O148" s="2">
        <v>0</v>
      </c>
      <c r="P148" s="2">
        <v>0</v>
      </c>
      <c r="Q148">
        <v>0</v>
      </c>
      <c r="R148" s="2">
        <v>0</v>
      </c>
      <c r="S148" s="2">
        <v>0</v>
      </c>
      <c r="T148" t="s">
        <v>183</v>
      </c>
      <c r="U148" s="2">
        <v>0</v>
      </c>
      <c r="V148" s="2">
        <v>17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idden="1" x14ac:dyDescent="0.25">
      <c r="A149" t="s">
        <v>37</v>
      </c>
      <c r="B149" t="s">
        <v>34</v>
      </c>
      <c r="C149" t="s">
        <v>39</v>
      </c>
      <c r="D149" s="1">
        <v>45785</v>
      </c>
      <c r="E149" s="1">
        <v>45785</v>
      </c>
      <c r="F149" s="2">
        <v>15</v>
      </c>
      <c r="G149" s="3" t="s">
        <v>23</v>
      </c>
      <c r="H149">
        <v>30</v>
      </c>
      <c r="I149" s="2">
        <v>0</v>
      </c>
      <c r="J149" s="2">
        <v>0</v>
      </c>
      <c r="K149" s="2">
        <v>1</v>
      </c>
      <c r="L149" s="2">
        <v>0</v>
      </c>
      <c r="M149">
        <v>0</v>
      </c>
      <c r="N149">
        <v>0</v>
      </c>
      <c r="O149" s="2">
        <v>0</v>
      </c>
      <c r="P149" s="2">
        <v>0</v>
      </c>
      <c r="Q149">
        <v>0</v>
      </c>
      <c r="R149" s="2">
        <v>0</v>
      </c>
      <c r="S149" s="2">
        <v>0</v>
      </c>
      <c r="T149" t="s">
        <v>184</v>
      </c>
      <c r="U149" s="2">
        <v>0</v>
      </c>
      <c r="V149" s="2">
        <v>20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idden="1" x14ac:dyDescent="0.25">
      <c r="A150" t="s">
        <v>25</v>
      </c>
      <c r="B150" t="s">
        <v>47</v>
      </c>
      <c r="C150">
        <v>0</v>
      </c>
      <c r="D150" s="1">
        <v>45785</v>
      </c>
      <c r="E150" s="1">
        <v>45785</v>
      </c>
      <c r="F150" s="2">
        <v>0</v>
      </c>
      <c r="G150" s="3" t="s">
        <v>50</v>
      </c>
      <c r="H150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idden="1" x14ac:dyDescent="0.25">
      <c r="A151" t="s">
        <v>47</v>
      </c>
      <c r="B151" t="s">
        <v>57</v>
      </c>
      <c r="C151">
        <v>0</v>
      </c>
      <c r="D151" s="1">
        <v>45785</v>
      </c>
      <c r="E151" s="1">
        <v>45785</v>
      </c>
      <c r="F151" s="2">
        <v>0</v>
      </c>
      <c r="G151" s="3" t="s">
        <v>48</v>
      </c>
      <c r="H151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idden="1" x14ac:dyDescent="0.25">
      <c r="A152" t="s">
        <v>47</v>
      </c>
      <c r="B152" t="s">
        <v>38</v>
      </c>
      <c r="C152">
        <v>0</v>
      </c>
      <c r="D152" s="1">
        <v>45785</v>
      </c>
      <c r="E152" s="1">
        <v>45785</v>
      </c>
      <c r="F152" s="2">
        <v>0</v>
      </c>
      <c r="G152" s="3" t="s">
        <v>48</v>
      </c>
      <c r="H15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</row>
    <row r="153" spans="1:28" hidden="1" x14ac:dyDescent="0.25">
      <c r="A153" t="s">
        <v>33</v>
      </c>
      <c r="B153" t="s">
        <v>47</v>
      </c>
      <c r="C153">
        <v>0</v>
      </c>
      <c r="D153" s="1">
        <v>45785</v>
      </c>
      <c r="E153" s="1">
        <v>45785</v>
      </c>
      <c r="F153" s="2">
        <v>0</v>
      </c>
      <c r="G153" s="3" t="s">
        <v>129</v>
      </c>
      <c r="H153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idden="1" x14ac:dyDescent="0.25">
      <c r="A154" t="s">
        <v>49</v>
      </c>
      <c r="B154" t="s">
        <v>47</v>
      </c>
      <c r="C154">
        <v>0</v>
      </c>
      <c r="D154" s="1">
        <v>45785</v>
      </c>
      <c r="E154" s="1">
        <v>45785</v>
      </c>
      <c r="F154" s="2">
        <v>0</v>
      </c>
      <c r="G154" s="3" t="s">
        <v>50</v>
      </c>
      <c r="H154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idden="1" x14ac:dyDescent="0.25">
      <c r="A155" t="s">
        <v>51</v>
      </c>
      <c r="B155" t="s">
        <v>47</v>
      </c>
      <c r="C155">
        <v>0</v>
      </c>
      <c r="D155" s="1">
        <v>45785</v>
      </c>
      <c r="E155" s="1">
        <v>45785</v>
      </c>
      <c r="F155" s="2">
        <v>0</v>
      </c>
      <c r="G155" s="3" t="s">
        <v>50</v>
      </c>
      <c r="H155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idden="1" x14ac:dyDescent="0.25">
      <c r="A156" t="s">
        <v>47</v>
      </c>
      <c r="B156" t="s">
        <v>52</v>
      </c>
      <c r="C156">
        <v>0</v>
      </c>
      <c r="D156" s="1">
        <v>45785</v>
      </c>
      <c r="E156" s="1">
        <v>45785</v>
      </c>
      <c r="F156" s="2">
        <v>0</v>
      </c>
      <c r="G156" s="3" t="s">
        <v>50</v>
      </c>
      <c r="H156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idden="1" x14ac:dyDescent="0.25">
      <c r="A157" t="s">
        <v>56</v>
      </c>
      <c r="B157" t="s">
        <v>53</v>
      </c>
      <c r="C157" t="s">
        <v>64</v>
      </c>
      <c r="D157" s="1">
        <v>45786</v>
      </c>
      <c r="E157" s="1">
        <v>45786</v>
      </c>
      <c r="F157" s="2">
        <v>19</v>
      </c>
      <c r="G157" s="3" t="s">
        <v>23</v>
      </c>
      <c r="H157">
        <v>27</v>
      </c>
      <c r="I157" s="2">
        <v>0</v>
      </c>
      <c r="J157" s="2">
        <v>0</v>
      </c>
      <c r="K157" s="2">
        <v>1</v>
      </c>
      <c r="L157" s="2">
        <v>0</v>
      </c>
      <c r="M157">
        <v>0</v>
      </c>
      <c r="N157">
        <v>1</v>
      </c>
      <c r="O157" s="2">
        <v>0</v>
      </c>
      <c r="P157" s="2">
        <v>0</v>
      </c>
      <c r="Q157">
        <v>0</v>
      </c>
      <c r="R157" s="2">
        <v>0</v>
      </c>
      <c r="S157" s="2">
        <v>0</v>
      </c>
      <c r="T157" t="s">
        <v>185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idden="1" x14ac:dyDescent="0.25">
      <c r="A158" t="s">
        <v>63</v>
      </c>
      <c r="B158" t="s">
        <v>26</v>
      </c>
      <c r="C158" t="s">
        <v>102</v>
      </c>
      <c r="D158" s="1">
        <v>45786</v>
      </c>
      <c r="E158" s="1">
        <v>45786</v>
      </c>
      <c r="F158" s="2">
        <v>60</v>
      </c>
      <c r="G158" s="3" t="s">
        <v>23</v>
      </c>
      <c r="H158">
        <v>23</v>
      </c>
      <c r="I158" s="2">
        <v>0</v>
      </c>
      <c r="J158" s="2">
        <v>0</v>
      </c>
      <c r="K158" s="2">
        <v>0</v>
      </c>
      <c r="L158" s="2">
        <v>1</v>
      </c>
      <c r="M158">
        <v>0</v>
      </c>
      <c r="N158">
        <v>0</v>
      </c>
      <c r="O158" s="2">
        <v>0</v>
      </c>
      <c r="P158" s="2">
        <v>0</v>
      </c>
      <c r="Q158">
        <v>0</v>
      </c>
      <c r="R158" s="2">
        <v>0</v>
      </c>
      <c r="S158" s="2">
        <v>0</v>
      </c>
      <c r="T158" t="s">
        <v>186</v>
      </c>
      <c r="U158" s="2">
        <v>0</v>
      </c>
      <c r="V158" s="2">
        <v>20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idden="1" x14ac:dyDescent="0.25">
      <c r="A159" t="s">
        <v>57</v>
      </c>
      <c r="B159" t="s">
        <v>47</v>
      </c>
      <c r="C159" t="s">
        <v>173</v>
      </c>
      <c r="D159" s="1">
        <v>45786</v>
      </c>
      <c r="E159" s="1">
        <v>45786</v>
      </c>
      <c r="F159" s="2">
        <v>50</v>
      </c>
      <c r="G159" s="3" t="s">
        <v>23</v>
      </c>
      <c r="H159">
        <v>16</v>
      </c>
      <c r="I159" s="2">
        <v>0</v>
      </c>
      <c r="J159" s="2">
        <v>0</v>
      </c>
      <c r="K159" s="2">
        <v>1</v>
      </c>
      <c r="L159" s="2">
        <v>0</v>
      </c>
      <c r="M159">
        <v>0</v>
      </c>
      <c r="N159">
        <v>0</v>
      </c>
      <c r="O159" s="2">
        <v>0</v>
      </c>
      <c r="P159" s="2">
        <v>0</v>
      </c>
      <c r="Q159">
        <v>0</v>
      </c>
      <c r="R159" s="2">
        <v>0</v>
      </c>
      <c r="S159" s="2">
        <v>0</v>
      </c>
      <c r="T159" t="s">
        <v>187</v>
      </c>
      <c r="U159" s="2">
        <v>0</v>
      </c>
      <c r="V159" s="2">
        <v>20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idden="1" x14ac:dyDescent="0.25">
      <c r="A160" t="s">
        <v>37</v>
      </c>
      <c r="B160" t="s">
        <v>38</v>
      </c>
      <c r="C160" t="s">
        <v>39</v>
      </c>
      <c r="D160" s="1">
        <v>45786</v>
      </c>
      <c r="E160" s="1">
        <v>45786</v>
      </c>
      <c r="F160" s="2">
        <v>30</v>
      </c>
      <c r="G160" s="3" t="s">
        <v>23</v>
      </c>
      <c r="H160">
        <v>39</v>
      </c>
      <c r="I160" s="2">
        <v>0</v>
      </c>
      <c r="J160" s="2">
        <v>0</v>
      </c>
      <c r="K160" s="2">
        <v>1</v>
      </c>
      <c r="L160" s="2">
        <v>0</v>
      </c>
      <c r="M160">
        <v>0</v>
      </c>
      <c r="N160">
        <v>0</v>
      </c>
      <c r="O160" s="2">
        <v>0</v>
      </c>
      <c r="P160" s="2">
        <v>0</v>
      </c>
      <c r="Q160">
        <v>0</v>
      </c>
      <c r="R160" s="2">
        <v>0</v>
      </c>
      <c r="S160" s="2">
        <v>0</v>
      </c>
      <c r="T160" t="s">
        <v>188</v>
      </c>
      <c r="U160" s="2">
        <v>0</v>
      </c>
      <c r="V160" s="2">
        <v>10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idden="1" x14ac:dyDescent="0.25">
      <c r="A161" t="s">
        <v>29</v>
      </c>
      <c r="B161" t="s">
        <v>30</v>
      </c>
      <c r="C161" t="s">
        <v>31</v>
      </c>
      <c r="D161" s="1">
        <v>45786</v>
      </c>
      <c r="E161" s="1">
        <v>45786</v>
      </c>
      <c r="F161" s="2">
        <v>42</v>
      </c>
      <c r="G161" s="3" t="s">
        <v>23</v>
      </c>
      <c r="H161">
        <v>31</v>
      </c>
      <c r="I161" s="2">
        <v>0</v>
      </c>
      <c r="J161" s="2">
        <v>0</v>
      </c>
      <c r="K161" s="2">
        <v>1</v>
      </c>
      <c r="L161" s="2">
        <v>0</v>
      </c>
      <c r="M161">
        <v>0</v>
      </c>
      <c r="N161">
        <v>0</v>
      </c>
      <c r="O161" s="2">
        <v>0</v>
      </c>
      <c r="P161" s="2">
        <v>0</v>
      </c>
      <c r="Q161">
        <v>0</v>
      </c>
      <c r="R161" s="2">
        <v>0</v>
      </c>
      <c r="S161" s="2">
        <v>0</v>
      </c>
      <c r="T161" t="s">
        <v>183</v>
      </c>
      <c r="U161" s="2">
        <v>0</v>
      </c>
      <c r="V161" s="2">
        <v>22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</row>
    <row r="162" spans="1:28" hidden="1" x14ac:dyDescent="0.25">
      <c r="A162" t="s">
        <v>47</v>
      </c>
      <c r="B162" t="s">
        <v>189</v>
      </c>
      <c r="C162" t="s">
        <v>173</v>
      </c>
      <c r="D162" s="1">
        <v>45786</v>
      </c>
      <c r="E162" s="1">
        <v>45786</v>
      </c>
      <c r="F162" s="2">
        <v>50</v>
      </c>
      <c r="G162" s="3" t="s">
        <v>23</v>
      </c>
      <c r="H162">
        <v>0</v>
      </c>
      <c r="I162" s="2">
        <v>0</v>
      </c>
      <c r="J162" s="2">
        <v>0</v>
      </c>
      <c r="K162" s="2">
        <v>0</v>
      </c>
      <c r="L162" s="2">
        <v>0</v>
      </c>
      <c r="M162">
        <v>0</v>
      </c>
      <c r="N162">
        <v>0</v>
      </c>
      <c r="O162" s="2">
        <v>0</v>
      </c>
      <c r="P162" s="2">
        <v>0</v>
      </c>
      <c r="Q162">
        <v>0</v>
      </c>
      <c r="R162" s="2">
        <v>0</v>
      </c>
      <c r="S162" s="2">
        <v>0</v>
      </c>
      <c r="T162" t="s">
        <v>187</v>
      </c>
      <c r="U162" s="2">
        <v>0</v>
      </c>
      <c r="V162" s="2">
        <v>20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idden="1" x14ac:dyDescent="0.25">
      <c r="A163" t="s">
        <v>47</v>
      </c>
      <c r="B163" t="s">
        <v>34</v>
      </c>
      <c r="C163" t="s">
        <v>173</v>
      </c>
      <c r="D163" s="1">
        <v>45786</v>
      </c>
      <c r="E163" s="1">
        <v>45786</v>
      </c>
      <c r="F163" s="2">
        <v>50</v>
      </c>
      <c r="G163" s="3" t="s">
        <v>23</v>
      </c>
      <c r="H163">
        <v>16</v>
      </c>
      <c r="I163" s="2">
        <v>0</v>
      </c>
      <c r="J163" s="2">
        <v>0</v>
      </c>
      <c r="K163" s="2">
        <v>1</v>
      </c>
      <c r="L163" s="2">
        <v>0</v>
      </c>
      <c r="M163">
        <v>0</v>
      </c>
      <c r="N163">
        <v>0</v>
      </c>
      <c r="O163" s="2">
        <v>0</v>
      </c>
      <c r="P163" s="2">
        <v>0</v>
      </c>
      <c r="Q163">
        <v>0</v>
      </c>
      <c r="R163" s="2">
        <v>0</v>
      </c>
      <c r="S163" s="2">
        <v>0</v>
      </c>
      <c r="T163" t="s">
        <v>187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idden="1" x14ac:dyDescent="0.25">
      <c r="A164" t="s">
        <v>20</v>
      </c>
      <c r="B164" t="s">
        <v>21</v>
      </c>
      <c r="C164">
        <v>0</v>
      </c>
      <c r="D164" s="1">
        <v>45786</v>
      </c>
      <c r="E164" s="1">
        <v>45786</v>
      </c>
      <c r="F164" s="2">
        <v>0</v>
      </c>
      <c r="G164" s="3" t="s">
        <v>48</v>
      </c>
      <c r="H164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</row>
    <row r="165" spans="1:28" hidden="1" x14ac:dyDescent="0.25">
      <c r="A165" t="s">
        <v>25</v>
      </c>
      <c r="B165" t="s">
        <v>47</v>
      </c>
      <c r="C165">
        <v>0</v>
      </c>
      <c r="D165" s="1">
        <v>45786</v>
      </c>
      <c r="E165" s="1">
        <v>45786</v>
      </c>
      <c r="F165" s="2">
        <v>0</v>
      </c>
      <c r="G165" s="3" t="s">
        <v>50</v>
      </c>
      <c r="H165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idden="1" x14ac:dyDescent="0.25">
      <c r="A166" t="s">
        <v>33</v>
      </c>
      <c r="B166" t="s">
        <v>47</v>
      </c>
      <c r="C166">
        <v>0</v>
      </c>
      <c r="D166" s="1">
        <v>45786</v>
      </c>
      <c r="E166" s="1">
        <v>45786</v>
      </c>
      <c r="F166" s="2">
        <v>0</v>
      </c>
      <c r="G166" s="3" t="s">
        <v>129</v>
      </c>
      <c r="H166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idden="1" x14ac:dyDescent="0.25">
      <c r="A167" t="s">
        <v>49</v>
      </c>
      <c r="B167" t="s">
        <v>47</v>
      </c>
      <c r="C167">
        <v>0</v>
      </c>
      <c r="D167" s="1">
        <v>45786</v>
      </c>
      <c r="E167" s="1">
        <v>45786</v>
      </c>
      <c r="F167" s="2">
        <v>0</v>
      </c>
      <c r="G167" s="3" t="s">
        <v>50</v>
      </c>
      <c r="H167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idden="1" x14ac:dyDescent="0.25">
      <c r="A168" t="s">
        <v>51</v>
      </c>
      <c r="B168" t="s">
        <v>47</v>
      </c>
      <c r="C168">
        <v>0</v>
      </c>
      <c r="D168" s="1">
        <v>45786</v>
      </c>
      <c r="E168" s="1">
        <v>45786</v>
      </c>
      <c r="F168" s="2">
        <v>0</v>
      </c>
      <c r="G168" s="3" t="s">
        <v>50</v>
      </c>
      <c r="H168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idden="1" x14ac:dyDescent="0.25">
      <c r="A169" t="s">
        <v>47</v>
      </c>
      <c r="B169" t="s">
        <v>52</v>
      </c>
      <c r="C169">
        <v>0</v>
      </c>
      <c r="D169" s="1">
        <v>45786</v>
      </c>
      <c r="E169" s="1">
        <v>45786</v>
      </c>
      <c r="F169" s="2">
        <v>0</v>
      </c>
      <c r="G169" s="3" t="s">
        <v>50</v>
      </c>
      <c r="H169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idden="1" x14ac:dyDescent="0.25">
      <c r="A170" t="s">
        <v>56</v>
      </c>
      <c r="B170" t="s">
        <v>53</v>
      </c>
      <c r="C170" t="s">
        <v>64</v>
      </c>
      <c r="D170" s="1">
        <v>45787</v>
      </c>
      <c r="E170" s="1">
        <v>45787</v>
      </c>
      <c r="F170" s="2">
        <v>33</v>
      </c>
      <c r="G170" s="3" t="s">
        <v>23</v>
      </c>
      <c r="H170">
        <v>0</v>
      </c>
      <c r="I170" s="2">
        <v>0</v>
      </c>
      <c r="J170" s="2">
        <v>0</v>
      </c>
      <c r="K170" s="2">
        <v>1</v>
      </c>
      <c r="L170" s="2">
        <v>0</v>
      </c>
      <c r="M170">
        <v>0</v>
      </c>
      <c r="N170">
        <v>0</v>
      </c>
      <c r="O170" s="2">
        <v>1</v>
      </c>
      <c r="P170" s="2">
        <v>0</v>
      </c>
      <c r="Q170">
        <v>3</v>
      </c>
      <c r="R170" s="2">
        <v>1</v>
      </c>
      <c r="S170" s="2">
        <v>0</v>
      </c>
      <c r="T170" t="s">
        <v>190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</row>
    <row r="171" spans="1:28" hidden="1" x14ac:dyDescent="0.25">
      <c r="A171" t="s">
        <v>57</v>
      </c>
      <c r="B171" t="s">
        <v>26</v>
      </c>
      <c r="C171" t="s">
        <v>173</v>
      </c>
      <c r="D171" s="1">
        <v>45787</v>
      </c>
      <c r="E171" s="1">
        <v>45787</v>
      </c>
      <c r="F171" s="2">
        <v>43</v>
      </c>
      <c r="G171" s="3" t="s">
        <v>23</v>
      </c>
      <c r="H171">
        <v>0</v>
      </c>
      <c r="I171" s="2">
        <v>0</v>
      </c>
      <c r="J171" s="2">
        <v>0</v>
      </c>
      <c r="K171" s="2">
        <v>0</v>
      </c>
      <c r="L171" s="2">
        <v>0</v>
      </c>
      <c r="M171">
        <v>1</v>
      </c>
      <c r="N171">
        <v>0</v>
      </c>
      <c r="O171" s="2">
        <v>1</v>
      </c>
      <c r="P171" s="2">
        <v>0</v>
      </c>
      <c r="Q171">
        <v>7</v>
      </c>
      <c r="R171" s="2">
        <v>1</v>
      </c>
      <c r="S171" s="2">
        <v>0</v>
      </c>
      <c r="T171" t="s">
        <v>191</v>
      </c>
      <c r="U171" s="2">
        <v>17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1</v>
      </c>
      <c r="AB171" s="2">
        <v>0</v>
      </c>
    </row>
    <row r="172" spans="1:28" hidden="1" x14ac:dyDescent="0.25">
      <c r="A172" t="s">
        <v>37</v>
      </c>
      <c r="B172" t="s">
        <v>38</v>
      </c>
      <c r="C172" t="s">
        <v>39</v>
      </c>
      <c r="D172" s="1">
        <v>45787</v>
      </c>
      <c r="E172" s="1">
        <v>45787</v>
      </c>
      <c r="F172" s="2">
        <v>26</v>
      </c>
      <c r="G172" s="3" t="s">
        <v>23</v>
      </c>
      <c r="H172">
        <v>0</v>
      </c>
      <c r="I172" s="2">
        <v>0</v>
      </c>
      <c r="J172" s="2">
        <v>0</v>
      </c>
      <c r="K172" s="2">
        <v>1</v>
      </c>
      <c r="L172" s="2">
        <v>0</v>
      </c>
      <c r="M172">
        <v>0</v>
      </c>
      <c r="N172">
        <v>0</v>
      </c>
      <c r="O172" s="2">
        <v>1</v>
      </c>
      <c r="P172" s="2">
        <v>0</v>
      </c>
      <c r="Q172">
        <v>1</v>
      </c>
      <c r="R172" s="2">
        <v>1</v>
      </c>
      <c r="S172" s="2">
        <v>0</v>
      </c>
      <c r="T172" t="s">
        <v>192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</row>
    <row r="173" spans="1:28" hidden="1" x14ac:dyDescent="0.25">
      <c r="A173" t="s">
        <v>193</v>
      </c>
      <c r="B173" t="s">
        <v>30</v>
      </c>
      <c r="C173" t="s">
        <v>39</v>
      </c>
      <c r="D173" s="1">
        <v>45787</v>
      </c>
      <c r="E173" s="1">
        <v>45787</v>
      </c>
      <c r="F173" s="2">
        <v>26</v>
      </c>
      <c r="G173" s="3" t="s">
        <v>23</v>
      </c>
      <c r="H173">
        <v>0</v>
      </c>
      <c r="I173" s="2">
        <v>0</v>
      </c>
      <c r="J173" s="2">
        <v>0</v>
      </c>
      <c r="K173" s="2">
        <v>0</v>
      </c>
      <c r="L173" s="2">
        <v>0</v>
      </c>
      <c r="M173">
        <v>1</v>
      </c>
      <c r="N173">
        <v>0</v>
      </c>
      <c r="O173" s="2">
        <v>1</v>
      </c>
      <c r="P173" s="2">
        <v>0</v>
      </c>
      <c r="Q173" s="2">
        <v>3</v>
      </c>
      <c r="R173" s="2">
        <v>1</v>
      </c>
      <c r="S173" s="2">
        <v>0</v>
      </c>
      <c r="T173" t="s">
        <v>192</v>
      </c>
      <c r="U173" s="2">
        <v>19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1</v>
      </c>
      <c r="AB173" s="2">
        <v>0</v>
      </c>
    </row>
    <row r="174" spans="1:28" hidden="1" x14ac:dyDescent="0.25">
      <c r="A174" t="s">
        <v>56</v>
      </c>
      <c r="B174" t="s">
        <v>53</v>
      </c>
      <c r="C174" t="s">
        <v>64</v>
      </c>
      <c r="D174" s="1">
        <v>45788</v>
      </c>
      <c r="E174" s="1">
        <v>45788</v>
      </c>
      <c r="F174" s="2">
        <v>45</v>
      </c>
      <c r="G174" s="3" t="s">
        <v>23</v>
      </c>
      <c r="H174">
        <v>0</v>
      </c>
      <c r="I174" s="2">
        <v>0</v>
      </c>
      <c r="J174" s="2">
        <v>0</v>
      </c>
      <c r="K174" s="2">
        <v>1</v>
      </c>
      <c r="L174" s="2">
        <v>0</v>
      </c>
      <c r="M174">
        <v>0</v>
      </c>
      <c r="N174">
        <v>0</v>
      </c>
      <c r="O174" s="2">
        <v>0</v>
      </c>
      <c r="P174" s="2">
        <v>1</v>
      </c>
      <c r="Q174">
        <v>4</v>
      </c>
      <c r="R174" s="2">
        <v>0</v>
      </c>
      <c r="S174" s="2">
        <v>1</v>
      </c>
      <c r="T174" t="s">
        <v>194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idden="1" x14ac:dyDescent="0.25">
      <c r="A175" t="s">
        <v>193</v>
      </c>
      <c r="B175" t="s">
        <v>30</v>
      </c>
      <c r="C175" t="s">
        <v>195</v>
      </c>
      <c r="D175" s="1">
        <v>45788</v>
      </c>
      <c r="E175" s="1">
        <v>45788</v>
      </c>
      <c r="F175" s="2">
        <v>20</v>
      </c>
      <c r="G175" s="3" t="s">
        <v>23</v>
      </c>
      <c r="H175">
        <v>0</v>
      </c>
      <c r="I175" s="2">
        <v>0</v>
      </c>
      <c r="J175" s="2">
        <v>0</v>
      </c>
      <c r="K175" s="2">
        <v>0</v>
      </c>
      <c r="L175" s="2">
        <v>0</v>
      </c>
      <c r="M175">
        <v>1</v>
      </c>
      <c r="N175">
        <v>0</v>
      </c>
      <c r="O175" s="2">
        <v>0</v>
      </c>
      <c r="P175" s="2">
        <v>1</v>
      </c>
      <c r="Q175">
        <v>3</v>
      </c>
      <c r="R175" s="2">
        <v>0</v>
      </c>
      <c r="S175" s="2">
        <v>1</v>
      </c>
      <c r="T175" t="s">
        <v>196</v>
      </c>
      <c r="U175" s="2">
        <v>18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1</v>
      </c>
    </row>
    <row r="176" spans="1:28" hidden="1" x14ac:dyDescent="0.25">
      <c r="A176" t="s">
        <v>57</v>
      </c>
      <c r="B176" t="s">
        <v>26</v>
      </c>
      <c r="C176" t="s">
        <v>173</v>
      </c>
      <c r="D176" s="1">
        <v>45788</v>
      </c>
      <c r="E176" s="1">
        <v>45788</v>
      </c>
      <c r="F176" s="2">
        <v>55</v>
      </c>
      <c r="G176" s="3" t="s">
        <v>23</v>
      </c>
      <c r="H176">
        <v>0</v>
      </c>
      <c r="I176" s="2">
        <v>0</v>
      </c>
      <c r="J176" s="2">
        <v>0</v>
      </c>
      <c r="K176" s="2">
        <v>0</v>
      </c>
      <c r="L176" s="2">
        <v>0</v>
      </c>
      <c r="M176">
        <v>1</v>
      </c>
      <c r="N176">
        <v>0</v>
      </c>
      <c r="O176" s="2">
        <v>0</v>
      </c>
      <c r="P176" s="2">
        <v>1</v>
      </c>
      <c r="Q176">
        <v>6</v>
      </c>
      <c r="R176" s="2">
        <v>0</v>
      </c>
      <c r="S176" s="2">
        <v>1</v>
      </c>
      <c r="T176" t="s">
        <v>197</v>
      </c>
      <c r="U176" s="2">
        <v>21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1</v>
      </c>
    </row>
    <row r="177" spans="1:28" hidden="1" x14ac:dyDescent="0.25">
      <c r="A177" t="s">
        <v>37</v>
      </c>
      <c r="B177" t="s">
        <v>38</v>
      </c>
      <c r="C177" t="s">
        <v>39</v>
      </c>
      <c r="D177" s="1">
        <v>45788</v>
      </c>
      <c r="E177" s="1">
        <v>45788</v>
      </c>
      <c r="F177" s="2">
        <v>29</v>
      </c>
      <c r="G177" s="3" t="s">
        <v>23</v>
      </c>
      <c r="H177">
        <v>0</v>
      </c>
      <c r="I177" s="2">
        <v>0</v>
      </c>
      <c r="J177" s="2">
        <v>0</v>
      </c>
      <c r="K177" s="2">
        <v>1</v>
      </c>
      <c r="L177" s="2">
        <v>0</v>
      </c>
      <c r="M177">
        <v>0</v>
      </c>
      <c r="N177">
        <v>0</v>
      </c>
      <c r="O177" s="2">
        <v>0</v>
      </c>
      <c r="P177" s="2">
        <v>1</v>
      </c>
      <c r="Q177">
        <v>3</v>
      </c>
      <c r="R177" s="2">
        <v>0</v>
      </c>
      <c r="S177" s="2">
        <v>1</v>
      </c>
      <c r="T177" t="s">
        <v>198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idden="1" x14ac:dyDescent="0.25">
      <c r="A178" t="s">
        <v>20</v>
      </c>
      <c r="B178" t="s">
        <v>21</v>
      </c>
      <c r="C178" t="s">
        <v>22</v>
      </c>
      <c r="D178" s="1">
        <v>45789</v>
      </c>
      <c r="E178" s="1">
        <v>45789</v>
      </c>
      <c r="F178" s="2">
        <v>26</v>
      </c>
      <c r="G178" s="3" t="s">
        <v>23</v>
      </c>
      <c r="H178">
        <v>13</v>
      </c>
      <c r="I178" s="2">
        <v>0</v>
      </c>
      <c r="J178" s="2">
        <v>0</v>
      </c>
      <c r="K178" s="2">
        <v>0</v>
      </c>
      <c r="L178" s="2">
        <v>0</v>
      </c>
      <c r="M178">
        <v>1</v>
      </c>
      <c r="N178">
        <v>0</v>
      </c>
      <c r="O178" s="2">
        <v>0</v>
      </c>
      <c r="P178" s="2">
        <v>0</v>
      </c>
      <c r="Q178">
        <v>0</v>
      </c>
      <c r="R178" s="2">
        <v>0</v>
      </c>
      <c r="S178" s="2">
        <v>0</v>
      </c>
      <c r="T178" t="s">
        <v>199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2">
        <v>0</v>
      </c>
      <c r="AB178" s="2">
        <v>0</v>
      </c>
    </row>
    <row r="179" spans="1:28" hidden="1" x14ac:dyDescent="0.25">
      <c r="A179" t="s">
        <v>25</v>
      </c>
      <c r="B179" t="s">
        <v>26</v>
      </c>
      <c r="C179" t="s">
        <v>27</v>
      </c>
      <c r="D179" s="1">
        <v>45789</v>
      </c>
      <c r="E179" s="1">
        <v>45789</v>
      </c>
      <c r="F179" s="2">
        <v>30</v>
      </c>
      <c r="G179" s="3" t="s">
        <v>23</v>
      </c>
      <c r="H179">
        <v>3</v>
      </c>
      <c r="I179" s="2">
        <v>0</v>
      </c>
      <c r="J179" s="2">
        <v>0</v>
      </c>
      <c r="K179" s="2">
        <v>0</v>
      </c>
      <c r="L179" s="2">
        <v>0</v>
      </c>
      <c r="M179">
        <v>0</v>
      </c>
      <c r="N179">
        <v>1</v>
      </c>
      <c r="O179" s="2">
        <v>0</v>
      </c>
      <c r="P179" s="2">
        <v>0</v>
      </c>
      <c r="Q179">
        <v>0</v>
      </c>
      <c r="R179" s="2">
        <v>0</v>
      </c>
      <c r="S179" s="2">
        <v>0</v>
      </c>
      <c r="T179" t="s">
        <v>200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 s="2">
        <v>0</v>
      </c>
      <c r="AB179" s="2">
        <v>0</v>
      </c>
    </row>
    <row r="180" spans="1:28" hidden="1" x14ac:dyDescent="0.25">
      <c r="A180" t="s">
        <v>37</v>
      </c>
      <c r="B180" t="s">
        <v>38</v>
      </c>
      <c r="C180" t="s">
        <v>39</v>
      </c>
      <c r="D180" s="1">
        <v>45789</v>
      </c>
      <c r="E180" s="1">
        <v>45789</v>
      </c>
      <c r="F180" s="2">
        <v>18</v>
      </c>
      <c r="G180" s="3" t="s">
        <v>23</v>
      </c>
      <c r="H180">
        <v>11</v>
      </c>
      <c r="I180" s="2">
        <v>0</v>
      </c>
      <c r="J180" s="2">
        <v>0</v>
      </c>
      <c r="K180" s="2">
        <v>0</v>
      </c>
      <c r="L180" s="2">
        <v>0</v>
      </c>
      <c r="M180">
        <v>0</v>
      </c>
      <c r="N180">
        <v>0</v>
      </c>
      <c r="O180" s="2">
        <v>0</v>
      </c>
      <c r="P180" s="2">
        <v>0</v>
      </c>
      <c r="Q180">
        <v>0</v>
      </c>
      <c r="R180" s="2">
        <v>0</v>
      </c>
      <c r="S180" s="2">
        <v>0</v>
      </c>
      <c r="T180" t="s">
        <v>201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2">
        <v>0</v>
      </c>
      <c r="AB180" s="2">
        <v>0</v>
      </c>
    </row>
    <row r="181" spans="1:28" hidden="1" x14ac:dyDescent="0.25">
      <c r="A181" t="s">
        <v>53</v>
      </c>
      <c r="B181" t="s">
        <v>47</v>
      </c>
      <c r="C181">
        <v>0</v>
      </c>
      <c r="D181" s="1">
        <v>45789</v>
      </c>
      <c r="E181" s="1">
        <v>45789</v>
      </c>
      <c r="F181" s="2">
        <v>26</v>
      </c>
      <c r="G181" s="3" t="s">
        <v>23</v>
      </c>
      <c r="H181">
        <v>13</v>
      </c>
      <c r="I181" s="2">
        <v>0</v>
      </c>
      <c r="J181" s="2">
        <v>0</v>
      </c>
      <c r="K181" s="2">
        <v>0</v>
      </c>
      <c r="L181" s="2">
        <v>0</v>
      </c>
      <c r="M181">
        <v>0</v>
      </c>
      <c r="N181">
        <v>0</v>
      </c>
      <c r="O181" s="2">
        <v>0</v>
      </c>
      <c r="P181" s="2">
        <v>0</v>
      </c>
      <c r="Q181">
        <v>0</v>
      </c>
      <c r="R181" s="2">
        <v>0</v>
      </c>
      <c r="S181" s="2">
        <v>0</v>
      </c>
      <c r="T181" t="s">
        <v>199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2">
        <v>0</v>
      </c>
      <c r="AB181" s="2">
        <v>0</v>
      </c>
    </row>
    <row r="182" spans="1:28" hidden="1" x14ac:dyDescent="0.25">
      <c r="A182" t="s">
        <v>29</v>
      </c>
      <c r="B182" t="s">
        <v>30</v>
      </c>
      <c r="C182">
        <v>0</v>
      </c>
      <c r="D182" s="1">
        <v>45789</v>
      </c>
      <c r="E182" s="1">
        <v>45789</v>
      </c>
      <c r="F182" s="2">
        <v>0</v>
      </c>
      <c r="G182" s="3" t="s">
        <v>572</v>
      </c>
      <c r="H18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idden="1" x14ac:dyDescent="0.25">
      <c r="A183" t="s">
        <v>56</v>
      </c>
      <c r="B183" t="s">
        <v>47</v>
      </c>
      <c r="C183">
        <v>0</v>
      </c>
      <c r="D183" s="1">
        <v>45789</v>
      </c>
      <c r="E183" s="1">
        <v>45789</v>
      </c>
      <c r="F183" s="2">
        <v>0</v>
      </c>
      <c r="G183" s="3" t="s">
        <v>572</v>
      </c>
      <c r="H183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idden="1" x14ac:dyDescent="0.25">
      <c r="A184" t="s">
        <v>57</v>
      </c>
      <c r="B184" t="s">
        <v>47</v>
      </c>
      <c r="C184">
        <v>0</v>
      </c>
      <c r="D184" s="1">
        <v>45789</v>
      </c>
      <c r="E184" s="1">
        <v>45789</v>
      </c>
      <c r="F184" s="2">
        <v>0</v>
      </c>
      <c r="G184" s="3" t="s">
        <v>572</v>
      </c>
      <c r="H184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idden="1" x14ac:dyDescent="0.25">
      <c r="A185" t="s">
        <v>47</v>
      </c>
      <c r="B185" t="s">
        <v>34</v>
      </c>
      <c r="C185">
        <v>0</v>
      </c>
      <c r="D185" s="1">
        <v>45789</v>
      </c>
      <c r="E185" s="1">
        <v>45789</v>
      </c>
      <c r="F185" s="2">
        <v>0</v>
      </c>
      <c r="G185" s="3" t="s">
        <v>572</v>
      </c>
      <c r="H185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idden="1" x14ac:dyDescent="0.25">
      <c r="A186" t="s">
        <v>33</v>
      </c>
      <c r="B186" t="s">
        <v>47</v>
      </c>
      <c r="C186">
        <v>0</v>
      </c>
      <c r="D186" s="1">
        <v>45789</v>
      </c>
      <c r="E186" s="1">
        <v>45789</v>
      </c>
      <c r="F186" s="2">
        <v>0</v>
      </c>
      <c r="G186" s="3" t="s">
        <v>129</v>
      </c>
      <c r="H186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idden="1" x14ac:dyDescent="0.25">
      <c r="A187" t="s">
        <v>49</v>
      </c>
      <c r="B187" t="s">
        <v>47</v>
      </c>
      <c r="C187">
        <v>0</v>
      </c>
      <c r="D187" s="1">
        <v>45789</v>
      </c>
      <c r="E187" s="1">
        <v>45789</v>
      </c>
      <c r="F187" s="2">
        <v>0</v>
      </c>
      <c r="G187" s="3" t="s">
        <v>50</v>
      </c>
      <c r="H187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idden="1" x14ac:dyDescent="0.25">
      <c r="A188" t="s">
        <v>51</v>
      </c>
      <c r="B188" t="s">
        <v>47</v>
      </c>
      <c r="C188">
        <v>0</v>
      </c>
      <c r="D188" s="1">
        <v>45789</v>
      </c>
      <c r="E188" s="1">
        <v>45789</v>
      </c>
      <c r="F188" s="2">
        <v>0</v>
      </c>
      <c r="G188" s="3" t="s">
        <v>50</v>
      </c>
      <c r="H188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idden="1" x14ac:dyDescent="0.25">
      <c r="A189" t="s">
        <v>47</v>
      </c>
      <c r="B189" t="s">
        <v>52</v>
      </c>
      <c r="C189">
        <v>0</v>
      </c>
      <c r="D189" s="1">
        <v>45789</v>
      </c>
      <c r="E189" s="1">
        <v>45789</v>
      </c>
      <c r="F189" s="2">
        <v>0</v>
      </c>
      <c r="G189" s="3" t="s">
        <v>50</v>
      </c>
      <c r="H189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idden="1" x14ac:dyDescent="0.25">
      <c r="A190" t="s">
        <v>56</v>
      </c>
      <c r="B190" t="s">
        <v>57</v>
      </c>
      <c r="C190" t="s">
        <v>64</v>
      </c>
      <c r="D190" s="1">
        <v>45790</v>
      </c>
      <c r="E190" s="1">
        <v>45790</v>
      </c>
      <c r="F190" s="2">
        <v>23</v>
      </c>
      <c r="G190" s="3" t="s">
        <v>23</v>
      </c>
      <c r="H190">
        <v>28</v>
      </c>
      <c r="I190" s="2">
        <v>0</v>
      </c>
      <c r="J190" s="2">
        <v>0</v>
      </c>
      <c r="K190" s="2">
        <v>0</v>
      </c>
      <c r="L190" s="2">
        <v>1</v>
      </c>
      <c r="M190">
        <v>0</v>
      </c>
      <c r="N190">
        <v>0</v>
      </c>
      <c r="O190" s="2">
        <v>0</v>
      </c>
      <c r="P190" s="2">
        <v>0</v>
      </c>
      <c r="Q190">
        <v>0</v>
      </c>
      <c r="R190" s="2">
        <v>0</v>
      </c>
      <c r="S190" s="2">
        <v>0</v>
      </c>
      <c r="T190" t="s">
        <v>202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idden="1" x14ac:dyDescent="0.25">
      <c r="A191" t="s">
        <v>20</v>
      </c>
      <c r="B191" t="s">
        <v>21</v>
      </c>
      <c r="C191" t="s">
        <v>22</v>
      </c>
      <c r="D191" s="1">
        <v>45790</v>
      </c>
      <c r="E191" s="1">
        <v>45790</v>
      </c>
      <c r="F191" s="2">
        <v>32</v>
      </c>
      <c r="G191" s="3" t="s">
        <v>23</v>
      </c>
      <c r="H191">
        <v>17</v>
      </c>
      <c r="I191" s="2">
        <v>0</v>
      </c>
      <c r="J191" s="2">
        <v>0</v>
      </c>
      <c r="K191" s="2">
        <v>1</v>
      </c>
      <c r="L191" s="2">
        <v>0</v>
      </c>
      <c r="M191">
        <v>0</v>
      </c>
      <c r="N191">
        <v>0</v>
      </c>
      <c r="O191" s="2">
        <v>0</v>
      </c>
      <c r="P191" s="2">
        <v>0</v>
      </c>
      <c r="Q191">
        <v>2</v>
      </c>
      <c r="R191" s="2">
        <v>0</v>
      </c>
      <c r="S191" s="2">
        <v>0</v>
      </c>
      <c r="T191" t="s">
        <v>203</v>
      </c>
      <c r="U191" s="2">
        <v>0</v>
      </c>
      <c r="V191" s="2">
        <v>19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idden="1" x14ac:dyDescent="0.25">
      <c r="A192" t="s">
        <v>25</v>
      </c>
      <c r="B192" t="s">
        <v>26</v>
      </c>
      <c r="C192" t="s">
        <v>27</v>
      </c>
      <c r="D192" s="1">
        <v>45790</v>
      </c>
      <c r="E192" s="1">
        <v>45790</v>
      </c>
      <c r="F192" s="2">
        <v>23</v>
      </c>
      <c r="G192" s="3" t="s">
        <v>23</v>
      </c>
      <c r="H192">
        <v>22</v>
      </c>
      <c r="I192" s="2">
        <v>0</v>
      </c>
      <c r="J192" s="2">
        <v>0</v>
      </c>
      <c r="K192" s="2">
        <v>1</v>
      </c>
      <c r="L192" s="2">
        <v>0</v>
      </c>
      <c r="M192">
        <v>0</v>
      </c>
      <c r="N192">
        <v>0</v>
      </c>
      <c r="O192" s="2">
        <v>0</v>
      </c>
      <c r="P192" s="2">
        <v>0</v>
      </c>
      <c r="Q192">
        <v>0</v>
      </c>
      <c r="R192" s="2">
        <v>0</v>
      </c>
      <c r="S192" s="2">
        <v>0</v>
      </c>
      <c r="T192" t="s">
        <v>204</v>
      </c>
      <c r="U192" s="2">
        <v>0</v>
      </c>
      <c r="V192" s="2">
        <v>19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idden="1" x14ac:dyDescent="0.25">
      <c r="A193" t="s">
        <v>37</v>
      </c>
      <c r="B193" t="s">
        <v>38</v>
      </c>
      <c r="C193" t="s">
        <v>39</v>
      </c>
      <c r="D193" s="1">
        <v>45790</v>
      </c>
      <c r="E193" s="1">
        <v>45790</v>
      </c>
      <c r="F193" s="2">
        <v>22</v>
      </c>
      <c r="G193" s="3" t="s">
        <v>23</v>
      </c>
      <c r="H193">
        <v>12</v>
      </c>
      <c r="I193" s="2">
        <v>0</v>
      </c>
      <c r="J193" s="2">
        <v>0</v>
      </c>
      <c r="K193" s="2">
        <v>0</v>
      </c>
      <c r="L193" s="2">
        <v>0</v>
      </c>
      <c r="M193">
        <v>0</v>
      </c>
      <c r="N193">
        <v>0</v>
      </c>
      <c r="O193" s="2">
        <v>0</v>
      </c>
      <c r="P193" s="2">
        <v>0</v>
      </c>
      <c r="Q193">
        <v>0</v>
      </c>
      <c r="R193" s="2">
        <v>0</v>
      </c>
      <c r="S193" s="2">
        <v>0</v>
      </c>
      <c r="T193" t="s">
        <v>205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idden="1" x14ac:dyDescent="0.25">
      <c r="A194" t="s">
        <v>29</v>
      </c>
      <c r="B194" t="s">
        <v>30</v>
      </c>
      <c r="C194">
        <v>0</v>
      </c>
      <c r="D194" s="1">
        <v>45790</v>
      </c>
      <c r="E194" s="1">
        <v>45790</v>
      </c>
      <c r="F194" s="2">
        <v>0</v>
      </c>
      <c r="G194" s="3" t="s">
        <v>23</v>
      </c>
      <c r="H194">
        <v>22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19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idden="1" x14ac:dyDescent="0.25">
      <c r="A195" t="s">
        <v>53</v>
      </c>
      <c r="B195" t="s">
        <v>34</v>
      </c>
      <c r="C195" t="s">
        <v>64</v>
      </c>
      <c r="D195" s="1">
        <v>45790</v>
      </c>
      <c r="E195" s="1">
        <v>45790</v>
      </c>
      <c r="F195" s="2">
        <v>23</v>
      </c>
      <c r="G195" s="3" t="s">
        <v>23</v>
      </c>
      <c r="H195">
        <v>20</v>
      </c>
      <c r="I195" s="2">
        <v>0</v>
      </c>
      <c r="J195" s="2">
        <v>0</v>
      </c>
      <c r="K195" s="2">
        <v>1</v>
      </c>
      <c r="L195" s="2">
        <v>0</v>
      </c>
      <c r="M195">
        <v>0</v>
      </c>
      <c r="N195">
        <v>0</v>
      </c>
      <c r="O195" s="2">
        <v>0</v>
      </c>
      <c r="P195" s="2">
        <v>0</v>
      </c>
      <c r="Q195">
        <v>0</v>
      </c>
      <c r="R195" s="2">
        <v>0</v>
      </c>
      <c r="S195" s="2">
        <v>0</v>
      </c>
      <c r="T195" t="s">
        <v>202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idden="1" x14ac:dyDescent="0.25">
      <c r="A196" t="s">
        <v>33</v>
      </c>
      <c r="B196" t="s">
        <v>47</v>
      </c>
      <c r="C196">
        <v>0</v>
      </c>
      <c r="D196" s="1">
        <v>45790</v>
      </c>
      <c r="E196" s="1">
        <v>45790</v>
      </c>
      <c r="F196" s="2">
        <v>0</v>
      </c>
      <c r="G196" s="3" t="s">
        <v>129</v>
      </c>
      <c r="H196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idden="1" x14ac:dyDescent="0.25">
      <c r="A197" t="s">
        <v>49</v>
      </c>
      <c r="B197" t="s">
        <v>47</v>
      </c>
      <c r="C197">
        <v>0</v>
      </c>
      <c r="D197" s="1">
        <v>45790</v>
      </c>
      <c r="E197" s="1">
        <v>45790</v>
      </c>
      <c r="F197" s="2">
        <v>0</v>
      </c>
      <c r="G197" s="3" t="s">
        <v>50</v>
      </c>
      <c r="H197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idden="1" x14ac:dyDescent="0.25">
      <c r="A198" t="s">
        <v>51</v>
      </c>
      <c r="B198" t="s">
        <v>47</v>
      </c>
      <c r="C198">
        <v>0</v>
      </c>
      <c r="D198" s="1">
        <v>45790</v>
      </c>
      <c r="E198" s="1">
        <v>45790</v>
      </c>
      <c r="F198" s="2">
        <v>0</v>
      </c>
      <c r="G198" s="3" t="s">
        <v>50</v>
      </c>
      <c r="H198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idden="1" x14ac:dyDescent="0.25">
      <c r="A199" t="s">
        <v>47</v>
      </c>
      <c r="B199" t="s">
        <v>52</v>
      </c>
      <c r="C199">
        <v>0</v>
      </c>
      <c r="D199" s="1">
        <v>45790</v>
      </c>
      <c r="E199" s="1">
        <v>45790</v>
      </c>
      <c r="F199" s="2">
        <v>0</v>
      </c>
      <c r="G199" s="3" t="s">
        <v>50</v>
      </c>
      <c r="H199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</row>
    <row r="200" spans="1:28" hidden="1" x14ac:dyDescent="0.25">
      <c r="A200" t="s">
        <v>56</v>
      </c>
      <c r="B200" t="s">
        <v>30</v>
      </c>
      <c r="C200" t="s">
        <v>64</v>
      </c>
      <c r="D200" s="1">
        <v>45791</v>
      </c>
      <c r="E200" s="1">
        <v>45791</v>
      </c>
      <c r="F200" s="2">
        <v>42</v>
      </c>
      <c r="G200" s="3" t="s">
        <v>23</v>
      </c>
      <c r="H200">
        <v>10</v>
      </c>
      <c r="I200" s="2">
        <v>0</v>
      </c>
      <c r="J200" s="2">
        <v>0</v>
      </c>
      <c r="K200" s="2">
        <v>0</v>
      </c>
      <c r="L200" s="2">
        <v>1</v>
      </c>
      <c r="M200">
        <v>0</v>
      </c>
      <c r="N200">
        <v>0</v>
      </c>
      <c r="O200" s="2">
        <v>0</v>
      </c>
      <c r="P200" s="2">
        <v>0</v>
      </c>
      <c r="Q200">
        <v>1</v>
      </c>
      <c r="R200" s="2">
        <v>0</v>
      </c>
      <c r="S200" s="2">
        <v>0</v>
      </c>
      <c r="T200" t="s">
        <v>207</v>
      </c>
      <c r="U200" s="2">
        <v>0</v>
      </c>
      <c r="V200" s="2">
        <v>22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idden="1" x14ac:dyDescent="0.25">
      <c r="A201" t="s">
        <v>53</v>
      </c>
      <c r="B201" t="s">
        <v>34</v>
      </c>
      <c r="C201" t="s">
        <v>54</v>
      </c>
      <c r="D201" s="1">
        <v>45791</v>
      </c>
      <c r="E201" s="1">
        <v>45791</v>
      </c>
      <c r="F201" s="2">
        <v>56</v>
      </c>
      <c r="G201" s="3" t="s">
        <v>23</v>
      </c>
      <c r="H201">
        <v>28</v>
      </c>
      <c r="I201" s="2">
        <v>0</v>
      </c>
      <c r="J201" s="2">
        <v>0</v>
      </c>
      <c r="K201" s="2">
        <v>1</v>
      </c>
      <c r="L201" s="2">
        <v>0</v>
      </c>
      <c r="M201">
        <v>0</v>
      </c>
      <c r="N201">
        <v>0</v>
      </c>
      <c r="O201" s="2">
        <v>0</v>
      </c>
      <c r="P201" s="2">
        <v>0</v>
      </c>
      <c r="Q201">
        <v>0</v>
      </c>
      <c r="R201" s="2">
        <v>0</v>
      </c>
      <c r="S201" s="2">
        <v>0</v>
      </c>
      <c r="T201" t="s">
        <v>208</v>
      </c>
      <c r="U201" s="2">
        <v>0</v>
      </c>
      <c r="V201" s="2">
        <v>22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</row>
    <row r="202" spans="1:28" hidden="1" x14ac:dyDescent="0.25">
      <c r="A202" t="s">
        <v>63</v>
      </c>
      <c r="B202" t="s">
        <v>26</v>
      </c>
      <c r="C202" t="s">
        <v>102</v>
      </c>
      <c r="D202" s="1">
        <v>45791</v>
      </c>
      <c r="E202" s="1">
        <v>45791</v>
      </c>
      <c r="F202" s="2">
        <v>33</v>
      </c>
      <c r="G202" s="3" t="s">
        <v>23</v>
      </c>
      <c r="H202">
        <v>35</v>
      </c>
      <c r="I202" s="2">
        <v>0</v>
      </c>
      <c r="J202" s="2">
        <v>0</v>
      </c>
      <c r="K202" s="2">
        <v>1</v>
      </c>
      <c r="L202" s="2">
        <v>0</v>
      </c>
      <c r="M202">
        <v>0</v>
      </c>
      <c r="N202">
        <v>0</v>
      </c>
      <c r="O202" s="2">
        <v>0</v>
      </c>
      <c r="P202" s="2">
        <v>0</v>
      </c>
      <c r="Q202">
        <v>0</v>
      </c>
      <c r="R202" s="2">
        <v>0</v>
      </c>
      <c r="S202" s="2">
        <v>0</v>
      </c>
      <c r="T202" t="s">
        <v>209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idden="1" x14ac:dyDescent="0.25">
      <c r="A203" t="s">
        <v>37</v>
      </c>
      <c r="B203" t="s">
        <v>38</v>
      </c>
      <c r="C203" t="s">
        <v>39</v>
      </c>
      <c r="D203" s="1">
        <v>45791</v>
      </c>
      <c r="E203" s="1">
        <v>45791</v>
      </c>
      <c r="F203" s="2">
        <v>36</v>
      </c>
      <c r="G203" s="3" t="s">
        <v>23</v>
      </c>
      <c r="H203">
        <v>38</v>
      </c>
      <c r="I203" s="2">
        <v>0</v>
      </c>
      <c r="J203" s="2">
        <v>0</v>
      </c>
      <c r="K203" s="2">
        <v>1</v>
      </c>
      <c r="L203" s="2">
        <v>0</v>
      </c>
      <c r="M203">
        <v>1</v>
      </c>
      <c r="N203">
        <v>0</v>
      </c>
      <c r="O203" s="2">
        <v>0</v>
      </c>
      <c r="P203" s="2">
        <v>0</v>
      </c>
      <c r="Q203">
        <v>0</v>
      </c>
      <c r="R203" s="2">
        <v>0</v>
      </c>
      <c r="S203" s="2">
        <v>0</v>
      </c>
      <c r="T203" t="s">
        <v>210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</row>
    <row r="204" spans="1:28" hidden="1" x14ac:dyDescent="0.25">
      <c r="A204" t="s">
        <v>211</v>
      </c>
      <c r="B204" t="s">
        <v>21</v>
      </c>
      <c r="C204" t="s">
        <v>212</v>
      </c>
      <c r="D204" s="1">
        <v>45791</v>
      </c>
      <c r="E204" s="1">
        <v>45791</v>
      </c>
      <c r="F204" s="2">
        <v>29</v>
      </c>
      <c r="G204" s="3" t="s">
        <v>23</v>
      </c>
      <c r="H204">
        <v>24</v>
      </c>
      <c r="I204" s="2">
        <v>0</v>
      </c>
      <c r="J204" s="2">
        <v>0</v>
      </c>
      <c r="K204" s="2">
        <v>1</v>
      </c>
      <c r="L204" s="2">
        <v>0</v>
      </c>
      <c r="M204">
        <v>0</v>
      </c>
      <c r="N204">
        <v>0</v>
      </c>
      <c r="O204" s="2">
        <v>0</v>
      </c>
      <c r="P204" s="2">
        <v>0</v>
      </c>
      <c r="Q204">
        <v>0</v>
      </c>
      <c r="R204" s="2">
        <v>0</v>
      </c>
      <c r="S204" s="2">
        <v>0</v>
      </c>
      <c r="T204" t="s">
        <v>213</v>
      </c>
      <c r="U204" s="2">
        <v>0</v>
      </c>
      <c r="V204" s="2">
        <v>13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</row>
    <row r="205" spans="1:28" hidden="1" x14ac:dyDescent="0.25">
      <c r="A205" t="s">
        <v>29</v>
      </c>
      <c r="B205" t="s">
        <v>47</v>
      </c>
      <c r="C205">
        <v>0</v>
      </c>
      <c r="D205" s="1">
        <v>45791</v>
      </c>
      <c r="E205" s="1">
        <v>45791</v>
      </c>
      <c r="F205" s="2">
        <v>0</v>
      </c>
      <c r="G205" s="3" t="s">
        <v>572</v>
      </c>
      <c r="H205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idden="1" x14ac:dyDescent="0.25">
      <c r="A206" t="s">
        <v>25</v>
      </c>
      <c r="B206" t="s">
        <v>47</v>
      </c>
      <c r="C206">
        <v>0</v>
      </c>
      <c r="D206" s="1">
        <v>45791</v>
      </c>
      <c r="E206" s="1">
        <v>45791</v>
      </c>
      <c r="F206" s="2">
        <v>0</v>
      </c>
      <c r="G206" s="3" t="s">
        <v>48</v>
      </c>
      <c r="H206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idden="1" x14ac:dyDescent="0.25">
      <c r="A207" t="s">
        <v>20</v>
      </c>
      <c r="B207" t="s">
        <v>47</v>
      </c>
      <c r="C207">
        <v>0</v>
      </c>
      <c r="D207" s="1">
        <v>45791</v>
      </c>
      <c r="E207" s="1">
        <v>45791</v>
      </c>
      <c r="F207" s="2">
        <v>0</v>
      </c>
      <c r="G207" s="3" t="s">
        <v>48</v>
      </c>
      <c r="H207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idden="1" x14ac:dyDescent="0.25">
      <c r="A208" t="s">
        <v>33</v>
      </c>
      <c r="B208" t="s">
        <v>47</v>
      </c>
      <c r="C208">
        <v>0</v>
      </c>
      <c r="D208" s="1">
        <v>45791</v>
      </c>
      <c r="E208" s="1">
        <v>45791</v>
      </c>
      <c r="F208" s="2">
        <v>0</v>
      </c>
      <c r="G208" s="3" t="s">
        <v>129</v>
      </c>
      <c r="H208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idden="1" x14ac:dyDescent="0.25">
      <c r="A209" t="s">
        <v>49</v>
      </c>
      <c r="B209" t="s">
        <v>47</v>
      </c>
      <c r="C209">
        <v>0</v>
      </c>
      <c r="D209" s="1">
        <v>45791</v>
      </c>
      <c r="E209" s="1">
        <v>45791</v>
      </c>
      <c r="F209" s="2">
        <v>0</v>
      </c>
      <c r="G209" s="3" t="s">
        <v>50</v>
      </c>
      <c r="H209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idden="1" x14ac:dyDescent="0.25">
      <c r="A210" t="s">
        <v>51</v>
      </c>
      <c r="B210" t="s">
        <v>47</v>
      </c>
      <c r="C210">
        <v>0</v>
      </c>
      <c r="D210" s="1">
        <v>45791</v>
      </c>
      <c r="E210" s="1">
        <v>45791</v>
      </c>
      <c r="F210" s="2">
        <v>0</v>
      </c>
      <c r="G210" s="3" t="s">
        <v>50</v>
      </c>
      <c r="H210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idden="1" x14ac:dyDescent="0.25">
      <c r="A211" t="s">
        <v>47</v>
      </c>
      <c r="B211" t="s">
        <v>52</v>
      </c>
      <c r="C211">
        <v>0</v>
      </c>
      <c r="D211" s="1">
        <v>45791</v>
      </c>
      <c r="E211" s="1">
        <v>45791</v>
      </c>
      <c r="F211" s="2">
        <v>0</v>
      </c>
      <c r="G211" s="3" t="s">
        <v>50</v>
      </c>
      <c r="H211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idden="1" x14ac:dyDescent="0.25">
      <c r="A212" t="s">
        <v>20</v>
      </c>
      <c r="B212" t="s">
        <v>106</v>
      </c>
      <c r="C212" t="s">
        <v>22</v>
      </c>
      <c r="D212" s="1">
        <v>45792</v>
      </c>
      <c r="E212" s="1">
        <v>45792</v>
      </c>
      <c r="F212" s="2">
        <v>47</v>
      </c>
      <c r="G212" s="3" t="s">
        <v>23</v>
      </c>
      <c r="H212">
        <v>32</v>
      </c>
      <c r="I212" s="2">
        <v>0</v>
      </c>
      <c r="J212" s="2">
        <v>0</v>
      </c>
      <c r="K212" s="2">
        <v>1</v>
      </c>
      <c r="L212" s="2">
        <v>0</v>
      </c>
      <c r="M212">
        <v>0</v>
      </c>
      <c r="N212">
        <v>0</v>
      </c>
      <c r="O212" s="2">
        <v>0</v>
      </c>
      <c r="P212" s="2">
        <v>0</v>
      </c>
      <c r="Q212">
        <v>1</v>
      </c>
      <c r="R212" s="2">
        <v>0</v>
      </c>
      <c r="S212" s="2">
        <v>0</v>
      </c>
      <c r="T212" t="s">
        <v>214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idden="1" x14ac:dyDescent="0.25">
      <c r="A213" t="s">
        <v>63</v>
      </c>
      <c r="B213" t="s">
        <v>26</v>
      </c>
      <c r="C213" t="s">
        <v>102</v>
      </c>
      <c r="D213" s="1">
        <v>45792</v>
      </c>
      <c r="E213" s="1">
        <v>45792</v>
      </c>
      <c r="F213" s="2">
        <v>58</v>
      </c>
      <c r="G213" s="3" t="s">
        <v>23</v>
      </c>
      <c r="H213">
        <v>36</v>
      </c>
      <c r="I213" s="2">
        <v>0</v>
      </c>
      <c r="J213" s="2">
        <v>0</v>
      </c>
      <c r="K213" s="2">
        <v>1</v>
      </c>
      <c r="L213" s="2">
        <v>0</v>
      </c>
      <c r="M213">
        <v>0</v>
      </c>
      <c r="N213">
        <v>0</v>
      </c>
      <c r="O213" s="2">
        <v>0</v>
      </c>
      <c r="P213" s="2">
        <v>0</v>
      </c>
      <c r="Q213">
        <v>0</v>
      </c>
      <c r="R213" s="2">
        <v>0</v>
      </c>
      <c r="S213" s="2">
        <v>0</v>
      </c>
      <c r="T213" t="s">
        <v>215</v>
      </c>
      <c r="U213" s="2">
        <v>0</v>
      </c>
      <c r="V213" s="2">
        <v>2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idden="1" x14ac:dyDescent="0.25">
      <c r="A214" t="s">
        <v>37</v>
      </c>
      <c r="B214" t="s">
        <v>57</v>
      </c>
      <c r="C214" t="s">
        <v>39</v>
      </c>
      <c r="D214" s="1">
        <v>45792</v>
      </c>
      <c r="E214" s="1">
        <v>45792</v>
      </c>
      <c r="F214" s="2">
        <v>34</v>
      </c>
      <c r="G214" s="3" t="s">
        <v>23</v>
      </c>
      <c r="H214">
        <v>20</v>
      </c>
      <c r="I214" s="2">
        <v>0</v>
      </c>
      <c r="J214" s="2">
        <v>0</v>
      </c>
      <c r="K214" s="2">
        <v>0</v>
      </c>
      <c r="L214" s="2">
        <v>1</v>
      </c>
      <c r="M214">
        <v>0</v>
      </c>
      <c r="N214">
        <v>1</v>
      </c>
      <c r="O214" s="2">
        <v>0</v>
      </c>
      <c r="P214" s="2">
        <v>0</v>
      </c>
      <c r="Q214">
        <v>0</v>
      </c>
      <c r="R214" s="2">
        <v>0</v>
      </c>
      <c r="S214" s="2">
        <v>0</v>
      </c>
      <c r="T214" t="s">
        <v>216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idden="1" x14ac:dyDescent="0.25">
      <c r="A215" t="s">
        <v>29</v>
      </c>
      <c r="B215" t="s">
        <v>30</v>
      </c>
      <c r="C215">
        <v>0</v>
      </c>
      <c r="D215" s="1">
        <v>45792</v>
      </c>
      <c r="E215" s="1">
        <v>45792</v>
      </c>
      <c r="F215" s="2">
        <v>0</v>
      </c>
      <c r="G215" s="3" t="s">
        <v>23</v>
      </c>
      <c r="H215">
        <v>14</v>
      </c>
      <c r="I215" s="2">
        <v>0</v>
      </c>
      <c r="J215" s="2">
        <v>0</v>
      </c>
      <c r="K215" s="2">
        <v>1</v>
      </c>
      <c r="L215" s="2">
        <v>0</v>
      </c>
      <c r="M215">
        <v>0</v>
      </c>
      <c r="N215">
        <v>1</v>
      </c>
      <c r="O215" s="2">
        <v>0</v>
      </c>
      <c r="P215" s="2">
        <v>0</v>
      </c>
      <c r="Q215">
        <v>0</v>
      </c>
      <c r="R215" s="2">
        <v>0</v>
      </c>
      <c r="S215" s="2">
        <v>0</v>
      </c>
      <c r="T215" t="s">
        <v>216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</row>
    <row r="216" spans="1:28" hidden="1" x14ac:dyDescent="0.25">
      <c r="A216" t="s">
        <v>53</v>
      </c>
      <c r="B216" t="s">
        <v>34</v>
      </c>
      <c r="C216" t="s">
        <v>54</v>
      </c>
      <c r="D216" s="1">
        <v>45792</v>
      </c>
      <c r="E216" s="1">
        <v>45792</v>
      </c>
      <c r="F216" s="2">
        <v>56</v>
      </c>
      <c r="G216" s="3" t="s">
        <v>23</v>
      </c>
      <c r="H216">
        <v>24</v>
      </c>
      <c r="I216" s="2">
        <v>0</v>
      </c>
      <c r="J216" s="2">
        <v>0</v>
      </c>
      <c r="K216" s="2">
        <v>1</v>
      </c>
      <c r="L216" s="2">
        <v>0</v>
      </c>
      <c r="M216">
        <v>0</v>
      </c>
      <c r="N216">
        <v>1</v>
      </c>
      <c r="O216" s="2">
        <v>0</v>
      </c>
      <c r="P216" s="2">
        <v>0</v>
      </c>
      <c r="Q216">
        <v>0</v>
      </c>
      <c r="R216" s="2">
        <v>0</v>
      </c>
      <c r="S216" s="2">
        <v>0</v>
      </c>
      <c r="T216" t="s">
        <v>216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idden="1" x14ac:dyDescent="0.25">
      <c r="A217" t="s">
        <v>56</v>
      </c>
      <c r="B217" t="s">
        <v>47</v>
      </c>
      <c r="C217">
        <v>0</v>
      </c>
      <c r="D217" s="1">
        <v>45792</v>
      </c>
      <c r="E217" s="1">
        <v>45792</v>
      </c>
      <c r="F217" s="2">
        <v>0</v>
      </c>
      <c r="G217" s="3" t="s">
        <v>48</v>
      </c>
      <c r="H217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idden="1" x14ac:dyDescent="0.25">
      <c r="A218" t="s">
        <v>47</v>
      </c>
      <c r="B218" t="s">
        <v>38</v>
      </c>
      <c r="C218">
        <v>0</v>
      </c>
      <c r="D218" s="1">
        <v>45792</v>
      </c>
      <c r="E218" s="1">
        <v>45792</v>
      </c>
      <c r="F218" s="2">
        <v>0</v>
      </c>
      <c r="G218" s="3" t="s">
        <v>48</v>
      </c>
      <c r="H218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idden="1" x14ac:dyDescent="0.25">
      <c r="A219" t="s">
        <v>47</v>
      </c>
      <c r="B219" t="s">
        <v>21</v>
      </c>
      <c r="C219">
        <v>0</v>
      </c>
      <c r="D219" s="1">
        <v>45792</v>
      </c>
      <c r="E219" s="1">
        <v>45792</v>
      </c>
      <c r="F219" s="2">
        <v>0</v>
      </c>
      <c r="G219" s="3" t="s">
        <v>48</v>
      </c>
      <c r="H219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idden="1" x14ac:dyDescent="0.25">
      <c r="A220" t="s">
        <v>25</v>
      </c>
      <c r="B220" t="s">
        <v>47</v>
      </c>
      <c r="C220">
        <v>0</v>
      </c>
      <c r="D220" s="1">
        <v>45792</v>
      </c>
      <c r="E220" s="1">
        <v>45792</v>
      </c>
      <c r="F220" s="2">
        <v>0</v>
      </c>
      <c r="G220" s="3" t="s">
        <v>50</v>
      </c>
      <c r="H220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</row>
    <row r="221" spans="1:28" hidden="1" x14ac:dyDescent="0.25">
      <c r="A221" t="s">
        <v>33</v>
      </c>
      <c r="B221" t="s">
        <v>47</v>
      </c>
      <c r="C221">
        <v>0</v>
      </c>
      <c r="D221" s="1">
        <v>45792</v>
      </c>
      <c r="E221" s="1">
        <v>45792</v>
      </c>
      <c r="F221" s="2">
        <v>0</v>
      </c>
      <c r="G221" s="3" t="s">
        <v>129</v>
      </c>
      <c r="H221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idden="1" x14ac:dyDescent="0.25">
      <c r="A222" t="s">
        <v>49</v>
      </c>
      <c r="B222" t="s">
        <v>47</v>
      </c>
      <c r="C222">
        <v>0</v>
      </c>
      <c r="D222" s="1">
        <v>45792</v>
      </c>
      <c r="E222" s="1">
        <v>45792</v>
      </c>
      <c r="F222" s="2">
        <v>0</v>
      </c>
      <c r="G222" s="3" t="s">
        <v>50</v>
      </c>
      <c r="H22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idden="1" x14ac:dyDescent="0.25">
      <c r="A223" t="s">
        <v>51</v>
      </c>
      <c r="B223" t="s">
        <v>47</v>
      </c>
      <c r="C223">
        <v>0</v>
      </c>
      <c r="D223" s="1">
        <v>45792</v>
      </c>
      <c r="E223" s="1">
        <v>45792</v>
      </c>
      <c r="F223" s="2">
        <v>0</v>
      </c>
      <c r="G223" s="3" t="s">
        <v>50</v>
      </c>
      <c r="H223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idden="1" x14ac:dyDescent="0.25">
      <c r="A224" t="s">
        <v>47</v>
      </c>
      <c r="B224" t="s">
        <v>52</v>
      </c>
      <c r="C224">
        <v>0</v>
      </c>
      <c r="D224" s="1">
        <v>45792</v>
      </c>
      <c r="E224" s="1">
        <v>45792</v>
      </c>
      <c r="F224" s="2">
        <v>0</v>
      </c>
      <c r="G224" s="3" t="s">
        <v>50</v>
      </c>
      <c r="H224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idden="1" x14ac:dyDescent="0.25">
      <c r="A225" t="s">
        <v>56</v>
      </c>
      <c r="B225" t="s">
        <v>106</v>
      </c>
      <c r="C225" t="s">
        <v>64</v>
      </c>
      <c r="D225" s="1">
        <v>45793</v>
      </c>
      <c r="E225" s="1">
        <v>45793</v>
      </c>
      <c r="F225" s="2">
        <v>32</v>
      </c>
      <c r="G225" s="3" t="s">
        <v>23</v>
      </c>
      <c r="H225">
        <v>18</v>
      </c>
      <c r="I225" s="2">
        <v>0</v>
      </c>
      <c r="J225" s="2">
        <v>0</v>
      </c>
      <c r="K225" s="2">
        <v>0</v>
      </c>
      <c r="L225" s="2">
        <v>1</v>
      </c>
      <c r="M225">
        <v>0</v>
      </c>
      <c r="N225">
        <v>0</v>
      </c>
      <c r="O225" s="2">
        <v>0</v>
      </c>
      <c r="P225" s="2">
        <v>0</v>
      </c>
      <c r="Q225">
        <v>0</v>
      </c>
      <c r="R225" s="2">
        <v>0</v>
      </c>
      <c r="S225" s="2">
        <v>0</v>
      </c>
      <c r="T225" t="s">
        <v>217</v>
      </c>
      <c r="U225" s="2">
        <v>0</v>
      </c>
      <c r="V225" s="2">
        <v>20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</row>
    <row r="226" spans="1:28" hidden="1" x14ac:dyDescent="0.25">
      <c r="A226" t="s">
        <v>20</v>
      </c>
      <c r="B226" t="s">
        <v>21</v>
      </c>
      <c r="C226" t="s">
        <v>22</v>
      </c>
      <c r="D226" s="1">
        <v>45793</v>
      </c>
      <c r="E226" s="1">
        <v>45793</v>
      </c>
      <c r="F226" s="2">
        <v>26</v>
      </c>
      <c r="G226" s="3" t="s">
        <v>23</v>
      </c>
      <c r="H226">
        <v>19</v>
      </c>
      <c r="I226" s="2">
        <v>0</v>
      </c>
      <c r="J226" s="2">
        <v>0</v>
      </c>
      <c r="K226" s="2">
        <v>1</v>
      </c>
      <c r="L226" s="2">
        <v>0</v>
      </c>
      <c r="M226">
        <v>0</v>
      </c>
      <c r="N226">
        <v>0</v>
      </c>
      <c r="O226" s="2">
        <v>0</v>
      </c>
      <c r="P226" s="2">
        <v>0</v>
      </c>
      <c r="Q226">
        <v>0</v>
      </c>
      <c r="R226" s="2">
        <v>0</v>
      </c>
      <c r="S226" s="2">
        <v>0</v>
      </c>
      <c r="T226" t="s">
        <v>218</v>
      </c>
      <c r="U226" s="2">
        <v>0</v>
      </c>
      <c r="V226" s="2">
        <v>14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</row>
    <row r="227" spans="1:28" hidden="1" x14ac:dyDescent="0.25">
      <c r="A227" t="s">
        <v>63</v>
      </c>
      <c r="B227" t="s">
        <v>38</v>
      </c>
      <c r="C227" t="s">
        <v>102</v>
      </c>
      <c r="D227" s="1">
        <v>45793</v>
      </c>
      <c r="E227" s="1">
        <v>45793</v>
      </c>
      <c r="F227" s="2">
        <v>102</v>
      </c>
      <c r="G227" s="3" t="s">
        <v>23</v>
      </c>
      <c r="H227">
        <v>38</v>
      </c>
      <c r="I227" s="2">
        <v>0</v>
      </c>
      <c r="J227" s="2">
        <v>0</v>
      </c>
      <c r="K227" s="2">
        <v>1</v>
      </c>
      <c r="L227" s="2">
        <v>0</v>
      </c>
      <c r="M227">
        <v>0</v>
      </c>
      <c r="N227">
        <v>0</v>
      </c>
      <c r="O227" s="2">
        <v>0</v>
      </c>
      <c r="P227" s="2">
        <v>0</v>
      </c>
      <c r="Q227">
        <v>0</v>
      </c>
      <c r="R227" s="2">
        <v>0</v>
      </c>
      <c r="S227" s="2">
        <v>0</v>
      </c>
      <c r="T227" t="s">
        <v>219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idden="1" x14ac:dyDescent="0.25">
      <c r="A228" t="s">
        <v>29</v>
      </c>
      <c r="B228" t="s">
        <v>30</v>
      </c>
      <c r="C228" t="s">
        <v>31</v>
      </c>
      <c r="D228" s="1">
        <v>45793</v>
      </c>
      <c r="E228" s="1">
        <v>45793</v>
      </c>
      <c r="F228" s="2">
        <v>37</v>
      </c>
      <c r="G228" s="3" t="s">
        <v>23</v>
      </c>
      <c r="H228">
        <v>18</v>
      </c>
      <c r="I228" s="2">
        <v>0</v>
      </c>
      <c r="J228" s="2">
        <v>0</v>
      </c>
      <c r="K228" s="2">
        <v>1</v>
      </c>
      <c r="L228" s="2">
        <v>0</v>
      </c>
      <c r="M228">
        <v>0</v>
      </c>
      <c r="N228">
        <v>0</v>
      </c>
      <c r="O228" s="2">
        <v>0</v>
      </c>
      <c r="P228" s="2">
        <v>0</v>
      </c>
      <c r="Q228">
        <v>0</v>
      </c>
      <c r="R228" s="2">
        <v>0</v>
      </c>
      <c r="S228" s="2">
        <v>0</v>
      </c>
      <c r="T228" t="s">
        <v>220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idden="1" x14ac:dyDescent="0.25">
      <c r="A229" t="s">
        <v>37</v>
      </c>
      <c r="B229" t="s">
        <v>57</v>
      </c>
      <c r="C229" t="s">
        <v>39</v>
      </c>
      <c r="D229" s="1">
        <v>45793</v>
      </c>
      <c r="E229" s="1">
        <v>45793</v>
      </c>
      <c r="F229" s="2">
        <v>17</v>
      </c>
      <c r="G229" s="3" t="s">
        <v>23</v>
      </c>
      <c r="H229">
        <v>20</v>
      </c>
      <c r="I229" s="2">
        <v>0</v>
      </c>
      <c r="J229" s="2">
        <v>0</v>
      </c>
      <c r="K229" s="2">
        <v>1</v>
      </c>
      <c r="L229" s="2">
        <v>0</v>
      </c>
      <c r="M229">
        <v>0</v>
      </c>
      <c r="N229">
        <v>0</v>
      </c>
      <c r="O229" s="2">
        <v>0</v>
      </c>
      <c r="P229" s="2">
        <v>0</v>
      </c>
      <c r="Q229">
        <v>0</v>
      </c>
      <c r="R229" s="2">
        <v>0</v>
      </c>
      <c r="S229" s="2">
        <v>0</v>
      </c>
      <c r="T229" t="s">
        <v>221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</row>
    <row r="230" spans="1:28" hidden="1" x14ac:dyDescent="0.25">
      <c r="A230" t="s">
        <v>53</v>
      </c>
      <c r="B230" t="s">
        <v>34</v>
      </c>
      <c r="C230">
        <v>0</v>
      </c>
      <c r="D230" s="1">
        <v>45793</v>
      </c>
      <c r="E230" s="1">
        <v>45793</v>
      </c>
      <c r="F230" s="2">
        <v>0</v>
      </c>
      <c r="G230" s="3" t="s">
        <v>48</v>
      </c>
      <c r="H230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</row>
    <row r="231" spans="1:28" hidden="1" x14ac:dyDescent="0.25">
      <c r="A231" t="s">
        <v>47</v>
      </c>
      <c r="B231" t="s">
        <v>26</v>
      </c>
      <c r="C231">
        <v>0</v>
      </c>
      <c r="D231" s="1">
        <v>45793</v>
      </c>
      <c r="E231" s="1">
        <v>45793</v>
      </c>
      <c r="F231" s="2">
        <v>0</v>
      </c>
      <c r="G231" s="3" t="s">
        <v>48</v>
      </c>
      <c r="H231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idden="1" x14ac:dyDescent="0.25">
      <c r="A232" t="s">
        <v>25</v>
      </c>
      <c r="B232" t="s">
        <v>47</v>
      </c>
      <c r="C232">
        <v>0</v>
      </c>
      <c r="D232" s="1">
        <v>45793</v>
      </c>
      <c r="E232" s="1">
        <v>45793</v>
      </c>
      <c r="F232" s="2">
        <v>0</v>
      </c>
      <c r="G232" s="3" t="s">
        <v>50</v>
      </c>
      <c r="H23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idden="1" x14ac:dyDescent="0.25">
      <c r="A233" t="s">
        <v>33</v>
      </c>
      <c r="B233" t="s">
        <v>47</v>
      </c>
      <c r="C233">
        <v>0</v>
      </c>
      <c r="D233" s="1">
        <v>45793</v>
      </c>
      <c r="E233" s="1">
        <v>45793</v>
      </c>
      <c r="F233" s="2">
        <v>0</v>
      </c>
      <c r="G233" s="3" t="s">
        <v>129</v>
      </c>
      <c r="H233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idden="1" x14ac:dyDescent="0.25">
      <c r="A234" t="s">
        <v>49</v>
      </c>
      <c r="B234" t="s">
        <v>47</v>
      </c>
      <c r="C234">
        <v>0</v>
      </c>
      <c r="D234" s="1">
        <v>45793</v>
      </c>
      <c r="E234" s="1">
        <v>45793</v>
      </c>
      <c r="F234" s="2">
        <v>0</v>
      </c>
      <c r="G234" s="3" t="s">
        <v>50</v>
      </c>
      <c r="H234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idden="1" x14ac:dyDescent="0.25">
      <c r="A235" t="s">
        <v>51</v>
      </c>
      <c r="B235" t="s">
        <v>47</v>
      </c>
      <c r="C235">
        <v>0</v>
      </c>
      <c r="D235" s="1">
        <v>45793</v>
      </c>
      <c r="E235" s="1">
        <v>45793</v>
      </c>
      <c r="F235" s="2">
        <v>0</v>
      </c>
      <c r="G235" s="3" t="s">
        <v>50</v>
      </c>
      <c r="H235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</row>
    <row r="236" spans="1:28" hidden="1" x14ac:dyDescent="0.25">
      <c r="A236" t="s">
        <v>47</v>
      </c>
      <c r="B236" t="s">
        <v>52</v>
      </c>
      <c r="C236">
        <v>0</v>
      </c>
      <c r="D236" s="1">
        <v>45793</v>
      </c>
      <c r="E236" s="1">
        <v>45793</v>
      </c>
      <c r="F236" s="2">
        <v>0</v>
      </c>
      <c r="G236" s="3" t="s">
        <v>50</v>
      </c>
      <c r="H236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idden="1" x14ac:dyDescent="0.25">
      <c r="A237" t="s">
        <v>56</v>
      </c>
      <c r="B237" t="s">
        <v>211</v>
      </c>
      <c r="C237" t="s">
        <v>64</v>
      </c>
      <c r="D237" s="1">
        <v>45794</v>
      </c>
      <c r="E237" s="1">
        <v>45794</v>
      </c>
      <c r="F237" s="2">
        <v>42</v>
      </c>
      <c r="G237" s="3" t="s">
        <v>23</v>
      </c>
      <c r="H237">
        <v>0</v>
      </c>
      <c r="I237" s="2">
        <v>0</v>
      </c>
      <c r="J237" s="2">
        <v>1</v>
      </c>
      <c r="K237" s="2">
        <v>0</v>
      </c>
      <c r="L237" s="2">
        <v>0</v>
      </c>
      <c r="M237">
        <v>0</v>
      </c>
      <c r="N237">
        <v>0</v>
      </c>
      <c r="O237" s="2">
        <v>1</v>
      </c>
      <c r="P237" s="2">
        <v>0</v>
      </c>
      <c r="Q237">
        <v>6</v>
      </c>
      <c r="R237" s="2">
        <v>1</v>
      </c>
      <c r="S237" s="2">
        <v>0</v>
      </c>
      <c r="T237" t="s">
        <v>222</v>
      </c>
      <c r="U237" s="2">
        <v>16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1</v>
      </c>
      <c r="AB237" s="2">
        <v>0</v>
      </c>
    </row>
    <row r="238" spans="1:28" hidden="1" x14ac:dyDescent="0.25">
      <c r="A238" t="s">
        <v>53</v>
      </c>
      <c r="B238" t="s">
        <v>34</v>
      </c>
      <c r="C238" t="s">
        <v>54</v>
      </c>
      <c r="D238" s="1">
        <v>45794</v>
      </c>
      <c r="E238" s="1">
        <v>45794</v>
      </c>
      <c r="F238" s="2">
        <v>85</v>
      </c>
      <c r="G238" s="3" t="s">
        <v>23</v>
      </c>
      <c r="H238">
        <v>0</v>
      </c>
      <c r="I238" s="2">
        <v>0</v>
      </c>
      <c r="J238" s="2">
        <v>1</v>
      </c>
      <c r="K238" s="2">
        <v>1</v>
      </c>
      <c r="L238" s="2">
        <v>0</v>
      </c>
      <c r="M238">
        <v>0</v>
      </c>
      <c r="N238">
        <v>0</v>
      </c>
      <c r="O238" s="2">
        <v>1</v>
      </c>
      <c r="P238" s="2">
        <v>0</v>
      </c>
      <c r="Q238">
        <v>2</v>
      </c>
      <c r="R238" s="2">
        <v>1</v>
      </c>
      <c r="S238" s="2">
        <v>0</v>
      </c>
      <c r="T238" t="s">
        <v>223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idden="1" x14ac:dyDescent="0.25">
      <c r="A239" t="s">
        <v>20</v>
      </c>
      <c r="B239" t="s">
        <v>21</v>
      </c>
      <c r="C239" t="s">
        <v>22</v>
      </c>
      <c r="D239" s="1">
        <v>45794</v>
      </c>
      <c r="E239" s="1">
        <v>45794</v>
      </c>
      <c r="F239" s="2">
        <v>41</v>
      </c>
      <c r="G239" s="3" t="s">
        <v>23</v>
      </c>
      <c r="H239">
        <v>0</v>
      </c>
      <c r="I239" s="2">
        <v>0</v>
      </c>
      <c r="J239" s="2">
        <v>0</v>
      </c>
      <c r="K239" s="2">
        <v>1</v>
      </c>
      <c r="L239" s="2">
        <v>0</v>
      </c>
      <c r="M239">
        <v>0</v>
      </c>
      <c r="N239">
        <v>0</v>
      </c>
      <c r="O239" s="2">
        <v>1</v>
      </c>
      <c r="P239" s="2">
        <v>0</v>
      </c>
      <c r="Q239">
        <v>3</v>
      </c>
      <c r="R239" s="2">
        <v>1</v>
      </c>
      <c r="S239" s="2">
        <v>0</v>
      </c>
      <c r="T239" t="s">
        <v>224</v>
      </c>
      <c r="U239" s="2">
        <v>12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</row>
    <row r="240" spans="1:28" hidden="1" x14ac:dyDescent="0.25">
      <c r="A240" t="s">
        <v>63</v>
      </c>
      <c r="B240" t="s">
        <v>106</v>
      </c>
      <c r="C240" t="s">
        <v>102</v>
      </c>
      <c r="D240" s="1">
        <v>45794</v>
      </c>
      <c r="E240" s="1">
        <v>45794</v>
      </c>
      <c r="F240" s="2">
        <v>23</v>
      </c>
      <c r="G240" s="3" t="s">
        <v>23</v>
      </c>
      <c r="H240">
        <v>0</v>
      </c>
      <c r="I240" s="2">
        <v>0</v>
      </c>
      <c r="J240" s="2">
        <v>0</v>
      </c>
      <c r="K240" s="2">
        <v>1</v>
      </c>
      <c r="L240" s="2">
        <v>0</v>
      </c>
      <c r="M240">
        <v>0</v>
      </c>
      <c r="N240">
        <v>0</v>
      </c>
      <c r="O240" s="2">
        <v>1</v>
      </c>
      <c r="P240" s="2">
        <v>0</v>
      </c>
      <c r="Q240">
        <v>1</v>
      </c>
      <c r="R240" s="2">
        <v>1</v>
      </c>
      <c r="S240" s="2">
        <v>0</v>
      </c>
      <c r="T240" t="s">
        <v>225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idden="1" x14ac:dyDescent="0.25">
      <c r="A241" t="s">
        <v>29</v>
      </c>
      <c r="B241" t="s">
        <v>105</v>
      </c>
      <c r="C241" t="s">
        <v>31</v>
      </c>
      <c r="D241" s="1">
        <v>45794</v>
      </c>
      <c r="E241" s="1">
        <v>45794</v>
      </c>
      <c r="F241" s="2">
        <v>78</v>
      </c>
      <c r="G241" s="3" t="s">
        <v>23</v>
      </c>
      <c r="H241">
        <v>0</v>
      </c>
      <c r="I241" s="2">
        <v>0</v>
      </c>
      <c r="J241" s="2">
        <v>0</v>
      </c>
      <c r="K241" s="2">
        <v>1</v>
      </c>
      <c r="L241" s="2">
        <v>0</v>
      </c>
      <c r="M241">
        <v>0</v>
      </c>
      <c r="N241">
        <v>0</v>
      </c>
      <c r="O241" s="2">
        <v>1</v>
      </c>
      <c r="P241" s="2">
        <v>0</v>
      </c>
      <c r="Q241">
        <v>3</v>
      </c>
      <c r="R241" s="2">
        <v>1</v>
      </c>
      <c r="S241" s="2">
        <v>0</v>
      </c>
      <c r="T241" t="s">
        <v>226</v>
      </c>
      <c r="U241" s="2">
        <v>14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idden="1" x14ac:dyDescent="0.25">
      <c r="A242" t="s">
        <v>56</v>
      </c>
      <c r="B242" t="s">
        <v>211</v>
      </c>
      <c r="C242" t="s">
        <v>64</v>
      </c>
      <c r="D242" s="1">
        <v>45795</v>
      </c>
      <c r="E242" s="1">
        <v>45795</v>
      </c>
      <c r="F242" s="2">
        <v>45</v>
      </c>
      <c r="G242" s="3" t="s">
        <v>23</v>
      </c>
      <c r="H242">
        <v>0</v>
      </c>
      <c r="I242" s="2">
        <v>0</v>
      </c>
      <c r="J242" s="2">
        <v>1</v>
      </c>
      <c r="K242" s="2">
        <v>0</v>
      </c>
      <c r="L242" s="2">
        <v>0</v>
      </c>
      <c r="M242">
        <v>0</v>
      </c>
      <c r="N242">
        <v>0</v>
      </c>
      <c r="O242" s="2">
        <v>0</v>
      </c>
      <c r="P242" s="2">
        <v>1</v>
      </c>
      <c r="Q242">
        <v>5</v>
      </c>
      <c r="R242" s="2">
        <v>0</v>
      </c>
      <c r="S242" s="2">
        <v>1</v>
      </c>
      <c r="T242" t="s">
        <v>227</v>
      </c>
      <c r="U242" s="2">
        <v>16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</v>
      </c>
    </row>
    <row r="243" spans="1:28" hidden="1" x14ac:dyDescent="0.25">
      <c r="A243" t="s">
        <v>53</v>
      </c>
      <c r="B243" t="s">
        <v>34</v>
      </c>
      <c r="C243" t="s">
        <v>54</v>
      </c>
      <c r="D243" s="1">
        <v>45795</v>
      </c>
      <c r="E243" s="1">
        <v>45795</v>
      </c>
      <c r="F243" s="2">
        <v>50</v>
      </c>
      <c r="G243" s="3" t="s">
        <v>23</v>
      </c>
      <c r="H243">
        <v>0</v>
      </c>
      <c r="I243" s="2">
        <v>0</v>
      </c>
      <c r="J243" s="2">
        <v>1</v>
      </c>
      <c r="K243" s="2">
        <v>1</v>
      </c>
      <c r="L243" s="2">
        <v>0</v>
      </c>
      <c r="M243">
        <v>0</v>
      </c>
      <c r="N243">
        <v>0</v>
      </c>
      <c r="O243" s="2">
        <v>0</v>
      </c>
      <c r="P243" s="2">
        <v>1</v>
      </c>
      <c r="Q243">
        <v>3</v>
      </c>
      <c r="R243" s="2">
        <v>0</v>
      </c>
      <c r="S243" s="2">
        <v>1</v>
      </c>
      <c r="T243" t="s">
        <v>228</v>
      </c>
      <c r="U243" s="2">
        <v>13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idden="1" x14ac:dyDescent="0.25">
      <c r="A244" t="s">
        <v>20</v>
      </c>
      <c r="B244" t="s">
        <v>21</v>
      </c>
      <c r="C244" t="s">
        <v>22</v>
      </c>
      <c r="D244" s="1">
        <v>45795</v>
      </c>
      <c r="E244" s="1">
        <v>45795</v>
      </c>
      <c r="F244" s="2">
        <v>95</v>
      </c>
      <c r="G244" s="3" t="s">
        <v>23</v>
      </c>
      <c r="H244">
        <v>0</v>
      </c>
      <c r="I244" s="2">
        <v>0</v>
      </c>
      <c r="J244" s="2">
        <v>1</v>
      </c>
      <c r="K244" s="2">
        <v>1</v>
      </c>
      <c r="L244" s="2">
        <v>0</v>
      </c>
      <c r="M244">
        <v>0</v>
      </c>
      <c r="N244">
        <v>0</v>
      </c>
      <c r="O244" s="2">
        <v>0</v>
      </c>
      <c r="P244" s="2">
        <v>1</v>
      </c>
      <c r="Q244">
        <v>4</v>
      </c>
      <c r="R244" s="2">
        <v>0</v>
      </c>
      <c r="S244" s="2">
        <v>1</v>
      </c>
      <c r="T244" t="s">
        <v>229</v>
      </c>
      <c r="U244" s="2">
        <v>16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</row>
    <row r="245" spans="1:28" hidden="1" x14ac:dyDescent="0.25">
      <c r="A245" t="s">
        <v>29</v>
      </c>
      <c r="B245" t="s">
        <v>105</v>
      </c>
      <c r="C245" t="s">
        <v>31</v>
      </c>
      <c r="D245" s="1">
        <v>45795</v>
      </c>
      <c r="E245" s="1">
        <v>45795</v>
      </c>
      <c r="F245" s="2">
        <v>65</v>
      </c>
      <c r="G245" s="3" t="s">
        <v>23</v>
      </c>
      <c r="H245">
        <v>0</v>
      </c>
      <c r="I245" s="2">
        <v>0</v>
      </c>
      <c r="J245" s="2">
        <v>1</v>
      </c>
      <c r="K245" s="2">
        <v>0</v>
      </c>
      <c r="L245" s="2">
        <v>0</v>
      </c>
      <c r="M245">
        <v>0</v>
      </c>
      <c r="N245">
        <v>2</v>
      </c>
      <c r="O245" s="2">
        <v>0</v>
      </c>
      <c r="P245" s="2">
        <v>1</v>
      </c>
      <c r="Q245">
        <v>3</v>
      </c>
      <c r="R245" s="2">
        <v>0</v>
      </c>
      <c r="S245" s="2">
        <v>1</v>
      </c>
      <c r="T245" t="s">
        <v>230</v>
      </c>
      <c r="U245" s="2">
        <v>11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</row>
    <row r="246" spans="1:28" hidden="1" x14ac:dyDescent="0.25">
      <c r="A246" t="s">
        <v>63</v>
      </c>
      <c r="B246" t="s">
        <v>106</v>
      </c>
      <c r="C246" t="s">
        <v>102</v>
      </c>
      <c r="D246" s="1">
        <v>45795</v>
      </c>
      <c r="E246" s="1">
        <v>45795</v>
      </c>
      <c r="F246" s="2">
        <v>23</v>
      </c>
      <c r="G246" s="3" t="s">
        <v>23</v>
      </c>
      <c r="H246">
        <v>0</v>
      </c>
      <c r="I246" s="2">
        <v>0</v>
      </c>
      <c r="J246" s="2">
        <v>1</v>
      </c>
      <c r="K246" s="2">
        <v>1</v>
      </c>
      <c r="L246" s="2">
        <v>0</v>
      </c>
      <c r="M246">
        <v>0</v>
      </c>
      <c r="N246">
        <v>0</v>
      </c>
      <c r="O246" s="2">
        <v>0</v>
      </c>
      <c r="P246" s="2">
        <v>1</v>
      </c>
      <c r="Q246">
        <v>0</v>
      </c>
      <c r="R246" s="2">
        <v>0</v>
      </c>
      <c r="S246" s="2">
        <v>1</v>
      </c>
      <c r="T246" t="s">
        <v>225</v>
      </c>
      <c r="U246" s="2">
        <v>17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idden="1" x14ac:dyDescent="0.25">
      <c r="A247" t="s">
        <v>37</v>
      </c>
      <c r="B247" t="s">
        <v>38</v>
      </c>
      <c r="C247" t="s">
        <v>102</v>
      </c>
      <c r="D247" s="1">
        <v>45795</v>
      </c>
      <c r="E247" s="1">
        <v>45795</v>
      </c>
      <c r="F247" s="2">
        <v>23</v>
      </c>
      <c r="G247" s="3" t="s">
        <v>23</v>
      </c>
      <c r="H247">
        <v>0</v>
      </c>
      <c r="I247" s="2">
        <v>0</v>
      </c>
      <c r="J247" s="2">
        <v>0</v>
      </c>
      <c r="K247" s="2">
        <v>0</v>
      </c>
      <c r="L247" s="2">
        <v>0</v>
      </c>
      <c r="M247">
        <v>0</v>
      </c>
      <c r="N247">
        <v>0</v>
      </c>
      <c r="O247" s="2">
        <v>0</v>
      </c>
      <c r="P247" s="2">
        <v>0</v>
      </c>
      <c r="Q247">
        <v>1</v>
      </c>
      <c r="R247" s="2">
        <v>0</v>
      </c>
      <c r="S247" s="2">
        <v>0</v>
      </c>
      <c r="T247" t="s">
        <v>225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idden="1" x14ac:dyDescent="0.25">
      <c r="A248" t="s">
        <v>56</v>
      </c>
      <c r="B248" t="s">
        <v>47</v>
      </c>
      <c r="C248" t="s">
        <v>64</v>
      </c>
      <c r="D248" s="1">
        <v>45796</v>
      </c>
      <c r="E248" s="1">
        <v>45796</v>
      </c>
      <c r="F248" s="2">
        <v>36</v>
      </c>
      <c r="G248" s="3" t="s">
        <v>23</v>
      </c>
      <c r="H248">
        <v>0</v>
      </c>
      <c r="I248" s="2">
        <v>0</v>
      </c>
      <c r="J248" s="2">
        <v>0</v>
      </c>
      <c r="K248" s="2">
        <v>0</v>
      </c>
      <c r="L248" s="2">
        <v>0</v>
      </c>
      <c r="M248">
        <v>0</v>
      </c>
      <c r="N248">
        <v>0</v>
      </c>
      <c r="O248" s="2">
        <v>0</v>
      </c>
      <c r="P248" s="2">
        <v>0</v>
      </c>
      <c r="Q248">
        <v>0</v>
      </c>
      <c r="R248" s="2">
        <v>0</v>
      </c>
      <c r="S248" s="2">
        <v>0</v>
      </c>
      <c r="T248" t="s">
        <v>231</v>
      </c>
      <c r="U248" s="2">
        <v>0</v>
      </c>
      <c r="V248" s="2">
        <v>27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idden="1" x14ac:dyDescent="0.25">
      <c r="A249" t="s">
        <v>25</v>
      </c>
      <c r="B249" t="s">
        <v>26</v>
      </c>
      <c r="C249" t="s">
        <v>27</v>
      </c>
      <c r="D249" s="1">
        <v>45796</v>
      </c>
      <c r="E249" s="1">
        <v>45796</v>
      </c>
      <c r="F249" s="2">
        <v>994</v>
      </c>
      <c r="G249" s="3" t="s">
        <v>23</v>
      </c>
      <c r="H249">
        <v>2</v>
      </c>
      <c r="I249" s="2">
        <v>0</v>
      </c>
      <c r="J249" s="2">
        <v>0</v>
      </c>
      <c r="K249" s="2">
        <v>0</v>
      </c>
      <c r="L249" s="2">
        <v>0</v>
      </c>
      <c r="M249">
        <v>0</v>
      </c>
      <c r="N249">
        <v>0</v>
      </c>
      <c r="O249" s="2">
        <v>0</v>
      </c>
      <c r="P249" s="2">
        <v>0</v>
      </c>
      <c r="Q249">
        <v>0</v>
      </c>
      <c r="R249" s="2">
        <v>0</v>
      </c>
      <c r="S249" s="2">
        <v>0</v>
      </c>
      <c r="T249" t="s">
        <v>232</v>
      </c>
      <c r="U249" s="2">
        <v>0</v>
      </c>
      <c r="V249" s="2">
        <v>20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</row>
    <row r="250" spans="1:28" hidden="1" x14ac:dyDescent="0.25">
      <c r="A250" t="s">
        <v>29</v>
      </c>
      <c r="B250" t="s">
        <v>30</v>
      </c>
      <c r="C250" t="s">
        <v>31</v>
      </c>
      <c r="D250" s="1">
        <v>45796</v>
      </c>
      <c r="E250" s="1">
        <v>45796</v>
      </c>
      <c r="F250" s="2">
        <v>20</v>
      </c>
      <c r="G250" s="3" t="s">
        <v>23</v>
      </c>
      <c r="H250">
        <v>3</v>
      </c>
      <c r="I250" s="2">
        <v>0</v>
      </c>
      <c r="J250" s="2">
        <v>0</v>
      </c>
      <c r="K250" s="2">
        <v>0</v>
      </c>
      <c r="L250" s="2">
        <v>0</v>
      </c>
      <c r="M250">
        <v>0</v>
      </c>
      <c r="N250">
        <v>0</v>
      </c>
      <c r="O250" s="2">
        <v>0</v>
      </c>
      <c r="P250" s="2">
        <v>0</v>
      </c>
      <c r="Q250">
        <v>0</v>
      </c>
      <c r="R250" s="2">
        <v>0</v>
      </c>
      <c r="S250" s="2">
        <v>0</v>
      </c>
      <c r="T250" t="s">
        <v>233</v>
      </c>
      <c r="U250" s="2">
        <v>0</v>
      </c>
      <c r="V250" s="2">
        <v>20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</row>
    <row r="251" spans="1:28" hidden="1" x14ac:dyDescent="0.25">
      <c r="A251" t="s">
        <v>33</v>
      </c>
      <c r="B251" t="s">
        <v>57</v>
      </c>
      <c r="C251" t="s">
        <v>35</v>
      </c>
      <c r="D251" s="1">
        <v>45796</v>
      </c>
      <c r="E251" s="1">
        <v>45796</v>
      </c>
      <c r="F251" s="2">
        <v>80</v>
      </c>
      <c r="G251" s="3" t="s">
        <v>23</v>
      </c>
      <c r="H251">
        <v>22</v>
      </c>
      <c r="I251" s="2">
        <v>0</v>
      </c>
      <c r="J251" s="2">
        <v>1</v>
      </c>
      <c r="K251" s="2">
        <v>0</v>
      </c>
      <c r="L251" s="2">
        <v>0</v>
      </c>
      <c r="M251">
        <v>0</v>
      </c>
      <c r="N251">
        <v>1</v>
      </c>
      <c r="O251" s="2">
        <v>0</v>
      </c>
      <c r="P251" s="2">
        <v>0</v>
      </c>
      <c r="Q251">
        <v>0</v>
      </c>
      <c r="R251" s="2">
        <v>0</v>
      </c>
      <c r="S251" s="2">
        <v>0</v>
      </c>
      <c r="T251" t="s">
        <v>234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idden="1" x14ac:dyDescent="0.25">
      <c r="A252" t="s">
        <v>53</v>
      </c>
      <c r="B252" t="s">
        <v>47</v>
      </c>
      <c r="C252">
        <v>0</v>
      </c>
      <c r="D252" s="1">
        <v>45796</v>
      </c>
      <c r="E252" s="1">
        <v>45796</v>
      </c>
      <c r="F252" s="2">
        <v>36</v>
      </c>
      <c r="G252" s="3" t="s">
        <v>23</v>
      </c>
      <c r="H252">
        <v>0</v>
      </c>
      <c r="I252" s="2">
        <v>0</v>
      </c>
      <c r="J252" s="2">
        <v>0</v>
      </c>
      <c r="K252" s="2">
        <v>0</v>
      </c>
      <c r="L252" s="2">
        <v>0</v>
      </c>
      <c r="M252">
        <v>0</v>
      </c>
      <c r="N252">
        <v>0</v>
      </c>
      <c r="O252" s="2">
        <v>0</v>
      </c>
      <c r="P252" s="2">
        <v>0</v>
      </c>
      <c r="Q252">
        <v>0</v>
      </c>
      <c r="R252" s="2">
        <v>0</v>
      </c>
      <c r="S252" s="2">
        <v>0</v>
      </c>
      <c r="T252" t="s">
        <v>231</v>
      </c>
      <c r="U252" s="2">
        <v>0</v>
      </c>
      <c r="V252">
        <v>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</row>
    <row r="253" spans="1:28" hidden="1" x14ac:dyDescent="0.25">
      <c r="A253" t="s">
        <v>20</v>
      </c>
      <c r="B253" t="s">
        <v>47</v>
      </c>
      <c r="C253">
        <v>0</v>
      </c>
      <c r="D253" s="1">
        <v>45796</v>
      </c>
      <c r="E253" s="1">
        <v>45796</v>
      </c>
      <c r="F253" s="2">
        <v>36</v>
      </c>
      <c r="G253" s="3" t="s">
        <v>23</v>
      </c>
      <c r="H253">
        <v>0</v>
      </c>
      <c r="I253" s="2">
        <v>0</v>
      </c>
      <c r="J253" s="2">
        <v>0</v>
      </c>
      <c r="K253" s="2">
        <v>0</v>
      </c>
      <c r="L253" s="2">
        <v>0</v>
      </c>
      <c r="M253">
        <v>0</v>
      </c>
      <c r="N253">
        <v>0</v>
      </c>
      <c r="O253" s="2">
        <v>0</v>
      </c>
      <c r="P253" s="2">
        <v>0</v>
      </c>
      <c r="Q253">
        <v>0</v>
      </c>
      <c r="R253" s="2">
        <v>0</v>
      </c>
      <c r="S253" s="2">
        <v>0</v>
      </c>
      <c r="T253" t="s">
        <v>231</v>
      </c>
      <c r="U253" s="2">
        <v>0</v>
      </c>
      <c r="V253">
        <v>27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idden="1" x14ac:dyDescent="0.25">
      <c r="A254" t="s">
        <v>37</v>
      </c>
      <c r="B254" t="s">
        <v>38</v>
      </c>
      <c r="C254">
        <v>0</v>
      </c>
      <c r="D254" s="1">
        <v>45796</v>
      </c>
      <c r="E254" s="1">
        <v>45796</v>
      </c>
      <c r="F254" s="2">
        <v>36</v>
      </c>
      <c r="G254" s="3" t="s">
        <v>572</v>
      </c>
      <c r="H254">
        <v>0</v>
      </c>
      <c r="I254" s="2">
        <v>0</v>
      </c>
      <c r="J254" s="2">
        <v>0</v>
      </c>
      <c r="K254" s="2">
        <v>0</v>
      </c>
      <c r="L254" s="2">
        <v>0</v>
      </c>
      <c r="M254">
        <v>0</v>
      </c>
      <c r="N254">
        <v>0</v>
      </c>
      <c r="O254" s="2">
        <v>0</v>
      </c>
      <c r="P254" s="2">
        <v>0</v>
      </c>
      <c r="Q254">
        <v>0</v>
      </c>
      <c r="R254" s="2">
        <v>0</v>
      </c>
      <c r="S254" s="2">
        <v>0</v>
      </c>
      <c r="T254" t="s">
        <v>231</v>
      </c>
      <c r="U254" s="2">
        <v>0</v>
      </c>
      <c r="V254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</row>
    <row r="255" spans="1:28" hidden="1" x14ac:dyDescent="0.25">
      <c r="A255" t="s">
        <v>47</v>
      </c>
      <c r="B255" t="s">
        <v>34</v>
      </c>
      <c r="C255">
        <v>0</v>
      </c>
      <c r="D255" s="1">
        <v>45796</v>
      </c>
      <c r="E255" s="1">
        <v>45796</v>
      </c>
      <c r="F255" s="2">
        <v>36</v>
      </c>
      <c r="G255" s="3" t="s">
        <v>572</v>
      </c>
      <c r="H255">
        <v>0</v>
      </c>
      <c r="I255" s="2">
        <v>0</v>
      </c>
      <c r="J255" s="2">
        <v>0</v>
      </c>
      <c r="K255" s="2">
        <v>0</v>
      </c>
      <c r="L255" s="2">
        <v>0</v>
      </c>
      <c r="M255">
        <v>0</v>
      </c>
      <c r="N255">
        <v>0</v>
      </c>
      <c r="O255" s="2">
        <v>0</v>
      </c>
      <c r="P255" s="2">
        <v>0</v>
      </c>
      <c r="Q255">
        <v>0</v>
      </c>
      <c r="R255" s="2">
        <v>0</v>
      </c>
      <c r="S255" s="2">
        <v>0</v>
      </c>
      <c r="T255" t="s">
        <v>231</v>
      </c>
      <c r="U255" s="2">
        <v>0</v>
      </c>
      <c r="V255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</row>
    <row r="256" spans="1:28" hidden="1" x14ac:dyDescent="0.25">
      <c r="A256" t="s">
        <v>47</v>
      </c>
      <c r="B256" t="s">
        <v>21</v>
      </c>
      <c r="C256">
        <v>0</v>
      </c>
      <c r="D256" s="1">
        <v>45796</v>
      </c>
      <c r="E256" s="1">
        <v>45796</v>
      </c>
      <c r="F256" s="2">
        <v>0</v>
      </c>
      <c r="G256" s="3" t="s">
        <v>48</v>
      </c>
      <c r="H256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</row>
    <row r="257" spans="1:28" hidden="1" x14ac:dyDescent="0.25">
      <c r="A257" t="s">
        <v>49</v>
      </c>
      <c r="B257" t="s">
        <v>47</v>
      </c>
      <c r="C257">
        <v>0</v>
      </c>
      <c r="D257" s="1">
        <v>45796</v>
      </c>
      <c r="E257" s="1">
        <v>45796</v>
      </c>
      <c r="F257" s="2">
        <v>0</v>
      </c>
      <c r="G257" s="3" t="s">
        <v>50</v>
      </c>
      <c r="H257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</row>
    <row r="258" spans="1:28" hidden="1" x14ac:dyDescent="0.25">
      <c r="A258" t="s">
        <v>51</v>
      </c>
      <c r="B258" t="s">
        <v>47</v>
      </c>
      <c r="C258">
        <v>0</v>
      </c>
      <c r="D258" s="1">
        <v>45796</v>
      </c>
      <c r="E258" s="1">
        <v>45796</v>
      </c>
      <c r="F258" s="2">
        <v>0</v>
      </c>
      <c r="G258" s="3" t="s">
        <v>50</v>
      </c>
      <c r="H258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</row>
    <row r="259" spans="1:28" hidden="1" x14ac:dyDescent="0.25">
      <c r="A259" t="s">
        <v>47</v>
      </c>
      <c r="B259" t="s">
        <v>52</v>
      </c>
      <c r="C259">
        <v>0</v>
      </c>
      <c r="D259" s="1">
        <v>45796</v>
      </c>
      <c r="E259" s="1">
        <v>45796</v>
      </c>
      <c r="F259" s="2">
        <v>0</v>
      </c>
      <c r="G259" s="3" t="s">
        <v>50</v>
      </c>
      <c r="H259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idden="1" x14ac:dyDescent="0.25">
      <c r="A260" t="s">
        <v>20</v>
      </c>
      <c r="B260" t="s">
        <v>21</v>
      </c>
      <c r="C260" t="s">
        <v>22</v>
      </c>
      <c r="D260" s="1">
        <v>45797</v>
      </c>
      <c r="E260" s="1">
        <v>45797</v>
      </c>
      <c r="F260" s="2">
        <v>44</v>
      </c>
      <c r="G260" s="3" t="s">
        <v>23</v>
      </c>
      <c r="H260">
        <v>29</v>
      </c>
      <c r="I260" s="2">
        <v>0</v>
      </c>
      <c r="J260" s="2">
        <v>0</v>
      </c>
      <c r="K260" s="2">
        <v>0</v>
      </c>
      <c r="L260" s="2">
        <v>1</v>
      </c>
      <c r="M260">
        <v>1</v>
      </c>
      <c r="N260">
        <v>0</v>
      </c>
      <c r="O260" s="2">
        <v>0</v>
      </c>
      <c r="P260" s="2">
        <v>0</v>
      </c>
      <c r="Q260">
        <v>0</v>
      </c>
      <c r="R260" s="2">
        <v>0</v>
      </c>
      <c r="S260" s="2">
        <v>0</v>
      </c>
      <c r="T260" t="s">
        <v>235</v>
      </c>
      <c r="U260" s="2">
        <v>0</v>
      </c>
      <c r="V260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idden="1" x14ac:dyDescent="0.25">
      <c r="A261" t="s">
        <v>29</v>
      </c>
      <c r="B261" t="s">
        <v>30</v>
      </c>
      <c r="C261" t="s">
        <v>31</v>
      </c>
      <c r="D261" s="1">
        <v>45797</v>
      </c>
      <c r="E261" s="1">
        <v>45797</v>
      </c>
      <c r="F261" s="2">
        <v>24</v>
      </c>
      <c r="G261" s="3" t="s">
        <v>23</v>
      </c>
      <c r="H261">
        <v>25</v>
      </c>
      <c r="I261" s="2">
        <v>0</v>
      </c>
      <c r="J261" s="2">
        <v>0</v>
      </c>
      <c r="K261" s="2">
        <v>1</v>
      </c>
      <c r="L261" s="2">
        <v>0</v>
      </c>
      <c r="M261">
        <v>1</v>
      </c>
      <c r="N261">
        <v>0</v>
      </c>
      <c r="O261" s="2">
        <v>0</v>
      </c>
      <c r="P261" s="2">
        <v>0</v>
      </c>
      <c r="Q261">
        <v>0</v>
      </c>
      <c r="R261" s="2">
        <v>0</v>
      </c>
      <c r="S261" s="2">
        <v>0</v>
      </c>
      <c r="T261" t="s">
        <v>236</v>
      </c>
      <c r="U261" s="2">
        <v>0</v>
      </c>
      <c r="V261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idden="1" x14ac:dyDescent="0.25">
      <c r="A262" t="s">
        <v>33</v>
      </c>
      <c r="B262" t="s">
        <v>34</v>
      </c>
      <c r="C262" t="s">
        <v>35</v>
      </c>
      <c r="D262" s="1">
        <v>45797</v>
      </c>
      <c r="E262" s="1">
        <v>45797</v>
      </c>
      <c r="F262" s="2">
        <v>41</v>
      </c>
      <c r="G262" s="3" t="s">
        <v>23</v>
      </c>
      <c r="H262">
        <v>28</v>
      </c>
      <c r="I262" s="2">
        <v>1</v>
      </c>
      <c r="J262" s="2">
        <v>0</v>
      </c>
      <c r="K262" s="2">
        <v>1</v>
      </c>
      <c r="L262" s="2">
        <v>0</v>
      </c>
      <c r="M262">
        <v>0</v>
      </c>
      <c r="N262">
        <v>0</v>
      </c>
      <c r="O262" s="2">
        <v>0</v>
      </c>
      <c r="P262" s="2">
        <v>0</v>
      </c>
      <c r="Q262">
        <v>0</v>
      </c>
      <c r="R262" s="2">
        <v>0</v>
      </c>
      <c r="S262" s="2">
        <v>0</v>
      </c>
      <c r="T262" t="s">
        <v>237</v>
      </c>
      <c r="U262" s="2">
        <v>0</v>
      </c>
      <c r="V26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idden="1" x14ac:dyDescent="0.25">
      <c r="A263" t="s">
        <v>53</v>
      </c>
      <c r="B263" t="s">
        <v>38</v>
      </c>
      <c r="C263">
        <v>0</v>
      </c>
      <c r="D263" s="1">
        <v>45797</v>
      </c>
      <c r="E263" s="1">
        <v>45797</v>
      </c>
      <c r="F263" s="2">
        <v>0</v>
      </c>
      <c r="G263" s="3" t="s">
        <v>23</v>
      </c>
      <c r="H263">
        <v>28</v>
      </c>
      <c r="I263" s="2">
        <v>0</v>
      </c>
      <c r="J263" s="2">
        <v>0</v>
      </c>
      <c r="K263" s="2">
        <v>1</v>
      </c>
      <c r="L263" s="2">
        <v>0</v>
      </c>
      <c r="M263">
        <v>0</v>
      </c>
      <c r="N263">
        <v>0</v>
      </c>
      <c r="O263" s="2">
        <v>0</v>
      </c>
      <c r="P263" s="2">
        <v>0</v>
      </c>
      <c r="Q263">
        <v>0</v>
      </c>
      <c r="R263" s="2">
        <v>0</v>
      </c>
      <c r="S263" s="2">
        <v>0</v>
      </c>
      <c r="T263" t="s">
        <v>237</v>
      </c>
      <c r="U263" s="2">
        <v>0</v>
      </c>
      <c r="V263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idden="1" x14ac:dyDescent="0.25">
      <c r="A264" t="s">
        <v>25</v>
      </c>
      <c r="B264" t="s">
        <v>26</v>
      </c>
      <c r="C264">
        <v>0</v>
      </c>
      <c r="D264" s="1">
        <v>45797</v>
      </c>
      <c r="E264" s="1">
        <v>45797</v>
      </c>
      <c r="F264" s="2">
        <v>0</v>
      </c>
      <c r="G264" s="3" t="s">
        <v>23</v>
      </c>
      <c r="H264">
        <v>33</v>
      </c>
      <c r="I264" s="2">
        <v>0</v>
      </c>
      <c r="J264" s="2">
        <v>0</v>
      </c>
      <c r="K264" s="2">
        <v>1</v>
      </c>
      <c r="L264" s="2">
        <v>0</v>
      </c>
      <c r="M264">
        <v>0</v>
      </c>
      <c r="N264">
        <v>0</v>
      </c>
      <c r="O264" s="2">
        <v>0</v>
      </c>
      <c r="P264" s="2">
        <v>0</v>
      </c>
      <c r="Q264">
        <v>0</v>
      </c>
      <c r="R264" s="2">
        <v>0</v>
      </c>
      <c r="S264" s="2">
        <v>0</v>
      </c>
      <c r="T264" t="s">
        <v>237</v>
      </c>
      <c r="U264" s="2">
        <v>0</v>
      </c>
      <c r="V264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idden="1" x14ac:dyDescent="0.25">
      <c r="A265" t="s">
        <v>37</v>
      </c>
      <c r="B265" t="s">
        <v>57</v>
      </c>
      <c r="C265">
        <v>0</v>
      </c>
      <c r="D265" s="1">
        <v>45797</v>
      </c>
      <c r="E265" s="1">
        <v>45797</v>
      </c>
      <c r="F265" s="2">
        <v>36</v>
      </c>
      <c r="G265" s="3" t="s">
        <v>48</v>
      </c>
      <c r="H265">
        <v>0</v>
      </c>
      <c r="I265" s="2">
        <v>0</v>
      </c>
      <c r="J265" s="2">
        <v>0</v>
      </c>
      <c r="K265" s="2">
        <v>0</v>
      </c>
      <c r="L265" s="2">
        <v>0</v>
      </c>
      <c r="M265">
        <v>0</v>
      </c>
      <c r="N265">
        <v>0</v>
      </c>
      <c r="O265" s="2">
        <v>0</v>
      </c>
      <c r="P265" s="2">
        <v>0</v>
      </c>
      <c r="Q265">
        <v>0</v>
      </c>
      <c r="R265" s="2">
        <v>0</v>
      </c>
      <c r="S265" s="2">
        <v>0</v>
      </c>
      <c r="T265" t="s">
        <v>231</v>
      </c>
      <c r="U265" s="2">
        <v>0</v>
      </c>
      <c r="V265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idden="1" x14ac:dyDescent="0.25">
      <c r="A266" t="s">
        <v>56</v>
      </c>
      <c r="B266" t="s">
        <v>47</v>
      </c>
      <c r="C266">
        <v>0</v>
      </c>
      <c r="D266" s="1">
        <v>45797</v>
      </c>
      <c r="E266" s="1">
        <v>45797</v>
      </c>
      <c r="F266" s="2">
        <v>0</v>
      </c>
      <c r="G266" s="3" t="s">
        <v>48</v>
      </c>
      <c r="H266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idden="1" x14ac:dyDescent="0.25">
      <c r="A267" t="s">
        <v>49</v>
      </c>
      <c r="B267" t="s">
        <v>47</v>
      </c>
      <c r="C267">
        <v>0</v>
      </c>
      <c r="D267" s="1">
        <v>45797</v>
      </c>
      <c r="E267" s="1">
        <v>45797</v>
      </c>
      <c r="F267" s="2">
        <v>0</v>
      </c>
      <c r="G267" s="3" t="s">
        <v>50</v>
      </c>
      <c r="H267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idden="1" x14ac:dyDescent="0.25">
      <c r="A268" t="s">
        <v>51</v>
      </c>
      <c r="B268" t="s">
        <v>47</v>
      </c>
      <c r="C268">
        <v>0</v>
      </c>
      <c r="D268" s="1">
        <v>45797</v>
      </c>
      <c r="E268" s="1">
        <v>45797</v>
      </c>
      <c r="F268" s="2">
        <v>0</v>
      </c>
      <c r="G268" s="3" t="s">
        <v>50</v>
      </c>
      <c r="H268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idden="1" x14ac:dyDescent="0.25">
      <c r="A269" t="s">
        <v>47</v>
      </c>
      <c r="B269" t="s">
        <v>52</v>
      </c>
      <c r="C269">
        <v>0</v>
      </c>
      <c r="D269" s="1">
        <v>45797</v>
      </c>
      <c r="E269" s="1">
        <v>45797</v>
      </c>
      <c r="F269" s="2">
        <v>0</v>
      </c>
      <c r="G269" s="3" t="s">
        <v>50</v>
      </c>
      <c r="H269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</row>
    <row r="270" spans="1:28" hidden="1" x14ac:dyDescent="0.25">
      <c r="A270" t="s">
        <v>56</v>
      </c>
      <c r="B270" t="s">
        <v>21</v>
      </c>
      <c r="C270" t="s">
        <v>64</v>
      </c>
      <c r="D270" s="1">
        <v>45798</v>
      </c>
      <c r="E270" s="1">
        <v>45798</v>
      </c>
      <c r="F270" s="2">
        <v>50</v>
      </c>
      <c r="G270" t="s">
        <v>23</v>
      </c>
      <c r="H270">
        <v>0</v>
      </c>
      <c r="I270" s="2">
        <v>0</v>
      </c>
      <c r="J270" s="2">
        <v>0</v>
      </c>
      <c r="K270" s="2">
        <v>1</v>
      </c>
      <c r="L270" s="2">
        <v>0</v>
      </c>
      <c r="M270">
        <v>0</v>
      </c>
      <c r="N270">
        <v>0</v>
      </c>
      <c r="O270" s="2">
        <v>0</v>
      </c>
      <c r="P270" s="2">
        <v>1</v>
      </c>
      <c r="Q270">
        <v>1</v>
      </c>
      <c r="R270" s="2">
        <v>0</v>
      </c>
      <c r="S270" s="2">
        <v>1</v>
      </c>
      <c r="T270" t="s">
        <v>238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</row>
    <row r="271" spans="1:28" hidden="1" x14ac:dyDescent="0.25">
      <c r="A271" t="s">
        <v>25</v>
      </c>
      <c r="B271" t="s">
        <v>26</v>
      </c>
      <c r="C271" t="s">
        <v>27</v>
      </c>
      <c r="D271" s="1">
        <v>45798</v>
      </c>
      <c r="E271" s="1">
        <v>45798</v>
      </c>
      <c r="F271" s="2">
        <v>21</v>
      </c>
      <c r="G271" t="s">
        <v>23</v>
      </c>
      <c r="H271">
        <v>0</v>
      </c>
      <c r="I271" s="2">
        <v>0</v>
      </c>
      <c r="J271" s="2">
        <v>0</v>
      </c>
      <c r="K271" s="2">
        <v>1</v>
      </c>
      <c r="L271" s="2">
        <v>0</v>
      </c>
      <c r="M271">
        <v>0</v>
      </c>
      <c r="N271">
        <v>0</v>
      </c>
      <c r="O271" s="2">
        <v>0</v>
      </c>
      <c r="P271" s="2">
        <v>1</v>
      </c>
      <c r="Q271">
        <v>1</v>
      </c>
      <c r="R271" s="2">
        <v>0</v>
      </c>
      <c r="S271" s="2">
        <v>1</v>
      </c>
      <c r="T271" t="s">
        <v>239</v>
      </c>
      <c r="U271" s="2">
        <v>13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</row>
    <row r="272" spans="1:28" hidden="1" x14ac:dyDescent="0.25">
      <c r="A272" t="s">
        <v>29</v>
      </c>
      <c r="B272" t="s">
        <v>30</v>
      </c>
      <c r="C272" t="s">
        <v>31</v>
      </c>
      <c r="D272" s="1">
        <v>45798</v>
      </c>
      <c r="E272" s="1">
        <v>45798</v>
      </c>
      <c r="F272" s="2">
        <v>27</v>
      </c>
      <c r="G272" t="s">
        <v>23</v>
      </c>
      <c r="H272">
        <v>0</v>
      </c>
      <c r="I272" s="2">
        <v>0</v>
      </c>
      <c r="J272" s="2">
        <v>0</v>
      </c>
      <c r="K272" s="2">
        <v>1</v>
      </c>
      <c r="L272" s="2">
        <v>0</v>
      </c>
      <c r="M272">
        <v>0</v>
      </c>
      <c r="N272">
        <v>0</v>
      </c>
      <c r="O272" s="2">
        <v>0</v>
      </c>
      <c r="P272" s="2">
        <v>1</v>
      </c>
      <c r="Q272">
        <v>1</v>
      </c>
      <c r="R272" s="2">
        <v>0</v>
      </c>
      <c r="S272" s="2">
        <v>1</v>
      </c>
      <c r="T272" t="s">
        <v>240</v>
      </c>
      <c r="U272" s="2">
        <v>12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</row>
    <row r="273" spans="1:28" hidden="1" x14ac:dyDescent="0.25">
      <c r="A273" t="s">
        <v>33</v>
      </c>
      <c r="B273" t="s">
        <v>34</v>
      </c>
      <c r="C273" t="s">
        <v>35</v>
      </c>
      <c r="D273" s="1">
        <v>45798</v>
      </c>
      <c r="E273" s="1">
        <v>45798</v>
      </c>
      <c r="F273" s="2">
        <v>66</v>
      </c>
      <c r="G273" t="s">
        <v>23</v>
      </c>
      <c r="H273">
        <v>0</v>
      </c>
      <c r="I273" s="2">
        <v>0</v>
      </c>
      <c r="J273" s="2">
        <v>0</v>
      </c>
      <c r="K273" s="2">
        <v>1</v>
      </c>
      <c r="L273" s="2">
        <v>0</v>
      </c>
      <c r="M273">
        <v>0</v>
      </c>
      <c r="N273">
        <v>0</v>
      </c>
      <c r="O273" s="2">
        <v>0</v>
      </c>
      <c r="P273" s="2">
        <v>1</v>
      </c>
      <c r="Q273">
        <v>2</v>
      </c>
      <c r="R273" s="2">
        <v>0</v>
      </c>
      <c r="S273" s="2">
        <v>1</v>
      </c>
      <c r="T273" t="s">
        <v>241</v>
      </c>
      <c r="U273" s="2">
        <v>14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idden="1" x14ac:dyDescent="0.25">
      <c r="A274" t="s">
        <v>37</v>
      </c>
      <c r="B274" t="s">
        <v>57</v>
      </c>
      <c r="C274" t="s">
        <v>39</v>
      </c>
      <c r="D274" s="1">
        <v>45798</v>
      </c>
      <c r="E274" s="1">
        <v>45798</v>
      </c>
      <c r="F274" s="2">
        <v>36</v>
      </c>
      <c r="G274" t="s">
        <v>23</v>
      </c>
      <c r="H274">
        <v>0</v>
      </c>
      <c r="I274" s="2">
        <v>0</v>
      </c>
      <c r="J274" s="2">
        <v>0</v>
      </c>
      <c r="K274" s="2">
        <v>0</v>
      </c>
      <c r="L274" s="2">
        <v>1</v>
      </c>
      <c r="M274">
        <v>0</v>
      </c>
      <c r="N274">
        <v>0</v>
      </c>
      <c r="O274" s="2">
        <v>0</v>
      </c>
      <c r="P274" s="2">
        <v>1</v>
      </c>
      <c r="Q274">
        <v>2</v>
      </c>
      <c r="R274" s="2">
        <v>0</v>
      </c>
      <c r="S274" s="2">
        <v>1</v>
      </c>
      <c r="T274" t="s">
        <v>242</v>
      </c>
      <c r="U274" s="2">
        <v>5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1</v>
      </c>
    </row>
    <row r="275" spans="1:28" hidden="1" x14ac:dyDescent="0.25">
      <c r="A275" t="s">
        <v>56</v>
      </c>
      <c r="B275" t="s">
        <v>21</v>
      </c>
      <c r="C275" t="s">
        <v>64</v>
      </c>
      <c r="D275" s="1">
        <v>45799</v>
      </c>
      <c r="E275" s="1">
        <v>45799</v>
      </c>
      <c r="F275" s="2">
        <v>29</v>
      </c>
      <c r="G275" s="3" t="s">
        <v>23</v>
      </c>
      <c r="H275">
        <v>17</v>
      </c>
      <c r="I275" s="2">
        <v>0</v>
      </c>
      <c r="J275" s="2">
        <v>0</v>
      </c>
      <c r="K275" s="2">
        <v>1</v>
      </c>
      <c r="L275" s="2">
        <v>0</v>
      </c>
      <c r="M275">
        <v>1</v>
      </c>
      <c r="N275">
        <v>0</v>
      </c>
      <c r="O275" s="2">
        <v>0</v>
      </c>
      <c r="P275" s="2">
        <v>0</v>
      </c>
      <c r="Q275">
        <v>0</v>
      </c>
      <c r="R275" s="2">
        <v>0</v>
      </c>
      <c r="S275" s="2">
        <v>0</v>
      </c>
      <c r="T275" t="s">
        <v>245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</row>
    <row r="276" spans="1:28" hidden="1" x14ac:dyDescent="0.25">
      <c r="A276" t="s">
        <v>53</v>
      </c>
      <c r="B276" t="s">
        <v>38</v>
      </c>
      <c r="C276" t="s">
        <v>54</v>
      </c>
      <c r="D276" s="1">
        <v>45799</v>
      </c>
      <c r="E276" s="1">
        <v>45799</v>
      </c>
      <c r="F276" s="2">
        <v>97</v>
      </c>
      <c r="G276" s="3" t="s">
        <v>23</v>
      </c>
      <c r="H276">
        <v>32</v>
      </c>
      <c r="I276" s="2">
        <v>0</v>
      </c>
      <c r="J276" s="2">
        <v>0</v>
      </c>
      <c r="K276" s="2">
        <v>1</v>
      </c>
      <c r="L276" s="2">
        <v>0</v>
      </c>
      <c r="M276">
        <v>0</v>
      </c>
      <c r="N276">
        <v>0</v>
      </c>
      <c r="O276" s="2">
        <v>0</v>
      </c>
      <c r="P276" s="2">
        <v>0</v>
      </c>
      <c r="Q276">
        <v>0</v>
      </c>
      <c r="R276" s="2">
        <v>0</v>
      </c>
      <c r="S276" s="2">
        <v>0</v>
      </c>
      <c r="T276" t="s">
        <v>246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</row>
    <row r="277" spans="1:28" hidden="1" x14ac:dyDescent="0.25">
      <c r="A277" t="s">
        <v>25</v>
      </c>
      <c r="B277" t="s">
        <v>26</v>
      </c>
      <c r="C277" t="s">
        <v>27</v>
      </c>
      <c r="D277" s="1">
        <v>45799</v>
      </c>
      <c r="E277" s="1">
        <v>45799</v>
      </c>
      <c r="F277" s="2">
        <v>30</v>
      </c>
      <c r="G277" s="3" t="s">
        <v>23</v>
      </c>
      <c r="H277">
        <v>30</v>
      </c>
      <c r="I277" s="2">
        <v>0</v>
      </c>
      <c r="J277" s="2">
        <v>0</v>
      </c>
      <c r="K277" s="2">
        <v>1</v>
      </c>
      <c r="L277" s="2">
        <v>0</v>
      </c>
      <c r="M277">
        <v>0</v>
      </c>
      <c r="N277">
        <v>0</v>
      </c>
      <c r="O277" s="2">
        <v>0</v>
      </c>
      <c r="P277" s="2">
        <v>0</v>
      </c>
      <c r="Q277">
        <v>0</v>
      </c>
      <c r="R277" s="2">
        <v>0</v>
      </c>
      <c r="S277" s="2">
        <v>0</v>
      </c>
      <c r="T277" t="s">
        <v>247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</row>
    <row r="278" spans="1:28" hidden="1" x14ac:dyDescent="0.25">
      <c r="A278" t="s">
        <v>63</v>
      </c>
      <c r="B278" t="s">
        <v>47</v>
      </c>
      <c r="C278" t="s">
        <v>102</v>
      </c>
      <c r="D278" s="1">
        <v>45799</v>
      </c>
      <c r="E278" s="1">
        <v>45799</v>
      </c>
      <c r="F278" s="2">
        <v>15</v>
      </c>
      <c r="G278" s="3" t="s">
        <v>23</v>
      </c>
      <c r="H278">
        <v>26</v>
      </c>
      <c r="I278" s="2">
        <v>0</v>
      </c>
      <c r="J278" s="2">
        <v>1</v>
      </c>
      <c r="K278" s="2">
        <v>0</v>
      </c>
      <c r="L278" s="2">
        <v>0</v>
      </c>
      <c r="M278">
        <v>0</v>
      </c>
      <c r="N278">
        <v>0</v>
      </c>
      <c r="O278" s="2">
        <v>0</v>
      </c>
      <c r="P278" s="2">
        <v>0</v>
      </c>
      <c r="Q278">
        <v>0</v>
      </c>
      <c r="R278" s="2">
        <v>0</v>
      </c>
      <c r="S278" s="2">
        <v>0</v>
      </c>
      <c r="T278" t="s">
        <v>248</v>
      </c>
      <c r="U278" s="2">
        <v>0</v>
      </c>
      <c r="V278" s="2">
        <v>19</v>
      </c>
      <c r="W278" s="2">
        <v>6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</row>
    <row r="279" spans="1:28" hidden="1" x14ac:dyDescent="0.25">
      <c r="A279" t="s">
        <v>20</v>
      </c>
      <c r="B279" t="s">
        <v>47</v>
      </c>
      <c r="C279" t="s">
        <v>102</v>
      </c>
      <c r="D279" s="1">
        <v>45799</v>
      </c>
      <c r="E279" s="1">
        <v>45799</v>
      </c>
      <c r="F279" s="2">
        <v>15</v>
      </c>
      <c r="G279" s="3" t="s">
        <v>23</v>
      </c>
      <c r="H279">
        <v>26</v>
      </c>
      <c r="I279" s="2">
        <v>0</v>
      </c>
      <c r="J279" s="2">
        <v>1</v>
      </c>
      <c r="K279" s="2">
        <v>0</v>
      </c>
      <c r="L279" s="2">
        <v>0</v>
      </c>
      <c r="M279">
        <v>0</v>
      </c>
      <c r="N279">
        <v>0</v>
      </c>
      <c r="O279" s="2">
        <v>0</v>
      </c>
      <c r="P279" s="2">
        <v>0</v>
      </c>
      <c r="Q279">
        <v>0</v>
      </c>
      <c r="R279" s="2">
        <v>0</v>
      </c>
      <c r="S279" s="2">
        <v>0</v>
      </c>
      <c r="T279" t="s">
        <v>248</v>
      </c>
      <c r="U279" s="2">
        <v>0</v>
      </c>
      <c r="V279" s="2">
        <v>19</v>
      </c>
      <c r="W279" s="2">
        <v>6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idden="1" x14ac:dyDescent="0.25">
      <c r="A280" t="s">
        <v>29</v>
      </c>
      <c r="B280" t="s">
        <v>30</v>
      </c>
      <c r="C280" t="s">
        <v>31</v>
      </c>
      <c r="D280" s="1">
        <v>45799</v>
      </c>
      <c r="E280" s="1">
        <v>45799</v>
      </c>
      <c r="F280" s="2">
        <v>42</v>
      </c>
      <c r="G280" s="3" t="s">
        <v>23</v>
      </c>
      <c r="H280">
        <v>40</v>
      </c>
      <c r="I280" s="2">
        <v>0</v>
      </c>
      <c r="J280" s="2">
        <v>0</v>
      </c>
      <c r="K280" s="2">
        <v>1</v>
      </c>
      <c r="L280" s="2">
        <v>0</v>
      </c>
      <c r="M280">
        <v>0</v>
      </c>
      <c r="N280">
        <v>0</v>
      </c>
      <c r="O280" s="2">
        <v>0</v>
      </c>
      <c r="P280" s="2">
        <v>0</v>
      </c>
      <c r="Q280">
        <v>0</v>
      </c>
      <c r="R280" s="2">
        <v>0</v>
      </c>
      <c r="S280" s="2">
        <v>0</v>
      </c>
      <c r="T280" t="s">
        <v>249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idden="1" x14ac:dyDescent="0.25">
      <c r="A281" t="s">
        <v>37</v>
      </c>
      <c r="B281" t="s">
        <v>57</v>
      </c>
      <c r="C281" t="s">
        <v>39</v>
      </c>
      <c r="D281" s="1">
        <v>45799</v>
      </c>
      <c r="E281" s="1">
        <v>45799</v>
      </c>
      <c r="F281" s="2">
        <v>27</v>
      </c>
      <c r="G281" s="3" t="s">
        <v>23</v>
      </c>
      <c r="H281">
        <v>24</v>
      </c>
      <c r="I281" s="2">
        <v>0</v>
      </c>
      <c r="J281" s="2">
        <v>0</v>
      </c>
      <c r="K281" s="2">
        <v>0</v>
      </c>
      <c r="L281" s="2">
        <v>1</v>
      </c>
      <c r="M281">
        <v>1</v>
      </c>
      <c r="N281">
        <v>0</v>
      </c>
      <c r="O281" s="2">
        <v>0</v>
      </c>
      <c r="P281" s="2">
        <v>0</v>
      </c>
      <c r="Q281">
        <v>0</v>
      </c>
      <c r="R281" s="2">
        <v>0</v>
      </c>
      <c r="S281" s="2">
        <v>0</v>
      </c>
      <c r="T281" t="s">
        <v>250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</row>
    <row r="282" spans="1:28" hidden="1" x14ac:dyDescent="0.25">
      <c r="A282" t="s">
        <v>33</v>
      </c>
      <c r="B282" t="s">
        <v>34</v>
      </c>
      <c r="C282">
        <v>0</v>
      </c>
      <c r="D282" s="1">
        <v>45799</v>
      </c>
      <c r="E282" s="1">
        <v>45799</v>
      </c>
      <c r="F282" s="2">
        <v>36</v>
      </c>
      <c r="G282" s="3" t="s">
        <v>48</v>
      </c>
      <c r="H282">
        <v>0</v>
      </c>
      <c r="I282" s="2">
        <v>0</v>
      </c>
      <c r="J282" s="2">
        <v>0</v>
      </c>
      <c r="K282" s="2">
        <v>0</v>
      </c>
      <c r="L282" s="2">
        <v>0</v>
      </c>
      <c r="M282">
        <v>0</v>
      </c>
      <c r="N282">
        <v>0</v>
      </c>
      <c r="O282" s="2">
        <v>0</v>
      </c>
      <c r="P282" s="2">
        <v>0</v>
      </c>
      <c r="Q282">
        <v>0</v>
      </c>
      <c r="R282" s="2">
        <v>0</v>
      </c>
      <c r="S282" s="2">
        <v>0</v>
      </c>
      <c r="T282" t="s">
        <v>231</v>
      </c>
      <c r="U282" s="2">
        <v>0</v>
      </c>
      <c r="V28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</row>
    <row r="283" spans="1:28" hidden="1" x14ac:dyDescent="0.25">
      <c r="A283" t="s">
        <v>49</v>
      </c>
      <c r="B283" t="s">
        <v>47</v>
      </c>
      <c r="C283">
        <v>0</v>
      </c>
      <c r="D283" s="1">
        <v>45799</v>
      </c>
      <c r="E283" s="1">
        <v>45799</v>
      </c>
      <c r="F283" s="2">
        <v>0</v>
      </c>
      <c r="G283" s="3" t="s">
        <v>50</v>
      </c>
      <c r="H283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</row>
    <row r="284" spans="1:28" hidden="1" x14ac:dyDescent="0.25">
      <c r="A284" t="s">
        <v>51</v>
      </c>
      <c r="B284" t="s">
        <v>47</v>
      </c>
      <c r="C284">
        <v>0</v>
      </c>
      <c r="D284" s="1">
        <v>45799</v>
      </c>
      <c r="E284" s="1">
        <v>45799</v>
      </c>
      <c r="F284" s="2">
        <v>0</v>
      </c>
      <c r="G284" s="3" t="s">
        <v>50</v>
      </c>
      <c r="H284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idden="1" x14ac:dyDescent="0.25">
      <c r="A285" t="s">
        <v>47</v>
      </c>
      <c r="B285" t="s">
        <v>52</v>
      </c>
      <c r="C285">
        <v>0</v>
      </c>
      <c r="D285" s="1">
        <v>45799</v>
      </c>
      <c r="E285" s="1">
        <v>45799</v>
      </c>
      <c r="F285" s="2">
        <v>0</v>
      </c>
      <c r="G285" s="3" t="s">
        <v>50</v>
      </c>
      <c r="H285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idden="1" x14ac:dyDescent="0.25">
      <c r="A286" t="s">
        <v>56</v>
      </c>
      <c r="B286" t="s">
        <v>21</v>
      </c>
      <c r="C286" t="s">
        <v>64</v>
      </c>
      <c r="D286" s="1">
        <v>45800</v>
      </c>
      <c r="E286" s="1">
        <v>45800</v>
      </c>
      <c r="F286" s="2">
        <v>51</v>
      </c>
      <c r="G286" s="3" t="s">
        <v>23</v>
      </c>
      <c r="H286">
        <v>20</v>
      </c>
      <c r="I286" s="2">
        <v>0</v>
      </c>
      <c r="J286" s="2">
        <v>0</v>
      </c>
      <c r="K286" s="2">
        <v>1</v>
      </c>
      <c r="L286" s="2">
        <v>0</v>
      </c>
      <c r="M286">
        <v>0</v>
      </c>
      <c r="N286">
        <v>0</v>
      </c>
      <c r="O286" s="2">
        <v>0</v>
      </c>
      <c r="P286" s="2">
        <v>0</v>
      </c>
      <c r="Q286">
        <v>0</v>
      </c>
      <c r="R286" s="2">
        <v>0</v>
      </c>
      <c r="S286" s="2">
        <v>0</v>
      </c>
      <c r="T286" t="s">
        <v>251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idden="1" x14ac:dyDescent="0.25">
      <c r="A287" t="s">
        <v>20</v>
      </c>
      <c r="B287" t="s">
        <v>106</v>
      </c>
      <c r="C287" t="s">
        <v>22</v>
      </c>
      <c r="D287" s="1">
        <v>45800</v>
      </c>
      <c r="E287" s="1">
        <v>45800</v>
      </c>
      <c r="F287" s="2">
        <v>35</v>
      </c>
      <c r="G287" s="3" t="s">
        <v>23</v>
      </c>
      <c r="H287">
        <v>32</v>
      </c>
      <c r="I287" s="2">
        <v>0</v>
      </c>
      <c r="J287" s="2">
        <v>0</v>
      </c>
      <c r="K287" s="2">
        <v>1</v>
      </c>
      <c r="L287" s="2">
        <v>0</v>
      </c>
      <c r="M287">
        <v>0</v>
      </c>
      <c r="N287">
        <v>1</v>
      </c>
      <c r="O287" s="2">
        <v>0</v>
      </c>
      <c r="P287" s="2">
        <v>0</v>
      </c>
      <c r="Q287">
        <v>0</v>
      </c>
      <c r="R287" s="2">
        <v>0</v>
      </c>
      <c r="S287" s="2">
        <v>0</v>
      </c>
      <c r="T287" t="s">
        <v>252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idden="1" x14ac:dyDescent="0.25">
      <c r="A288" t="s">
        <v>33</v>
      </c>
      <c r="B288" t="s">
        <v>34</v>
      </c>
      <c r="C288" t="s">
        <v>35</v>
      </c>
      <c r="D288" s="1">
        <v>45800</v>
      </c>
      <c r="E288" s="1">
        <v>45800</v>
      </c>
      <c r="F288" s="2">
        <v>55</v>
      </c>
      <c r="G288" s="3" t="s">
        <v>23</v>
      </c>
      <c r="H288">
        <v>29</v>
      </c>
      <c r="I288" s="2">
        <v>0</v>
      </c>
      <c r="J288" s="2">
        <v>0</v>
      </c>
      <c r="K288" s="2">
        <v>1</v>
      </c>
      <c r="L288" s="2">
        <v>0</v>
      </c>
      <c r="M288">
        <v>0</v>
      </c>
      <c r="N288">
        <v>0</v>
      </c>
      <c r="O288" s="2">
        <v>0</v>
      </c>
      <c r="P288" s="2">
        <v>0</v>
      </c>
      <c r="Q288">
        <v>0</v>
      </c>
      <c r="R288" s="2">
        <v>0</v>
      </c>
      <c r="S288" s="2">
        <v>0</v>
      </c>
      <c r="T288" t="s">
        <v>253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idden="1" x14ac:dyDescent="0.25">
      <c r="A289" t="s">
        <v>37</v>
      </c>
      <c r="B289" t="s">
        <v>57</v>
      </c>
      <c r="C289" t="s">
        <v>39</v>
      </c>
      <c r="D289" s="1">
        <v>45800</v>
      </c>
      <c r="E289" s="1">
        <v>45800</v>
      </c>
      <c r="F289" s="2">
        <v>23</v>
      </c>
      <c r="G289" s="3" t="s">
        <v>23</v>
      </c>
      <c r="H289">
        <v>36</v>
      </c>
      <c r="I289" s="2">
        <v>0</v>
      </c>
      <c r="J289" s="2">
        <v>0</v>
      </c>
      <c r="K289" s="2">
        <v>0</v>
      </c>
      <c r="L289" s="2">
        <v>1</v>
      </c>
      <c r="M289">
        <v>0</v>
      </c>
      <c r="N289">
        <v>0</v>
      </c>
      <c r="O289" s="2">
        <v>0</v>
      </c>
      <c r="P289" s="2">
        <v>0</v>
      </c>
      <c r="Q289">
        <v>0</v>
      </c>
      <c r="R289" s="2">
        <v>0</v>
      </c>
      <c r="S289" s="2">
        <v>0</v>
      </c>
      <c r="T289" t="s">
        <v>254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idden="1" x14ac:dyDescent="0.25">
      <c r="A290" t="s">
        <v>53</v>
      </c>
      <c r="B290" t="s">
        <v>38</v>
      </c>
      <c r="C290" t="s">
        <v>39</v>
      </c>
      <c r="D290" s="1">
        <v>45800</v>
      </c>
      <c r="E290" s="1">
        <v>45800</v>
      </c>
      <c r="F290" s="2">
        <v>23</v>
      </c>
      <c r="G290" s="3" t="s">
        <v>23</v>
      </c>
      <c r="H290">
        <v>17</v>
      </c>
      <c r="I290" s="2">
        <v>0</v>
      </c>
      <c r="J290" s="2">
        <v>0</v>
      </c>
      <c r="K290" s="2">
        <v>0</v>
      </c>
      <c r="L290" s="2">
        <v>1</v>
      </c>
      <c r="M290">
        <v>0</v>
      </c>
      <c r="N290">
        <v>0</v>
      </c>
      <c r="O290" s="2">
        <v>0</v>
      </c>
      <c r="P290" s="2">
        <v>0</v>
      </c>
      <c r="Q290">
        <v>0</v>
      </c>
      <c r="R290" s="2">
        <v>0</v>
      </c>
      <c r="S290" s="2">
        <v>0</v>
      </c>
      <c r="T290" t="s">
        <v>254</v>
      </c>
      <c r="U290" s="2">
        <v>0</v>
      </c>
      <c r="V290" s="2">
        <v>10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idden="1" x14ac:dyDescent="0.25">
      <c r="A291" t="s">
        <v>25</v>
      </c>
      <c r="B291" t="s">
        <v>26</v>
      </c>
      <c r="C291">
        <v>0</v>
      </c>
      <c r="D291" s="1">
        <v>45800</v>
      </c>
      <c r="E291" s="1">
        <v>45800</v>
      </c>
      <c r="F291" s="2">
        <v>0</v>
      </c>
      <c r="G291" s="3" t="s">
        <v>48</v>
      </c>
      <c r="H291">
        <v>0</v>
      </c>
      <c r="I291" s="2">
        <v>0</v>
      </c>
      <c r="J291" s="2">
        <v>0</v>
      </c>
      <c r="K291" s="2">
        <v>0</v>
      </c>
      <c r="L291" s="2">
        <v>0</v>
      </c>
      <c r="M291">
        <v>0</v>
      </c>
      <c r="N291">
        <v>0</v>
      </c>
      <c r="O291" s="2">
        <v>0</v>
      </c>
      <c r="P291" s="2">
        <v>0</v>
      </c>
      <c r="Q291">
        <v>0</v>
      </c>
      <c r="R291" s="2">
        <v>0</v>
      </c>
      <c r="S291" s="2">
        <v>0</v>
      </c>
      <c r="T291" t="s">
        <v>231</v>
      </c>
      <c r="U291" s="2">
        <v>0</v>
      </c>
      <c r="V291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idden="1" x14ac:dyDescent="0.25">
      <c r="A292" t="s">
        <v>29</v>
      </c>
      <c r="B292" t="s">
        <v>30</v>
      </c>
      <c r="C292">
        <v>0</v>
      </c>
      <c r="D292" s="1">
        <v>45800</v>
      </c>
      <c r="E292" s="1">
        <v>45800</v>
      </c>
      <c r="F292" s="2">
        <v>0</v>
      </c>
      <c r="G292" s="3" t="s">
        <v>48</v>
      </c>
      <c r="H292">
        <v>0</v>
      </c>
      <c r="I292" s="2">
        <v>0</v>
      </c>
      <c r="J292" s="2">
        <v>0</v>
      </c>
      <c r="K292" s="2">
        <v>0</v>
      </c>
      <c r="L292" s="2">
        <v>0</v>
      </c>
      <c r="M292">
        <v>0</v>
      </c>
      <c r="N292">
        <v>0</v>
      </c>
      <c r="O292" s="2">
        <v>0</v>
      </c>
      <c r="P292" s="2">
        <v>0</v>
      </c>
      <c r="Q292">
        <v>0</v>
      </c>
      <c r="R292" s="2">
        <v>0</v>
      </c>
      <c r="S292" s="2">
        <v>0</v>
      </c>
      <c r="T292" t="s">
        <v>231</v>
      </c>
      <c r="U292" s="2">
        <v>0</v>
      </c>
      <c r="V29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</row>
    <row r="293" spans="1:28" hidden="1" x14ac:dyDescent="0.25">
      <c r="A293" t="s">
        <v>49</v>
      </c>
      <c r="B293" t="s">
        <v>47</v>
      </c>
      <c r="C293">
        <v>0</v>
      </c>
      <c r="D293" s="1">
        <v>45800</v>
      </c>
      <c r="E293" s="1">
        <v>45800</v>
      </c>
      <c r="F293" s="2">
        <v>0</v>
      </c>
      <c r="G293" s="3" t="s">
        <v>50</v>
      </c>
      <c r="H293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</row>
    <row r="294" spans="1:28" hidden="1" x14ac:dyDescent="0.25">
      <c r="A294" t="s">
        <v>51</v>
      </c>
      <c r="B294" t="s">
        <v>47</v>
      </c>
      <c r="C294">
        <v>0</v>
      </c>
      <c r="D294" s="1">
        <v>45800</v>
      </c>
      <c r="E294" s="1">
        <v>45800</v>
      </c>
      <c r="F294" s="2">
        <v>0</v>
      </c>
      <c r="G294" s="3" t="s">
        <v>50</v>
      </c>
      <c r="H294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</row>
    <row r="295" spans="1:28" hidden="1" x14ac:dyDescent="0.25">
      <c r="A295" t="s">
        <v>47</v>
      </c>
      <c r="B295" t="s">
        <v>52</v>
      </c>
      <c r="C295">
        <v>0</v>
      </c>
      <c r="D295" s="1">
        <v>45800</v>
      </c>
      <c r="E295" s="1">
        <v>45800</v>
      </c>
      <c r="F295" s="2">
        <v>0</v>
      </c>
      <c r="G295" s="3" t="s">
        <v>50</v>
      </c>
      <c r="H295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</row>
    <row r="296" spans="1:28" hidden="1" x14ac:dyDescent="0.25">
      <c r="A296" t="s">
        <v>56</v>
      </c>
      <c r="B296" t="s">
        <v>21</v>
      </c>
      <c r="C296" t="s">
        <v>64</v>
      </c>
      <c r="D296" s="9">
        <v>45801</v>
      </c>
      <c r="E296" s="9">
        <v>45801</v>
      </c>
      <c r="F296" s="2">
        <v>67</v>
      </c>
      <c r="G296" s="3" t="s">
        <v>23</v>
      </c>
      <c r="H296">
        <v>0</v>
      </c>
      <c r="I296" s="2">
        <v>0</v>
      </c>
      <c r="J296" s="2">
        <v>1</v>
      </c>
      <c r="K296" s="2">
        <v>1</v>
      </c>
      <c r="L296" s="2">
        <v>0</v>
      </c>
      <c r="M296">
        <v>1</v>
      </c>
      <c r="N296">
        <v>0</v>
      </c>
      <c r="O296" s="2">
        <v>1</v>
      </c>
      <c r="P296" s="2">
        <v>0</v>
      </c>
      <c r="Q296">
        <v>5</v>
      </c>
      <c r="R296" s="2">
        <v>1</v>
      </c>
      <c r="S296" s="2">
        <v>0</v>
      </c>
      <c r="T296" t="s">
        <v>255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</row>
    <row r="297" spans="1:28" hidden="1" x14ac:dyDescent="0.25">
      <c r="A297" t="s">
        <v>25</v>
      </c>
      <c r="B297" t="s">
        <v>26</v>
      </c>
      <c r="C297" t="s">
        <v>27</v>
      </c>
      <c r="D297" s="9">
        <v>45801</v>
      </c>
      <c r="E297" s="9">
        <v>45801</v>
      </c>
      <c r="F297" s="2">
        <v>29</v>
      </c>
      <c r="G297" s="3" t="s">
        <v>23</v>
      </c>
      <c r="H297">
        <v>0</v>
      </c>
      <c r="I297" s="2">
        <v>0</v>
      </c>
      <c r="J297" s="2">
        <v>0</v>
      </c>
      <c r="K297" s="2">
        <v>0</v>
      </c>
      <c r="L297" s="2">
        <v>0</v>
      </c>
      <c r="M297">
        <v>0</v>
      </c>
      <c r="N297">
        <v>0</v>
      </c>
      <c r="O297" s="2">
        <v>1</v>
      </c>
      <c r="P297" s="2">
        <v>0</v>
      </c>
      <c r="Q297">
        <v>3</v>
      </c>
      <c r="R297" s="2">
        <v>1</v>
      </c>
      <c r="S297" s="2">
        <v>0</v>
      </c>
      <c r="T297" t="s">
        <v>256</v>
      </c>
      <c r="U297" s="2">
        <v>13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</row>
    <row r="298" spans="1:28" hidden="1" x14ac:dyDescent="0.25">
      <c r="A298" t="s">
        <v>29</v>
      </c>
      <c r="B298" t="s">
        <v>30</v>
      </c>
      <c r="C298" t="s">
        <v>31</v>
      </c>
      <c r="D298" s="9">
        <v>45801</v>
      </c>
      <c r="E298" s="9">
        <v>45801</v>
      </c>
      <c r="F298" s="2">
        <v>20</v>
      </c>
      <c r="G298" s="3" t="s">
        <v>23</v>
      </c>
      <c r="H298">
        <v>0</v>
      </c>
      <c r="I298" s="2">
        <v>0</v>
      </c>
      <c r="J298" s="2">
        <v>0</v>
      </c>
      <c r="K298" s="2">
        <v>0</v>
      </c>
      <c r="L298" s="2">
        <v>0</v>
      </c>
      <c r="M298">
        <v>1</v>
      </c>
      <c r="N298">
        <v>0</v>
      </c>
      <c r="O298" s="2">
        <v>1</v>
      </c>
      <c r="P298" s="2">
        <v>0</v>
      </c>
      <c r="Q298">
        <v>5</v>
      </c>
      <c r="R298" s="2">
        <v>1</v>
      </c>
      <c r="S298" s="2">
        <v>0</v>
      </c>
      <c r="T298" t="s">
        <v>257</v>
      </c>
      <c r="U298" s="2">
        <v>12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</row>
    <row r="299" spans="1:28" hidden="1" x14ac:dyDescent="0.25">
      <c r="A299" t="s">
        <v>33</v>
      </c>
      <c r="B299" t="s">
        <v>34</v>
      </c>
      <c r="C299" t="s">
        <v>35</v>
      </c>
      <c r="D299" s="9">
        <v>45801</v>
      </c>
      <c r="E299" s="9">
        <v>45801</v>
      </c>
      <c r="F299" s="2">
        <v>34</v>
      </c>
      <c r="G299" s="3" t="s">
        <v>23</v>
      </c>
      <c r="H299">
        <v>0</v>
      </c>
      <c r="I299" s="2">
        <v>0</v>
      </c>
      <c r="J299" s="2">
        <v>0</v>
      </c>
      <c r="K299" s="2">
        <v>0</v>
      </c>
      <c r="L299" s="2">
        <v>0</v>
      </c>
      <c r="M299">
        <v>0</v>
      </c>
      <c r="N299">
        <v>0</v>
      </c>
      <c r="O299" s="2">
        <v>1</v>
      </c>
      <c r="P299" s="2">
        <v>0</v>
      </c>
      <c r="Q299">
        <v>4</v>
      </c>
      <c r="R299" s="2">
        <v>1</v>
      </c>
      <c r="S299" s="2">
        <v>0</v>
      </c>
      <c r="T299" t="s">
        <v>258</v>
      </c>
      <c r="U299" s="2">
        <v>14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idden="1" x14ac:dyDescent="0.25">
      <c r="A300" t="s">
        <v>37</v>
      </c>
      <c r="B300" t="s">
        <v>57</v>
      </c>
      <c r="C300" t="s">
        <v>39</v>
      </c>
      <c r="D300" s="9">
        <v>45801</v>
      </c>
      <c r="E300" s="9">
        <v>45801</v>
      </c>
      <c r="F300" s="2">
        <v>113</v>
      </c>
      <c r="G300" s="3" t="s">
        <v>23</v>
      </c>
      <c r="H300">
        <v>0</v>
      </c>
      <c r="I300" s="2">
        <v>0</v>
      </c>
      <c r="J300" s="2">
        <v>0</v>
      </c>
      <c r="K300" s="2">
        <v>0</v>
      </c>
      <c r="L300" s="2">
        <v>0</v>
      </c>
      <c r="M300">
        <v>0</v>
      </c>
      <c r="N300">
        <v>0</v>
      </c>
      <c r="O300" s="2">
        <v>0</v>
      </c>
      <c r="P300" s="2">
        <v>0</v>
      </c>
      <c r="Q300">
        <v>8</v>
      </c>
      <c r="R300" s="2">
        <v>1</v>
      </c>
      <c r="S300" s="2">
        <v>0</v>
      </c>
      <c r="T300" t="s">
        <v>259</v>
      </c>
      <c r="U300" s="2">
        <v>15</v>
      </c>
      <c r="V300" s="2">
        <v>0</v>
      </c>
      <c r="W300" s="2">
        <v>6</v>
      </c>
      <c r="X300" s="2">
        <v>0</v>
      </c>
      <c r="Y300" s="2">
        <v>0</v>
      </c>
      <c r="Z300" s="2">
        <v>0</v>
      </c>
      <c r="AA300" s="2">
        <v>1</v>
      </c>
      <c r="AB300" s="2">
        <v>0</v>
      </c>
    </row>
    <row r="301" spans="1:28" hidden="1" x14ac:dyDescent="0.25">
      <c r="A301" t="s">
        <v>56</v>
      </c>
      <c r="B301" t="s">
        <v>21</v>
      </c>
      <c r="C301" t="s">
        <v>64</v>
      </c>
      <c r="D301" s="9">
        <v>45802</v>
      </c>
      <c r="E301" s="9">
        <v>45802</v>
      </c>
      <c r="F301" s="2">
        <v>44</v>
      </c>
      <c r="G301" s="3" t="s">
        <v>23</v>
      </c>
      <c r="H301">
        <v>0</v>
      </c>
      <c r="I301" s="2">
        <v>0</v>
      </c>
      <c r="J301" s="2">
        <v>0</v>
      </c>
      <c r="K301" s="2">
        <v>0</v>
      </c>
      <c r="L301" s="2">
        <v>0</v>
      </c>
      <c r="M301">
        <v>0</v>
      </c>
      <c r="N301">
        <v>0</v>
      </c>
      <c r="O301" s="2">
        <v>0</v>
      </c>
      <c r="P301" s="2">
        <v>1</v>
      </c>
      <c r="Q301">
        <v>6</v>
      </c>
      <c r="R301" s="2">
        <v>0</v>
      </c>
      <c r="S301" s="2">
        <v>1</v>
      </c>
      <c r="T301" t="s">
        <v>260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idden="1" x14ac:dyDescent="0.25">
      <c r="A302" t="s">
        <v>25</v>
      </c>
      <c r="B302" t="s">
        <v>26</v>
      </c>
      <c r="C302" t="s">
        <v>27</v>
      </c>
      <c r="D302" s="9">
        <v>45802</v>
      </c>
      <c r="E302" s="9">
        <v>45802</v>
      </c>
      <c r="F302" s="2">
        <v>24</v>
      </c>
      <c r="G302" s="3" t="s">
        <v>23</v>
      </c>
      <c r="H302">
        <v>0</v>
      </c>
      <c r="I302" s="2">
        <v>0</v>
      </c>
      <c r="J302" s="2">
        <v>0</v>
      </c>
      <c r="K302" s="2">
        <v>0</v>
      </c>
      <c r="L302" s="2">
        <v>0</v>
      </c>
      <c r="M302">
        <v>0</v>
      </c>
      <c r="N302">
        <v>0</v>
      </c>
      <c r="O302" s="2">
        <v>0</v>
      </c>
      <c r="P302" s="2">
        <v>1</v>
      </c>
      <c r="Q302">
        <v>1</v>
      </c>
      <c r="R302" s="2">
        <v>0</v>
      </c>
      <c r="S302" s="2">
        <v>1</v>
      </c>
      <c r="T302" t="s">
        <v>261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idden="1" x14ac:dyDescent="0.25">
      <c r="A303" t="s">
        <v>29</v>
      </c>
      <c r="B303" t="s">
        <v>30</v>
      </c>
      <c r="C303" t="s">
        <v>31</v>
      </c>
      <c r="D303" s="9">
        <v>45802</v>
      </c>
      <c r="E303" s="9">
        <v>45802</v>
      </c>
      <c r="F303" s="2">
        <v>21</v>
      </c>
      <c r="G303" s="3" t="s">
        <v>23</v>
      </c>
      <c r="H303">
        <v>0</v>
      </c>
      <c r="I303" s="2">
        <v>0</v>
      </c>
      <c r="J303" s="2">
        <v>0</v>
      </c>
      <c r="K303" s="2">
        <v>0</v>
      </c>
      <c r="L303" s="2">
        <v>0</v>
      </c>
      <c r="M303">
        <v>0</v>
      </c>
      <c r="N303">
        <v>0</v>
      </c>
      <c r="O303" s="2">
        <v>0</v>
      </c>
      <c r="P303" s="2">
        <v>1</v>
      </c>
      <c r="Q303">
        <v>1</v>
      </c>
      <c r="R303" s="2">
        <v>0</v>
      </c>
      <c r="S303" s="2">
        <v>1</v>
      </c>
      <c r="T303" t="s">
        <v>262</v>
      </c>
      <c r="U303" s="2">
        <v>16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idden="1" x14ac:dyDescent="0.25">
      <c r="A304" t="s">
        <v>33</v>
      </c>
      <c r="B304" t="s">
        <v>34</v>
      </c>
      <c r="C304" t="s">
        <v>35</v>
      </c>
      <c r="D304" s="9">
        <v>45802</v>
      </c>
      <c r="E304" s="9">
        <v>45802</v>
      </c>
      <c r="F304" s="2">
        <v>74</v>
      </c>
      <c r="G304" s="3" t="s">
        <v>23</v>
      </c>
      <c r="H304">
        <v>0</v>
      </c>
      <c r="I304" s="2">
        <v>0</v>
      </c>
      <c r="J304" s="2">
        <v>0</v>
      </c>
      <c r="K304" s="2">
        <v>0</v>
      </c>
      <c r="L304" s="2">
        <v>0</v>
      </c>
      <c r="M304">
        <v>0</v>
      </c>
      <c r="N304">
        <v>0</v>
      </c>
      <c r="O304" s="2">
        <v>0</v>
      </c>
      <c r="P304" s="2">
        <v>1</v>
      </c>
      <c r="Q304">
        <v>1</v>
      </c>
      <c r="R304" s="2">
        <v>0</v>
      </c>
      <c r="S304" s="2">
        <v>1</v>
      </c>
      <c r="T304" t="s">
        <v>263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idden="1" x14ac:dyDescent="0.25">
      <c r="A305" t="s">
        <v>37</v>
      </c>
      <c r="B305" t="s">
        <v>57</v>
      </c>
      <c r="C305" t="s">
        <v>39</v>
      </c>
      <c r="D305" s="9">
        <v>45802</v>
      </c>
      <c r="E305" s="9">
        <v>45802</v>
      </c>
      <c r="F305" s="2">
        <v>113</v>
      </c>
      <c r="G305" s="3" t="s">
        <v>23</v>
      </c>
      <c r="H305">
        <v>0</v>
      </c>
      <c r="I305" s="2">
        <v>0</v>
      </c>
      <c r="J305" s="2">
        <v>0</v>
      </c>
      <c r="K305" s="2">
        <v>0</v>
      </c>
      <c r="L305" s="2">
        <v>0</v>
      </c>
      <c r="M305">
        <v>0</v>
      </c>
      <c r="N305">
        <v>0</v>
      </c>
      <c r="O305" s="2">
        <v>0</v>
      </c>
      <c r="P305" s="2">
        <v>0</v>
      </c>
      <c r="Q305">
        <v>5</v>
      </c>
      <c r="R305" s="2">
        <v>0</v>
      </c>
      <c r="S305" s="2">
        <v>1</v>
      </c>
      <c r="T305" t="s">
        <v>259</v>
      </c>
      <c r="U305" s="2">
        <v>16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1</v>
      </c>
    </row>
    <row r="306" spans="1:28" hidden="1" x14ac:dyDescent="0.25">
      <c r="A306" t="s">
        <v>20</v>
      </c>
      <c r="B306" t="s">
        <v>21</v>
      </c>
      <c r="C306" t="s">
        <v>22</v>
      </c>
      <c r="D306" s="1">
        <v>45803</v>
      </c>
      <c r="E306" s="1">
        <v>45803</v>
      </c>
      <c r="F306" s="2">
        <v>51</v>
      </c>
      <c r="G306" s="3" t="s">
        <v>23</v>
      </c>
      <c r="H306">
        <v>3</v>
      </c>
      <c r="I306" s="2">
        <v>0</v>
      </c>
      <c r="J306" s="2">
        <v>1</v>
      </c>
      <c r="K306" s="2">
        <v>0</v>
      </c>
      <c r="L306" s="2">
        <v>0</v>
      </c>
      <c r="M306">
        <v>0</v>
      </c>
      <c r="N306">
        <v>1</v>
      </c>
      <c r="O306" s="2">
        <v>0</v>
      </c>
      <c r="P306" s="2">
        <v>0</v>
      </c>
      <c r="Q306">
        <v>0</v>
      </c>
      <c r="R306" s="2">
        <v>0</v>
      </c>
      <c r="S306" s="2">
        <v>0</v>
      </c>
      <c r="T306" t="s">
        <v>264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idden="1" x14ac:dyDescent="0.25">
      <c r="A307" t="s">
        <v>25</v>
      </c>
      <c r="B307" t="s">
        <v>26</v>
      </c>
      <c r="C307" t="s">
        <v>27</v>
      </c>
      <c r="D307" s="1">
        <v>45803</v>
      </c>
      <c r="E307" s="1">
        <v>45803</v>
      </c>
      <c r="F307" s="2">
        <v>19</v>
      </c>
      <c r="G307" s="3" t="s">
        <v>23</v>
      </c>
      <c r="H307">
        <v>7</v>
      </c>
      <c r="I307" s="2">
        <v>0</v>
      </c>
      <c r="J307" s="2">
        <v>0</v>
      </c>
      <c r="K307" s="2">
        <v>0</v>
      </c>
      <c r="L307" s="2">
        <v>0</v>
      </c>
      <c r="M307">
        <v>0</v>
      </c>
      <c r="N307">
        <v>0</v>
      </c>
      <c r="O307" s="2">
        <v>0</v>
      </c>
      <c r="P307" s="2">
        <v>0</v>
      </c>
      <c r="Q307">
        <v>0</v>
      </c>
      <c r="R307" s="2">
        <v>0</v>
      </c>
      <c r="S307" s="2">
        <v>0</v>
      </c>
      <c r="T307" t="s">
        <v>265</v>
      </c>
      <c r="U307" s="2">
        <v>0</v>
      </c>
      <c r="V307" s="2">
        <v>2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</row>
    <row r="308" spans="1:28" hidden="1" x14ac:dyDescent="0.25">
      <c r="A308" t="s">
        <v>53</v>
      </c>
      <c r="B308" t="s">
        <v>38</v>
      </c>
      <c r="C308" t="s">
        <v>27</v>
      </c>
      <c r="D308" s="1">
        <v>45803</v>
      </c>
      <c r="E308" s="1">
        <v>45803</v>
      </c>
      <c r="F308" s="2">
        <v>19</v>
      </c>
      <c r="G308" s="3" t="s">
        <v>23</v>
      </c>
      <c r="H308">
        <v>0</v>
      </c>
      <c r="I308" s="2">
        <v>0</v>
      </c>
      <c r="J308" s="2">
        <v>0</v>
      </c>
      <c r="K308" s="2">
        <v>0</v>
      </c>
      <c r="L308" s="2">
        <v>0</v>
      </c>
      <c r="M308">
        <v>0</v>
      </c>
      <c r="N308">
        <v>1</v>
      </c>
      <c r="O308" s="2">
        <v>0</v>
      </c>
      <c r="P308" s="2">
        <v>0</v>
      </c>
      <c r="Q308">
        <v>0</v>
      </c>
      <c r="R308" s="2">
        <v>0</v>
      </c>
      <c r="S308" s="2">
        <v>0</v>
      </c>
      <c r="T308" t="s">
        <v>265</v>
      </c>
      <c r="U308" s="2">
        <v>0</v>
      </c>
      <c r="V308" s="2">
        <v>10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</row>
    <row r="309" spans="1:28" hidden="1" x14ac:dyDescent="0.25">
      <c r="A309" t="s">
        <v>37</v>
      </c>
      <c r="B309" t="s">
        <v>57</v>
      </c>
      <c r="C309" t="s">
        <v>27</v>
      </c>
      <c r="D309" s="1">
        <v>45803</v>
      </c>
      <c r="E309" s="1">
        <v>45803</v>
      </c>
      <c r="F309" s="2">
        <v>19</v>
      </c>
      <c r="G309" s="3" t="s">
        <v>572</v>
      </c>
      <c r="H309">
        <v>0</v>
      </c>
      <c r="I309" s="2">
        <v>0</v>
      </c>
      <c r="J309" s="2">
        <v>0</v>
      </c>
      <c r="K309" s="2">
        <v>0</v>
      </c>
      <c r="L309" s="2">
        <v>0</v>
      </c>
      <c r="M309">
        <v>0</v>
      </c>
      <c r="N309">
        <v>0</v>
      </c>
      <c r="O309" s="2">
        <v>0</v>
      </c>
      <c r="P309" s="2">
        <v>0</v>
      </c>
      <c r="Q309">
        <v>0</v>
      </c>
      <c r="R309" s="2">
        <v>0</v>
      </c>
      <c r="S309" s="2">
        <v>0</v>
      </c>
      <c r="T309" t="s">
        <v>265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idden="1" x14ac:dyDescent="0.25">
      <c r="A310" t="s">
        <v>56</v>
      </c>
      <c r="B310" t="s">
        <v>47</v>
      </c>
      <c r="C310" t="s">
        <v>27</v>
      </c>
      <c r="D310" s="1">
        <v>45803</v>
      </c>
      <c r="E310" s="1">
        <v>45803</v>
      </c>
      <c r="F310" s="2">
        <v>19</v>
      </c>
      <c r="G310" s="3" t="s">
        <v>572</v>
      </c>
      <c r="H310">
        <v>0</v>
      </c>
      <c r="I310" s="2">
        <v>0</v>
      </c>
      <c r="J310" s="2">
        <v>0</v>
      </c>
      <c r="K310" s="2">
        <v>0</v>
      </c>
      <c r="L310" s="2">
        <v>0</v>
      </c>
      <c r="M310">
        <v>0</v>
      </c>
      <c r="N310">
        <v>0</v>
      </c>
      <c r="O310" s="2">
        <v>0</v>
      </c>
      <c r="P310" s="2">
        <v>0</v>
      </c>
      <c r="Q310">
        <v>0</v>
      </c>
      <c r="R310" s="2">
        <v>0</v>
      </c>
      <c r="S310" s="2">
        <v>0</v>
      </c>
      <c r="T310" t="s">
        <v>265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idden="1" x14ac:dyDescent="0.25">
      <c r="A311" t="s">
        <v>29</v>
      </c>
      <c r="B311" t="s">
        <v>30</v>
      </c>
      <c r="C311" t="s">
        <v>27</v>
      </c>
      <c r="D311" s="1">
        <v>45803</v>
      </c>
      <c r="E311" s="1">
        <v>45803</v>
      </c>
      <c r="F311" s="2">
        <v>19</v>
      </c>
      <c r="G311" s="3" t="s">
        <v>23</v>
      </c>
      <c r="H311">
        <v>10</v>
      </c>
      <c r="I311" s="2">
        <v>0</v>
      </c>
      <c r="J311" s="2">
        <v>0</v>
      </c>
      <c r="K311" s="2">
        <v>0</v>
      </c>
      <c r="L311" s="2">
        <v>0</v>
      </c>
      <c r="M311">
        <v>0</v>
      </c>
      <c r="N311">
        <v>0</v>
      </c>
      <c r="O311" s="2">
        <v>0</v>
      </c>
      <c r="P311" s="2">
        <v>0</v>
      </c>
      <c r="Q311">
        <v>0</v>
      </c>
      <c r="R311" s="2">
        <v>0</v>
      </c>
      <c r="S311" s="2">
        <v>0</v>
      </c>
      <c r="T311" t="s">
        <v>265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idden="1" x14ac:dyDescent="0.25">
      <c r="A312" t="s">
        <v>33</v>
      </c>
      <c r="B312" t="s">
        <v>34</v>
      </c>
      <c r="C312" t="s">
        <v>27</v>
      </c>
      <c r="D312" s="1">
        <v>45803</v>
      </c>
      <c r="E312" s="1">
        <v>45803</v>
      </c>
      <c r="F312" s="2">
        <v>19</v>
      </c>
      <c r="G312" s="3" t="s">
        <v>572</v>
      </c>
      <c r="H312">
        <v>0</v>
      </c>
      <c r="I312" s="2">
        <v>0</v>
      </c>
      <c r="J312" s="2">
        <v>0</v>
      </c>
      <c r="K312" s="2">
        <v>0</v>
      </c>
      <c r="L312" s="2">
        <v>0</v>
      </c>
      <c r="M312">
        <v>0</v>
      </c>
      <c r="N312">
        <v>0</v>
      </c>
      <c r="O312" s="2">
        <v>0</v>
      </c>
      <c r="P312" s="2">
        <v>0</v>
      </c>
      <c r="Q312">
        <v>0</v>
      </c>
      <c r="R312" s="2">
        <v>0</v>
      </c>
      <c r="S312" s="2">
        <v>0</v>
      </c>
      <c r="T312" t="s">
        <v>265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idden="1" x14ac:dyDescent="0.25">
      <c r="A313" t="s">
        <v>49</v>
      </c>
      <c r="B313" t="s">
        <v>47</v>
      </c>
      <c r="C313">
        <v>0</v>
      </c>
      <c r="D313" s="1">
        <v>45803</v>
      </c>
      <c r="E313" s="1">
        <v>45803</v>
      </c>
      <c r="F313" s="2">
        <v>0</v>
      </c>
      <c r="G313" s="3" t="s">
        <v>50</v>
      </c>
      <c r="H313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idden="1" x14ac:dyDescent="0.25">
      <c r="A314" t="s">
        <v>51</v>
      </c>
      <c r="B314" t="s">
        <v>47</v>
      </c>
      <c r="C314">
        <v>0</v>
      </c>
      <c r="D314" s="1">
        <v>45803</v>
      </c>
      <c r="E314" s="1">
        <v>45803</v>
      </c>
      <c r="F314" s="2">
        <v>0</v>
      </c>
      <c r="G314" s="3" t="s">
        <v>50</v>
      </c>
      <c r="H314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idden="1" x14ac:dyDescent="0.25">
      <c r="A315" t="s">
        <v>47</v>
      </c>
      <c r="B315" t="s">
        <v>52</v>
      </c>
      <c r="C315">
        <v>0</v>
      </c>
      <c r="D315" s="1">
        <v>45803</v>
      </c>
      <c r="E315" s="1">
        <v>45803</v>
      </c>
      <c r="F315" s="2">
        <v>0</v>
      </c>
      <c r="G315" s="3" t="s">
        <v>50</v>
      </c>
      <c r="H315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idden="1" x14ac:dyDescent="0.25">
      <c r="A316" t="s">
        <v>56</v>
      </c>
      <c r="B316" t="s">
        <v>57</v>
      </c>
      <c r="C316" t="s">
        <v>64</v>
      </c>
      <c r="D316" s="1">
        <v>45804</v>
      </c>
      <c r="E316" s="1">
        <v>45804</v>
      </c>
      <c r="F316" s="2">
        <v>28</v>
      </c>
      <c r="G316" s="3" t="s">
        <v>23</v>
      </c>
      <c r="H316">
        <v>24</v>
      </c>
      <c r="I316" s="2">
        <v>0</v>
      </c>
      <c r="J316" s="2">
        <v>0</v>
      </c>
      <c r="K316" s="2">
        <v>1</v>
      </c>
      <c r="L316" s="2">
        <v>0</v>
      </c>
      <c r="M316">
        <v>0</v>
      </c>
      <c r="N316">
        <v>0</v>
      </c>
      <c r="O316" s="2">
        <v>0</v>
      </c>
      <c r="P316" s="2">
        <v>0</v>
      </c>
      <c r="Q316">
        <v>0</v>
      </c>
      <c r="R316" s="2">
        <v>0</v>
      </c>
      <c r="S316" s="2">
        <v>0</v>
      </c>
      <c r="T316" t="s">
        <v>266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idden="1" x14ac:dyDescent="0.25">
      <c r="A317" t="s">
        <v>33</v>
      </c>
      <c r="B317" t="s">
        <v>26</v>
      </c>
      <c r="C317" t="s">
        <v>35</v>
      </c>
      <c r="D317" s="1">
        <v>45804</v>
      </c>
      <c r="E317" s="1">
        <v>45804</v>
      </c>
      <c r="F317" s="2">
        <v>32</v>
      </c>
      <c r="G317" s="3" t="s">
        <v>23</v>
      </c>
      <c r="H317">
        <v>18</v>
      </c>
      <c r="I317" s="2">
        <v>0</v>
      </c>
      <c r="J317" s="2">
        <v>0</v>
      </c>
      <c r="K317" s="2">
        <v>1</v>
      </c>
      <c r="L317" s="2">
        <v>0</v>
      </c>
      <c r="M317">
        <v>0</v>
      </c>
      <c r="N317">
        <v>0</v>
      </c>
      <c r="O317" s="2">
        <v>0</v>
      </c>
      <c r="P317" s="2">
        <v>0</v>
      </c>
      <c r="Q317">
        <v>0</v>
      </c>
      <c r="R317" s="2">
        <v>0</v>
      </c>
      <c r="S317" s="2">
        <v>0</v>
      </c>
      <c r="T317" t="s">
        <v>267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</row>
    <row r="318" spans="1:28" hidden="1" x14ac:dyDescent="0.25">
      <c r="A318" t="s">
        <v>37</v>
      </c>
      <c r="B318" t="s">
        <v>38</v>
      </c>
      <c r="C318" t="s">
        <v>39</v>
      </c>
      <c r="D318" s="1">
        <v>45804</v>
      </c>
      <c r="E318" s="1">
        <v>45804</v>
      </c>
      <c r="F318" s="2">
        <v>157</v>
      </c>
      <c r="G318" s="3" t="s">
        <v>23</v>
      </c>
      <c r="H318">
        <v>36</v>
      </c>
      <c r="I318" s="2">
        <v>0</v>
      </c>
      <c r="J318" s="2">
        <v>0</v>
      </c>
      <c r="K318" s="2">
        <v>1</v>
      </c>
      <c r="L318" s="2">
        <v>0</v>
      </c>
      <c r="M318">
        <v>1</v>
      </c>
      <c r="N318">
        <v>0</v>
      </c>
      <c r="O318" s="2">
        <v>0</v>
      </c>
      <c r="P318" s="2">
        <v>0</v>
      </c>
      <c r="Q318">
        <v>0</v>
      </c>
      <c r="R318" s="2">
        <v>0</v>
      </c>
      <c r="S318" s="2">
        <v>0</v>
      </c>
      <c r="T318" t="s">
        <v>268</v>
      </c>
      <c r="U318" s="2">
        <v>0</v>
      </c>
      <c r="V318" s="2">
        <v>4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</row>
    <row r="319" spans="1:28" hidden="1" x14ac:dyDescent="0.25">
      <c r="A319" t="s">
        <v>29</v>
      </c>
      <c r="B319" t="s">
        <v>30</v>
      </c>
      <c r="C319" t="s">
        <v>39</v>
      </c>
      <c r="D319" s="1">
        <v>45804</v>
      </c>
      <c r="E319" s="1">
        <v>45804</v>
      </c>
      <c r="F319" s="2">
        <v>157</v>
      </c>
      <c r="G319" s="3" t="s">
        <v>23</v>
      </c>
      <c r="H319">
        <v>14</v>
      </c>
      <c r="I319" s="2">
        <v>0</v>
      </c>
      <c r="J319" s="2">
        <v>0</v>
      </c>
      <c r="K319" s="2">
        <v>0</v>
      </c>
      <c r="L319" s="2">
        <v>1</v>
      </c>
      <c r="M319">
        <v>0</v>
      </c>
      <c r="N319">
        <v>0</v>
      </c>
      <c r="O319" s="2">
        <v>0</v>
      </c>
      <c r="P319" s="2">
        <v>0</v>
      </c>
      <c r="Q319">
        <v>0</v>
      </c>
      <c r="R319" s="2">
        <v>0</v>
      </c>
      <c r="S319" s="2">
        <v>0</v>
      </c>
      <c r="T319" t="s">
        <v>268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</row>
    <row r="320" spans="1:28" hidden="1" x14ac:dyDescent="0.25">
      <c r="A320" t="s">
        <v>53</v>
      </c>
      <c r="B320" t="s">
        <v>34</v>
      </c>
      <c r="C320" t="s">
        <v>39</v>
      </c>
      <c r="D320" s="1">
        <v>45804</v>
      </c>
      <c r="E320" s="1">
        <v>45804</v>
      </c>
      <c r="F320" s="2">
        <v>157</v>
      </c>
      <c r="G320" s="3" t="s">
        <v>23</v>
      </c>
      <c r="H320">
        <v>16</v>
      </c>
      <c r="I320" s="2">
        <v>0</v>
      </c>
      <c r="J320" s="2">
        <v>0</v>
      </c>
      <c r="K320" s="2">
        <v>1</v>
      </c>
      <c r="L320" s="2">
        <v>0</v>
      </c>
      <c r="M320">
        <v>0</v>
      </c>
      <c r="N320">
        <v>0</v>
      </c>
      <c r="O320" s="2">
        <v>0</v>
      </c>
      <c r="P320" s="2">
        <v>0</v>
      </c>
      <c r="Q320">
        <v>0</v>
      </c>
      <c r="R320" s="2">
        <v>0</v>
      </c>
      <c r="S320" s="2">
        <v>0</v>
      </c>
      <c r="T320" t="s">
        <v>268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idden="1" x14ac:dyDescent="0.25">
      <c r="A321" t="s">
        <v>25</v>
      </c>
      <c r="B321" t="s">
        <v>47</v>
      </c>
      <c r="C321">
        <v>0</v>
      </c>
      <c r="D321" s="1">
        <v>45804</v>
      </c>
      <c r="E321" s="1">
        <v>45804</v>
      </c>
      <c r="F321" s="2">
        <v>0</v>
      </c>
      <c r="G321" s="3" t="s">
        <v>48</v>
      </c>
      <c r="H321">
        <v>0</v>
      </c>
      <c r="I321" s="2">
        <v>0</v>
      </c>
      <c r="J321" s="2">
        <v>0</v>
      </c>
      <c r="K321" s="2">
        <v>0</v>
      </c>
      <c r="L321" s="2">
        <v>0</v>
      </c>
      <c r="M321">
        <v>0</v>
      </c>
      <c r="N321">
        <v>0</v>
      </c>
      <c r="O321" s="2">
        <v>0</v>
      </c>
      <c r="P321" s="2">
        <v>0</v>
      </c>
      <c r="Q321">
        <v>0</v>
      </c>
      <c r="R321" s="2">
        <v>0</v>
      </c>
      <c r="S321" s="2">
        <v>0</v>
      </c>
      <c r="T321" t="s">
        <v>231</v>
      </c>
      <c r="U321" s="2">
        <v>0</v>
      </c>
      <c r="V321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idden="1" x14ac:dyDescent="0.25">
      <c r="A322" t="s">
        <v>20</v>
      </c>
      <c r="B322" t="s">
        <v>21</v>
      </c>
      <c r="C322">
        <v>0</v>
      </c>
      <c r="D322" s="1">
        <v>45804</v>
      </c>
      <c r="E322" s="1">
        <v>45804</v>
      </c>
      <c r="F322" s="2">
        <v>0</v>
      </c>
      <c r="G322" s="3" t="s">
        <v>48</v>
      </c>
      <c r="H322">
        <v>0</v>
      </c>
      <c r="I322" s="2">
        <v>0</v>
      </c>
      <c r="J322" s="2">
        <v>0</v>
      </c>
      <c r="K322" s="2">
        <v>0</v>
      </c>
      <c r="L322" s="2">
        <v>0</v>
      </c>
      <c r="M322">
        <v>0</v>
      </c>
      <c r="N322">
        <v>0</v>
      </c>
      <c r="O322" s="2">
        <v>0</v>
      </c>
      <c r="P322" s="2">
        <v>0</v>
      </c>
      <c r="Q322">
        <v>0</v>
      </c>
      <c r="R322" s="2">
        <v>0</v>
      </c>
      <c r="S322" s="2">
        <v>0</v>
      </c>
      <c r="T322" t="s">
        <v>231</v>
      </c>
      <c r="U322" s="2">
        <v>0</v>
      </c>
      <c r="V32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idden="1" x14ac:dyDescent="0.25">
      <c r="A323" t="s">
        <v>49</v>
      </c>
      <c r="B323" t="s">
        <v>47</v>
      </c>
      <c r="C323">
        <v>0</v>
      </c>
      <c r="D323" s="1">
        <v>45804</v>
      </c>
      <c r="E323" s="1">
        <v>45804</v>
      </c>
      <c r="F323" s="2">
        <v>0</v>
      </c>
      <c r="G323" s="3" t="s">
        <v>50</v>
      </c>
      <c r="H323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idden="1" x14ac:dyDescent="0.25">
      <c r="A324" t="s">
        <v>51</v>
      </c>
      <c r="B324" t="s">
        <v>47</v>
      </c>
      <c r="C324">
        <v>0</v>
      </c>
      <c r="D324" s="1">
        <v>45804</v>
      </c>
      <c r="E324" s="1">
        <v>45804</v>
      </c>
      <c r="F324" s="2">
        <v>0</v>
      </c>
      <c r="G324" s="3" t="s">
        <v>50</v>
      </c>
      <c r="H324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</row>
    <row r="325" spans="1:28" hidden="1" x14ac:dyDescent="0.25">
      <c r="A325" t="s">
        <v>47</v>
      </c>
      <c r="B325" t="s">
        <v>52</v>
      </c>
      <c r="C325">
        <v>0</v>
      </c>
      <c r="D325" s="1">
        <v>45804</v>
      </c>
      <c r="E325" s="1">
        <v>45804</v>
      </c>
      <c r="F325" s="2">
        <v>0</v>
      </c>
      <c r="G325" s="3" t="s">
        <v>50</v>
      </c>
      <c r="H325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</row>
    <row r="326" spans="1:28" hidden="1" x14ac:dyDescent="0.25">
      <c r="A326" t="s">
        <v>56</v>
      </c>
      <c r="B326" t="s">
        <v>57</v>
      </c>
      <c r="C326" t="s">
        <v>64</v>
      </c>
      <c r="D326" s="1">
        <v>45805</v>
      </c>
      <c r="E326" s="1">
        <v>45805</v>
      </c>
      <c r="F326" s="2">
        <v>20</v>
      </c>
      <c r="G326" s="3" t="s">
        <v>23</v>
      </c>
      <c r="H326">
        <v>28</v>
      </c>
      <c r="I326" s="2">
        <v>0</v>
      </c>
      <c r="J326" s="2">
        <v>0</v>
      </c>
      <c r="K326" s="2">
        <v>1</v>
      </c>
      <c r="L326" s="2">
        <v>0</v>
      </c>
      <c r="M326">
        <v>0</v>
      </c>
      <c r="N326">
        <v>0</v>
      </c>
      <c r="O326" s="2">
        <v>0</v>
      </c>
      <c r="P326" s="2">
        <v>0</v>
      </c>
      <c r="Q326">
        <v>0</v>
      </c>
      <c r="R326" s="2">
        <v>0</v>
      </c>
      <c r="S326" s="2">
        <v>0</v>
      </c>
      <c r="T326" t="s">
        <v>269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idden="1" x14ac:dyDescent="0.25">
      <c r="A327" t="s">
        <v>20</v>
      </c>
      <c r="B327" t="s">
        <v>21</v>
      </c>
      <c r="C327" t="s">
        <v>22</v>
      </c>
      <c r="D327" s="1">
        <v>45805</v>
      </c>
      <c r="E327" s="1">
        <v>45805</v>
      </c>
      <c r="F327" s="2">
        <v>25</v>
      </c>
      <c r="G327" s="3" t="s">
        <v>23</v>
      </c>
      <c r="H327">
        <v>35</v>
      </c>
      <c r="I327" s="2">
        <v>0</v>
      </c>
      <c r="J327" s="2">
        <v>0</v>
      </c>
      <c r="K327" s="2">
        <v>1</v>
      </c>
      <c r="L327" s="2">
        <v>0</v>
      </c>
      <c r="M327">
        <v>0</v>
      </c>
      <c r="N327">
        <v>0</v>
      </c>
      <c r="O327" s="2">
        <v>0</v>
      </c>
      <c r="P327" s="2">
        <v>0</v>
      </c>
      <c r="Q327">
        <v>0</v>
      </c>
      <c r="R327" s="2">
        <v>0</v>
      </c>
      <c r="S327" s="2">
        <v>0</v>
      </c>
      <c r="T327" t="s">
        <v>270</v>
      </c>
      <c r="U327" s="2">
        <v>0</v>
      </c>
      <c r="V327" s="2">
        <v>3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idden="1" x14ac:dyDescent="0.25">
      <c r="A328" t="s">
        <v>25</v>
      </c>
      <c r="B328" t="s">
        <v>26</v>
      </c>
      <c r="C328" t="s">
        <v>27</v>
      </c>
      <c r="D328" s="1">
        <v>45805</v>
      </c>
      <c r="E328" s="1">
        <v>45805</v>
      </c>
      <c r="F328" s="2">
        <v>20</v>
      </c>
      <c r="G328" s="3" t="s">
        <v>23</v>
      </c>
      <c r="H328">
        <v>28</v>
      </c>
      <c r="I328" s="2">
        <v>0</v>
      </c>
      <c r="J328" s="2">
        <v>0</v>
      </c>
      <c r="K328" s="2">
        <v>1</v>
      </c>
      <c r="L328" s="2">
        <v>0</v>
      </c>
      <c r="M328">
        <v>0</v>
      </c>
      <c r="N328">
        <v>0</v>
      </c>
      <c r="O328" s="2">
        <v>0</v>
      </c>
      <c r="P328" s="2">
        <v>0</v>
      </c>
      <c r="Q328">
        <v>0</v>
      </c>
      <c r="R328" s="2">
        <v>0</v>
      </c>
      <c r="S328" s="2">
        <v>0</v>
      </c>
      <c r="T328" t="s">
        <v>271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idden="1" x14ac:dyDescent="0.25">
      <c r="A329" t="s">
        <v>29</v>
      </c>
      <c r="B329" t="s">
        <v>30</v>
      </c>
      <c r="C329" t="s">
        <v>31</v>
      </c>
      <c r="D329" s="1">
        <v>45805</v>
      </c>
      <c r="E329" s="1">
        <v>45805</v>
      </c>
      <c r="F329" s="2">
        <v>23</v>
      </c>
      <c r="G329" s="3" t="s">
        <v>23</v>
      </c>
      <c r="H329">
        <v>18</v>
      </c>
      <c r="I329" s="2">
        <v>0</v>
      </c>
      <c r="J329" s="2">
        <v>0</v>
      </c>
      <c r="K329" s="2">
        <v>0</v>
      </c>
      <c r="L329" s="2">
        <v>1</v>
      </c>
      <c r="M329">
        <v>1</v>
      </c>
      <c r="N329">
        <v>0</v>
      </c>
      <c r="O329" s="2">
        <v>0</v>
      </c>
      <c r="P329" s="2">
        <v>0</v>
      </c>
      <c r="Q329">
        <v>0</v>
      </c>
      <c r="R329" s="2">
        <v>0</v>
      </c>
      <c r="S329" s="2">
        <v>0</v>
      </c>
      <c r="T329" t="s">
        <v>272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</row>
    <row r="330" spans="1:28" hidden="1" x14ac:dyDescent="0.25">
      <c r="A330" t="s">
        <v>33</v>
      </c>
      <c r="B330" t="s">
        <v>34</v>
      </c>
      <c r="C330" t="s">
        <v>35</v>
      </c>
      <c r="D330" s="1">
        <v>45805</v>
      </c>
      <c r="E330" s="1">
        <v>45805</v>
      </c>
      <c r="F330" s="2">
        <v>50</v>
      </c>
      <c r="G330" s="3" t="s">
        <v>23</v>
      </c>
      <c r="H330">
        <v>24</v>
      </c>
      <c r="I330" s="2">
        <v>0</v>
      </c>
      <c r="J330" s="2">
        <v>0</v>
      </c>
      <c r="K330" s="2">
        <v>1</v>
      </c>
      <c r="L330" s="2">
        <v>0</v>
      </c>
      <c r="M330">
        <v>0</v>
      </c>
      <c r="N330">
        <v>0</v>
      </c>
      <c r="O330" s="2">
        <v>0</v>
      </c>
      <c r="P330" s="2">
        <v>0</v>
      </c>
      <c r="Q330">
        <v>0</v>
      </c>
      <c r="R330" s="2">
        <v>0</v>
      </c>
      <c r="S330" s="2">
        <v>0</v>
      </c>
      <c r="T330" t="s">
        <v>273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</row>
    <row r="331" spans="1:28" hidden="1" x14ac:dyDescent="0.25">
      <c r="A331" t="s">
        <v>53</v>
      </c>
      <c r="B331" t="s">
        <v>47</v>
      </c>
      <c r="C331">
        <v>0</v>
      </c>
      <c r="D331" s="1">
        <v>45805</v>
      </c>
      <c r="E331" s="1">
        <v>45805</v>
      </c>
      <c r="F331" s="2">
        <v>0</v>
      </c>
      <c r="G331" s="3" t="s">
        <v>48</v>
      </c>
      <c r="H331">
        <v>0</v>
      </c>
      <c r="I331" s="2">
        <v>0</v>
      </c>
      <c r="J331" s="2">
        <v>0</v>
      </c>
      <c r="K331" s="2">
        <v>0</v>
      </c>
      <c r="L331" s="2">
        <v>0</v>
      </c>
      <c r="M331">
        <v>0</v>
      </c>
      <c r="N331">
        <v>0</v>
      </c>
      <c r="O331" s="2">
        <v>0</v>
      </c>
      <c r="P331" s="2">
        <v>0</v>
      </c>
      <c r="Q331">
        <v>0</v>
      </c>
      <c r="R331" s="2">
        <v>0</v>
      </c>
      <c r="S331" s="2">
        <v>0</v>
      </c>
      <c r="T331" t="s">
        <v>231</v>
      </c>
      <c r="U331" s="2">
        <v>0</v>
      </c>
      <c r="V331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</row>
    <row r="332" spans="1:28" hidden="1" x14ac:dyDescent="0.25">
      <c r="A332" t="s">
        <v>37</v>
      </c>
      <c r="B332" t="s">
        <v>38</v>
      </c>
      <c r="C332">
        <v>0</v>
      </c>
      <c r="D332" s="1">
        <v>45805</v>
      </c>
      <c r="E332" s="1">
        <v>45805</v>
      </c>
      <c r="F332" s="2">
        <v>0</v>
      </c>
      <c r="G332" s="3" t="s">
        <v>572</v>
      </c>
      <c r="H332">
        <v>0</v>
      </c>
      <c r="I332" s="2">
        <v>0</v>
      </c>
      <c r="J332" s="2">
        <v>0</v>
      </c>
      <c r="K332" s="2">
        <v>0</v>
      </c>
      <c r="L332" s="2">
        <v>0</v>
      </c>
      <c r="M332">
        <v>0</v>
      </c>
      <c r="N332">
        <v>0</v>
      </c>
      <c r="O332" s="2">
        <v>0</v>
      </c>
      <c r="P332" s="2">
        <v>0</v>
      </c>
      <c r="Q332">
        <v>0</v>
      </c>
      <c r="R332" s="2">
        <v>0</v>
      </c>
      <c r="S332" s="2">
        <v>0</v>
      </c>
      <c r="T332" t="s">
        <v>231</v>
      </c>
      <c r="U332" s="2">
        <v>0</v>
      </c>
      <c r="V33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</row>
    <row r="333" spans="1:28" hidden="1" x14ac:dyDescent="0.25">
      <c r="A333" t="s">
        <v>49</v>
      </c>
      <c r="B333" t="s">
        <v>47</v>
      </c>
      <c r="C333">
        <v>0</v>
      </c>
      <c r="D333" s="1">
        <v>45805</v>
      </c>
      <c r="E333" s="1">
        <v>45805</v>
      </c>
      <c r="F333" s="2">
        <v>0</v>
      </c>
      <c r="G333" s="3" t="s">
        <v>50</v>
      </c>
      <c r="H333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</row>
    <row r="334" spans="1:28" hidden="1" x14ac:dyDescent="0.25">
      <c r="A334" t="s">
        <v>51</v>
      </c>
      <c r="B334" t="s">
        <v>47</v>
      </c>
      <c r="C334">
        <v>0</v>
      </c>
      <c r="D334" s="1">
        <v>45805</v>
      </c>
      <c r="E334" s="1">
        <v>45805</v>
      </c>
      <c r="F334" s="2">
        <v>0</v>
      </c>
      <c r="G334" s="3" t="s">
        <v>50</v>
      </c>
      <c r="H334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</row>
    <row r="335" spans="1:28" hidden="1" x14ac:dyDescent="0.25">
      <c r="A335" t="s">
        <v>47</v>
      </c>
      <c r="B335" t="s">
        <v>52</v>
      </c>
      <c r="C335">
        <v>0</v>
      </c>
      <c r="D335" s="1">
        <v>45805</v>
      </c>
      <c r="E335" s="1">
        <v>45805</v>
      </c>
      <c r="F335" s="2">
        <v>0</v>
      </c>
      <c r="G335" s="3" t="s">
        <v>50</v>
      </c>
      <c r="H335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</row>
    <row r="336" spans="1:28" hidden="1" x14ac:dyDescent="0.25">
      <c r="A336" t="s">
        <v>56</v>
      </c>
      <c r="B336" t="s">
        <v>38</v>
      </c>
      <c r="C336" t="s">
        <v>64</v>
      </c>
      <c r="D336" s="1">
        <v>45806</v>
      </c>
      <c r="E336" s="1">
        <v>45806</v>
      </c>
      <c r="F336" s="2">
        <v>50</v>
      </c>
      <c r="G336" s="3" t="s">
        <v>23</v>
      </c>
      <c r="H336">
        <v>24</v>
      </c>
      <c r="I336" s="2">
        <v>0</v>
      </c>
      <c r="J336" s="2">
        <v>1</v>
      </c>
      <c r="K336" s="2">
        <v>1</v>
      </c>
      <c r="L336" s="2">
        <v>0</v>
      </c>
      <c r="M336">
        <v>0</v>
      </c>
      <c r="N336">
        <v>0</v>
      </c>
      <c r="O336" s="2">
        <v>0</v>
      </c>
      <c r="P336" s="2">
        <v>0</v>
      </c>
      <c r="Q336">
        <v>0</v>
      </c>
      <c r="R336" s="2">
        <v>0</v>
      </c>
      <c r="S336" s="2">
        <v>0</v>
      </c>
      <c r="T336" t="s">
        <v>274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idden="1" x14ac:dyDescent="0.25">
      <c r="A337" t="s">
        <v>53</v>
      </c>
      <c r="B337" t="s">
        <v>34</v>
      </c>
      <c r="C337" t="s">
        <v>54</v>
      </c>
      <c r="D337" s="1">
        <v>45806</v>
      </c>
      <c r="E337" s="1">
        <v>45806</v>
      </c>
      <c r="F337" s="2">
        <v>78</v>
      </c>
      <c r="G337" s="3" t="s">
        <v>23</v>
      </c>
      <c r="H337">
        <v>39</v>
      </c>
      <c r="I337" s="2">
        <v>0</v>
      </c>
      <c r="J337" s="2">
        <v>0</v>
      </c>
      <c r="K337" s="2">
        <v>1</v>
      </c>
      <c r="L337" s="2">
        <v>0</v>
      </c>
      <c r="M337">
        <v>1</v>
      </c>
      <c r="N337">
        <v>0</v>
      </c>
      <c r="O337" s="2">
        <v>0</v>
      </c>
      <c r="P337" s="2">
        <v>0</v>
      </c>
      <c r="Q337">
        <v>0</v>
      </c>
      <c r="R337" s="2">
        <v>0</v>
      </c>
      <c r="S337" s="2">
        <v>0</v>
      </c>
      <c r="T337" t="s">
        <v>275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idden="1" x14ac:dyDescent="0.25">
      <c r="A338" t="s">
        <v>20</v>
      </c>
      <c r="B338" t="s">
        <v>21</v>
      </c>
      <c r="C338" t="s">
        <v>22</v>
      </c>
      <c r="D338" s="1">
        <v>45806</v>
      </c>
      <c r="E338" s="1">
        <v>45806</v>
      </c>
      <c r="F338" s="2">
        <v>35</v>
      </c>
      <c r="G338" s="3" t="s">
        <v>23</v>
      </c>
      <c r="H338">
        <v>30</v>
      </c>
      <c r="I338" s="2">
        <v>0</v>
      </c>
      <c r="J338" s="2">
        <v>0</v>
      </c>
      <c r="K338" s="2">
        <v>1</v>
      </c>
      <c r="L338" s="2">
        <v>0</v>
      </c>
      <c r="M338">
        <v>0</v>
      </c>
      <c r="N338">
        <v>0</v>
      </c>
      <c r="O338" s="2">
        <v>0</v>
      </c>
      <c r="P338" s="2">
        <v>0</v>
      </c>
      <c r="Q338">
        <v>0</v>
      </c>
      <c r="R338" s="2">
        <v>0</v>
      </c>
      <c r="S338" s="2">
        <v>0</v>
      </c>
      <c r="T338" t="s">
        <v>276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</row>
    <row r="339" spans="1:28" hidden="1" x14ac:dyDescent="0.25">
      <c r="A339" t="s">
        <v>25</v>
      </c>
      <c r="B339" t="s">
        <v>26</v>
      </c>
      <c r="C339" t="s">
        <v>27</v>
      </c>
      <c r="D339" s="1">
        <v>45806</v>
      </c>
      <c r="E339" s="1">
        <v>45806</v>
      </c>
      <c r="F339" s="2">
        <v>39</v>
      </c>
      <c r="G339" s="3" t="s">
        <v>23</v>
      </c>
      <c r="H339">
        <v>29</v>
      </c>
      <c r="I339" s="2">
        <v>0</v>
      </c>
      <c r="J339" s="2">
        <v>0</v>
      </c>
      <c r="K339" s="2">
        <v>1</v>
      </c>
      <c r="L339" s="2">
        <v>0</v>
      </c>
      <c r="M339">
        <v>0</v>
      </c>
      <c r="N339">
        <v>0</v>
      </c>
      <c r="O339" s="2">
        <v>0</v>
      </c>
      <c r="P339" s="2">
        <v>0</v>
      </c>
      <c r="Q339">
        <v>0</v>
      </c>
      <c r="R339" s="2">
        <v>0</v>
      </c>
      <c r="S339" s="2">
        <v>0</v>
      </c>
      <c r="T339" t="s">
        <v>277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</row>
    <row r="340" spans="1:28" hidden="1" x14ac:dyDescent="0.25">
      <c r="A340" t="s">
        <v>29</v>
      </c>
      <c r="B340" t="s">
        <v>30</v>
      </c>
      <c r="C340" t="s">
        <v>31</v>
      </c>
      <c r="D340" s="1">
        <v>45806</v>
      </c>
      <c r="E340" s="1">
        <v>45806</v>
      </c>
      <c r="F340" s="2">
        <v>22</v>
      </c>
      <c r="G340" s="3" t="s">
        <v>23</v>
      </c>
      <c r="H340">
        <v>16</v>
      </c>
      <c r="I340" s="2">
        <v>0</v>
      </c>
      <c r="J340" s="2">
        <v>0</v>
      </c>
      <c r="K340" s="2">
        <v>0</v>
      </c>
      <c r="L340" s="2">
        <v>1</v>
      </c>
      <c r="M340">
        <v>0</v>
      </c>
      <c r="N340">
        <v>0</v>
      </c>
      <c r="O340" s="2">
        <v>0</v>
      </c>
      <c r="P340" s="2">
        <v>0</v>
      </c>
      <c r="Q340">
        <v>0</v>
      </c>
      <c r="R340" s="2">
        <v>0</v>
      </c>
      <c r="S340" s="2">
        <v>0</v>
      </c>
      <c r="T340" t="s">
        <v>278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</row>
    <row r="341" spans="1:28" hidden="1" x14ac:dyDescent="0.25">
      <c r="A341" t="s">
        <v>37</v>
      </c>
      <c r="B341" t="s">
        <v>57</v>
      </c>
      <c r="C341" t="s">
        <v>39</v>
      </c>
      <c r="D341" s="1">
        <v>45806</v>
      </c>
      <c r="E341" s="1">
        <v>45806</v>
      </c>
      <c r="F341" s="2">
        <v>23</v>
      </c>
      <c r="G341" s="3" t="s">
        <v>23</v>
      </c>
      <c r="H341">
        <v>5</v>
      </c>
      <c r="I341" s="2">
        <v>0</v>
      </c>
      <c r="J341" s="2">
        <v>0</v>
      </c>
      <c r="K341" s="2">
        <v>0</v>
      </c>
      <c r="L341" s="2">
        <v>0</v>
      </c>
      <c r="M341">
        <v>1</v>
      </c>
      <c r="N341">
        <v>1</v>
      </c>
      <c r="O341" s="2">
        <v>0</v>
      </c>
      <c r="P341" s="2">
        <v>0</v>
      </c>
      <c r="Q341">
        <v>0</v>
      </c>
      <c r="R341" s="2">
        <v>0</v>
      </c>
      <c r="S341" s="2">
        <v>0</v>
      </c>
      <c r="T341" t="s">
        <v>279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idden="1" x14ac:dyDescent="0.25">
      <c r="A342" t="s">
        <v>33</v>
      </c>
      <c r="B342" t="s">
        <v>47</v>
      </c>
      <c r="C342">
        <v>0</v>
      </c>
      <c r="D342" s="1">
        <v>45806</v>
      </c>
      <c r="E342" s="1">
        <v>45806</v>
      </c>
      <c r="F342" s="2">
        <v>0</v>
      </c>
      <c r="G342" s="3" t="s">
        <v>572</v>
      </c>
      <c r="H342">
        <v>0</v>
      </c>
      <c r="I342" s="2">
        <v>0</v>
      </c>
      <c r="J342" s="2">
        <v>0</v>
      </c>
      <c r="K342" s="2">
        <v>0</v>
      </c>
      <c r="L342" s="2">
        <v>0</v>
      </c>
      <c r="M342">
        <v>0</v>
      </c>
      <c r="N342">
        <v>0</v>
      </c>
      <c r="O342" s="2">
        <v>0</v>
      </c>
      <c r="P342" s="2">
        <v>0</v>
      </c>
      <c r="Q342">
        <v>0</v>
      </c>
      <c r="R342" s="2">
        <v>0</v>
      </c>
      <c r="S342" s="2">
        <v>0</v>
      </c>
      <c r="T342" t="s">
        <v>231</v>
      </c>
      <c r="U342" s="2">
        <v>0</v>
      </c>
      <c r="V34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idden="1" x14ac:dyDescent="0.25">
      <c r="A343" t="s">
        <v>49</v>
      </c>
      <c r="B343" t="s">
        <v>47</v>
      </c>
      <c r="C343">
        <v>0</v>
      </c>
      <c r="D343" s="1">
        <v>45806</v>
      </c>
      <c r="E343" s="1">
        <v>45806</v>
      </c>
      <c r="F343" s="2">
        <v>0</v>
      </c>
      <c r="G343" s="3" t="s">
        <v>50</v>
      </c>
      <c r="H343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</row>
    <row r="344" spans="1:28" hidden="1" x14ac:dyDescent="0.25">
      <c r="A344" t="s">
        <v>51</v>
      </c>
      <c r="B344" t="s">
        <v>47</v>
      </c>
      <c r="C344">
        <v>0</v>
      </c>
      <c r="D344" s="1">
        <v>45806</v>
      </c>
      <c r="E344" s="1">
        <v>45806</v>
      </c>
      <c r="F344" s="2">
        <v>0</v>
      </c>
      <c r="G344" s="3" t="s">
        <v>50</v>
      </c>
      <c r="H344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idden="1" x14ac:dyDescent="0.25">
      <c r="A345" t="s">
        <v>47</v>
      </c>
      <c r="B345" t="s">
        <v>52</v>
      </c>
      <c r="C345">
        <v>0</v>
      </c>
      <c r="D345" s="1">
        <v>45806</v>
      </c>
      <c r="E345" s="1">
        <v>45806</v>
      </c>
      <c r="F345" s="2">
        <v>0</v>
      </c>
      <c r="G345" s="3" t="s">
        <v>50</v>
      </c>
      <c r="H345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idden="1" x14ac:dyDescent="0.25">
      <c r="A346" t="s">
        <v>56</v>
      </c>
      <c r="B346" t="s">
        <v>38</v>
      </c>
      <c r="C346" t="s">
        <v>64</v>
      </c>
      <c r="D346" s="1">
        <v>45807</v>
      </c>
      <c r="E346" s="1">
        <v>45807</v>
      </c>
      <c r="F346" s="2">
        <v>76</v>
      </c>
      <c r="G346" s="3" t="s">
        <v>23</v>
      </c>
      <c r="H346">
        <v>25</v>
      </c>
      <c r="I346" s="2">
        <v>0</v>
      </c>
      <c r="J346" s="2">
        <v>0</v>
      </c>
      <c r="K346" s="2">
        <v>1</v>
      </c>
      <c r="L346" s="2">
        <v>0</v>
      </c>
      <c r="M346">
        <v>0</v>
      </c>
      <c r="N346">
        <v>0</v>
      </c>
      <c r="O346" s="2">
        <v>0</v>
      </c>
      <c r="P346" s="2">
        <v>0</v>
      </c>
      <c r="Q346">
        <v>0</v>
      </c>
      <c r="R346" s="2">
        <v>0</v>
      </c>
      <c r="S346" s="2">
        <v>0</v>
      </c>
      <c r="T346" t="s">
        <v>280</v>
      </c>
      <c r="U346" s="2">
        <v>0</v>
      </c>
      <c r="V346" s="2">
        <v>22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idden="1" x14ac:dyDescent="0.25">
      <c r="A347" t="s">
        <v>20</v>
      </c>
      <c r="B347" t="s">
        <v>21</v>
      </c>
      <c r="C347" t="s">
        <v>22</v>
      </c>
      <c r="D347" s="1">
        <v>45807</v>
      </c>
      <c r="E347" s="1">
        <v>45807</v>
      </c>
      <c r="F347" s="2">
        <v>34</v>
      </c>
      <c r="G347" s="3" t="s">
        <v>23</v>
      </c>
      <c r="H347">
        <v>30</v>
      </c>
      <c r="I347" s="2">
        <v>0</v>
      </c>
      <c r="J347" s="2">
        <v>0</v>
      </c>
      <c r="K347" s="2">
        <v>1</v>
      </c>
      <c r="L347" s="2">
        <v>0</v>
      </c>
      <c r="M347">
        <v>0</v>
      </c>
      <c r="N347">
        <v>0</v>
      </c>
      <c r="O347" s="2">
        <v>0</v>
      </c>
      <c r="P347" s="2">
        <v>0</v>
      </c>
      <c r="Q347">
        <v>0</v>
      </c>
      <c r="R347" s="2">
        <v>0</v>
      </c>
      <c r="S347" s="2">
        <v>0</v>
      </c>
      <c r="T347" t="s">
        <v>281</v>
      </c>
      <c r="U347" s="2">
        <v>0</v>
      </c>
      <c r="V347" s="2">
        <v>22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idden="1" x14ac:dyDescent="0.25">
      <c r="A348" t="s">
        <v>25</v>
      </c>
      <c r="B348" t="s">
        <v>47</v>
      </c>
      <c r="C348" t="s">
        <v>27</v>
      </c>
      <c r="D348" s="1">
        <v>45807</v>
      </c>
      <c r="E348" s="1">
        <v>45807</v>
      </c>
      <c r="F348" s="2">
        <v>17</v>
      </c>
      <c r="G348" s="3" t="s">
        <v>23</v>
      </c>
      <c r="H348">
        <v>18</v>
      </c>
      <c r="I348" s="2">
        <v>0</v>
      </c>
      <c r="J348" s="2">
        <v>0</v>
      </c>
      <c r="K348" s="2">
        <v>1</v>
      </c>
      <c r="L348" s="2">
        <v>0</v>
      </c>
      <c r="M348">
        <v>0</v>
      </c>
      <c r="N348">
        <v>0</v>
      </c>
      <c r="O348" s="2">
        <v>0</v>
      </c>
      <c r="P348" s="2">
        <v>0</v>
      </c>
      <c r="Q348">
        <v>0</v>
      </c>
      <c r="R348" s="2">
        <v>0</v>
      </c>
      <c r="S348" s="2">
        <v>0</v>
      </c>
      <c r="T348" t="s">
        <v>282</v>
      </c>
      <c r="U348" s="2">
        <v>0</v>
      </c>
      <c r="V348" s="2">
        <v>20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idden="1" x14ac:dyDescent="0.25">
      <c r="A349" t="s">
        <v>47</v>
      </c>
      <c r="B349" t="s">
        <v>26</v>
      </c>
      <c r="C349" t="s">
        <v>35</v>
      </c>
      <c r="D349" s="1">
        <v>45807</v>
      </c>
      <c r="E349" s="1">
        <v>45807</v>
      </c>
      <c r="F349" s="2">
        <v>32</v>
      </c>
      <c r="G349" s="3" t="s">
        <v>23</v>
      </c>
      <c r="H349">
        <v>20</v>
      </c>
      <c r="I349" s="2">
        <v>0</v>
      </c>
      <c r="J349" s="2">
        <v>0</v>
      </c>
      <c r="K349" s="2">
        <v>1</v>
      </c>
      <c r="L349" s="2">
        <v>0</v>
      </c>
      <c r="M349">
        <v>1</v>
      </c>
      <c r="N349">
        <v>0</v>
      </c>
      <c r="O349" s="2">
        <v>0</v>
      </c>
      <c r="P349" s="2">
        <v>0</v>
      </c>
      <c r="Q349">
        <v>0</v>
      </c>
      <c r="R349" s="2">
        <v>0</v>
      </c>
      <c r="S349" s="2">
        <v>0</v>
      </c>
      <c r="T349" t="s">
        <v>283</v>
      </c>
      <c r="U349" s="2">
        <v>0</v>
      </c>
      <c r="V349" s="2">
        <v>20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idden="1" x14ac:dyDescent="0.25">
      <c r="A350" t="s">
        <v>33</v>
      </c>
      <c r="B350" t="s">
        <v>57</v>
      </c>
      <c r="C350" t="s">
        <v>35</v>
      </c>
      <c r="D350" s="1">
        <v>45807</v>
      </c>
      <c r="E350" s="1">
        <v>45807</v>
      </c>
      <c r="F350" s="2">
        <v>32</v>
      </c>
      <c r="G350" s="3" t="s">
        <v>23</v>
      </c>
      <c r="H350">
        <v>20</v>
      </c>
      <c r="I350" s="2">
        <v>0</v>
      </c>
      <c r="J350" s="2">
        <v>0</v>
      </c>
      <c r="K350" s="2">
        <v>0</v>
      </c>
      <c r="L350" s="2">
        <v>1</v>
      </c>
      <c r="M350">
        <v>1</v>
      </c>
      <c r="N350">
        <v>0</v>
      </c>
      <c r="O350" s="2">
        <v>0</v>
      </c>
      <c r="P350" s="2">
        <v>0</v>
      </c>
      <c r="Q350">
        <v>0</v>
      </c>
      <c r="R350" s="2">
        <v>0</v>
      </c>
      <c r="S350" s="2">
        <v>0</v>
      </c>
      <c r="T350" t="s">
        <v>283</v>
      </c>
      <c r="U350" s="2">
        <v>0</v>
      </c>
      <c r="V350" s="2">
        <v>22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idden="1" x14ac:dyDescent="0.25">
      <c r="A351" t="s">
        <v>53</v>
      </c>
      <c r="B351" t="s">
        <v>47</v>
      </c>
      <c r="C351" t="s">
        <v>35</v>
      </c>
      <c r="D351" s="1">
        <v>45807</v>
      </c>
      <c r="E351" s="1">
        <v>45807</v>
      </c>
      <c r="F351" s="2">
        <v>32</v>
      </c>
      <c r="G351" s="3" t="s">
        <v>23</v>
      </c>
      <c r="H351">
        <v>16</v>
      </c>
      <c r="I351" s="2">
        <v>0</v>
      </c>
      <c r="J351" s="2">
        <v>0</v>
      </c>
      <c r="K351" s="2">
        <v>1</v>
      </c>
      <c r="L351" s="2">
        <v>0</v>
      </c>
      <c r="M351">
        <v>0</v>
      </c>
      <c r="N351">
        <v>0</v>
      </c>
      <c r="O351" s="2">
        <v>0</v>
      </c>
      <c r="P351" s="2">
        <v>0</v>
      </c>
      <c r="Q351">
        <v>0</v>
      </c>
      <c r="R351" s="2">
        <v>0</v>
      </c>
      <c r="S351" s="2">
        <v>0</v>
      </c>
      <c r="T351" t="s">
        <v>283</v>
      </c>
      <c r="U351" s="2">
        <v>0</v>
      </c>
      <c r="V351" s="2">
        <v>20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idden="1" x14ac:dyDescent="0.25">
      <c r="A352" t="s">
        <v>47</v>
      </c>
      <c r="B352" t="s">
        <v>34</v>
      </c>
      <c r="C352" t="s">
        <v>35</v>
      </c>
      <c r="D352" s="1">
        <v>45807</v>
      </c>
      <c r="E352" s="1">
        <v>45807</v>
      </c>
      <c r="F352" s="2">
        <v>32</v>
      </c>
      <c r="G352" s="3" t="s">
        <v>23</v>
      </c>
      <c r="H352">
        <v>8</v>
      </c>
      <c r="I352" s="2">
        <v>0</v>
      </c>
      <c r="J352" s="2">
        <v>0</v>
      </c>
      <c r="K352" s="2">
        <v>1</v>
      </c>
      <c r="L352" s="2">
        <v>0</v>
      </c>
      <c r="M352">
        <v>0</v>
      </c>
      <c r="N352">
        <v>0</v>
      </c>
      <c r="O352" s="2">
        <v>0</v>
      </c>
      <c r="P352" s="2">
        <v>0</v>
      </c>
      <c r="Q352">
        <v>0</v>
      </c>
      <c r="R352" s="2">
        <v>0</v>
      </c>
      <c r="S352" s="2">
        <v>0</v>
      </c>
      <c r="T352" t="s">
        <v>283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idden="1" x14ac:dyDescent="0.25">
      <c r="A353" t="s">
        <v>47</v>
      </c>
      <c r="B353" t="s">
        <v>284</v>
      </c>
      <c r="C353" t="s">
        <v>35</v>
      </c>
      <c r="D353" s="1">
        <v>45807</v>
      </c>
      <c r="E353" s="1">
        <v>45807</v>
      </c>
      <c r="F353" s="2">
        <v>32</v>
      </c>
      <c r="G353" s="3" t="s">
        <v>23</v>
      </c>
      <c r="H353">
        <v>8</v>
      </c>
      <c r="I353" s="2">
        <v>0</v>
      </c>
      <c r="J353" s="2">
        <v>0</v>
      </c>
      <c r="K353" s="2">
        <v>1</v>
      </c>
      <c r="L353" s="2">
        <v>0</v>
      </c>
      <c r="M353">
        <v>0</v>
      </c>
      <c r="N353">
        <v>0</v>
      </c>
      <c r="O353" s="2">
        <v>0</v>
      </c>
      <c r="P353" s="2">
        <v>0</v>
      </c>
      <c r="Q353">
        <v>0</v>
      </c>
      <c r="R353" s="2">
        <v>0</v>
      </c>
      <c r="S353" s="2">
        <v>0</v>
      </c>
      <c r="T353" t="s">
        <v>283</v>
      </c>
      <c r="U353" s="2">
        <v>0</v>
      </c>
      <c r="V353" s="2">
        <v>20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idden="1" x14ac:dyDescent="0.25">
      <c r="A354" t="s">
        <v>37</v>
      </c>
      <c r="B354" t="s">
        <v>47</v>
      </c>
      <c r="C354">
        <v>0</v>
      </c>
      <c r="D354" s="1">
        <v>45807</v>
      </c>
      <c r="E354" s="1">
        <v>45807</v>
      </c>
      <c r="F354" s="2">
        <v>0</v>
      </c>
      <c r="G354" s="3" t="s">
        <v>48</v>
      </c>
      <c r="H354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</row>
    <row r="355" spans="1:28" hidden="1" x14ac:dyDescent="0.25">
      <c r="A355" t="s">
        <v>29</v>
      </c>
      <c r="B355" t="s">
        <v>30</v>
      </c>
      <c r="C355">
        <v>0</v>
      </c>
      <c r="D355" s="1">
        <v>45807</v>
      </c>
      <c r="E355" s="1">
        <v>45807</v>
      </c>
      <c r="F355" s="2">
        <v>0</v>
      </c>
      <c r="G355" s="3" t="s">
        <v>48</v>
      </c>
      <c r="H355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</row>
    <row r="356" spans="1:28" hidden="1" x14ac:dyDescent="0.25">
      <c r="A356" t="s">
        <v>49</v>
      </c>
      <c r="B356" t="s">
        <v>47</v>
      </c>
      <c r="C356">
        <v>0</v>
      </c>
      <c r="D356" s="1">
        <v>45807</v>
      </c>
      <c r="E356" s="1">
        <v>45807</v>
      </c>
      <c r="F356" s="2">
        <v>0</v>
      </c>
      <c r="G356" s="3" t="s">
        <v>50</v>
      </c>
      <c r="H356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</row>
    <row r="357" spans="1:28" hidden="1" x14ac:dyDescent="0.25">
      <c r="A357" t="s">
        <v>51</v>
      </c>
      <c r="B357" t="s">
        <v>47</v>
      </c>
      <c r="C357">
        <v>0</v>
      </c>
      <c r="D357" s="1">
        <v>45807</v>
      </c>
      <c r="E357" s="1">
        <v>45807</v>
      </c>
      <c r="F357" s="2">
        <v>0</v>
      </c>
      <c r="G357" s="3" t="s">
        <v>50</v>
      </c>
      <c r="H357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</row>
    <row r="358" spans="1:28" hidden="1" x14ac:dyDescent="0.25">
      <c r="A358" t="s">
        <v>47</v>
      </c>
      <c r="B358" t="s">
        <v>52</v>
      </c>
      <c r="C358">
        <v>0</v>
      </c>
      <c r="D358" s="1">
        <v>45807</v>
      </c>
      <c r="E358" s="1">
        <v>45807</v>
      </c>
      <c r="F358" s="2">
        <v>0</v>
      </c>
      <c r="G358" s="3" t="s">
        <v>50</v>
      </c>
      <c r="H358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</row>
    <row r="359" spans="1:28" hidden="1" x14ac:dyDescent="0.25">
      <c r="A359" t="s">
        <v>53</v>
      </c>
      <c r="B359" t="s">
        <v>211</v>
      </c>
      <c r="C359" t="s">
        <v>54</v>
      </c>
      <c r="D359" s="9">
        <v>45808</v>
      </c>
      <c r="E359" s="9">
        <v>45808</v>
      </c>
      <c r="F359" s="2">
        <v>45</v>
      </c>
      <c r="G359" s="3" t="s">
        <v>23</v>
      </c>
      <c r="H359">
        <v>0</v>
      </c>
      <c r="I359" s="2">
        <v>0</v>
      </c>
      <c r="J359" s="2">
        <v>0</v>
      </c>
      <c r="K359" s="2">
        <v>0</v>
      </c>
      <c r="L359" s="2">
        <v>0</v>
      </c>
      <c r="M359">
        <v>0</v>
      </c>
      <c r="N359">
        <v>0</v>
      </c>
      <c r="O359" s="2">
        <v>1</v>
      </c>
      <c r="P359" s="2">
        <v>0</v>
      </c>
      <c r="Q359">
        <v>0</v>
      </c>
      <c r="R359" s="2">
        <v>1</v>
      </c>
      <c r="S359" s="2">
        <v>0</v>
      </c>
      <c r="T359" t="s">
        <v>285</v>
      </c>
      <c r="U359" s="2">
        <v>12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idden="1" x14ac:dyDescent="0.25">
      <c r="A360" t="s">
        <v>25</v>
      </c>
      <c r="B360" t="s">
        <v>38</v>
      </c>
      <c r="C360" t="s">
        <v>27</v>
      </c>
      <c r="D360" s="9">
        <v>45808</v>
      </c>
      <c r="E360" s="9">
        <v>45808</v>
      </c>
      <c r="F360" s="2">
        <v>44</v>
      </c>
      <c r="G360" s="3" t="s">
        <v>23</v>
      </c>
      <c r="H360">
        <v>0</v>
      </c>
      <c r="I360" s="2">
        <v>0</v>
      </c>
      <c r="J360" s="2">
        <v>0</v>
      </c>
      <c r="K360" s="2">
        <v>0</v>
      </c>
      <c r="L360" s="2">
        <v>0</v>
      </c>
      <c r="M360">
        <v>0</v>
      </c>
      <c r="N360">
        <v>0</v>
      </c>
      <c r="O360" s="2">
        <v>1</v>
      </c>
      <c r="P360" s="2">
        <v>0</v>
      </c>
      <c r="Q360">
        <v>4</v>
      </c>
      <c r="R360" s="2">
        <v>1</v>
      </c>
      <c r="S360" s="2">
        <v>0</v>
      </c>
      <c r="T360" t="s">
        <v>286</v>
      </c>
      <c r="U360" s="2">
        <v>14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idden="1" x14ac:dyDescent="0.25">
      <c r="A361" t="s">
        <v>29</v>
      </c>
      <c r="B361" t="s">
        <v>30</v>
      </c>
      <c r="C361" t="s">
        <v>31</v>
      </c>
      <c r="D361" s="9">
        <v>45808</v>
      </c>
      <c r="E361" s="9">
        <v>45808</v>
      </c>
      <c r="F361" s="2">
        <v>23</v>
      </c>
      <c r="G361" s="3" t="s">
        <v>23</v>
      </c>
      <c r="H361">
        <v>0</v>
      </c>
      <c r="I361" s="2">
        <v>0</v>
      </c>
      <c r="J361" s="2">
        <v>0</v>
      </c>
      <c r="K361" s="2">
        <v>0</v>
      </c>
      <c r="L361" s="2">
        <v>0</v>
      </c>
      <c r="M361">
        <v>0</v>
      </c>
      <c r="N361">
        <v>0</v>
      </c>
      <c r="O361" s="2">
        <v>0</v>
      </c>
      <c r="P361" s="2">
        <v>0</v>
      </c>
      <c r="Q361">
        <v>6</v>
      </c>
      <c r="R361" s="2">
        <v>1</v>
      </c>
      <c r="S361" s="2">
        <v>0</v>
      </c>
      <c r="T361" t="s">
        <v>287</v>
      </c>
      <c r="U361" s="2">
        <v>15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1</v>
      </c>
      <c r="AB361" s="2">
        <v>0</v>
      </c>
    </row>
    <row r="362" spans="1:28" hidden="1" x14ac:dyDescent="0.25">
      <c r="A362" t="s">
        <v>105</v>
      </c>
      <c r="B362" t="s">
        <v>106</v>
      </c>
      <c r="C362" t="s">
        <v>107</v>
      </c>
      <c r="D362" s="9">
        <v>45808</v>
      </c>
      <c r="E362" s="9">
        <v>45808</v>
      </c>
      <c r="F362" s="2">
        <v>18</v>
      </c>
      <c r="G362" s="3" t="s">
        <v>23</v>
      </c>
      <c r="H362">
        <v>0</v>
      </c>
      <c r="I362" s="2">
        <v>0</v>
      </c>
      <c r="J362" s="2">
        <v>0</v>
      </c>
      <c r="K362" s="2">
        <v>0</v>
      </c>
      <c r="L362" s="2">
        <v>0</v>
      </c>
      <c r="M362">
        <v>0</v>
      </c>
      <c r="N362">
        <v>0</v>
      </c>
      <c r="O362" s="2">
        <v>1</v>
      </c>
      <c r="P362" s="2">
        <v>0</v>
      </c>
      <c r="Q362">
        <v>0</v>
      </c>
      <c r="R362" s="2">
        <v>1</v>
      </c>
      <c r="S362" s="2">
        <v>0</v>
      </c>
      <c r="T362" t="s">
        <v>288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idden="1" x14ac:dyDescent="0.25">
      <c r="A363" t="s">
        <v>289</v>
      </c>
      <c r="B363" t="s">
        <v>21</v>
      </c>
      <c r="C363" t="s">
        <v>290</v>
      </c>
      <c r="D363" s="9">
        <v>45808</v>
      </c>
      <c r="E363" s="9">
        <v>45808</v>
      </c>
      <c r="F363" s="2">
        <v>67</v>
      </c>
      <c r="G363" s="3" t="s">
        <v>23</v>
      </c>
      <c r="H363">
        <v>0</v>
      </c>
      <c r="I363" s="2">
        <v>0</v>
      </c>
      <c r="J363" s="2">
        <v>0</v>
      </c>
      <c r="K363" s="2">
        <v>0</v>
      </c>
      <c r="L363" s="2">
        <v>0</v>
      </c>
      <c r="M363">
        <v>0</v>
      </c>
      <c r="N363">
        <v>0</v>
      </c>
      <c r="O363" s="2">
        <v>1</v>
      </c>
      <c r="P363" s="2">
        <v>0</v>
      </c>
      <c r="Q363">
        <v>0</v>
      </c>
      <c r="R363" s="2">
        <v>1</v>
      </c>
      <c r="S363" s="2">
        <v>0</v>
      </c>
      <c r="T363" t="s">
        <v>291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idden="1" x14ac:dyDescent="0.25">
      <c r="A364" t="s">
        <v>53</v>
      </c>
      <c r="B364" t="s">
        <v>211</v>
      </c>
      <c r="C364" t="s">
        <v>54</v>
      </c>
      <c r="D364" s="9">
        <v>45809</v>
      </c>
      <c r="E364" s="9">
        <v>45809</v>
      </c>
      <c r="F364" s="2">
        <v>39</v>
      </c>
      <c r="G364" s="3" t="s">
        <v>23</v>
      </c>
      <c r="H364">
        <v>0</v>
      </c>
      <c r="I364" s="2">
        <v>0</v>
      </c>
      <c r="J364" s="2">
        <v>0</v>
      </c>
      <c r="K364" s="2">
        <v>0</v>
      </c>
      <c r="L364" s="2">
        <v>0</v>
      </c>
      <c r="M364">
        <v>0</v>
      </c>
      <c r="N364">
        <v>0</v>
      </c>
      <c r="O364" s="2">
        <v>0</v>
      </c>
      <c r="P364" s="2">
        <v>1</v>
      </c>
      <c r="Q364">
        <v>1</v>
      </c>
      <c r="R364" s="2">
        <v>0</v>
      </c>
      <c r="S364" s="2">
        <v>1</v>
      </c>
      <c r="T364" t="s">
        <v>292</v>
      </c>
      <c r="U364" s="2">
        <v>16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idden="1" x14ac:dyDescent="0.25">
      <c r="A365" t="s">
        <v>20</v>
      </c>
      <c r="B365" t="s">
        <v>21</v>
      </c>
      <c r="C365" t="s">
        <v>22</v>
      </c>
      <c r="D365" s="9">
        <v>45809</v>
      </c>
      <c r="E365" s="9">
        <v>45809</v>
      </c>
      <c r="F365" s="2">
        <v>28</v>
      </c>
      <c r="G365" s="3" t="s">
        <v>23</v>
      </c>
      <c r="H365">
        <v>0</v>
      </c>
      <c r="I365" s="2">
        <v>0</v>
      </c>
      <c r="J365" s="2">
        <v>0</v>
      </c>
      <c r="K365" s="2">
        <v>0</v>
      </c>
      <c r="L365" s="2">
        <v>0</v>
      </c>
      <c r="M365">
        <v>0</v>
      </c>
      <c r="N365">
        <v>0</v>
      </c>
      <c r="O365" s="2">
        <v>0</v>
      </c>
      <c r="P365" s="2">
        <v>1</v>
      </c>
      <c r="Q365">
        <v>0</v>
      </c>
      <c r="R365" s="2">
        <v>0</v>
      </c>
      <c r="S365" s="2">
        <v>1</v>
      </c>
      <c r="T365" t="s">
        <v>293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idden="1" x14ac:dyDescent="0.25">
      <c r="A366" t="s">
        <v>25</v>
      </c>
      <c r="B366" t="s">
        <v>38</v>
      </c>
      <c r="C366" t="s">
        <v>27</v>
      </c>
      <c r="D366" s="9">
        <v>45809</v>
      </c>
      <c r="E366" s="9">
        <v>45809</v>
      </c>
      <c r="F366" s="2">
        <v>28</v>
      </c>
      <c r="G366" s="3" t="s">
        <v>23</v>
      </c>
      <c r="H366">
        <v>0</v>
      </c>
      <c r="I366" s="2">
        <v>0</v>
      </c>
      <c r="J366" s="2">
        <v>0</v>
      </c>
      <c r="K366" s="2">
        <v>0</v>
      </c>
      <c r="L366" s="2">
        <v>0</v>
      </c>
      <c r="M366">
        <v>0</v>
      </c>
      <c r="N366">
        <v>0</v>
      </c>
      <c r="O366" s="2">
        <v>0</v>
      </c>
      <c r="P366" s="2">
        <v>1</v>
      </c>
      <c r="Q366">
        <v>2</v>
      </c>
      <c r="R366" s="2">
        <v>0</v>
      </c>
      <c r="S366" s="2">
        <v>1</v>
      </c>
      <c r="T366" t="s">
        <v>294</v>
      </c>
      <c r="U366" s="2">
        <v>11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idden="1" x14ac:dyDescent="0.25">
      <c r="A367" t="s">
        <v>105</v>
      </c>
      <c r="B367" t="s">
        <v>106</v>
      </c>
      <c r="C367" t="s">
        <v>107</v>
      </c>
      <c r="D367" s="9">
        <v>45809</v>
      </c>
      <c r="E367" s="9">
        <v>45809</v>
      </c>
      <c r="F367" s="2">
        <v>20</v>
      </c>
      <c r="G367" s="3" t="s">
        <v>23</v>
      </c>
      <c r="H367">
        <v>0</v>
      </c>
      <c r="I367" s="2">
        <v>0</v>
      </c>
      <c r="J367" s="2">
        <v>0</v>
      </c>
      <c r="K367" s="2">
        <v>0</v>
      </c>
      <c r="L367" s="2">
        <v>0</v>
      </c>
      <c r="M367">
        <v>0</v>
      </c>
      <c r="N367">
        <v>0</v>
      </c>
      <c r="O367" s="2">
        <v>0</v>
      </c>
      <c r="P367" s="2">
        <v>1</v>
      </c>
      <c r="Q367">
        <v>0</v>
      </c>
      <c r="R367" s="2">
        <v>0</v>
      </c>
      <c r="S367" s="2">
        <v>1</v>
      </c>
      <c r="T367" t="s">
        <v>295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</row>
    <row r="368" spans="1:28" hidden="1" x14ac:dyDescent="0.25">
      <c r="A368" t="s">
        <v>29</v>
      </c>
      <c r="B368" t="s">
        <v>30</v>
      </c>
      <c r="C368" t="s">
        <v>31</v>
      </c>
      <c r="D368" s="9">
        <v>45809</v>
      </c>
      <c r="E368" s="9">
        <v>45809</v>
      </c>
      <c r="F368" s="2">
        <v>23</v>
      </c>
      <c r="G368" s="3" t="s">
        <v>23</v>
      </c>
      <c r="H368">
        <v>0</v>
      </c>
      <c r="I368" s="2">
        <v>0</v>
      </c>
      <c r="J368" s="2">
        <v>0</v>
      </c>
      <c r="K368" s="2">
        <v>0</v>
      </c>
      <c r="L368" s="2">
        <v>0</v>
      </c>
      <c r="M368">
        <v>0</v>
      </c>
      <c r="N368">
        <v>0</v>
      </c>
      <c r="O368" s="2">
        <v>0</v>
      </c>
      <c r="P368" s="2">
        <v>0</v>
      </c>
      <c r="Q368">
        <v>4</v>
      </c>
      <c r="R368" s="2">
        <v>0</v>
      </c>
      <c r="S368" s="2">
        <v>1</v>
      </c>
      <c r="T368" t="s">
        <v>287</v>
      </c>
      <c r="U368" s="2">
        <v>10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1</v>
      </c>
    </row>
    <row r="369" spans="1:28" hidden="1" x14ac:dyDescent="0.25">
      <c r="A369" t="s">
        <v>56</v>
      </c>
      <c r="B369" t="s">
        <v>57</v>
      </c>
      <c r="C369" t="s">
        <v>64</v>
      </c>
      <c r="D369" s="1">
        <v>45810</v>
      </c>
      <c r="E369" s="1">
        <v>45810</v>
      </c>
      <c r="F369" s="2">
        <v>29</v>
      </c>
      <c r="G369" s="3" t="s">
        <v>23</v>
      </c>
      <c r="H369">
        <v>5</v>
      </c>
      <c r="I369" s="2">
        <v>0</v>
      </c>
      <c r="J369" s="2">
        <v>0</v>
      </c>
      <c r="K369" s="2">
        <v>0</v>
      </c>
      <c r="L369" s="2">
        <v>0</v>
      </c>
      <c r="M369">
        <v>0</v>
      </c>
      <c r="N369">
        <v>0</v>
      </c>
      <c r="O369" s="2">
        <v>0</v>
      </c>
      <c r="P369" s="2">
        <v>0</v>
      </c>
      <c r="Q369">
        <v>0</v>
      </c>
      <c r="R369" s="2">
        <v>0</v>
      </c>
      <c r="S369" s="2">
        <v>0</v>
      </c>
      <c r="T369" t="s">
        <v>296</v>
      </c>
      <c r="U369" s="2">
        <v>0</v>
      </c>
      <c r="V369" s="2">
        <v>7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idden="1" x14ac:dyDescent="0.25">
      <c r="A370" t="s">
        <v>20</v>
      </c>
      <c r="B370" t="s">
        <v>21</v>
      </c>
      <c r="C370" t="s">
        <v>22</v>
      </c>
      <c r="D370" s="1">
        <v>45810</v>
      </c>
      <c r="E370" s="1">
        <v>45810</v>
      </c>
      <c r="F370" s="2">
        <v>26</v>
      </c>
      <c r="G370" s="3" t="s">
        <v>23</v>
      </c>
      <c r="H370">
        <v>9</v>
      </c>
      <c r="I370" s="2">
        <v>0</v>
      </c>
      <c r="J370" s="2">
        <v>0</v>
      </c>
      <c r="K370" s="2">
        <v>0</v>
      </c>
      <c r="L370" s="2">
        <v>0</v>
      </c>
      <c r="M370">
        <v>0</v>
      </c>
      <c r="N370">
        <v>1</v>
      </c>
      <c r="O370" s="2">
        <v>0</v>
      </c>
      <c r="P370" s="2">
        <v>0</v>
      </c>
      <c r="Q370">
        <v>0</v>
      </c>
      <c r="R370" s="2">
        <v>0</v>
      </c>
      <c r="S370" s="2">
        <v>0</v>
      </c>
      <c r="T370" t="s">
        <v>297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idden="1" x14ac:dyDescent="0.25">
      <c r="A371" t="s">
        <v>37</v>
      </c>
      <c r="B371" t="s">
        <v>38</v>
      </c>
      <c r="C371" t="s">
        <v>39</v>
      </c>
      <c r="D371" s="1">
        <v>45810</v>
      </c>
      <c r="E371" s="1">
        <v>45810</v>
      </c>
      <c r="F371" s="2">
        <v>21</v>
      </c>
      <c r="G371" s="3" t="s">
        <v>23</v>
      </c>
      <c r="H371">
        <v>9</v>
      </c>
      <c r="I371" s="2">
        <v>0</v>
      </c>
      <c r="J371" s="2">
        <v>0</v>
      </c>
      <c r="K371" s="2">
        <v>0</v>
      </c>
      <c r="L371" s="2">
        <v>0</v>
      </c>
      <c r="M371">
        <v>0</v>
      </c>
      <c r="N371">
        <v>0</v>
      </c>
      <c r="O371" s="2">
        <v>0</v>
      </c>
      <c r="P371" s="2">
        <v>0</v>
      </c>
      <c r="Q371">
        <v>0</v>
      </c>
      <c r="R371" s="2">
        <v>0</v>
      </c>
      <c r="S371" s="2">
        <v>0</v>
      </c>
      <c r="T371" t="s">
        <v>298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idden="1" x14ac:dyDescent="0.25">
      <c r="A372" t="s">
        <v>29</v>
      </c>
      <c r="B372" t="s">
        <v>30</v>
      </c>
      <c r="C372">
        <v>0</v>
      </c>
      <c r="D372" s="1">
        <v>45810</v>
      </c>
      <c r="E372" s="1">
        <v>45810</v>
      </c>
      <c r="F372" s="2">
        <v>0</v>
      </c>
      <c r="G372" s="3" t="s">
        <v>23</v>
      </c>
      <c r="H372">
        <v>9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</row>
    <row r="373" spans="1:28" hidden="1" x14ac:dyDescent="0.25">
      <c r="A373" t="s">
        <v>25</v>
      </c>
      <c r="B373" t="s">
        <v>26</v>
      </c>
      <c r="C373">
        <v>0</v>
      </c>
      <c r="D373" s="1">
        <v>45810</v>
      </c>
      <c r="E373" s="1">
        <v>45810</v>
      </c>
      <c r="F373" s="2">
        <v>0</v>
      </c>
      <c r="G373" s="3" t="s">
        <v>23</v>
      </c>
      <c r="H373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idden="1" x14ac:dyDescent="0.25">
      <c r="A374" t="s">
        <v>53</v>
      </c>
      <c r="B374" t="s">
        <v>47</v>
      </c>
      <c r="C374">
        <v>0</v>
      </c>
      <c r="D374" s="1">
        <v>45810</v>
      </c>
      <c r="E374" s="1">
        <v>45810</v>
      </c>
      <c r="F374" s="2">
        <v>0</v>
      </c>
      <c r="G374" s="3" t="s">
        <v>572</v>
      </c>
      <c r="H374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idden="1" x14ac:dyDescent="0.25">
      <c r="A375" t="s">
        <v>33</v>
      </c>
      <c r="B375" t="s">
        <v>34</v>
      </c>
      <c r="C375">
        <v>0</v>
      </c>
      <c r="D375" s="1">
        <v>45810</v>
      </c>
      <c r="E375" s="1">
        <v>45810</v>
      </c>
      <c r="F375" s="2">
        <v>0</v>
      </c>
      <c r="G375" s="3" t="s">
        <v>572</v>
      </c>
      <c r="H375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idden="1" x14ac:dyDescent="0.25">
      <c r="A376" t="s">
        <v>49</v>
      </c>
      <c r="B376" t="s">
        <v>47</v>
      </c>
      <c r="C376">
        <v>0</v>
      </c>
      <c r="D376" s="1">
        <v>45810</v>
      </c>
      <c r="E376" s="1">
        <v>45810</v>
      </c>
      <c r="F376" s="2">
        <v>0</v>
      </c>
      <c r="G376" s="3" t="s">
        <v>50</v>
      </c>
      <c r="H376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</row>
    <row r="377" spans="1:28" hidden="1" x14ac:dyDescent="0.25">
      <c r="A377" t="s">
        <v>51</v>
      </c>
      <c r="B377" t="s">
        <v>47</v>
      </c>
      <c r="C377">
        <v>0</v>
      </c>
      <c r="D377" s="1">
        <v>45810</v>
      </c>
      <c r="E377" s="1">
        <v>45810</v>
      </c>
      <c r="F377" s="2">
        <v>0</v>
      </c>
      <c r="G377" s="3" t="s">
        <v>50</v>
      </c>
      <c r="H377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idden="1" x14ac:dyDescent="0.25">
      <c r="A378" t="s">
        <v>47</v>
      </c>
      <c r="B378" t="s">
        <v>52</v>
      </c>
      <c r="C378">
        <v>0</v>
      </c>
      <c r="D378" s="1">
        <v>45810</v>
      </c>
      <c r="E378" s="1">
        <v>45810</v>
      </c>
      <c r="F378" s="2">
        <v>0</v>
      </c>
      <c r="G378" s="3" t="s">
        <v>50</v>
      </c>
      <c r="H378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idden="1" x14ac:dyDescent="0.25">
      <c r="A379" t="s">
        <v>56</v>
      </c>
      <c r="B379" t="s">
        <v>57</v>
      </c>
      <c r="C379" t="s">
        <v>64</v>
      </c>
      <c r="D379" s="1">
        <v>45811</v>
      </c>
      <c r="E379" s="1">
        <v>45811</v>
      </c>
      <c r="F379" s="2">
        <v>20</v>
      </c>
      <c r="G379" s="3" t="s">
        <v>23</v>
      </c>
      <c r="H379">
        <v>16</v>
      </c>
      <c r="I379" s="2">
        <v>0</v>
      </c>
      <c r="J379" s="2">
        <v>0</v>
      </c>
      <c r="K379" s="2">
        <v>1</v>
      </c>
      <c r="L379" s="2">
        <v>0</v>
      </c>
      <c r="M379">
        <v>0</v>
      </c>
      <c r="N379">
        <v>0</v>
      </c>
      <c r="O379" s="2">
        <v>0</v>
      </c>
      <c r="P379" s="2">
        <v>0</v>
      </c>
      <c r="Q379">
        <v>0</v>
      </c>
      <c r="R379" s="2">
        <v>0</v>
      </c>
      <c r="S379" s="2">
        <v>0</v>
      </c>
      <c r="T379" t="s">
        <v>299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idden="1" x14ac:dyDescent="0.25">
      <c r="A380" t="s">
        <v>20</v>
      </c>
      <c r="B380" t="s">
        <v>21</v>
      </c>
      <c r="C380" t="s">
        <v>22</v>
      </c>
      <c r="D380" s="1">
        <v>45811</v>
      </c>
      <c r="E380" s="1">
        <v>45811</v>
      </c>
      <c r="F380" s="2">
        <v>51</v>
      </c>
      <c r="G380" s="3" t="s">
        <v>23</v>
      </c>
      <c r="H380">
        <v>14</v>
      </c>
      <c r="I380" s="2">
        <v>0</v>
      </c>
      <c r="J380" s="2">
        <v>0</v>
      </c>
      <c r="K380" s="2">
        <v>0</v>
      </c>
      <c r="L380" s="2">
        <v>0</v>
      </c>
      <c r="M380">
        <v>0</v>
      </c>
      <c r="N380">
        <v>0</v>
      </c>
      <c r="O380" s="2">
        <v>0</v>
      </c>
      <c r="P380" s="2">
        <v>0</v>
      </c>
      <c r="Q380">
        <v>0</v>
      </c>
      <c r="R380" s="2">
        <v>0</v>
      </c>
      <c r="S380" s="2">
        <v>0</v>
      </c>
      <c r="T380" t="s">
        <v>300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idden="1" x14ac:dyDescent="0.25">
      <c r="A381" t="s">
        <v>25</v>
      </c>
      <c r="B381" t="s">
        <v>47</v>
      </c>
      <c r="C381" t="s">
        <v>27</v>
      </c>
      <c r="D381" s="1">
        <v>45811</v>
      </c>
      <c r="E381" s="1">
        <v>45811</v>
      </c>
      <c r="F381" s="2">
        <v>31</v>
      </c>
      <c r="G381" s="3" t="s">
        <v>23</v>
      </c>
      <c r="H381">
        <v>44</v>
      </c>
      <c r="I381" s="2">
        <v>0</v>
      </c>
      <c r="J381" s="2">
        <v>0</v>
      </c>
      <c r="K381" s="2">
        <v>1</v>
      </c>
      <c r="L381" s="2">
        <v>0</v>
      </c>
      <c r="M381">
        <v>0</v>
      </c>
      <c r="N381">
        <v>0</v>
      </c>
      <c r="O381" s="2">
        <v>0</v>
      </c>
      <c r="P381" s="2">
        <v>0</v>
      </c>
      <c r="Q381">
        <v>0</v>
      </c>
      <c r="R381" s="2">
        <v>0</v>
      </c>
      <c r="S381" s="2">
        <v>0</v>
      </c>
      <c r="T381" t="s">
        <v>301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idden="1" x14ac:dyDescent="0.25">
      <c r="A382" t="s">
        <v>47</v>
      </c>
      <c r="B382" t="s">
        <v>26</v>
      </c>
      <c r="C382" t="s">
        <v>27</v>
      </c>
      <c r="D382" s="1">
        <v>45811</v>
      </c>
      <c r="E382" s="1">
        <v>45811</v>
      </c>
      <c r="F382" s="2">
        <v>31</v>
      </c>
      <c r="G382" s="3" t="s">
        <v>23</v>
      </c>
      <c r="H382">
        <v>30</v>
      </c>
      <c r="I382" s="2">
        <v>0</v>
      </c>
      <c r="J382" s="2">
        <v>0</v>
      </c>
      <c r="K382" s="2">
        <v>1</v>
      </c>
      <c r="L382" s="2">
        <v>0</v>
      </c>
      <c r="M382">
        <v>0</v>
      </c>
      <c r="N382">
        <v>0</v>
      </c>
      <c r="O382" s="2">
        <v>0</v>
      </c>
      <c r="P382" s="2">
        <v>0</v>
      </c>
      <c r="Q382">
        <v>0</v>
      </c>
      <c r="R382" s="2">
        <v>0</v>
      </c>
      <c r="S382" s="2">
        <v>0</v>
      </c>
      <c r="T382" t="s">
        <v>301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idden="1" x14ac:dyDescent="0.25">
      <c r="A383" t="s">
        <v>33</v>
      </c>
      <c r="B383" t="s">
        <v>34</v>
      </c>
      <c r="C383" t="s">
        <v>35</v>
      </c>
      <c r="D383" s="1">
        <v>45811</v>
      </c>
      <c r="E383" s="1">
        <v>45811</v>
      </c>
      <c r="F383" s="2">
        <v>34</v>
      </c>
      <c r="G383" s="3" t="s">
        <v>23</v>
      </c>
      <c r="H383">
        <v>32</v>
      </c>
      <c r="I383" s="2">
        <v>0</v>
      </c>
      <c r="J383" s="2">
        <v>0</v>
      </c>
      <c r="K383" s="2">
        <v>0</v>
      </c>
      <c r="L383" s="2">
        <v>1</v>
      </c>
      <c r="M383">
        <v>0</v>
      </c>
      <c r="N383">
        <v>0</v>
      </c>
      <c r="O383" s="2">
        <v>0</v>
      </c>
      <c r="P383" s="2">
        <v>0</v>
      </c>
      <c r="Q383">
        <v>0</v>
      </c>
      <c r="R383" s="2">
        <v>0</v>
      </c>
      <c r="S383" s="2">
        <v>0</v>
      </c>
      <c r="T383" t="s">
        <v>302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idden="1" x14ac:dyDescent="0.25">
      <c r="A384" t="s">
        <v>37</v>
      </c>
      <c r="B384" t="s">
        <v>47</v>
      </c>
      <c r="C384" t="s">
        <v>35</v>
      </c>
      <c r="D384" s="1">
        <v>45811</v>
      </c>
      <c r="E384" s="1">
        <v>45811</v>
      </c>
      <c r="F384" s="2">
        <v>34</v>
      </c>
      <c r="G384" s="3" t="s">
        <v>23</v>
      </c>
      <c r="H384">
        <v>20</v>
      </c>
      <c r="I384" s="2">
        <v>0</v>
      </c>
      <c r="J384" s="2">
        <v>0</v>
      </c>
      <c r="K384" s="2">
        <v>0</v>
      </c>
      <c r="L384" s="2">
        <v>1</v>
      </c>
      <c r="M384">
        <v>0</v>
      </c>
      <c r="N384">
        <v>0</v>
      </c>
      <c r="O384" s="2">
        <v>0</v>
      </c>
      <c r="P384" s="2">
        <v>0</v>
      </c>
      <c r="Q384">
        <v>1</v>
      </c>
      <c r="R384" s="2">
        <v>0</v>
      </c>
      <c r="S384" s="2">
        <v>0</v>
      </c>
      <c r="T384" t="s">
        <v>302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idden="1" x14ac:dyDescent="0.25">
      <c r="A385" t="s">
        <v>47</v>
      </c>
      <c r="B385" t="s">
        <v>38</v>
      </c>
      <c r="C385" t="s">
        <v>35</v>
      </c>
      <c r="D385" s="1">
        <v>45811</v>
      </c>
      <c r="E385" s="1">
        <v>45811</v>
      </c>
      <c r="F385" s="2">
        <v>34</v>
      </c>
      <c r="G385" s="3" t="s">
        <v>23</v>
      </c>
      <c r="H385">
        <v>34</v>
      </c>
      <c r="I385" s="2">
        <v>0</v>
      </c>
      <c r="J385" s="2">
        <v>0</v>
      </c>
      <c r="K385" s="2">
        <v>0</v>
      </c>
      <c r="L385" s="2">
        <v>1</v>
      </c>
      <c r="M385">
        <v>0</v>
      </c>
      <c r="N385">
        <v>0</v>
      </c>
      <c r="O385" s="2">
        <v>0</v>
      </c>
      <c r="P385" s="2">
        <v>0</v>
      </c>
      <c r="Q385">
        <v>0</v>
      </c>
      <c r="R385" s="2">
        <v>0</v>
      </c>
      <c r="S385" s="2">
        <v>0</v>
      </c>
      <c r="T385" t="s">
        <v>302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idden="1" x14ac:dyDescent="0.25">
      <c r="A386" t="s">
        <v>53</v>
      </c>
      <c r="B386" t="s">
        <v>30</v>
      </c>
      <c r="C386">
        <v>0</v>
      </c>
      <c r="D386" s="1">
        <v>45811</v>
      </c>
      <c r="E386" s="1">
        <v>45811</v>
      </c>
      <c r="F386" s="2">
        <v>0</v>
      </c>
      <c r="G386" s="3" t="s">
        <v>23</v>
      </c>
      <c r="H386">
        <v>14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idden="1" x14ac:dyDescent="0.25">
      <c r="A387" t="s">
        <v>29</v>
      </c>
      <c r="B387" t="s">
        <v>47</v>
      </c>
      <c r="C387">
        <v>0</v>
      </c>
      <c r="D387" s="1">
        <v>45811</v>
      </c>
      <c r="E387" s="1">
        <v>45811</v>
      </c>
      <c r="F387" s="2">
        <v>0</v>
      </c>
      <c r="G387" s="3" t="s">
        <v>572</v>
      </c>
      <c r="H387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idden="1" x14ac:dyDescent="0.25">
      <c r="A388" t="s">
        <v>49</v>
      </c>
      <c r="B388" t="s">
        <v>47</v>
      </c>
      <c r="C388">
        <v>0</v>
      </c>
      <c r="D388" s="1">
        <v>45811</v>
      </c>
      <c r="E388" s="1">
        <v>45811</v>
      </c>
      <c r="F388" s="2">
        <v>0</v>
      </c>
      <c r="G388" s="3" t="s">
        <v>50</v>
      </c>
      <c r="H388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idden="1" x14ac:dyDescent="0.25">
      <c r="A389" t="s">
        <v>51</v>
      </c>
      <c r="B389" t="s">
        <v>47</v>
      </c>
      <c r="C389">
        <v>0</v>
      </c>
      <c r="D389" s="1">
        <v>45811</v>
      </c>
      <c r="E389" s="1">
        <v>45811</v>
      </c>
      <c r="F389" s="2">
        <v>0</v>
      </c>
      <c r="G389" s="3" t="s">
        <v>50</v>
      </c>
      <c r="H389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idden="1" x14ac:dyDescent="0.25">
      <c r="A390" t="s">
        <v>47</v>
      </c>
      <c r="B390" t="s">
        <v>52</v>
      </c>
      <c r="C390">
        <v>0</v>
      </c>
      <c r="D390" s="1">
        <v>45811</v>
      </c>
      <c r="E390" s="1">
        <v>45811</v>
      </c>
      <c r="F390" s="2">
        <v>0</v>
      </c>
      <c r="G390" s="3" t="s">
        <v>50</v>
      </c>
      <c r="H390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idden="1" x14ac:dyDescent="0.25">
      <c r="A391" t="s">
        <v>20</v>
      </c>
      <c r="B391" t="s">
        <v>21</v>
      </c>
      <c r="C391" t="s">
        <v>22</v>
      </c>
      <c r="D391" s="1">
        <v>45812</v>
      </c>
      <c r="E391" s="1">
        <v>45812</v>
      </c>
      <c r="F391" s="2">
        <v>26</v>
      </c>
      <c r="G391" s="3" t="s">
        <v>23</v>
      </c>
      <c r="H391">
        <v>0</v>
      </c>
      <c r="I391" s="2">
        <v>0</v>
      </c>
      <c r="J391" s="2">
        <v>0</v>
      </c>
      <c r="K391" s="2">
        <v>0</v>
      </c>
      <c r="L391" s="2">
        <v>0</v>
      </c>
      <c r="M391">
        <v>0</v>
      </c>
      <c r="N391">
        <v>0</v>
      </c>
      <c r="O391" s="2">
        <v>0</v>
      </c>
      <c r="P391" s="2">
        <v>0</v>
      </c>
      <c r="Q391">
        <v>0</v>
      </c>
      <c r="R391" s="2">
        <v>0</v>
      </c>
      <c r="S391" s="2">
        <v>0</v>
      </c>
      <c r="T391" t="s">
        <v>303</v>
      </c>
      <c r="U391" s="2">
        <v>0</v>
      </c>
      <c r="V391" s="2">
        <v>20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idden="1" x14ac:dyDescent="0.25">
      <c r="A392" t="s">
        <v>25</v>
      </c>
      <c r="B392" t="s">
        <v>26</v>
      </c>
      <c r="C392" t="s">
        <v>27</v>
      </c>
      <c r="D392" s="1">
        <v>45812</v>
      </c>
      <c r="E392" s="1">
        <v>45812</v>
      </c>
      <c r="F392" s="2">
        <v>35</v>
      </c>
      <c r="G392" s="3" t="s">
        <v>23</v>
      </c>
      <c r="H392">
        <v>28</v>
      </c>
      <c r="I392" s="2">
        <v>0</v>
      </c>
      <c r="J392" s="2">
        <v>0</v>
      </c>
      <c r="K392" s="2">
        <v>1</v>
      </c>
      <c r="L392" s="2">
        <v>0</v>
      </c>
      <c r="M392">
        <v>0</v>
      </c>
      <c r="N392">
        <v>0</v>
      </c>
      <c r="O392" s="2">
        <v>0</v>
      </c>
      <c r="P392" s="2">
        <v>0</v>
      </c>
      <c r="Q392">
        <v>0</v>
      </c>
      <c r="R392" s="2">
        <v>0</v>
      </c>
      <c r="S392" s="2">
        <v>0</v>
      </c>
      <c r="T392" t="s">
        <v>304</v>
      </c>
      <c r="U392" s="2">
        <v>0</v>
      </c>
      <c r="V392" s="2">
        <v>20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idden="1" x14ac:dyDescent="0.25">
      <c r="A393" t="s">
        <v>29</v>
      </c>
      <c r="B393" t="s">
        <v>30</v>
      </c>
      <c r="C393" t="s">
        <v>31</v>
      </c>
      <c r="D393" s="1">
        <v>45812</v>
      </c>
      <c r="E393" s="1">
        <v>45812</v>
      </c>
      <c r="F393" s="2">
        <v>20</v>
      </c>
      <c r="G393" s="3" t="s">
        <v>23</v>
      </c>
      <c r="H393">
        <v>40</v>
      </c>
      <c r="I393" s="2">
        <v>0</v>
      </c>
      <c r="J393" s="2">
        <v>0</v>
      </c>
      <c r="K393" s="2">
        <v>0</v>
      </c>
      <c r="L393" s="2">
        <v>1</v>
      </c>
      <c r="M393">
        <v>1</v>
      </c>
      <c r="N393">
        <v>0</v>
      </c>
      <c r="O393" s="2">
        <v>0</v>
      </c>
      <c r="P393" s="2">
        <v>0</v>
      </c>
      <c r="Q393">
        <v>0</v>
      </c>
      <c r="R393" s="2">
        <v>0</v>
      </c>
      <c r="S393" s="2">
        <v>0</v>
      </c>
      <c r="T393" t="s">
        <v>305</v>
      </c>
      <c r="U393" s="2">
        <v>0</v>
      </c>
      <c r="V393" s="2">
        <v>6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idden="1" x14ac:dyDescent="0.25">
      <c r="A394" t="s">
        <v>33</v>
      </c>
      <c r="B394" t="s">
        <v>34</v>
      </c>
      <c r="C394" t="s">
        <v>35</v>
      </c>
      <c r="D394" s="1">
        <v>45812</v>
      </c>
      <c r="E394" s="1">
        <v>45812</v>
      </c>
      <c r="F394" s="2">
        <v>55</v>
      </c>
      <c r="G394" s="3" t="s">
        <v>23</v>
      </c>
      <c r="H394">
        <v>43</v>
      </c>
      <c r="I394" s="2">
        <v>0</v>
      </c>
      <c r="J394" s="2">
        <v>0</v>
      </c>
      <c r="K394" s="2">
        <v>1</v>
      </c>
      <c r="L394" s="2">
        <v>0</v>
      </c>
      <c r="M394">
        <v>0</v>
      </c>
      <c r="N394">
        <v>0</v>
      </c>
      <c r="O394" s="2">
        <v>0</v>
      </c>
      <c r="P394" s="2">
        <v>0</v>
      </c>
      <c r="Q394">
        <v>0</v>
      </c>
      <c r="R394" s="2">
        <v>0</v>
      </c>
      <c r="S394" s="2">
        <v>0</v>
      </c>
      <c r="T394" t="s">
        <v>306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idden="1" x14ac:dyDescent="0.25">
      <c r="A395" t="s">
        <v>37</v>
      </c>
      <c r="B395" t="s">
        <v>38</v>
      </c>
      <c r="C395" t="s">
        <v>39</v>
      </c>
      <c r="D395" s="1">
        <v>45812</v>
      </c>
      <c r="E395" s="1">
        <v>45812</v>
      </c>
      <c r="F395" s="2">
        <v>18</v>
      </c>
      <c r="G395" s="3" t="s">
        <v>23</v>
      </c>
      <c r="H395">
        <v>31</v>
      </c>
      <c r="I395" s="2">
        <v>0</v>
      </c>
      <c r="J395" s="2">
        <v>0</v>
      </c>
      <c r="K395" s="2">
        <v>1</v>
      </c>
      <c r="L395" s="2">
        <v>0</v>
      </c>
      <c r="M395">
        <v>1</v>
      </c>
      <c r="N395">
        <v>0</v>
      </c>
      <c r="O395" s="2">
        <v>0</v>
      </c>
      <c r="P395" s="2">
        <v>0</v>
      </c>
      <c r="Q395">
        <v>0</v>
      </c>
      <c r="R395" s="2">
        <v>0</v>
      </c>
      <c r="S395" s="2">
        <v>0</v>
      </c>
      <c r="T395" t="s">
        <v>307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idden="1" x14ac:dyDescent="0.25">
      <c r="A396" t="s">
        <v>53</v>
      </c>
      <c r="B396" t="s">
        <v>53</v>
      </c>
      <c r="C396" t="s">
        <v>39</v>
      </c>
      <c r="D396" s="1">
        <v>45812</v>
      </c>
      <c r="E396" s="1">
        <v>45812</v>
      </c>
      <c r="F396" s="2">
        <v>18</v>
      </c>
      <c r="G396" s="3" t="s">
        <v>23</v>
      </c>
      <c r="H396">
        <v>0</v>
      </c>
      <c r="I396" s="2">
        <v>0</v>
      </c>
      <c r="J396" s="2">
        <v>0</v>
      </c>
      <c r="K396" s="2">
        <v>0</v>
      </c>
      <c r="L396" s="2">
        <v>0</v>
      </c>
      <c r="M396">
        <v>0</v>
      </c>
      <c r="N396">
        <v>0</v>
      </c>
      <c r="O396" s="2">
        <v>0</v>
      </c>
      <c r="P396" s="2">
        <v>0</v>
      </c>
      <c r="Q396">
        <v>0</v>
      </c>
      <c r="R396" s="2">
        <v>0</v>
      </c>
      <c r="S396" s="2">
        <v>0</v>
      </c>
      <c r="T396" t="s">
        <v>307</v>
      </c>
      <c r="U396" s="2">
        <v>0</v>
      </c>
      <c r="V396" s="2">
        <v>10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idden="1" x14ac:dyDescent="0.25">
      <c r="A397" t="s">
        <v>56</v>
      </c>
      <c r="B397" t="s">
        <v>57</v>
      </c>
      <c r="C397">
        <v>0</v>
      </c>
      <c r="D397" s="1">
        <v>45812</v>
      </c>
      <c r="E397" s="1">
        <v>45812</v>
      </c>
      <c r="F397" s="2">
        <v>0</v>
      </c>
      <c r="G397" s="3" t="s">
        <v>48</v>
      </c>
      <c r="H397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idden="1" x14ac:dyDescent="0.25">
      <c r="A398" t="s">
        <v>49</v>
      </c>
      <c r="B398" t="s">
        <v>47</v>
      </c>
      <c r="C398">
        <v>0</v>
      </c>
      <c r="D398" s="1">
        <v>45812</v>
      </c>
      <c r="E398" s="1">
        <v>45812</v>
      </c>
      <c r="F398" s="2">
        <v>0</v>
      </c>
      <c r="G398" s="3" t="s">
        <v>50</v>
      </c>
      <c r="H398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idden="1" x14ac:dyDescent="0.25">
      <c r="A399" t="s">
        <v>47</v>
      </c>
      <c r="B399" t="s">
        <v>52</v>
      </c>
      <c r="C399">
        <v>0</v>
      </c>
      <c r="D399" s="1">
        <v>45812</v>
      </c>
      <c r="E399" s="1">
        <v>45812</v>
      </c>
      <c r="F399" s="2">
        <v>0</v>
      </c>
      <c r="G399" s="3" t="s">
        <v>50</v>
      </c>
      <c r="H399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idden="1" x14ac:dyDescent="0.25">
      <c r="A400" t="s">
        <v>56</v>
      </c>
      <c r="B400" t="s">
        <v>57</v>
      </c>
      <c r="C400" t="s">
        <v>64</v>
      </c>
      <c r="D400" s="1">
        <v>45813</v>
      </c>
      <c r="E400" s="1">
        <v>45813</v>
      </c>
      <c r="F400" s="2">
        <v>100</v>
      </c>
      <c r="G400" s="3" t="s">
        <v>23</v>
      </c>
      <c r="H400">
        <v>74</v>
      </c>
      <c r="I400" s="2">
        <v>0</v>
      </c>
      <c r="J400" s="2">
        <v>0</v>
      </c>
      <c r="K400" s="2">
        <v>1</v>
      </c>
      <c r="L400" s="2">
        <v>0</v>
      </c>
      <c r="M400">
        <v>0</v>
      </c>
      <c r="N400">
        <v>0</v>
      </c>
      <c r="O400" s="2">
        <v>0</v>
      </c>
      <c r="P400" s="2">
        <v>0</v>
      </c>
      <c r="Q400">
        <v>0</v>
      </c>
      <c r="R400" s="2">
        <v>0</v>
      </c>
      <c r="S400" s="2">
        <v>0</v>
      </c>
      <c r="T400" t="s">
        <v>308</v>
      </c>
      <c r="U400" s="2">
        <v>0</v>
      </c>
      <c r="V400" s="2">
        <v>32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idden="1" x14ac:dyDescent="0.25">
      <c r="A401" t="s">
        <v>53</v>
      </c>
      <c r="B401" t="s">
        <v>30</v>
      </c>
      <c r="C401" t="s">
        <v>54</v>
      </c>
      <c r="D401" s="1">
        <v>45813</v>
      </c>
      <c r="E401" s="1">
        <v>45813</v>
      </c>
      <c r="F401" s="2">
        <v>16</v>
      </c>
      <c r="G401" s="3" t="s">
        <v>23</v>
      </c>
      <c r="H401">
        <v>30</v>
      </c>
      <c r="I401" s="2">
        <v>0</v>
      </c>
      <c r="J401" s="2">
        <v>0</v>
      </c>
      <c r="K401" s="2">
        <v>1</v>
      </c>
      <c r="L401" s="2">
        <v>0</v>
      </c>
      <c r="M401">
        <v>0</v>
      </c>
      <c r="N401">
        <v>1</v>
      </c>
      <c r="O401" s="2">
        <v>0</v>
      </c>
      <c r="P401" s="2">
        <v>0</v>
      </c>
      <c r="Q401">
        <v>0</v>
      </c>
      <c r="R401" s="2">
        <v>0</v>
      </c>
      <c r="S401" s="2">
        <v>0</v>
      </c>
      <c r="T401" t="s">
        <v>309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idden="1" x14ac:dyDescent="0.25">
      <c r="A402" t="s">
        <v>20</v>
      </c>
      <c r="B402" t="s">
        <v>21</v>
      </c>
      <c r="C402" t="s">
        <v>22</v>
      </c>
      <c r="D402" s="1">
        <v>45813</v>
      </c>
      <c r="E402" s="1">
        <v>45813</v>
      </c>
      <c r="F402" s="2">
        <v>30</v>
      </c>
      <c r="G402" s="3" t="s">
        <v>23</v>
      </c>
      <c r="H402">
        <v>34</v>
      </c>
      <c r="I402" s="2">
        <v>0</v>
      </c>
      <c r="J402" s="2">
        <v>0</v>
      </c>
      <c r="K402" s="2">
        <v>1</v>
      </c>
      <c r="L402" s="2">
        <v>0</v>
      </c>
      <c r="M402">
        <v>0</v>
      </c>
      <c r="N402">
        <v>0</v>
      </c>
      <c r="O402" s="2">
        <v>0</v>
      </c>
      <c r="P402" s="2">
        <v>0</v>
      </c>
      <c r="Q402">
        <v>0</v>
      </c>
      <c r="R402" s="2">
        <v>0</v>
      </c>
      <c r="S402" s="2">
        <v>0</v>
      </c>
      <c r="T402" t="s">
        <v>310</v>
      </c>
      <c r="U402" s="2">
        <v>0</v>
      </c>
      <c r="V402" s="2">
        <v>0</v>
      </c>
      <c r="W402" s="2">
        <v>6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idden="1" x14ac:dyDescent="0.25">
      <c r="A403" t="s">
        <v>33</v>
      </c>
      <c r="B403" t="s">
        <v>34</v>
      </c>
      <c r="C403" t="s">
        <v>35</v>
      </c>
      <c r="D403" s="1">
        <v>45813</v>
      </c>
      <c r="E403" s="1">
        <v>45813</v>
      </c>
      <c r="F403" s="2">
        <v>53</v>
      </c>
      <c r="G403" s="3" t="s">
        <v>23</v>
      </c>
      <c r="H403">
        <v>22</v>
      </c>
      <c r="I403" s="2">
        <v>0</v>
      </c>
      <c r="J403" s="2">
        <v>1</v>
      </c>
      <c r="K403" s="2">
        <v>0</v>
      </c>
      <c r="L403" s="2">
        <v>1</v>
      </c>
      <c r="M403">
        <v>0</v>
      </c>
      <c r="N403">
        <v>0</v>
      </c>
      <c r="O403" s="2">
        <v>0</v>
      </c>
      <c r="P403" s="2">
        <v>0</v>
      </c>
      <c r="Q403">
        <v>0</v>
      </c>
      <c r="R403" s="2">
        <v>0</v>
      </c>
      <c r="S403" s="2">
        <v>0</v>
      </c>
      <c r="T403" t="s">
        <v>311</v>
      </c>
      <c r="U403" s="2">
        <v>0</v>
      </c>
      <c r="V403" s="2">
        <v>22</v>
      </c>
      <c r="W403" s="2">
        <v>4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idden="1" x14ac:dyDescent="0.25">
      <c r="A404" t="s">
        <v>29</v>
      </c>
      <c r="B404" t="s">
        <v>47</v>
      </c>
      <c r="C404">
        <v>0</v>
      </c>
      <c r="D404" s="1">
        <v>45813</v>
      </c>
      <c r="E404" s="1">
        <v>45813</v>
      </c>
      <c r="F404" s="2">
        <v>0</v>
      </c>
      <c r="G404" s="3" t="s">
        <v>572</v>
      </c>
      <c r="H404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</row>
    <row r="405" spans="1:28" hidden="1" x14ac:dyDescent="0.25">
      <c r="A405" t="s">
        <v>37</v>
      </c>
      <c r="B405" t="s">
        <v>38</v>
      </c>
      <c r="C405">
        <v>0</v>
      </c>
      <c r="D405" s="1">
        <v>45813</v>
      </c>
      <c r="E405" s="1">
        <v>45813</v>
      </c>
      <c r="F405" s="2">
        <v>0</v>
      </c>
      <c r="G405" s="3" t="s">
        <v>48</v>
      </c>
      <c r="H405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</row>
    <row r="406" spans="1:28" hidden="1" x14ac:dyDescent="0.25">
      <c r="A406" t="s">
        <v>25</v>
      </c>
      <c r="B406" t="s">
        <v>26</v>
      </c>
      <c r="C406">
        <v>0</v>
      </c>
      <c r="D406" s="1">
        <v>45813</v>
      </c>
      <c r="E406" s="1">
        <v>45813</v>
      </c>
      <c r="F406" s="2">
        <v>0</v>
      </c>
      <c r="G406" s="3" t="s">
        <v>48</v>
      </c>
      <c r="H406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</row>
    <row r="407" spans="1:28" hidden="1" x14ac:dyDescent="0.25">
      <c r="A407" t="s">
        <v>49</v>
      </c>
      <c r="B407" t="s">
        <v>47</v>
      </c>
      <c r="C407">
        <v>0</v>
      </c>
      <c r="D407" s="1">
        <v>45813</v>
      </c>
      <c r="E407" s="1">
        <v>45813</v>
      </c>
      <c r="F407" s="2">
        <v>0</v>
      </c>
      <c r="G407" s="3" t="s">
        <v>50</v>
      </c>
      <c r="H407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idden="1" x14ac:dyDescent="0.25">
      <c r="A408" t="s">
        <v>47</v>
      </c>
      <c r="B408" t="s">
        <v>52</v>
      </c>
      <c r="C408">
        <v>0</v>
      </c>
      <c r="D408" s="1">
        <v>45813</v>
      </c>
      <c r="E408" s="1">
        <v>45813</v>
      </c>
      <c r="F408" s="2">
        <v>0</v>
      </c>
      <c r="G408" s="3" t="s">
        <v>50</v>
      </c>
      <c r="H408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idden="1" x14ac:dyDescent="0.25">
      <c r="A409" t="s">
        <v>56</v>
      </c>
      <c r="B409" t="s">
        <v>57</v>
      </c>
      <c r="C409" t="s">
        <v>64</v>
      </c>
      <c r="D409" s="1">
        <v>45814</v>
      </c>
      <c r="E409" s="1">
        <v>45814</v>
      </c>
      <c r="F409" s="2">
        <v>23</v>
      </c>
      <c r="G409" s="3" t="s">
        <v>23</v>
      </c>
      <c r="H409">
        <v>16</v>
      </c>
      <c r="I409" s="2">
        <v>0</v>
      </c>
      <c r="J409" s="2">
        <v>0</v>
      </c>
      <c r="K409" s="2">
        <v>1</v>
      </c>
      <c r="L409" s="2">
        <v>0</v>
      </c>
      <c r="M409">
        <v>0</v>
      </c>
      <c r="N409">
        <v>0</v>
      </c>
      <c r="O409" s="2">
        <v>0</v>
      </c>
      <c r="P409" s="2">
        <v>0</v>
      </c>
      <c r="Q409">
        <v>0</v>
      </c>
      <c r="R409" s="2">
        <v>0</v>
      </c>
      <c r="S409" s="2">
        <v>0</v>
      </c>
      <c r="T409" t="s">
        <v>312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idden="1" x14ac:dyDescent="0.25">
      <c r="A410" t="s">
        <v>25</v>
      </c>
      <c r="B410" t="s">
        <v>26</v>
      </c>
      <c r="C410" t="s">
        <v>27</v>
      </c>
      <c r="D410" s="1">
        <v>45814</v>
      </c>
      <c r="E410" s="1">
        <v>45814</v>
      </c>
      <c r="F410" s="2">
        <v>26</v>
      </c>
      <c r="G410" s="3" t="s">
        <v>23</v>
      </c>
      <c r="H410">
        <v>30</v>
      </c>
      <c r="I410" s="2">
        <v>0</v>
      </c>
      <c r="J410" s="2">
        <v>0</v>
      </c>
      <c r="K410" s="2">
        <v>1</v>
      </c>
      <c r="L410" s="2">
        <v>0</v>
      </c>
      <c r="M410">
        <v>0</v>
      </c>
      <c r="N410">
        <v>0</v>
      </c>
      <c r="O410" s="2">
        <v>0</v>
      </c>
      <c r="P410" s="2">
        <v>0</v>
      </c>
      <c r="Q410">
        <v>0</v>
      </c>
      <c r="R410" s="2">
        <v>0</v>
      </c>
      <c r="S410" s="2">
        <v>0</v>
      </c>
      <c r="T410" t="s">
        <v>313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idden="1" x14ac:dyDescent="0.25">
      <c r="A411" t="s">
        <v>37</v>
      </c>
      <c r="B411" t="s">
        <v>38</v>
      </c>
      <c r="C411" t="s">
        <v>39</v>
      </c>
      <c r="D411" s="1">
        <v>45814</v>
      </c>
      <c r="E411" s="1">
        <v>45814</v>
      </c>
      <c r="F411" s="2">
        <v>45</v>
      </c>
      <c r="G411" s="3" t="s">
        <v>23</v>
      </c>
      <c r="H411">
        <v>25</v>
      </c>
      <c r="I411" s="2">
        <v>0</v>
      </c>
      <c r="J411" s="2">
        <v>0</v>
      </c>
      <c r="K411" s="2">
        <v>1</v>
      </c>
      <c r="L411" s="2">
        <v>0</v>
      </c>
      <c r="M411">
        <v>0</v>
      </c>
      <c r="N411">
        <v>0</v>
      </c>
      <c r="O411" s="2">
        <v>0</v>
      </c>
      <c r="P411" s="2">
        <v>0</v>
      </c>
      <c r="Q411">
        <v>0</v>
      </c>
      <c r="R411" s="2">
        <v>0</v>
      </c>
      <c r="S411" s="2">
        <v>0</v>
      </c>
      <c r="T411" t="s">
        <v>314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idden="1" x14ac:dyDescent="0.25">
      <c r="A412" t="s">
        <v>29</v>
      </c>
      <c r="B412" t="s">
        <v>30</v>
      </c>
      <c r="C412">
        <v>0</v>
      </c>
      <c r="D412" s="1">
        <v>45814</v>
      </c>
      <c r="E412" s="1">
        <v>45814</v>
      </c>
      <c r="F412" s="2">
        <v>0</v>
      </c>
      <c r="G412" s="3" t="s">
        <v>23</v>
      </c>
      <c r="H412">
        <v>31</v>
      </c>
      <c r="I412" s="2">
        <v>0</v>
      </c>
      <c r="J412" s="2">
        <v>0</v>
      </c>
      <c r="K412" s="2">
        <v>0</v>
      </c>
      <c r="L412" s="2">
        <v>1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14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</row>
    <row r="413" spans="1:28" hidden="1" x14ac:dyDescent="0.25">
      <c r="A413" t="s">
        <v>33</v>
      </c>
      <c r="B413" t="s">
        <v>34</v>
      </c>
      <c r="C413">
        <v>0</v>
      </c>
      <c r="D413" s="1">
        <v>45814</v>
      </c>
      <c r="E413" s="1">
        <v>45814</v>
      </c>
      <c r="F413" s="2">
        <v>0</v>
      </c>
      <c r="G413" s="3" t="s">
        <v>572</v>
      </c>
      <c r="H413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idden="1" x14ac:dyDescent="0.25">
      <c r="A414" t="s">
        <v>20</v>
      </c>
      <c r="B414" t="s">
        <v>21</v>
      </c>
      <c r="C414">
        <v>0</v>
      </c>
      <c r="D414" s="1">
        <v>45814</v>
      </c>
      <c r="E414" s="1">
        <v>45814</v>
      </c>
      <c r="F414" s="2">
        <v>0</v>
      </c>
      <c r="G414" s="3" t="s">
        <v>572</v>
      </c>
      <c r="H414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idden="1" x14ac:dyDescent="0.25">
      <c r="A415" t="s">
        <v>53</v>
      </c>
      <c r="B415" t="s">
        <v>47</v>
      </c>
      <c r="C415">
        <v>0</v>
      </c>
      <c r="D415" s="1">
        <v>45814</v>
      </c>
      <c r="E415" s="1">
        <v>45814</v>
      </c>
      <c r="F415" s="2">
        <v>0</v>
      </c>
      <c r="G415" s="3" t="s">
        <v>572</v>
      </c>
      <c r="H415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idden="1" x14ac:dyDescent="0.25">
      <c r="A416" t="s">
        <v>49</v>
      </c>
      <c r="B416" t="s">
        <v>47</v>
      </c>
      <c r="C416">
        <v>0</v>
      </c>
      <c r="D416" s="1">
        <v>45814</v>
      </c>
      <c r="E416" s="1">
        <v>45814</v>
      </c>
      <c r="F416" s="2">
        <v>0</v>
      </c>
      <c r="G416" s="3" t="s">
        <v>50</v>
      </c>
      <c r="H416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idden="1" x14ac:dyDescent="0.25">
      <c r="A417" t="s">
        <v>47</v>
      </c>
      <c r="B417" t="s">
        <v>52</v>
      </c>
      <c r="C417">
        <v>0</v>
      </c>
      <c r="D417" s="1">
        <v>45814</v>
      </c>
      <c r="E417" s="1">
        <v>45814</v>
      </c>
      <c r="F417" s="2">
        <v>0</v>
      </c>
      <c r="G417" s="3" t="s">
        <v>50</v>
      </c>
      <c r="H417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idden="1" x14ac:dyDescent="0.25">
      <c r="A418" t="s">
        <v>56</v>
      </c>
      <c r="B418" t="s">
        <v>57</v>
      </c>
      <c r="C418" t="s">
        <v>64</v>
      </c>
      <c r="D418" s="9">
        <v>45815</v>
      </c>
      <c r="E418" s="9">
        <v>45815</v>
      </c>
      <c r="F418" s="2">
        <v>97</v>
      </c>
      <c r="G418" s="3" t="s">
        <v>23</v>
      </c>
      <c r="H418">
        <v>0</v>
      </c>
      <c r="I418" s="2">
        <v>0</v>
      </c>
      <c r="J418" s="2">
        <v>0</v>
      </c>
      <c r="K418" s="2">
        <v>0</v>
      </c>
      <c r="L418" s="2">
        <v>0</v>
      </c>
      <c r="M418">
        <v>0</v>
      </c>
      <c r="N418">
        <v>0</v>
      </c>
      <c r="O418" s="2">
        <v>0</v>
      </c>
      <c r="P418" s="2">
        <v>0</v>
      </c>
      <c r="Q418">
        <v>8</v>
      </c>
      <c r="R418" s="2">
        <v>1</v>
      </c>
      <c r="S418" s="2">
        <v>0</v>
      </c>
      <c r="T418" t="s">
        <v>315</v>
      </c>
      <c r="U418" s="2">
        <v>23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1</v>
      </c>
      <c r="AB418" s="2">
        <v>0</v>
      </c>
    </row>
    <row r="419" spans="1:28" hidden="1" x14ac:dyDescent="0.25">
      <c r="A419" t="s">
        <v>25</v>
      </c>
      <c r="B419" t="s">
        <v>26</v>
      </c>
      <c r="C419" t="s">
        <v>27</v>
      </c>
      <c r="D419" s="9">
        <v>45815</v>
      </c>
      <c r="E419" s="9">
        <v>45815</v>
      </c>
      <c r="F419" s="2">
        <v>37</v>
      </c>
      <c r="G419" s="3" t="s">
        <v>23</v>
      </c>
      <c r="H419">
        <v>0</v>
      </c>
      <c r="I419" s="2">
        <v>0</v>
      </c>
      <c r="J419" s="2">
        <v>0</v>
      </c>
      <c r="K419" s="2">
        <v>0</v>
      </c>
      <c r="L419" s="2">
        <v>0</v>
      </c>
      <c r="M419">
        <v>0</v>
      </c>
      <c r="N419">
        <v>0</v>
      </c>
      <c r="O419" s="2">
        <v>1</v>
      </c>
      <c r="P419" s="2">
        <v>0</v>
      </c>
      <c r="Q419">
        <v>3</v>
      </c>
      <c r="R419" s="2">
        <v>1</v>
      </c>
      <c r="S419" s="2">
        <v>0</v>
      </c>
      <c r="T419" t="s">
        <v>316</v>
      </c>
      <c r="U419" s="2">
        <v>13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</row>
    <row r="420" spans="1:28" hidden="1" x14ac:dyDescent="0.25">
      <c r="A420" t="s">
        <v>33</v>
      </c>
      <c r="B420" t="s">
        <v>34</v>
      </c>
      <c r="C420" t="s">
        <v>35</v>
      </c>
      <c r="D420" s="9">
        <v>45815</v>
      </c>
      <c r="E420" s="9">
        <v>45815</v>
      </c>
      <c r="F420" s="2">
        <v>38</v>
      </c>
      <c r="G420" s="3" t="s">
        <v>23</v>
      </c>
      <c r="H420">
        <v>0</v>
      </c>
      <c r="I420" s="2">
        <v>0</v>
      </c>
      <c r="J420" s="2">
        <v>0</v>
      </c>
      <c r="K420" s="2">
        <v>0</v>
      </c>
      <c r="L420" s="2">
        <v>0</v>
      </c>
      <c r="M420">
        <v>0</v>
      </c>
      <c r="N420">
        <v>0</v>
      </c>
      <c r="O420" s="2">
        <v>1</v>
      </c>
      <c r="P420" s="2">
        <v>0</v>
      </c>
      <c r="Q420">
        <v>4</v>
      </c>
      <c r="R420" s="2">
        <v>1</v>
      </c>
      <c r="S420" s="2">
        <v>0</v>
      </c>
      <c r="T420" t="s">
        <v>317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</row>
    <row r="421" spans="1:28" hidden="1" x14ac:dyDescent="0.25">
      <c r="A421" t="s">
        <v>37</v>
      </c>
      <c r="B421" t="s">
        <v>38</v>
      </c>
      <c r="C421" t="s">
        <v>39</v>
      </c>
      <c r="D421" s="9">
        <v>45815</v>
      </c>
      <c r="E421" s="9">
        <v>45815</v>
      </c>
      <c r="F421" s="2">
        <v>26</v>
      </c>
      <c r="G421" s="3" t="s">
        <v>23</v>
      </c>
      <c r="H421">
        <v>0</v>
      </c>
      <c r="I421" s="2">
        <v>0</v>
      </c>
      <c r="J421" s="2">
        <v>0</v>
      </c>
      <c r="K421" s="2">
        <v>0</v>
      </c>
      <c r="L421" s="2">
        <v>0</v>
      </c>
      <c r="M421">
        <v>0</v>
      </c>
      <c r="N421">
        <v>0</v>
      </c>
      <c r="O421" s="2">
        <v>1</v>
      </c>
      <c r="P421" s="2">
        <v>0</v>
      </c>
      <c r="Q421">
        <v>3</v>
      </c>
      <c r="R421" s="2">
        <v>1</v>
      </c>
      <c r="S421" s="2">
        <v>0</v>
      </c>
      <c r="T421" t="s">
        <v>318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</row>
    <row r="422" spans="1:28" hidden="1" x14ac:dyDescent="0.25">
      <c r="A422" t="s">
        <v>56</v>
      </c>
      <c r="B422" t="s">
        <v>57</v>
      </c>
      <c r="C422" t="s">
        <v>64</v>
      </c>
      <c r="D422" s="9">
        <v>45816</v>
      </c>
      <c r="E422" s="9">
        <v>45816</v>
      </c>
      <c r="F422" s="2">
        <v>25</v>
      </c>
      <c r="G422" s="3" t="s">
        <v>23</v>
      </c>
      <c r="H422">
        <v>0</v>
      </c>
      <c r="I422" s="2">
        <v>0</v>
      </c>
      <c r="J422" s="2">
        <v>0</v>
      </c>
      <c r="K422" s="2">
        <v>0</v>
      </c>
      <c r="L422" s="2">
        <v>0</v>
      </c>
      <c r="M422">
        <v>1</v>
      </c>
      <c r="N422">
        <v>0</v>
      </c>
      <c r="O422" s="2">
        <v>0</v>
      </c>
      <c r="P422" s="2">
        <v>1</v>
      </c>
      <c r="Q422">
        <v>3</v>
      </c>
      <c r="R422" s="2">
        <v>0</v>
      </c>
      <c r="S422" s="2">
        <v>1</v>
      </c>
      <c r="T422" t="s">
        <v>319</v>
      </c>
      <c r="U422" s="2">
        <v>16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</row>
    <row r="423" spans="1:28" hidden="1" x14ac:dyDescent="0.25">
      <c r="A423" t="s">
        <v>25</v>
      </c>
      <c r="B423" t="s">
        <v>26</v>
      </c>
      <c r="C423" t="s">
        <v>27</v>
      </c>
      <c r="D423" s="9">
        <v>45816</v>
      </c>
      <c r="E423" s="9">
        <v>45816</v>
      </c>
      <c r="F423" s="2">
        <v>31</v>
      </c>
      <c r="G423" s="3" t="s">
        <v>23</v>
      </c>
      <c r="H423">
        <v>0</v>
      </c>
      <c r="I423" s="2">
        <v>0</v>
      </c>
      <c r="J423" s="2">
        <v>0</v>
      </c>
      <c r="K423" s="2">
        <v>0</v>
      </c>
      <c r="L423" s="2">
        <v>0</v>
      </c>
      <c r="M423">
        <v>0</v>
      </c>
      <c r="N423">
        <v>0</v>
      </c>
      <c r="O423" s="2">
        <v>0</v>
      </c>
      <c r="P423" s="2">
        <v>1</v>
      </c>
      <c r="Q423">
        <v>1</v>
      </c>
      <c r="R423" s="2">
        <v>0</v>
      </c>
      <c r="S423" s="2">
        <v>1</v>
      </c>
      <c r="T423" t="s">
        <v>320</v>
      </c>
      <c r="U423" s="2">
        <v>17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</row>
    <row r="424" spans="1:28" hidden="1" x14ac:dyDescent="0.25">
      <c r="A424" t="s">
        <v>33</v>
      </c>
      <c r="B424" t="s">
        <v>34</v>
      </c>
      <c r="C424" t="s">
        <v>35</v>
      </c>
      <c r="D424" s="9">
        <v>45816</v>
      </c>
      <c r="E424" s="9">
        <v>45816</v>
      </c>
      <c r="F424" s="2">
        <v>56</v>
      </c>
      <c r="G424" s="3" t="s">
        <v>23</v>
      </c>
      <c r="H424">
        <v>0</v>
      </c>
      <c r="I424" s="2">
        <v>0</v>
      </c>
      <c r="J424" s="2">
        <v>1</v>
      </c>
      <c r="K424" s="2">
        <v>0</v>
      </c>
      <c r="L424" s="2">
        <v>0</v>
      </c>
      <c r="M424">
        <v>0</v>
      </c>
      <c r="N424">
        <v>0</v>
      </c>
      <c r="O424" s="2">
        <v>0</v>
      </c>
      <c r="P424" s="2">
        <v>0</v>
      </c>
      <c r="Q424">
        <v>10</v>
      </c>
      <c r="R424" s="2">
        <v>0</v>
      </c>
      <c r="S424" s="2">
        <v>1</v>
      </c>
      <c r="T424" t="s">
        <v>321</v>
      </c>
      <c r="U424" s="2">
        <v>10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1</v>
      </c>
    </row>
    <row r="425" spans="1:28" hidden="1" x14ac:dyDescent="0.25">
      <c r="A425" t="s">
        <v>37</v>
      </c>
      <c r="B425" t="s">
        <v>38</v>
      </c>
      <c r="C425" t="s">
        <v>39</v>
      </c>
      <c r="D425" s="9">
        <v>45816</v>
      </c>
      <c r="E425" s="9">
        <v>45816</v>
      </c>
      <c r="F425" s="2">
        <v>28</v>
      </c>
      <c r="G425" s="3" t="s">
        <v>23</v>
      </c>
      <c r="H425">
        <v>0</v>
      </c>
      <c r="I425" s="2">
        <v>0</v>
      </c>
      <c r="J425" s="2">
        <v>0</v>
      </c>
      <c r="K425" s="2">
        <v>0</v>
      </c>
      <c r="L425" s="2">
        <v>0</v>
      </c>
      <c r="M425">
        <v>0</v>
      </c>
      <c r="N425">
        <v>0</v>
      </c>
      <c r="O425" s="2">
        <v>0</v>
      </c>
      <c r="P425" s="2">
        <v>1</v>
      </c>
      <c r="Q425">
        <v>1</v>
      </c>
      <c r="R425" s="2">
        <v>0</v>
      </c>
      <c r="S425" s="2">
        <v>1</v>
      </c>
      <c r="T425" t="s">
        <v>322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idden="1" x14ac:dyDescent="0.25">
      <c r="A426" t="s">
        <v>56</v>
      </c>
      <c r="B426" t="s">
        <v>57</v>
      </c>
      <c r="C426" t="s">
        <v>64</v>
      </c>
      <c r="D426" s="1">
        <v>45817</v>
      </c>
      <c r="E426" s="1">
        <v>45817</v>
      </c>
      <c r="F426" s="2">
        <v>19</v>
      </c>
      <c r="G426" s="3" t="s">
        <v>23</v>
      </c>
      <c r="H426">
        <v>14</v>
      </c>
      <c r="I426" s="2">
        <v>0</v>
      </c>
      <c r="J426" s="2">
        <v>0</v>
      </c>
      <c r="K426" s="2">
        <v>0</v>
      </c>
      <c r="L426" s="2">
        <v>0</v>
      </c>
      <c r="M426">
        <v>0</v>
      </c>
      <c r="N426">
        <v>0</v>
      </c>
      <c r="O426" s="2">
        <v>0</v>
      </c>
      <c r="P426" s="2">
        <v>0</v>
      </c>
      <c r="Q426">
        <v>0</v>
      </c>
      <c r="R426" s="2">
        <v>0</v>
      </c>
      <c r="S426" s="2">
        <v>0</v>
      </c>
      <c r="T426" t="s">
        <v>323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</row>
    <row r="427" spans="1:28" hidden="1" x14ac:dyDescent="0.25">
      <c r="A427" t="s">
        <v>25</v>
      </c>
      <c r="B427" t="s">
        <v>26</v>
      </c>
      <c r="C427" t="s">
        <v>27</v>
      </c>
      <c r="D427" s="1">
        <v>45817</v>
      </c>
      <c r="E427" s="1">
        <v>45817</v>
      </c>
      <c r="F427" s="2">
        <v>20</v>
      </c>
      <c r="G427" s="3" t="s">
        <v>23</v>
      </c>
      <c r="H427">
        <v>20</v>
      </c>
      <c r="I427" s="2">
        <v>0</v>
      </c>
      <c r="J427" s="2">
        <v>0</v>
      </c>
      <c r="K427" s="2">
        <v>0</v>
      </c>
      <c r="L427" s="2">
        <v>0</v>
      </c>
      <c r="M427">
        <v>0</v>
      </c>
      <c r="N427">
        <v>0</v>
      </c>
      <c r="O427" s="2">
        <v>0</v>
      </c>
      <c r="P427" s="2">
        <v>0</v>
      </c>
      <c r="Q427">
        <v>0</v>
      </c>
      <c r="R427" s="2">
        <v>0</v>
      </c>
      <c r="S427" s="2">
        <v>0</v>
      </c>
      <c r="T427" t="s">
        <v>324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idden="1" x14ac:dyDescent="0.25">
      <c r="A428" t="s">
        <v>33</v>
      </c>
      <c r="B428" t="s">
        <v>34</v>
      </c>
      <c r="C428" t="s">
        <v>35</v>
      </c>
      <c r="D428" s="1">
        <v>45817</v>
      </c>
      <c r="E428" s="1">
        <v>45817</v>
      </c>
      <c r="F428" s="2">
        <v>29</v>
      </c>
      <c r="G428" s="3" t="s">
        <v>23</v>
      </c>
      <c r="H428">
        <v>5</v>
      </c>
      <c r="I428" s="2">
        <v>0</v>
      </c>
      <c r="J428" s="2">
        <v>0</v>
      </c>
      <c r="K428" s="2">
        <v>0</v>
      </c>
      <c r="L428" s="2">
        <v>0</v>
      </c>
      <c r="M428">
        <v>0</v>
      </c>
      <c r="N428">
        <v>0</v>
      </c>
      <c r="O428" s="2">
        <v>0</v>
      </c>
      <c r="P428" s="2">
        <v>0</v>
      </c>
      <c r="Q428">
        <v>0</v>
      </c>
      <c r="R428" s="2">
        <v>0</v>
      </c>
      <c r="S428" s="2">
        <v>0</v>
      </c>
      <c r="T428" t="s">
        <v>325</v>
      </c>
      <c r="U428" s="2">
        <v>0</v>
      </c>
      <c r="V428" s="2">
        <v>8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</row>
    <row r="429" spans="1:28" hidden="1" x14ac:dyDescent="0.25">
      <c r="A429" t="s">
        <v>53</v>
      </c>
      <c r="B429" t="s">
        <v>21</v>
      </c>
      <c r="C429" t="s">
        <v>35</v>
      </c>
      <c r="D429" s="1">
        <v>45817</v>
      </c>
      <c r="E429" s="1">
        <v>45817</v>
      </c>
      <c r="F429" s="2">
        <v>29</v>
      </c>
      <c r="G429" s="3" t="s">
        <v>23</v>
      </c>
      <c r="H429">
        <v>0</v>
      </c>
      <c r="I429" s="2">
        <v>0</v>
      </c>
      <c r="J429" s="2">
        <v>0</v>
      </c>
      <c r="K429" s="2">
        <v>0</v>
      </c>
      <c r="L429" s="2">
        <v>0</v>
      </c>
      <c r="M429">
        <v>0</v>
      </c>
      <c r="N429">
        <v>0</v>
      </c>
      <c r="O429" s="2">
        <v>0</v>
      </c>
      <c r="P429" s="2">
        <v>0</v>
      </c>
      <c r="Q429">
        <v>0</v>
      </c>
      <c r="R429" s="2">
        <v>0</v>
      </c>
      <c r="S429" s="2">
        <v>0</v>
      </c>
      <c r="T429" t="s">
        <v>325</v>
      </c>
      <c r="U429" s="2">
        <v>0</v>
      </c>
      <c r="V429" s="2">
        <v>14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</row>
    <row r="430" spans="1:28" hidden="1" x14ac:dyDescent="0.25">
      <c r="A430" t="s">
        <v>37</v>
      </c>
      <c r="B430" t="s">
        <v>38</v>
      </c>
      <c r="C430" t="s">
        <v>35</v>
      </c>
      <c r="D430" s="1">
        <v>45817</v>
      </c>
      <c r="E430" s="1">
        <v>45817</v>
      </c>
      <c r="F430" s="2">
        <v>29</v>
      </c>
      <c r="G430" s="3" t="s">
        <v>23</v>
      </c>
      <c r="H430">
        <v>8</v>
      </c>
      <c r="I430" s="2">
        <v>0</v>
      </c>
      <c r="J430" s="2">
        <v>0</v>
      </c>
      <c r="K430" s="2">
        <v>0</v>
      </c>
      <c r="L430" s="2">
        <v>0</v>
      </c>
      <c r="M430">
        <v>0</v>
      </c>
      <c r="N430">
        <v>0</v>
      </c>
      <c r="O430" s="2">
        <v>0</v>
      </c>
      <c r="P430" s="2">
        <v>0</v>
      </c>
      <c r="Q430">
        <v>0</v>
      </c>
      <c r="R430" s="2">
        <v>0</v>
      </c>
      <c r="S430" s="2">
        <v>0</v>
      </c>
      <c r="T430" t="s">
        <v>325</v>
      </c>
      <c r="U430" s="2">
        <v>0</v>
      </c>
      <c r="V430" s="2">
        <v>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idden="1" x14ac:dyDescent="0.25">
      <c r="A431" t="s">
        <v>20</v>
      </c>
      <c r="B431" t="s">
        <v>47</v>
      </c>
      <c r="C431">
        <v>0</v>
      </c>
      <c r="D431" s="1">
        <v>45817</v>
      </c>
      <c r="E431" s="1">
        <v>45817</v>
      </c>
      <c r="F431" s="2">
        <v>0</v>
      </c>
      <c r="G431" s="3" t="s">
        <v>23</v>
      </c>
      <c r="H431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1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idden="1" x14ac:dyDescent="0.25">
      <c r="A432" t="s">
        <v>29</v>
      </c>
      <c r="B432" t="s">
        <v>30</v>
      </c>
      <c r="C432">
        <v>0</v>
      </c>
      <c r="D432" s="1">
        <v>45817</v>
      </c>
      <c r="E432" s="1">
        <v>45817</v>
      </c>
      <c r="F432" s="2">
        <v>0</v>
      </c>
      <c r="G432" s="3" t="s">
        <v>48</v>
      </c>
      <c r="H43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idden="1" x14ac:dyDescent="0.25">
      <c r="A433" t="s">
        <v>49</v>
      </c>
      <c r="B433" t="s">
        <v>47</v>
      </c>
      <c r="C433">
        <v>0</v>
      </c>
      <c r="D433" s="1">
        <v>45817</v>
      </c>
      <c r="E433" s="1">
        <v>45817</v>
      </c>
      <c r="F433" s="2">
        <v>0</v>
      </c>
      <c r="G433" s="3" t="s">
        <v>50</v>
      </c>
      <c r="H433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idden="1" x14ac:dyDescent="0.25">
      <c r="A434" t="s">
        <v>47</v>
      </c>
      <c r="B434" t="s">
        <v>52</v>
      </c>
      <c r="C434">
        <v>0</v>
      </c>
      <c r="D434" s="1">
        <v>45817</v>
      </c>
      <c r="E434" s="1">
        <v>45817</v>
      </c>
      <c r="F434" s="2">
        <v>0</v>
      </c>
      <c r="G434" s="3" t="s">
        <v>50</v>
      </c>
      <c r="H434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idden="1" x14ac:dyDescent="0.25">
      <c r="A435" t="s">
        <v>56</v>
      </c>
      <c r="B435" t="s">
        <v>57</v>
      </c>
      <c r="C435" t="s">
        <v>64</v>
      </c>
      <c r="D435" s="1">
        <v>45818</v>
      </c>
      <c r="E435" s="1">
        <v>45818</v>
      </c>
      <c r="F435" s="2">
        <v>22</v>
      </c>
      <c r="G435" s="3" t="s">
        <v>23</v>
      </c>
      <c r="H435">
        <v>5</v>
      </c>
      <c r="I435" s="2">
        <v>0</v>
      </c>
      <c r="J435" s="2">
        <v>0</v>
      </c>
      <c r="K435" s="2">
        <v>0</v>
      </c>
      <c r="L435" s="2">
        <v>0</v>
      </c>
      <c r="M435">
        <v>0</v>
      </c>
      <c r="N435">
        <v>1</v>
      </c>
      <c r="O435" s="2">
        <v>0</v>
      </c>
      <c r="P435" s="2">
        <v>0</v>
      </c>
      <c r="Q435">
        <v>0</v>
      </c>
      <c r="R435" s="2">
        <v>0</v>
      </c>
      <c r="S435" s="2">
        <v>0</v>
      </c>
      <c r="T435" t="s">
        <v>326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</row>
    <row r="436" spans="1:28" hidden="1" x14ac:dyDescent="0.25">
      <c r="A436" t="s">
        <v>20</v>
      </c>
      <c r="B436" t="s">
        <v>21</v>
      </c>
      <c r="C436" t="s">
        <v>22</v>
      </c>
      <c r="D436" s="1">
        <v>45818</v>
      </c>
      <c r="E436" s="1">
        <v>45818</v>
      </c>
      <c r="F436" s="2">
        <v>31</v>
      </c>
      <c r="G436" s="3" t="s">
        <v>23</v>
      </c>
      <c r="H436">
        <v>16</v>
      </c>
      <c r="I436" s="2">
        <v>0</v>
      </c>
      <c r="J436" s="2">
        <v>0</v>
      </c>
      <c r="K436" s="2">
        <v>1</v>
      </c>
      <c r="L436" s="2">
        <v>0</v>
      </c>
      <c r="M436">
        <v>0</v>
      </c>
      <c r="N436">
        <v>0</v>
      </c>
      <c r="O436" s="2">
        <v>0</v>
      </c>
      <c r="P436" s="2">
        <v>0</v>
      </c>
      <c r="Q436">
        <v>0</v>
      </c>
      <c r="R436" s="2">
        <v>0</v>
      </c>
      <c r="S436" s="2">
        <v>0</v>
      </c>
      <c r="T436" t="s">
        <v>327</v>
      </c>
      <c r="U436" s="2">
        <v>0</v>
      </c>
      <c r="V436" s="2">
        <v>51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idden="1" x14ac:dyDescent="0.25">
      <c r="A437" t="s">
        <v>25</v>
      </c>
      <c r="B437" t="s">
        <v>26</v>
      </c>
      <c r="C437" t="s">
        <v>27</v>
      </c>
      <c r="D437" s="1">
        <v>45818</v>
      </c>
      <c r="E437" s="1">
        <v>45818</v>
      </c>
      <c r="F437" s="2">
        <v>21</v>
      </c>
      <c r="G437" s="3" t="s">
        <v>23</v>
      </c>
      <c r="H437">
        <v>20</v>
      </c>
      <c r="I437" s="2">
        <v>0</v>
      </c>
      <c r="J437" s="2">
        <v>0</v>
      </c>
      <c r="K437" s="2">
        <v>1</v>
      </c>
      <c r="L437" s="2">
        <v>0</v>
      </c>
      <c r="M437">
        <v>0</v>
      </c>
      <c r="N437">
        <v>0</v>
      </c>
      <c r="O437" s="2">
        <v>0</v>
      </c>
      <c r="P437" s="2">
        <v>0</v>
      </c>
      <c r="Q437">
        <v>0</v>
      </c>
      <c r="R437" s="2">
        <v>0</v>
      </c>
      <c r="S437" s="2">
        <v>0</v>
      </c>
      <c r="T437" t="s">
        <v>328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</row>
    <row r="438" spans="1:28" hidden="1" x14ac:dyDescent="0.25">
      <c r="A438" t="s">
        <v>29</v>
      </c>
      <c r="B438" t="s">
        <v>30</v>
      </c>
      <c r="C438" t="s">
        <v>31</v>
      </c>
      <c r="D438" s="1">
        <v>45818</v>
      </c>
      <c r="E438" s="1">
        <v>45818</v>
      </c>
      <c r="F438" s="2">
        <v>33</v>
      </c>
      <c r="G438" s="3" t="s">
        <v>23</v>
      </c>
      <c r="H438">
        <v>30</v>
      </c>
      <c r="I438" s="2">
        <v>0</v>
      </c>
      <c r="J438" s="2">
        <v>0</v>
      </c>
      <c r="K438" s="2">
        <v>1</v>
      </c>
      <c r="L438" s="2">
        <v>0</v>
      </c>
      <c r="M438">
        <v>0</v>
      </c>
      <c r="N438">
        <v>0</v>
      </c>
      <c r="O438" s="2">
        <v>0</v>
      </c>
      <c r="P438" s="2">
        <v>0</v>
      </c>
      <c r="Q438">
        <v>0</v>
      </c>
      <c r="R438" s="2">
        <v>0</v>
      </c>
      <c r="S438" s="2">
        <v>0</v>
      </c>
      <c r="T438" t="s">
        <v>329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idden="1" x14ac:dyDescent="0.25">
      <c r="A439" t="s">
        <v>33</v>
      </c>
      <c r="B439" t="s">
        <v>26</v>
      </c>
      <c r="C439" t="s">
        <v>35</v>
      </c>
      <c r="D439" s="1">
        <v>45818</v>
      </c>
      <c r="E439" s="1">
        <v>45818</v>
      </c>
      <c r="F439" s="2">
        <v>21</v>
      </c>
      <c r="G439" s="3" t="s">
        <v>23</v>
      </c>
      <c r="H439">
        <v>20</v>
      </c>
      <c r="I439" s="2">
        <v>0</v>
      </c>
      <c r="J439" s="2">
        <v>0</v>
      </c>
      <c r="K439" s="2">
        <v>0</v>
      </c>
      <c r="L439" s="2">
        <v>0</v>
      </c>
      <c r="M439">
        <v>0</v>
      </c>
      <c r="N439">
        <v>0</v>
      </c>
      <c r="O439" s="2">
        <v>0</v>
      </c>
      <c r="P439" s="2">
        <v>0</v>
      </c>
      <c r="Q439">
        <v>0</v>
      </c>
      <c r="R439" s="2">
        <v>0</v>
      </c>
      <c r="S439" s="2">
        <v>0</v>
      </c>
      <c r="T439" t="s">
        <v>330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</row>
    <row r="440" spans="1:28" hidden="1" x14ac:dyDescent="0.25">
      <c r="A440" t="s">
        <v>37</v>
      </c>
      <c r="B440" t="s">
        <v>38</v>
      </c>
      <c r="C440" t="s">
        <v>39</v>
      </c>
      <c r="D440" s="1">
        <v>45818</v>
      </c>
      <c r="E440" s="1">
        <v>45818</v>
      </c>
      <c r="F440" s="2">
        <v>29</v>
      </c>
      <c r="G440" s="3" t="s">
        <v>23</v>
      </c>
      <c r="H440">
        <v>22</v>
      </c>
      <c r="I440" s="2">
        <v>0</v>
      </c>
      <c r="J440" s="2">
        <v>0</v>
      </c>
      <c r="K440" s="2">
        <v>0</v>
      </c>
      <c r="L440" s="2">
        <v>1</v>
      </c>
      <c r="M440">
        <v>0</v>
      </c>
      <c r="N440">
        <v>0</v>
      </c>
      <c r="O440" s="2">
        <v>0</v>
      </c>
      <c r="P440" s="2">
        <v>0</v>
      </c>
      <c r="Q440">
        <v>0</v>
      </c>
      <c r="R440" s="2">
        <v>0</v>
      </c>
      <c r="S440" s="2">
        <v>0</v>
      </c>
      <c r="T440" t="s">
        <v>331</v>
      </c>
      <c r="U440" s="2">
        <v>0</v>
      </c>
      <c r="V440" s="2">
        <v>50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</row>
    <row r="441" spans="1:28" hidden="1" x14ac:dyDescent="0.25">
      <c r="A441" t="s">
        <v>53</v>
      </c>
      <c r="B441" t="s">
        <v>34</v>
      </c>
      <c r="C441">
        <v>0</v>
      </c>
      <c r="D441" s="1">
        <v>45818</v>
      </c>
      <c r="E441" s="1">
        <v>45818</v>
      </c>
      <c r="F441" s="2">
        <v>0</v>
      </c>
      <c r="G441" s="3" t="s">
        <v>48</v>
      </c>
      <c r="H441">
        <v>0</v>
      </c>
      <c r="I441" s="2">
        <v>0</v>
      </c>
      <c r="J441" s="2">
        <v>0</v>
      </c>
      <c r="K441" s="2">
        <v>0</v>
      </c>
      <c r="L441" s="2">
        <v>0</v>
      </c>
      <c r="M441">
        <v>0</v>
      </c>
      <c r="N441">
        <v>0</v>
      </c>
      <c r="O441" s="2">
        <v>0</v>
      </c>
      <c r="P441" s="2">
        <v>0</v>
      </c>
      <c r="Q441">
        <v>0</v>
      </c>
      <c r="R441" s="2">
        <v>0</v>
      </c>
      <c r="S441" s="2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hidden="1" x14ac:dyDescent="0.25">
      <c r="A442" t="s">
        <v>49</v>
      </c>
      <c r="B442" t="s">
        <v>47</v>
      </c>
      <c r="C442">
        <v>0</v>
      </c>
      <c r="D442" s="1">
        <v>45818</v>
      </c>
      <c r="E442" s="1">
        <v>45818</v>
      </c>
      <c r="F442" s="2">
        <v>0</v>
      </c>
      <c r="G442" s="3" t="s">
        <v>50</v>
      </c>
      <c r="H442">
        <v>0</v>
      </c>
      <c r="I442" s="2">
        <v>0</v>
      </c>
      <c r="J442" s="2">
        <v>0</v>
      </c>
      <c r="K442" s="2">
        <v>0</v>
      </c>
      <c r="L442" s="2">
        <v>0</v>
      </c>
      <c r="M442">
        <v>0</v>
      </c>
      <c r="N442">
        <v>0</v>
      </c>
      <c r="O442" s="2">
        <v>0</v>
      </c>
      <c r="P442" s="2">
        <v>0</v>
      </c>
      <c r="Q442">
        <v>0</v>
      </c>
      <c r="R442" s="2">
        <v>0</v>
      </c>
      <c r="S442" s="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hidden="1" x14ac:dyDescent="0.25">
      <c r="A443" t="s">
        <v>47</v>
      </c>
      <c r="B443" t="s">
        <v>52</v>
      </c>
      <c r="C443">
        <v>0</v>
      </c>
      <c r="D443" s="1">
        <v>45818</v>
      </c>
      <c r="E443" s="1">
        <v>45818</v>
      </c>
      <c r="F443" s="2">
        <v>0</v>
      </c>
      <c r="G443" s="3" t="s">
        <v>50</v>
      </c>
      <c r="H443">
        <v>0</v>
      </c>
      <c r="I443" s="2">
        <v>0</v>
      </c>
      <c r="J443" s="2">
        <v>0</v>
      </c>
      <c r="K443" s="2">
        <v>0</v>
      </c>
      <c r="L443" s="2">
        <v>0</v>
      </c>
      <c r="M443">
        <v>0</v>
      </c>
      <c r="N443">
        <v>0</v>
      </c>
      <c r="O443" s="2">
        <v>0</v>
      </c>
      <c r="P443" s="2">
        <v>0</v>
      </c>
      <c r="Q443">
        <v>0</v>
      </c>
      <c r="R443" s="2">
        <v>0</v>
      </c>
      <c r="S443" s="2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hidden="1" x14ac:dyDescent="0.25">
      <c r="A444" t="s">
        <v>53</v>
      </c>
      <c r="B444" t="s">
        <v>34</v>
      </c>
      <c r="C444" t="s">
        <v>54</v>
      </c>
      <c r="D444" s="1">
        <v>45819</v>
      </c>
      <c r="E444" s="1">
        <v>45819</v>
      </c>
      <c r="F444" s="2">
        <v>39</v>
      </c>
      <c r="G444" s="3" t="s">
        <v>23</v>
      </c>
      <c r="H444">
        <v>39</v>
      </c>
      <c r="I444" s="2">
        <v>0</v>
      </c>
      <c r="J444" s="2">
        <v>0</v>
      </c>
      <c r="K444" s="2">
        <v>1</v>
      </c>
      <c r="L444" s="2">
        <v>0</v>
      </c>
      <c r="M444">
        <v>2</v>
      </c>
      <c r="N444">
        <v>1</v>
      </c>
      <c r="O444" s="2">
        <v>0</v>
      </c>
      <c r="P444" s="2">
        <v>0</v>
      </c>
      <c r="Q444">
        <v>0</v>
      </c>
      <c r="R444" s="2">
        <v>0</v>
      </c>
      <c r="S444" s="2">
        <v>0</v>
      </c>
      <c r="T444" t="s">
        <v>332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idden="1" x14ac:dyDescent="0.25">
      <c r="A445" t="s">
        <v>25</v>
      </c>
      <c r="B445" t="s">
        <v>26</v>
      </c>
      <c r="C445" t="s">
        <v>27</v>
      </c>
      <c r="D445" s="1">
        <v>45819</v>
      </c>
      <c r="E445" s="1">
        <v>45819</v>
      </c>
      <c r="F445" s="2">
        <v>82</v>
      </c>
      <c r="G445" s="3" t="s">
        <v>23</v>
      </c>
      <c r="H445">
        <v>36</v>
      </c>
      <c r="I445" s="2">
        <v>0</v>
      </c>
      <c r="J445" s="2">
        <v>0</v>
      </c>
      <c r="K445" s="2">
        <v>0</v>
      </c>
      <c r="L445" s="2">
        <v>1</v>
      </c>
      <c r="M445">
        <v>0</v>
      </c>
      <c r="N445">
        <v>0</v>
      </c>
      <c r="O445" s="2">
        <v>0</v>
      </c>
      <c r="P445" s="2">
        <v>0</v>
      </c>
      <c r="Q445">
        <v>0</v>
      </c>
      <c r="R445" s="2">
        <v>0</v>
      </c>
      <c r="S445" s="2">
        <v>0</v>
      </c>
      <c r="T445" t="s">
        <v>333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</row>
    <row r="446" spans="1:28" hidden="1" x14ac:dyDescent="0.25">
      <c r="A446" t="s">
        <v>37</v>
      </c>
      <c r="B446" t="s">
        <v>56</v>
      </c>
      <c r="C446" t="s">
        <v>39</v>
      </c>
      <c r="D446" s="1">
        <v>45819</v>
      </c>
      <c r="E446" s="1">
        <v>45819</v>
      </c>
      <c r="F446" s="2">
        <v>20</v>
      </c>
      <c r="G446" s="3" t="s">
        <v>23</v>
      </c>
      <c r="H446">
        <v>28</v>
      </c>
      <c r="I446" s="2">
        <v>0</v>
      </c>
      <c r="J446" s="2">
        <v>0</v>
      </c>
      <c r="K446" s="2">
        <v>1</v>
      </c>
      <c r="L446" s="2">
        <v>0</v>
      </c>
      <c r="M446">
        <v>0</v>
      </c>
      <c r="N446">
        <v>0</v>
      </c>
      <c r="O446" s="2">
        <v>0</v>
      </c>
      <c r="P446" s="2">
        <v>0</v>
      </c>
      <c r="Q446">
        <v>0</v>
      </c>
      <c r="R446" s="2">
        <v>0</v>
      </c>
      <c r="S446" s="2">
        <v>0</v>
      </c>
      <c r="T446" t="s">
        <v>334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idden="1" x14ac:dyDescent="0.25">
      <c r="A447" t="s">
        <v>29</v>
      </c>
      <c r="B447" t="s">
        <v>30</v>
      </c>
      <c r="C447" t="s">
        <v>39</v>
      </c>
      <c r="D447" s="1">
        <v>45819</v>
      </c>
      <c r="E447" s="1">
        <v>45819</v>
      </c>
      <c r="F447" s="2">
        <v>19</v>
      </c>
      <c r="G447" s="3" t="s">
        <v>23</v>
      </c>
      <c r="H447">
        <v>26</v>
      </c>
      <c r="I447" s="2">
        <v>0</v>
      </c>
      <c r="J447" s="2">
        <v>0</v>
      </c>
      <c r="K447" s="2">
        <v>1</v>
      </c>
      <c r="L447" s="2">
        <v>0</v>
      </c>
      <c r="M447">
        <v>0</v>
      </c>
      <c r="N447">
        <v>0</v>
      </c>
      <c r="O447" s="2">
        <v>0</v>
      </c>
      <c r="P447" s="2">
        <v>0</v>
      </c>
      <c r="Q447">
        <v>1</v>
      </c>
      <c r="R447" s="2">
        <v>0</v>
      </c>
      <c r="S447" s="2">
        <v>0</v>
      </c>
      <c r="T447" t="s">
        <v>335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idden="1" x14ac:dyDescent="0.25">
      <c r="A448" t="s">
        <v>33</v>
      </c>
      <c r="B448" t="s">
        <v>47</v>
      </c>
      <c r="C448">
        <v>0</v>
      </c>
      <c r="D448" s="1">
        <v>45819</v>
      </c>
      <c r="E448" s="1">
        <v>45819</v>
      </c>
      <c r="F448" s="2">
        <v>0</v>
      </c>
      <c r="G448" s="3" t="s">
        <v>572</v>
      </c>
      <c r="H448">
        <v>0</v>
      </c>
      <c r="I448" s="2">
        <v>0</v>
      </c>
      <c r="J448" s="2">
        <v>0</v>
      </c>
      <c r="K448" s="2">
        <v>0</v>
      </c>
      <c r="L448" s="2">
        <v>0</v>
      </c>
      <c r="M448">
        <v>0</v>
      </c>
      <c r="N448">
        <v>0</v>
      </c>
      <c r="O448" s="2">
        <v>0</v>
      </c>
      <c r="P448" s="2">
        <v>0</v>
      </c>
      <c r="Q448">
        <v>0</v>
      </c>
      <c r="R448" s="2">
        <v>0</v>
      </c>
      <c r="S448" s="2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 hidden="1" x14ac:dyDescent="0.25">
      <c r="A449" t="s">
        <v>47</v>
      </c>
      <c r="B449" t="s">
        <v>38</v>
      </c>
      <c r="C449">
        <v>0</v>
      </c>
      <c r="D449" s="1">
        <v>45819</v>
      </c>
      <c r="E449" s="1">
        <v>45819</v>
      </c>
      <c r="F449" s="2">
        <v>0</v>
      </c>
      <c r="G449" s="3" t="s">
        <v>572</v>
      </c>
      <c r="H449">
        <v>0</v>
      </c>
      <c r="I449" s="2">
        <v>0</v>
      </c>
      <c r="J449" s="2">
        <v>0</v>
      </c>
      <c r="K449" s="2">
        <v>0</v>
      </c>
      <c r="L449" s="2">
        <v>0</v>
      </c>
      <c r="M449">
        <v>0</v>
      </c>
      <c r="N449">
        <v>0</v>
      </c>
      <c r="O449" s="2">
        <v>0</v>
      </c>
      <c r="P449" s="2">
        <v>0</v>
      </c>
      <c r="Q449">
        <v>0</v>
      </c>
      <c r="R449" s="2">
        <v>0</v>
      </c>
      <c r="S449" s="2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hidden="1" x14ac:dyDescent="0.25">
      <c r="A450" t="s">
        <v>47</v>
      </c>
      <c r="B450" t="s">
        <v>57</v>
      </c>
      <c r="C450">
        <v>0</v>
      </c>
      <c r="D450" s="1">
        <v>45819</v>
      </c>
      <c r="E450" s="1">
        <v>45819</v>
      </c>
      <c r="F450" s="2">
        <v>0</v>
      </c>
      <c r="G450" s="3" t="s">
        <v>572</v>
      </c>
      <c r="H450">
        <v>0</v>
      </c>
      <c r="I450" s="2">
        <v>0</v>
      </c>
      <c r="J450" s="2">
        <v>0</v>
      </c>
      <c r="K450" s="2">
        <v>0</v>
      </c>
      <c r="L450" s="2">
        <v>0</v>
      </c>
      <c r="M450">
        <v>0</v>
      </c>
      <c r="N450">
        <v>0</v>
      </c>
      <c r="O450" s="2">
        <v>0</v>
      </c>
      <c r="P450" s="2">
        <v>0</v>
      </c>
      <c r="Q450">
        <v>0</v>
      </c>
      <c r="R450" s="2">
        <v>0</v>
      </c>
      <c r="S450" s="2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hidden="1" x14ac:dyDescent="0.25">
      <c r="A451" t="s">
        <v>49</v>
      </c>
      <c r="B451" t="s">
        <v>47</v>
      </c>
      <c r="C451">
        <v>0</v>
      </c>
      <c r="D451" s="1">
        <v>45819</v>
      </c>
      <c r="E451" s="1">
        <v>45819</v>
      </c>
      <c r="F451" s="2">
        <v>0</v>
      </c>
      <c r="G451" s="3" t="s">
        <v>50</v>
      </c>
      <c r="H451">
        <v>0</v>
      </c>
      <c r="I451" s="2">
        <v>0</v>
      </c>
      <c r="J451" s="2">
        <v>0</v>
      </c>
      <c r="K451" s="2">
        <v>0</v>
      </c>
      <c r="L451" s="2">
        <v>0</v>
      </c>
      <c r="M451">
        <v>0</v>
      </c>
      <c r="N451">
        <v>0</v>
      </c>
      <c r="O451" s="2">
        <v>0</v>
      </c>
      <c r="P451" s="2">
        <v>0</v>
      </c>
      <c r="Q451">
        <v>0</v>
      </c>
      <c r="R451" s="2">
        <v>0</v>
      </c>
      <c r="S451" s="2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hidden="1" x14ac:dyDescent="0.25">
      <c r="A452" t="s">
        <v>47</v>
      </c>
      <c r="B452" t="s">
        <v>52</v>
      </c>
      <c r="C452">
        <v>0</v>
      </c>
      <c r="D452" s="1">
        <v>45819</v>
      </c>
      <c r="E452" s="1">
        <v>45819</v>
      </c>
      <c r="F452" s="2">
        <v>0</v>
      </c>
      <c r="G452" s="3" t="s">
        <v>50</v>
      </c>
      <c r="H452">
        <v>0</v>
      </c>
      <c r="I452" s="2">
        <v>0</v>
      </c>
      <c r="J452" s="2">
        <v>0</v>
      </c>
      <c r="K452" s="2">
        <v>0</v>
      </c>
      <c r="L452" s="2">
        <v>0</v>
      </c>
      <c r="M452">
        <v>0</v>
      </c>
      <c r="N452">
        <v>0</v>
      </c>
      <c r="O452" s="2">
        <v>0</v>
      </c>
      <c r="P452" s="2">
        <v>0</v>
      </c>
      <c r="Q452">
        <v>0</v>
      </c>
      <c r="R452" s="2">
        <v>0</v>
      </c>
      <c r="S452" s="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hidden="1" x14ac:dyDescent="0.25">
      <c r="A453" t="s">
        <v>53</v>
      </c>
      <c r="B453" t="s">
        <v>34</v>
      </c>
      <c r="C453" t="s">
        <v>54</v>
      </c>
      <c r="D453" s="1">
        <v>45820</v>
      </c>
      <c r="E453" s="1">
        <v>45820</v>
      </c>
      <c r="F453" s="2">
        <v>43</v>
      </c>
      <c r="G453" s="3" t="s">
        <v>23</v>
      </c>
      <c r="H453">
        <v>22</v>
      </c>
      <c r="I453" s="2">
        <v>0</v>
      </c>
      <c r="J453" s="2">
        <v>0</v>
      </c>
      <c r="K453" s="2">
        <v>0</v>
      </c>
      <c r="L453" s="2">
        <v>1</v>
      </c>
      <c r="M453">
        <v>0</v>
      </c>
      <c r="N453">
        <v>0</v>
      </c>
      <c r="O453" s="2">
        <v>0</v>
      </c>
      <c r="P453" s="2">
        <v>0</v>
      </c>
      <c r="Q453">
        <v>0</v>
      </c>
      <c r="R453" s="2">
        <v>0</v>
      </c>
      <c r="S453" s="2">
        <v>0</v>
      </c>
      <c r="T453" t="s">
        <v>336</v>
      </c>
      <c r="U453" s="2">
        <v>0</v>
      </c>
      <c r="V453" s="2">
        <v>14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idden="1" x14ac:dyDescent="0.25">
      <c r="A454" t="s">
        <v>20</v>
      </c>
      <c r="B454" t="s">
        <v>38</v>
      </c>
      <c r="C454" t="s">
        <v>22</v>
      </c>
      <c r="D454" s="1">
        <v>45820</v>
      </c>
      <c r="E454" s="1">
        <v>45820</v>
      </c>
      <c r="F454" s="2">
        <v>25</v>
      </c>
      <c r="G454" s="3" t="s">
        <v>23</v>
      </c>
      <c r="H454">
        <v>32</v>
      </c>
      <c r="I454" s="2">
        <v>0</v>
      </c>
      <c r="J454" s="2">
        <v>0</v>
      </c>
      <c r="K454" s="2">
        <v>1</v>
      </c>
      <c r="L454" s="2">
        <v>0</v>
      </c>
      <c r="M454">
        <v>0</v>
      </c>
      <c r="N454">
        <v>0</v>
      </c>
      <c r="O454" s="2">
        <v>0</v>
      </c>
      <c r="P454" s="2">
        <v>0</v>
      </c>
      <c r="Q454">
        <v>0</v>
      </c>
      <c r="R454" s="2">
        <v>0</v>
      </c>
      <c r="S454" s="2">
        <v>0</v>
      </c>
      <c r="T454" t="s">
        <v>337</v>
      </c>
      <c r="U454" s="2">
        <v>0</v>
      </c>
      <c r="V454" s="2">
        <v>20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</row>
    <row r="455" spans="1:28" hidden="1" x14ac:dyDescent="0.25">
      <c r="A455" t="s">
        <v>29</v>
      </c>
      <c r="B455" t="s">
        <v>30</v>
      </c>
      <c r="C455" t="s">
        <v>31</v>
      </c>
      <c r="D455" s="1">
        <v>45820</v>
      </c>
      <c r="E455" s="1">
        <v>45820</v>
      </c>
      <c r="F455" s="2">
        <v>19</v>
      </c>
      <c r="G455" s="3" t="s">
        <v>23</v>
      </c>
      <c r="H455">
        <v>38</v>
      </c>
      <c r="I455" s="2">
        <v>0</v>
      </c>
      <c r="J455" s="2">
        <v>0</v>
      </c>
      <c r="K455" s="2">
        <v>1</v>
      </c>
      <c r="L455" s="2">
        <v>0</v>
      </c>
      <c r="M455">
        <v>0</v>
      </c>
      <c r="N455">
        <v>0</v>
      </c>
      <c r="O455" s="2">
        <v>0</v>
      </c>
      <c r="P455" s="2">
        <v>0</v>
      </c>
      <c r="Q455">
        <v>0</v>
      </c>
      <c r="R455" s="2">
        <v>0</v>
      </c>
      <c r="S455" s="2">
        <v>0</v>
      </c>
      <c r="T455" t="s">
        <v>338</v>
      </c>
      <c r="U455" s="2">
        <v>0</v>
      </c>
      <c r="V455" s="2">
        <v>20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</row>
    <row r="456" spans="1:28" hidden="1" x14ac:dyDescent="0.25">
      <c r="A456" t="s">
        <v>33</v>
      </c>
      <c r="B456" t="s">
        <v>57</v>
      </c>
      <c r="C456" t="s">
        <v>35</v>
      </c>
      <c r="D456" s="1">
        <v>45820</v>
      </c>
      <c r="E456" s="1">
        <v>45820</v>
      </c>
      <c r="F456" s="2">
        <v>36</v>
      </c>
      <c r="G456" s="3" t="s">
        <v>23</v>
      </c>
      <c r="H456">
        <v>33</v>
      </c>
      <c r="I456" s="2">
        <v>0</v>
      </c>
      <c r="J456" s="2">
        <v>0</v>
      </c>
      <c r="K456" s="2">
        <v>1</v>
      </c>
      <c r="L456" s="2">
        <v>0</v>
      </c>
      <c r="M456">
        <v>0</v>
      </c>
      <c r="N456">
        <v>0</v>
      </c>
      <c r="O456" s="2">
        <v>0</v>
      </c>
      <c r="P456" s="2">
        <v>0</v>
      </c>
      <c r="Q456">
        <v>0</v>
      </c>
      <c r="R456" s="2">
        <v>0</v>
      </c>
      <c r="S456" s="2">
        <v>0</v>
      </c>
      <c r="T456" t="s">
        <v>339</v>
      </c>
      <c r="U456" s="2">
        <v>0</v>
      </c>
      <c r="V456" s="2">
        <v>14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</row>
    <row r="457" spans="1:28" hidden="1" x14ac:dyDescent="0.25">
      <c r="A457" t="s">
        <v>25</v>
      </c>
      <c r="B457" t="s">
        <v>26</v>
      </c>
      <c r="C457">
        <v>0</v>
      </c>
      <c r="D457" s="1">
        <v>45820</v>
      </c>
      <c r="E457" s="1">
        <v>45820</v>
      </c>
      <c r="F457" s="2">
        <v>0</v>
      </c>
      <c r="G457" s="3" t="s">
        <v>572</v>
      </c>
      <c r="H457">
        <v>0</v>
      </c>
      <c r="I457" s="2">
        <v>0</v>
      </c>
      <c r="J457" s="2">
        <v>0</v>
      </c>
      <c r="K457" s="2">
        <v>0</v>
      </c>
      <c r="L457" s="2">
        <v>0</v>
      </c>
      <c r="M457">
        <v>0</v>
      </c>
      <c r="N457">
        <v>0</v>
      </c>
      <c r="O457" s="2">
        <v>0</v>
      </c>
      <c r="P457" s="2">
        <v>0</v>
      </c>
      <c r="Q457">
        <v>0</v>
      </c>
      <c r="R457" s="2">
        <v>0</v>
      </c>
      <c r="S457" s="2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hidden="1" x14ac:dyDescent="0.25">
      <c r="A458" t="s">
        <v>37</v>
      </c>
      <c r="B458" t="s">
        <v>56</v>
      </c>
      <c r="C458">
        <v>0</v>
      </c>
      <c r="D458" s="1">
        <v>45820</v>
      </c>
      <c r="E458" s="1">
        <v>45820</v>
      </c>
      <c r="F458" s="2">
        <v>0</v>
      </c>
      <c r="G458" s="3" t="s">
        <v>572</v>
      </c>
      <c r="H458">
        <v>0</v>
      </c>
      <c r="I458" s="2">
        <v>0</v>
      </c>
      <c r="J458" s="2">
        <v>0</v>
      </c>
      <c r="K458" s="2">
        <v>0</v>
      </c>
      <c r="L458" s="2">
        <v>0</v>
      </c>
      <c r="M458">
        <v>0</v>
      </c>
      <c r="N458">
        <v>0</v>
      </c>
      <c r="O458" s="2">
        <v>0</v>
      </c>
      <c r="P458" s="2">
        <v>0</v>
      </c>
      <c r="Q458">
        <v>0</v>
      </c>
      <c r="R458" s="2">
        <v>0</v>
      </c>
      <c r="S458" s="2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hidden="1" x14ac:dyDescent="0.25">
      <c r="A459" t="s">
        <v>47</v>
      </c>
      <c r="B459" t="s">
        <v>21</v>
      </c>
      <c r="C459">
        <v>0</v>
      </c>
      <c r="D459" s="1">
        <v>45820</v>
      </c>
      <c r="E459" s="1">
        <v>45820</v>
      </c>
      <c r="F459" s="2">
        <v>0</v>
      </c>
      <c r="G459" s="3" t="s">
        <v>48</v>
      </c>
      <c r="H459">
        <v>0</v>
      </c>
      <c r="I459" s="2">
        <v>0</v>
      </c>
      <c r="J459" s="2">
        <v>0</v>
      </c>
      <c r="K459" s="2">
        <v>0</v>
      </c>
      <c r="L459" s="2">
        <v>0</v>
      </c>
      <c r="M459">
        <v>0</v>
      </c>
      <c r="N459">
        <v>0</v>
      </c>
      <c r="O459" s="2">
        <v>0</v>
      </c>
      <c r="P459" s="2">
        <v>0</v>
      </c>
      <c r="Q459">
        <v>0</v>
      </c>
      <c r="R459" s="2">
        <v>0</v>
      </c>
      <c r="S459" s="2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hidden="1" x14ac:dyDescent="0.25">
      <c r="A460" t="s">
        <v>49</v>
      </c>
      <c r="B460" t="s">
        <v>47</v>
      </c>
      <c r="C460">
        <v>0</v>
      </c>
      <c r="D460" s="1">
        <v>45820</v>
      </c>
      <c r="E460" s="1">
        <v>45820</v>
      </c>
      <c r="F460" s="2">
        <v>0</v>
      </c>
      <c r="G460" s="3" t="s">
        <v>50</v>
      </c>
      <c r="H460">
        <v>0</v>
      </c>
      <c r="I460" s="2">
        <v>0</v>
      </c>
      <c r="J460" s="2">
        <v>0</v>
      </c>
      <c r="K460" s="2">
        <v>0</v>
      </c>
      <c r="L460" s="2">
        <v>0</v>
      </c>
      <c r="M460">
        <v>0</v>
      </c>
      <c r="N460">
        <v>0</v>
      </c>
      <c r="O460" s="2">
        <v>0</v>
      </c>
      <c r="P460" s="2">
        <v>0</v>
      </c>
      <c r="Q460">
        <v>0</v>
      </c>
      <c r="R460" s="2">
        <v>0</v>
      </c>
      <c r="S460" s="2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hidden="1" x14ac:dyDescent="0.25">
      <c r="A461" t="s">
        <v>47</v>
      </c>
      <c r="B461" t="s">
        <v>52</v>
      </c>
      <c r="C461">
        <v>0</v>
      </c>
      <c r="D461" s="1">
        <v>45820</v>
      </c>
      <c r="E461" s="1">
        <v>45820</v>
      </c>
      <c r="F461" s="2">
        <v>0</v>
      </c>
      <c r="G461" s="3" t="s">
        <v>50</v>
      </c>
      <c r="H461">
        <v>0</v>
      </c>
      <c r="I461" s="2">
        <v>0</v>
      </c>
      <c r="J461" s="2">
        <v>0</v>
      </c>
      <c r="K461" s="2">
        <v>0</v>
      </c>
      <c r="L461" s="2">
        <v>0</v>
      </c>
      <c r="M461">
        <v>0</v>
      </c>
      <c r="N461">
        <v>0</v>
      </c>
      <c r="O461" s="2">
        <v>0</v>
      </c>
      <c r="P461" s="2">
        <v>0</v>
      </c>
      <c r="Q461">
        <v>0</v>
      </c>
      <c r="R461" s="2">
        <v>0</v>
      </c>
      <c r="S461" s="2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hidden="1" x14ac:dyDescent="0.25">
      <c r="A462" t="s">
        <v>56</v>
      </c>
      <c r="B462" t="s">
        <v>57</v>
      </c>
      <c r="C462" t="s">
        <v>64</v>
      </c>
      <c r="D462" s="1">
        <v>45821</v>
      </c>
      <c r="E462" s="1">
        <v>45821</v>
      </c>
      <c r="F462" s="2">
        <v>21</v>
      </c>
      <c r="G462" s="3" t="s">
        <v>23</v>
      </c>
      <c r="H462">
        <v>26</v>
      </c>
      <c r="I462" s="2">
        <v>0</v>
      </c>
      <c r="J462" s="2">
        <v>0</v>
      </c>
      <c r="K462" s="2">
        <v>1</v>
      </c>
      <c r="L462" s="2">
        <v>0</v>
      </c>
      <c r="M462">
        <v>0</v>
      </c>
      <c r="N462">
        <v>0</v>
      </c>
      <c r="O462" s="2">
        <v>0</v>
      </c>
      <c r="P462" s="2">
        <v>0</v>
      </c>
      <c r="Q462">
        <v>0</v>
      </c>
      <c r="R462" s="2">
        <v>0</v>
      </c>
      <c r="S462" s="2">
        <v>0</v>
      </c>
      <c r="T462" t="s">
        <v>340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idden="1" x14ac:dyDescent="0.25">
      <c r="A463" t="s">
        <v>53</v>
      </c>
      <c r="B463" t="s">
        <v>34</v>
      </c>
      <c r="C463" t="s">
        <v>54</v>
      </c>
      <c r="D463" s="1">
        <v>45821</v>
      </c>
      <c r="E463" s="1">
        <v>45821</v>
      </c>
      <c r="F463" s="2">
        <v>33</v>
      </c>
      <c r="G463" s="3" t="s">
        <v>23</v>
      </c>
      <c r="H463">
        <v>24</v>
      </c>
      <c r="I463" s="2">
        <v>0</v>
      </c>
      <c r="J463" s="2">
        <v>1</v>
      </c>
      <c r="K463" s="2">
        <v>0</v>
      </c>
      <c r="L463" s="2">
        <v>1</v>
      </c>
      <c r="M463">
        <v>0</v>
      </c>
      <c r="N463">
        <v>0</v>
      </c>
      <c r="O463" s="2">
        <v>0</v>
      </c>
      <c r="P463" s="2">
        <v>0</v>
      </c>
      <c r="Q463">
        <v>0</v>
      </c>
      <c r="R463" s="2">
        <v>0</v>
      </c>
      <c r="S463" s="2">
        <v>0</v>
      </c>
      <c r="T463" t="s">
        <v>341</v>
      </c>
      <c r="U463" s="2">
        <v>0</v>
      </c>
      <c r="V463" s="2">
        <v>58</v>
      </c>
      <c r="W463" s="2">
        <v>2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idden="1" x14ac:dyDescent="0.25">
      <c r="A464" t="s">
        <v>20</v>
      </c>
      <c r="B464" t="s">
        <v>21</v>
      </c>
      <c r="C464" t="s">
        <v>22</v>
      </c>
      <c r="D464" s="1">
        <v>45821</v>
      </c>
      <c r="E464" s="1">
        <v>45821</v>
      </c>
      <c r="F464" s="2">
        <v>31</v>
      </c>
      <c r="G464" s="3" t="s">
        <v>23</v>
      </c>
      <c r="H464">
        <v>16</v>
      </c>
      <c r="I464" s="2">
        <v>0</v>
      </c>
      <c r="J464" s="2">
        <v>1</v>
      </c>
      <c r="K464" s="2">
        <v>1</v>
      </c>
      <c r="L464" s="2">
        <v>0</v>
      </c>
      <c r="M464">
        <v>0</v>
      </c>
      <c r="N464">
        <v>0</v>
      </c>
      <c r="O464" s="2">
        <v>0</v>
      </c>
      <c r="P464" s="2">
        <v>0</v>
      </c>
      <c r="Q464">
        <v>0</v>
      </c>
      <c r="R464" s="2">
        <v>0</v>
      </c>
      <c r="S464" s="2">
        <v>0</v>
      </c>
      <c r="T464" t="s">
        <v>342</v>
      </c>
      <c r="U464" s="2">
        <v>0</v>
      </c>
      <c r="V464" s="2">
        <v>42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idden="1" x14ac:dyDescent="0.25">
      <c r="A465" t="s">
        <v>25</v>
      </c>
      <c r="B465" t="s">
        <v>26</v>
      </c>
      <c r="C465" t="s">
        <v>27</v>
      </c>
      <c r="D465" s="1">
        <v>45821</v>
      </c>
      <c r="E465" s="1">
        <v>45821</v>
      </c>
      <c r="F465" s="2">
        <v>20</v>
      </c>
      <c r="G465" s="3" t="s">
        <v>23</v>
      </c>
      <c r="H465">
        <v>11</v>
      </c>
      <c r="I465" s="2">
        <v>0</v>
      </c>
      <c r="J465" s="2">
        <v>0</v>
      </c>
      <c r="K465" s="2">
        <v>0</v>
      </c>
      <c r="L465" s="2">
        <v>0</v>
      </c>
      <c r="M465">
        <v>0</v>
      </c>
      <c r="N465">
        <v>0</v>
      </c>
      <c r="O465" s="2">
        <v>0</v>
      </c>
      <c r="P465" s="2">
        <v>0</v>
      </c>
      <c r="Q465">
        <v>0</v>
      </c>
      <c r="R465" s="2">
        <v>0</v>
      </c>
      <c r="S465" s="2">
        <v>0</v>
      </c>
      <c r="T465" t="s">
        <v>343</v>
      </c>
      <c r="U465" s="2">
        <v>0</v>
      </c>
      <c r="V465" s="2">
        <v>11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idden="1" x14ac:dyDescent="0.25">
      <c r="A466" t="s">
        <v>29</v>
      </c>
      <c r="B466" t="s">
        <v>30</v>
      </c>
      <c r="C466" t="s">
        <v>31</v>
      </c>
      <c r="D466" s="1">
        <v>45821</v>
      </c>
      <c r="E466" s="1">
        <v>45821</v>
      </c>
      <c r="F466" s="2">
        <v>20</v>
      </c>
      <c r="G466" s="3" t="s">
        <v>23</v>
      </c>
      <c r="H466">
        <v>30</v>
      </c>
      <c r="I466" s="2">
        <v>0</v>
      </c>
      <c r="J466" s="2">
        <v>1</v>
      </c>
      <c r="K466" s="2">
        <v>1</v>
      </c>
      <c r="L466" s="2">
        <v>0</v>
      </c>
      <c r="M466">
        <v>0</v>
      </c>
      <c r="N466">
        <v>0</v>
      </c>
      <c r="O466" s="2">
        <v>0</v>
      </c>
      <c r="P466" s="2">
        <v>0</v>
      </c>
      <c r="Q466">
        <v>0</v>
      </c>
      <c r="R466" s="2">
        <v>0</v>
      </c>
      <c r="S466" s="2">
        <v>0</v>
      </c>
      <c r="T466" t="s">
        <v>344</v>
      </c>
      <c r="U466" s="2">
        <v>0</v>
      </c>
      <c r="V466" s="2">
        <v>40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</row>
    <row r="467" spans="1:28" hidden="1" x14ac:dyDescent="0.25">
      <c r="A467" t="s">
        <v>37</v>
      </c>
      <c r="B467" t="s">
        <v>38</v>
      </c>
      <c r="C467" t="s">
        <v>39</v>
      </c>
      <c r="D467" s="1">
        <v>45821</v>
      </c>
      <c r="E467" s="1">
        <v>45821</v>
      </c>
      <c r="F467" s="2">
        <v>16</v>
      </c>
      <c r="G467" s="3" t="s">
        <v>23</v>
      </c>
      <c r="H467">
        <v>7</v>
      </c>
      <c r="I467" s="2">
        <v>0</v>
      </c>
      <c r="J467" s="2">
        <v>0</v>
      </c>
      <c r="K467" s="2">
        <v>0</v>
      </c>
      <c r="L467" s="2">
        <v>0</v>
      </c>
      <c r="M467">
        <v>0</v>
      </c>
      <c r="N467">
        <v>0</v>
      </c>
      <c r="O467" s="2">
        <v>0</v>
      </c>
      <c r="P467" s="2">
        <v>0</v>
      </c>
      <c r="Q467">
        <v>0</v>
      </c>
      <c r="R467" s="2">
        <v>0</v>
      </c>
      <c r="S467" s="2">
        <v>0</v>
      </c>
      <c r="T467" t="s">
        <v>345</v>
      </c>
      <c r="U467" s="2">
        <v>0</v>
      </c>
      <c r="V467" s="2">
        <v>0</v>
      </c>
      <c r="W467" s="2">
        <v>8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idden="1" x14ac:dyDescent="0.25">
      <c r="A468" t="s">
        <v>33</v>
      </c>
      <c r="B468" t="s">
        <v>47</v>
      </c>
      <c r="C468">
        <v>0</v>
      </c>
      <c r="D468" s="1">
        <v>45821</v>
      </c>
      <c r="E468" s="1">
        <v>45821</v>
      </c>
      <c r="F468" s="2">
        <v>0</v>
      </c>
      <c r="G468" s="3" t="s">
        <v>572</v>
      </c>
      <c r="H468">
        <v>0</v>
      </c>
      <c r="I468" s="2">
        <v>0</v>
      </c>
      <c r="J468" s="2">
        <v>0</v>
      </c>
      <c r="K468" s="2">
        <v>0</v>
      </c>
      <c r="L468" s="2">
        <v>0</v>
      </c>
      <c r="M468">
        <v>0</v>
      </c>
      <c r="N468">
        <v>0</v>
      </c>
      <c r="O468" s="2">
        <v>0</v>
      </c>
      <c r="P468" s="2">
        <v>0</v>
      </c>
      <c r="Q468">
        <v>0</v>
      </c>
      <c r="R468" s="2">
        <v>0</v>
      </c>
      <c r="S468" s="2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hidden="1" x14ac:dyDescent="0.25">
      <c r="A469" t="s">
        <v>49</v>
      </c>
      <c r="B469" t="s">
        <v>47</v>
      </c>
      <c r="C469">
        <v>0</v>
      </c>
      <c r="D469" s="1">
        <v>45821</v>
      </c>
      <c r="E469" s="1">
        <v>45821</v>
      </c>
      <c r="F469" s="2">
        <v>0</v>
      </c>
      <c r="G469" s="3" t="s">
        <v>50</v>
      </c>
      <c r="H469">
        <v>0</v>
      </c>
      <c r="I469" s="2">
        <v>0</v>
      </c>
      <c r="J469" s="2">
        <v>0</v>
      </c>
      <c r="K469" s="2">
        <v>0</v>
      </c>
      <c r="L469" s="2">
        <v>0</v>
      </c>
      <c r="M469">
        <v>0</v>
      </c>
      <c r="N469">
        <v>0</v>
      </c>
      <c r="O469" s="2">
        <v>0</v>
      </c>
      <c r="P469" s="2">
        <v>0</v>
      </c>
      <c r="Q469">
        <v>0</v>
      </c>
      <c r="R469" s="2">
        <v>0</v>
      </c>
      <c r="S469" s="2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hidden="1" x14ac:dyDescent="0.25">
      <c r="A470" t="s">
        <v>47</v>
      </c>
      <c r="B470" t="s">
        <v>52</v>
      </c>
      <c r="C470">
        <v>0</v>
      </c>
      <c r="D470" s="1">
        <v>45821</v>
      </c>
      <c r="E470" s="1">
        <v>45821</v>
      </c>
      <c r="F470" s="2">
        <v>0</v>
      </c>
      <c r="G470" s="3" t="s">
        <v>50</v>
      </c>
      <c r="H470">
        <v>0</v>
      </c>
      <c r="I470" s="2">
        <v>0</v>
      </c>
      <c r="J470" s="2">
        <v>0</v>
      </c>
      <c r="K470" s="2">
        <v>0</v>
      </c>
      <c r="L470" s="2">
        <v>0</v>
      </c>
      <c r="M470">
        <v>0</v>
      </c>
      <c r="N470">
        <v>0</v>
      </c>
      <c r="O470" s="2">
        <v>0</v>
      </c>
      <c r="P470" s="2">
        <v>0</v>
      </c>
      <c r="Q470">
        <v>0</v>
      </c>
      <c r="R470" s="2">
        <v>0</v>
      </c>
      <c r="S470" s="2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hidden="1" x14ac:dyDescent="0.25">
      <c r="A471" t="s">
        <v>20</v>
      </c>
      <c r="B471" t="s">
        <v>21</v>
      </c>
      <c r="C471" t="s">
        <v>22</v>
      </c>
      <c r="D471" s="9">
        <v>45822</v>
      </c>
      <c r="E471" s="9">
        <v>45822</v>
      </c>
      <c r="F471" s="2">
        <v>137</v>
      </c>
      <c r="G471" s="3" t="s">
        <v>23</v>
      </c>
      <c r="H471">
        <v>0</v>
      </c>
      <c r="I471" s="2">
        <v>0</v>
      </c>
      <c r="J471" s="2">
        <v>0</v>
      </c>
      <c r="K471" s="2">
        <v>0</v>
      </c>
      <c r="L471" s="2">
        <v>0</v>
      </c>
      <c r="M471">
        <v>1</v>
      </c>
      <c r="N471">
        <v>0</v>
      </c>
      <c r="O471" s="2">
        <v>0</v>
      </c>
      <c r="P471" s="2">
        <v>0</v>
      </c>
      <c r="Q471">
        <v>8</v>
      </c>
      <c r="R471" s="2">
        <v>1</v>
      </c>
      <c r="S471" s="2">
        <v>0</v>
      </c>
      <c r="T471" t="s">
        <v>346</v>
      </c>
      <c r="U471" s="2">
        <v>22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1</v>
      </c>
      <c r="AB471" s="2">
        <v>0</v>
      </c>
    </row>
    <row r="472" spans="1:28" hidden="1" x14ac:dyDescent="0.25">
      <c r="A472" t="s">
        <v>63</v>
      </c>
      <c r="B472" t="s">
        <v>106</v>
      </c>
      <c r="C472" t="s">
        <v>102</v>
      </c>
      <c r="D472" s="9">
        <v>45822</v>
      </c>
      <c r="E472" s="9">
        <v>45822</v>
      </c>
      <c r="F472" s="2">
        <v>22</v>
      </c>
      <c r="G472" s="3" t="s">
        <v>23</v>
      </c>
      <c r="H472">
        <v>0</v>
      </c>
      <c r="I472" s="2">
        <v>0</v>
      </c>
      <c r="J472" s="2">
        <v>0</v>
      </c>
      <c r="K472" s="2">
        <v>0</v>
      </c>
      <c r="L472" s="2">
        <v>0</v>
      </c>
      <c r="M472">
        <v>0</v>
      </c>
      <c r="N472">
        <v>0</v>
      </c>
      <c r="O472" s="2">
        <v>1</v>
      </c>
      <c r="P472" s="2">
        <v>0</v>
      </c>
      <c r="Q472">
        <v>0</v>
      </c>
      <c r="R472" s="2">
        <v>1</v>
      </c>
      <c r="S472" s="2">
        <v>0</v>
      </c>
      <c r="T472" t="s">
        <v>347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</row>
    <row r="473" spans="1:28" hidden="1" x14ac:dyDescent="0.25">
      <c r="A473" t="s">
        <v>29</v>
      </c>
      <c r="B473" t="s">
        <v>30</v>
      </c>
      <c r="C473" t="s">
        <v>102</v>
      </c>
      <c r="D473" s="9">
        <v>45822</v>
      </c>
      <c r="E473" s="9">
        <v>45822</v>
      </c>
      <c r="F473" s="2">
        <v>22</v>
      </c>
      <c r="G473" s="3" t="s">
        <v>23</v>
      </c>
      <c r="H473">
        <v>0</v>
      </c>
      <c r="I473" s="2">
        <v>0</v>
      </c>
      <c r="J473" s="2">
        <v>0</v>
      </c>
      <c r="K473" s="2">
        <v>0</v>
      </c>
      <c r="L473" s="2">
        <v>0</v>
      </c>
      <c r="M473">
        <v>0</v>
      </c>
      <c r="N473">
        <v>0</v>
      </c>
      <c r="O473" s="2">
        <v>1</v>
      </c>
      <c r="P473" s="2">
        <v>0</v>
      </c>
      <c r="Q473">
        <v>0</v>
      </c>
      <c r="R473" s="2">
        <v>1</v>
      </c>
      <c r="S473" s="2">
        <v>0</v>
      </c>
      <c r="T473" t="s">
        <v>347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idden="1" x14ac:dyDescent="0.25">
      <c r="A474" t="s">
        <v>53</v>
      </c>
      <c r="B474" t="s">
        <v>34</v>
      </c>
      <c r="C474" t="s">
        <v>102</v>
      </c>
      <c r="D474" s="9">
        <v>45822</v>
      </c>
      <c r="E474" s="9">
        <v>45822</v>
      </c>
      <c r="F474" s="2">
        <v>22</v>
      </c>
      <c r="G474" s="3" t="s">
        <v>23</v>
      </c>
      <c r="H474">
        <v>0</v>
      </c>
      <c r="I474" s="2">
        <v>0</v>
      </c>
      <c r="J474" s="2">
        <v>0</v>
      </c>
      <c r="K474" s="2">
        <v>0</v>
      </c>
      <c r="L474" s="2">
        <v>0</v>
      </c>
      <c r="M474">
        <v>0</v>
      </c>
      <c r="N474">
        <v>0</v>
      </c>
      <c r="O474" s="2">
        <v>1</v>
      </c>
      <c r="P474" s="2">
        <v>0</v>
      </c>
      <c r="Q474">
        <v>0</v>
      </c>
      <c r="R474" s="2">
        <v>1</v>
      </c>
      <c r="S474" s="2">
        <v>0</v>
      </c>
      <c r="T474" t="s">
        <v>347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</row>
    <row r="475" spans="1:28" hidden="1" x14ac:dyDescent="0.25">
      <c r="A475" t="s">
        <v>53</v>
      </c>
      <c r="B475" t="s">
        <v>34</v>
      </c>
      <c r="C475" t="s">
        <v>54</v>
      </c>
      <c r="D475" s="9">
        <v>45823</v>
      </c>
      <c r="E475" s="9">
        <v>45823</v>
      </c>
      <c r="F475" s="2">
        <v>40</v>
      </c>
      <c r="G475" s="3" t="s">
        <v>23</v>
      </c>
      <c r="H475">
        <v>0</v>
      </c>
      <c r="I475" s="2">
        <v>0</v>
      </c>
      <c r="J475" s="2">
        <v>0</v>
      </c>
      <c r="K475" s="2">
        <v>0</v>
      </c>
      <c r="L475" s="2">
        <v>0</v>
      </c>
      <c r="M475">
        <v>0</v>
      </c>
      <c r="N475">
        <v>0</v>
      </c>
      <c r="O475" s="2">
        <v>0</v>
      </c>
      <c r="P475" s="2">
        <v>0</v>
      </c>
      <c r="Q475">
        <v>9</v>
      </c>
      <c r="R475" s="2">
        <v>0</v>
      </c>
      <c r="S475" s="2">
        <v>1</v>
      </c>
      <c r="T475" t="s">
        <v>348</v>
      </c>
      <c r="U475" s="2">
        <v>9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1</v>
      </c>
    </row>
    <row r="476" spans="1:28" hidden="1" x14ac:dyDescent="0.25">
      <c r="A476" t="s">
        <v>20</v>
      </c>
      <c r="B476" t="s">
        <v>21</v>
      </c>
      <c r="C476" t="s">
        <v>22</v>
      </c>
      <c r="D476" s="9">
        <v>45823</v>
      </c>
      <c r="E476" s="9">
        <v>45823</v>
      </c>
      <c r="F476" s="2">
        <v>37</v>
      </c>
      <c r="G476" s="3" t="s">
        <v>23</v>
      </c>
      <c r="H476">
        <v>0</v>
      </c>
      <c r="I476" s="2">
        <v>0</v>
      </c>
      <c r="J476" s="2">
        <v>0</v>
      </c>
      <c r="K476" s="2">
        <v>0</v>
      </c>
      <c r="L476" s="2">
        <v>0</v>
      </c>
      <c r="M476">
        <v>0</v>
      </c>
      <c r="N476">
        <v>0</v>
      </c>
      <c r="O476" s="2">
        <v>0</v>
      </c>
      <c r="P476" s="2">
        <v>1</v>
      </c>
      <c r="Q476">
        <v>3</v>
      </c>
      <c r="R476" s="2">
        <v>0</v>
      </c>
      <c r="S476" s="2">
        <v>1</v>
      </c>
      <c r="T476" t="s">
        <v>349</v>
      </c>
      <c r="U476" s="2">
        <v>16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idden="1" x14ac:dyDescent="0.25">
      <c r="A477" t="s">
        <v>63</v>
      </c>
      <c r="B477" t="s">
        <v>106</v>
      </c>
      <c r="C477" t="s">
        <v>102</v>
      </c>
      <c r="D477" s="9">
        <v>45823</v>
      </c>
      <c r="E477" s="9">
        <v>45823</v>
      </c>
      <c r="F477" s="2">
        <v>30</v>
      </c>
      <c r="G477" s="3" t="s">
        <v>23</v>
      </c>
      <c r="H477">
        <v>0</v>
      </c>
      <c r="I477" s="2">
        <v>0</v>
      </c>
      <c r="J477" s="2">
        <v>0</v>
      </c>
      <c r="K477" s="2">
        <v>0</v>
      </c>
      <c r="L477" s="2">
        <v>0</v>
      </c>
      <c r="M477">
        <v>0</v>
      </c>
      <c r="N477">
        <v>0</v>
      </c>
      <c r="O477" s="2">
        <v>0</v>
      </c>
      <c r="P477" s="2">
        <v>1</v>
      </c>
      <c r="Q477">
        <v>2</v>
      </c>
      <c r="R477" s="2">
        <v>0</v>
      </c>
      <c r="S477" s="2">
        <v>1</v>
      </c>
      <c r="T477" t="s">
        <v>350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idden="1" x14ac:dyDescent="0.25">
      <c r="A478" t="s">
        <v>29</v>
      </c>
      <c r="B478" t="s">
        <v>30</v>
      </c>
      <c r="C478" t="s">
        <v>102</v>
      </c>
      <c r="D478" s="9">
        <v>45823</v>
      </c>
      <c r="E478" s="9">
        <v>45823</v>
      </c>
      <c r="F478" s="2">
        <v>30</v>
      </c>
      <c r="G478" s="3" t="s">
        <v>23</v>
      </c>
      <c r="H478">
        <v>0</v>
      </c>
      <c r="I478" s="2">
        <v>0</v>
      </c>
      <c r="J478" s="2">
        <v>0</v>
      </c>
      <c r="K478" s="2">
        <v>0</v>
      </c>
      <c r="L478" s="2">
        <v>0</v>
      </c>
      <c r="M478">
        <v>0</v>
      </c>
      <c r="N478">
        <v>0</v>
      </c>
      <c r="O478" s="2">
        <v>0</v>
      </c>
      <c r="P478" s="2">
        <v>1</v>
      </c>
      <c r="Q478">
        <v>3</v>
      </c>
      <c r="R478" s="2">
        <v>0</v>
      </c>
      <c r="S478" s="2">
        <v>1</v>
      </c>
      <c r="T478" t="s">
        <v>350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idden="1" x14ac:dyDescent="0.25">
      <c r="A479" t="s">
        <v>20</v>
      </c>
      <c r="B479" t="s">
        <v>21</v>
      </c>
      <c r="C479" t="s">
        <v>22</v>
      </c>
      <c r="D479" s="1">
        <v>45824</v>
      </c>
      <c r="E479" s="1">
        <v>45824</v>
      </c>
      <c r="F479" s="2">
        <v>30</v>
      </c>
      <c r="G479" s="3" t="s">
        <v>23</v>
      </c>
      <c r="H479">
        <v>0</v>
      </c>
      <c r="I479" s="2">
        <v>0</v>
      </c>
      <c r="J479" s="2">
        <v>0</v>
      </c>
      <c r="K479" s="2">
        <v>0</v>
      </c>
      <c r="L479" s="2">
        <v>0</v>
      </c>
      <c r="M479">
        <v>0</v>
      </c>
      <c r="N479">
        <v>0</v>
      </c>
      <c r="O479" s="2">
        <v>0</v>
      </c>
      <c r="P479" s="2">
        <v>0</v>
      </c>
      <c r="Q479">
        <v>1</v>
      </c>
      <c r="R479" s="2">
        <v>0</v>
      </c>
      <c r="S479" s="2">
        <v>0</v>
      </c>
      <c r="T479" t="s">
        <v>351</v>
      </c>
      <c r="U479" s="2">
        <v>0</v>
      </c>
      <c r="V479" s="2">
        <v>6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</row>
    <row r="480" spans="1:28" hidden="1" x14ac:dyDescent="0.25">
      <c r="A480" t="s">
        <v>25</v>
      </c>
      <c r="B480" t="s">
        <v>26</v>
      </c>
      <c r="C480" t="s">
        <v>27</v>
      </c>
      <c r="D480" s="1">
        <v>45824</v>
      </c>
      <c r="E480" s="1">
        <v>45824</v>
      </c>
      <c r="F480" s="2">
        <v>37</v>
      </c>
      <c r="G480" s="3" t="s">
        <v>23</v>
      </c>
      <c r="H480">
        <v>9</v>
      </c>
      <c r="I480" s="2">
        <v>0</v>
      </c>
      <c r="J480" s="2">
        <v>0</v>
      </c>
      <c r="K480" s="2">
        <v>0</v>
      </c>
      <c r="L480" s="2">
        <v>0</v>
      </c>
      <c r="M480">
        <v>0</v>
      </c>
      <c r="N480">
        <v>1</v>
      </c>
      <c r="O480" s="2">
        <v>0</v>
      </c>
      <c r="P480" s="2">
        <v>0</v>
      </c>
      <c r="Q480">
        <v>0</v>
      </c>
      <c r="R480" s="2">
        <v>0</v>
      </c>
      <c r="S480" s="2">
        <v>0</v>
      </c>
      <c r="T480" t="s">
        <v>352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</row>
    <row r="481" spans="1:28" hidden="1" x14ac:dyDescent="0.25">
      <c r="A481" t="s">
        <v>33</v>
      </c>
      <c r="B481" t="s">
        <v>34</v>
      </c>
      <c r="C481" t="s">
        <v>35</v>
      </c>
      <c r="D481" s="1">
        <v>45824</v>
      </c>
      <c r="E481" s="1">
        <v>45824</v>
      </c>
      <c r="F481" s="2">
        <v>48</v>
      </c>
      <c r="G481" s="3" t="s">
        <v>23</v>
      </c>
      <c r="H481">
        <v>10</v>
      </c>
      <c r="I481" s="2">
        <v>0</v>
      </c>
      <c r="J481" s="2">
        <v>0</v>
      </c>
      <c r="K481" s="2">
        <v>0</v>
      </c>
      <c r="L481" s="2">
        <v>0</v>
      </c>
      <c r="M481">
        <v>0</v>
      </c>
      <c r="N481">
        <v>0</v>
      </c>
      <c r="O481" s="2">
        <v>0</v>
      </c>
      <c r="P481" s="2">
        <v>0</v>
      </c>
      <c r="Q481">
        <v>0</v>
      </c>
      <c r="R481" s="2">
        <v>0</v>
      </c>
      <c r="S481" s="2">
        <v>0</v>
      </c>
      <c r="T481" t="s">
        <v>353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idden="1" x14ac:dyDescent="0.25">
      <c r="A482" t="s">
        <v>29</v>
      </c>
      <c r="B482" t="s">
        <v>30</v>
      </c>
      <c r="C482" t="s">
        <v>35</v>
      </c>
      <c r="D482" s="1">
        <v>45824</v>
      </c>
      <c r="E482" s="1">
        <v>45824</v>
      </c>
      <c r="F482" s="2">
        <v>48</v>
      </c>
      <c r="G482" s="3" t="s">
        <v>23</v>
      </c>
      <c r="H482">
        <v>16</v>
      </c>
      <c r="I482" s="2">
        <v>0</v>
      </c>
      <c r="J482" s="2">
        <v>0</v>
      </c>
      <c r="K482" s="2">
        <v>0</v>
      </c>
      <c r="L482" s="2">
        <v>0</v>
      </c>
      <c r="M482">
        <v>0</v>
      </c>
      <c r="N482">
        <v>0</v>
      </c>
      <c r="O482" s="2">
        <v>0</v>
      </c>
      <c r="P482" s="2">
        <v>0</v>
      </c>
      <c r="Q482">
        <v>0</v>
      </c>
      <c r="R482" s="2">
        <v>0</v>
      </c>
      <c r="S482" s="2">
        <v>0</v>
      </c>
      <c r="T482" t="s">
        <v>353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idden="1" x14ac:dyDescent="0.25">
      <c r="A483" t="s">
        <v>53</v>
      </c>
      <c r="B483" t="s">
        <v>38</v>
      </c>
      <c r="C483" t="s">
        <v>35</v>
      </c>
      <c r="D483" s="1">
        <v>45824</v>
      </c>
      <c r="E483" s="1">
        <v>45824</v>
      </c>
      <c r="F483" s="2">
        <v>48</v>
      </c>
      <c r="G483" s="3" t="s">
        <v>572</v>
      </c>
      <c r="H483">
        <v>0</v>
      </c>
      <c r="I483" s="2">
        <v>0</v>
      </c>
      <c r="J483" s="2">
        <v>0</v>
      </c>
      <c r="K483" s="2">
        <v>0</v>
      </c>
      <c r="L483" s="2">
        <v>0</v>
      </c>
      <c r="M483">
        <v>0</v>
      </c>
      <c r="N483">
        <v>0</v>
      </c>
      <c r="O483" s="2">
        <v>0</v>
      </c>
      <c r="P483" s="2">
        <v>0</v>
      </c>
      <c r="Q483">
        <v>0</v>
      </c>
      <c r="R483" s="2">
        <v>0</v>
      </c>
      <c r="S483" s="2">
        <v>0</v>
      </c>
      <c r="T483" t="s">
        <v>353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</row>
    <row r="484" spans="1:28" hidden="1" x14ac:dyDescent="0.25">
      <c r="A484" t="s">
        <v>56</v>
      </c>
      <c r="B484" t="s">
        <v>57</v>
      </c>
      <c r="C484" t="s">
        <v>35</v>
      </c>
      <c r="D484" s="1">
        <v>45824</v>
      </c>
      <c r="E484" s="1">
        <v>45824</v>
      </c>
      <c r="F484" s="2">
        <v>48</v>
      </c>
      <c r="G484" s="3" t="s">
        <v>572</v>
      </c>
      <c r="H484">
        <v>0</v>
      </c>
      <c r="I484" s="2">
        <v>0</v>
      </c>
      <c r="J484" s="2">
        <v>0</v>
      </c>
      <c r="K484" s="2">
        <v>0</v>
      </c>
      <c r="L484" s="2">
        <v>0</v>
      </c>
      <c r="M484">
        <v>0</v>
      </c>
      <c r="N484">
        <v>0</v>
      </c>
      <c r="O484" s="2">
        <v>0</v>
      </c>
      <c r="P484" s="2">
        <v>0</v>
      </c>
      <c r="Q484">
        <v>0</v>
      </c>
      <c r="R484" s="2">
        <v>0</v>
      </c>
      <c r="S484" s="2">
        <v>0</v>
      </c>
      <c r="T484" t="s">
        <v>353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</row>
    <row r="485" spans="1:28" hidden="1" x14ac:dyDescent="0.25">
      <c r="A485" t="s">
        <v>37</v>
      </c>
      <c r="B485" t="s">
        <v>47</v>
      </c>
      <c r="C485">
        <v>0</v>
      </c>
      <c r="D485" s="1">
        <v>45824</v>
      </c>
      <c r="E485" s="1">
        <v>45824</v>
      </c>
      <c r="F485" s="2">
        <v>0</v>
      </c>
      <c r="G485" s="3" t="s">
        <v>50</v>
      </c>
      <c r="H485">
        <v>0</v>
      </c>
      <c r="I485" s="2">
        <v>0</v>
      </c>
      <c r="J485" s="2">
        <v>0</v>
      </c>
      <c r="K485" s="2">
        <v>0</v>
      </c>
      <c r="L485" s="2">
        <v>0</v>
      </c>
      <c r="M485">
        <v>0</v>
      </c>
      <c r="N485">
        <v>0</v>
      </c>
      <c r="O485" s="2">
        <v>0</v>
      </c>
      <c r="P485" s="2">
        <v>0</v>
      </c>
      <c r="Q485">
        <v>0</v>
      </c>
      <c r="R485" s="2">
        <v>0</v>
      </c>
      <c r="S485" s="2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hidden="1" x14ac:dyDescent="0.25">
      <c r="A486" t="s">
        <v>49</v>
      </c>
      <c r="B486" t="s">
        <v>47</v>
      </c>
      <c r="C486">
        <v>0</v>
      </c>
      <c r="D486" s="1">
        <v>45824</v>
      </c>
      <c r="E486" s="1">
        <v>45824</v>
      </c>
      <c r="F486" s="2">
        <v>0</v>
      </c>
      <c r="G486" s="3" t="s">
        <v>50</v>
      </c>
      <c r="H486">
        <v>0</v>
      </c>
      <c r="I486" s="2">
        <v>0</v>
      </c>
      <c r="J486" s="2">
        <v>0</v>
      </c>
      <c r="K486" s="2">
        <v>0</v>
      </c>
      <c r="L486" s="2">
        <v>0</v>
      </c>
      <c r="M486">
        <v>0</v>
      </c>
      <c r="N486">
        <v>0</v>
      </c>
      <c r="O486" s="2">
        <v>0</v>
      </c>
      <c r="P486" s="2">
        <v>0</v>
      </c>
      <c r="Q486">
        <v>0</v>
      </c>
      <c r="R486" s="2">
        <v>0</v>
      </c>
      <c r="S486" s="2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hidden="1" x14ac:dyDescent="0.25">
      <c r="A487" t="s">
        <v>47</v>
      </c>
      <c r="B487" t="s">
        <v>52</v>
      </c>
      <c r="C487">
        <v>0</v>
      </c>
      <c r="D487" s="1">
        <v>45824</v>
      </c>
      <c r="E487" s="1">
        <v>45824</v>
      </c>
      <c r="F487" s="2">
        <v>0</v>
      </c>
      <c r="G487" s="3" t="s">
        <v>50</v>
      </c>
      <c r="H487">
        <v>0</v>
      </c>
      <c r="I487" s="2">
        <v>0</v>
      </c>
      <c r="J487" s="2">
        <v>0</v>
      </c>
      <c r="K487" s="2">
        <v>0</v>
      </c>
      <c r="L487" s="2">
        <v>0</v>
      </c>
      <c r="M487">
        <v>0</v>
      </c>
      <c r="N487">
        <v>0</v>
      </c>
      <c r="O487" s="2">
        <v>0</v>
      </c>
      <c r="P487" s="2">
        <v>0</v>
      </c>
      <c r="Q487">
        <v>0</v>
      </c>
      <c r="R487" s="2">
        <v>0</v>
      </c>
      <c r="S487" s="2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hidden="1" x14ac:dyDescent="0.25">
      <c r="A488" t="s">
        <v>56</v>
      </c>
      <c r="B488" t="s">
        <v>57</v>
      </c>
      <c r="C488" t="s">
        <v>64</v>
      </c>
      <c r="D488" s="1">
        <v>45825</v>
      </c>
      <c r="E488" s="1">
        <v>45825</v>
      </c>
      <c r="F488" s="2">
        <v>42</v>
      </c>
      <c r="G488" s="3" t="s">
        <v>23</v>
      </c>
      <c r="H488">
        <v>20</v>
      </c>
      <c r="I488" s="2">
        <v>0</v>
      </c>
      <c r="J488" s="2">
        <v>0</v>
      </c>
      <c r="K488" s="2">
        <v>1</v>
      </c>
      <c r="L488" s="2">
        <v>0</v>
      </c>
      <c r="M488">
        <v>0</v>
      </c>
      <c r="N488">
        <v>0</v>
      </c>
      <c r="O488" s="2">
        <v>0</v>
      </c>
      <c r="P488" s="2">
        <v>0</v>
      </c>
      <c r="Q488">
        <v>0</v>
      </c>
      <c r="R488" s="2">
        <v>0</v>
      </c>
      <c r="S488" s="2">
        <v>0</v>
      </c>
      <c r="T488" t="s">
        <v>354</v>
      </c>
      <c r="U488" s="2">
        <v>0</v>
      </c>
      <c r="V488" s="2">
        <v>10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</row>
    <row r="489" spans="1:28" hidden="1" x14ac:dyDescent="0.25">
      <c r="A489" t="s">
        <v>53</v>
      </c>
      <c r="B489" t="s">
        <v>38</v>
      </c>
      <c r="C489" t="s">
        <v>54</v>
      </c>
      <c r="D489" s="1">
        <v>45825</v>
      </c>
      <c r="E489" s="1">
        <v>45825</v>
      </c>
      <c r="F489" s="2">
        <v>62</v>
      </c>
      <c r="G489" s="3" t="s">
        <v>23</v>
      </c>
      <c r="H489">
        <v>39</v>
      </c>
      <c r="I489" s="2">
        <v>0</v>
      </c>
      <c r="J489" s="2">
        <v>0</v>
      </c>
      <c r="K489" s="2">
        <v>0</v>
      </c>
      <c r="L489" s="2">
        <v>1</v>
      </c>
      <c r="M489">
        <v>0</v>
      </c>
      <c r="N489">
        <v>0</v>
      </c>
      <c r="O489" s="2">
        <v>0</v>
      </c>
      <c r="P489" s="2">
        <v>0</v>
      </c>
      <c r="Q489">
        <v>0</v>
      </c>
      <c r="R489" s="2">
        <v>0</v>
      </c>
      <c r="S489" s="2">
        <v>0</v>
      </c>
      <c r="T489" t="s">
        <v>355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idden="1" x14ac:dyDescent="0.25">
      <c r="A490" t="s">
        <v>33</v>
      </c>
      <c r="B490" t="s">
        <v>34</v>
      </c>
      <c r="C490" t="s">
        <v>35</v>
      </c>
      <c r="D490" s="1">
        <v>45825</v>
      </c>
      <c r="E490" s="1">
        <v>45825</v>
      </c>
      <c r="F490" s="2">
        <v>57</v>
      </c>
      <c r="G490" s="3" t="s">
        <v>23</v>
      </c>
      <c r="H490">
        <v>36</v>
      </c>
      <c r="I490" s="2">
        <v>0</v>
      </c>
      <c r="J490" s="2">
        <v>0</v>
      </c>
      <c r="K490" s="2">
        <v>1</v>
      </c>
      <c r="L490" s="2">
        <v>0</v>
      </c>
      <c r="M490">
        <v>2</v>
      </c>
      <c r="N490">
        <v>0</v>
      </c>
      <c r="O490" s="2">
        <v>0</v>
      </c>
      <c r="P490" s="2">
        <v>0</v>
      </c>
      <c r="Q490">
        <v>0</v>
      </c>
      <c r="R490" s="2">
        <v>0</v>
      </c>
      <c r="S490" s="2">
        <v>0</v>
      </c>
      <c r="T490" t="s">
        <v>356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 hidden="1" x14ac:dyDescent="0.25">
      <c r="A491" t="s">
        <v>29</v>
      </c>
      <c r="B491" t="s">
        <v>30</v>
      </c>
      <c r="D491" s="1">
        <v>45825</v>
      </c>
      <c r="E491" s="1">
        <v>45825</v>
      </c>
      <c r="F491" s="2">
        <v>57</v>
      </c>
      <c r="G491" s="3" t="s">
        <v>23</v>
      </c>
      <c r="H491">
        <v>16</v>
      </c>
      <c r="I491" s="2">
        <v>0</v>
      </c>
      <c r="J491" s="2">
        <v>0</v>
      </c>
      <c r="K491" s="2">
        <v>1</v>
      </c>
      <c r="L491" s="2">
        <v>0</v>
      </c>
      <c r="M491">
        <v>0</v>
      </c>
      <c r="N491">
        <v>0</v>
      </c>
      <c r="O491" s="2">
        <v>0</v>
      </c>
      <c r="P491" s="2">
        <v>0</v>
      </c>
      <c r="Q491">
        <v>0</v>
      </c>
      <c r="R491" s="2">
        <v>0</v>
      </c>
      <c r="S491" s="2">
        <v>0</v>
      </c>
      <c r="T491" t="s">
        <v>356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hidden="1" x14ac:dyDescent="0.25">
      <c r="A492" t="s">
        <v>25</v>
      </c>
      <c r="B492" t="s">
        <v>26</v>
      </c>
      <c r="C492" t="s">
        <v>35</v>
      </c>
      <c r="D492" s="1">
        <v>45825</v>
      </c>
      <c r="E492" s="1">
        <v>45825</v>
      </c>
      <c r="F492" s="2">
        <v>48</v>
      </c>
      <c r="G492" s="3" t="s">
        <v>48</v>
      </c>
      <c r="H492">
        <v>0</v>
      </c>
      <c r="I492" s="2">
        <v>0</v>
      </c>
      <c r="J492" s="2">
        <v>0</v>
      </c>
      <c r="K492" s="2">
        <v>0</v>
      </c>
      <c r="L492" s="2">
        <v>0</v>
      </c>
      <c r="M492">
        <v>0</v>
      </c>
      <c r="N492">
        <v>0</v>
      </c>
      <c r="O492" s="2">
        <v>0</v>
      </c>
      <c r="P492" s="2">
        <v>0</v>
      </c>
      <c r="Q492">
        <v>0</v>
      </c>
      <c r="R492" s="2">
        <v>0</v>
      </c>
      <c r="S492" s="2">
        <v>0</v>
      </c>
      <c r="T492" t="s">
        <v>353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</row>
    <row r="493" spans="1:28" hidden="1" x14ac:dyDescent="0.25">
      <c r="A493" t="s">
        <v>20</v>
      </c>
      <c r="B493" t="s">
        <v>47</v>
      </c>
      <c r="C493" t="s">
        <v>35</v>
      </c>
      <c r="D493" s="1">
        <v>45825</v>
      </c>
      <c r="E493" s="1">
        <v>45825</v>
      </c>
      <c r="F493" s="2">
        <v>48</v>
      </c>
      <c r="G493" s="3" t="s">
        <v>129</v>
      </c>
      <c r="H493">
        <v>0</v>
      </c>
      <c r="I493" s="2">
        <v>0</v>
      </c>
      <c r="J493" s="2">
        <v>0</v>
      </c>
      <c r="K493" s="2">
        <v>0</v>
      </c>
      <c r="L493" s="2">
        <v>0</v>
      </c>
      <c r="M493">
        <v>0</v>
      </c>
      <c r="N493">
        <v>0</v>
      </c>
      <c r="O493" s="2">
        <v>0</v>
      </c>
      <c r="P493" s="2">
        <v>0</v>
      </c>
      <c r="Q493">
        <v>0</v>
      </c>
      <c r="R493" s="2">
        <v>0</v>
      </c>
      <c r="S493" s="2">
        <v>0</v>
      </c>
      <c r="T493" t="s">
        <v>353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idden="1" x14ac:dyDescent="0.25">
      <c r="A494" t="s">
        <v>37</v>
      </c>
      <c r="B494" t="s">
        <v>47</v>
      </c>
      <c r="C494">
        <v>0</v>
      </c>
      <c r="D494" s="1">
        <v>45825</v>
      </c>
      <c r="E494" s="1">
        <v>45825</v>
      </c>
      <c r="F494" s="2">
        <v>0</v>
      </c>
      <c r="G494" s="3" t="s">
        <v>50</v>
      </c>
      <c r="H494">
        <v>0</v>
      </c>
      <c r="I494" s="2">
        <v>0</v>
      </c>
      <c r="J494" s="2">
        <v>0</v>
      </c>
      <c r="K494" s="2">
        <v>0</v>
      </c>
      <c r="L494" s="2">
        <v>0</v>
      </c>
      <c r="M494">
        <v>0</v>
      </c>
      <c r="N494">
        <v>0</v>
      </c>
      <c r="O494" s="2">
        <v>0</v>
      </c>
      <c r="P494" s="2">
        <v>0</v>
      </c>
      <c r="Q494">
        <v>0</v>
      </c>
      <c r="R494" s="2">
        <v>0</v>
      </c>
      <c r="S494" s="2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 hidden="1" x14ac:dyDescent="0.25">
      <c r="A495" t="s">
        <v>49</v>
      </c>
      <c r="B495" t="s">
        <v>47</v>
      </c>
      <c r="C495">
        <v>0</v>
      </c>
      <c r="D495" s="1">
        <v>45825</v>
      </c>
      <c r="E495" s="1">
        <v>45825</v>
      </c>
      <c r="F495" s="2">
        <v>0</v>
      </c>
      <c r="G495" s="3" t="s">
        <v>50</v>
      </c>
      <c r="H495">
        <v>0</v>
      </c>
      <c r="I495" s="2">
        <v>0</v>
      </c>
      <c r="J495" s="2">
        <v>0</v>
      </c>
      <c r="K495" s="2">
        <v>0</v>
      </c>
      <c r="L495" s="2">
        <v>0</v>
      </c>
      <c r="M495">
        <v>0</v>
      </c>
      <c r="N495">
        <v>0</v>
      </c>
      <c r="O495" s="2">
        <v>0</v>
      </c>
      <c r="P495" s="2">
        <v>0</v>
      </c>
      <c r="Q495">
        <v>0</v>
      </c>
      <c r="R495" s="2">
        <v>0</v>
      </c>
      <c r="S495" s="2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hidden="1" x14ac:dyDescent="0.25">
      <c r="A496" t="s">
        <v>47</v>
      </c>
      <c r="B496" t="s">
        <v>52</v>
      </c>
      <c r="C496">
        <v>0</v>
      </c>
      <c r="D496" s="1">
        <v>45825</v>
      </c>
      <c r="E496" s="1">
        <v>45825</v>
      </c>
      <c r="F496" s="2">
        <v>0</v>
      </c>
      <c r="G496" s="3" t="s">
        <v>50</v>
      </c>
      <c r="H496">
        <v>0</v>
      </c>
      <c r="I496" s="2">
        <v>0</v>
      </c>
      <c r="J496" s="2">
        <v>0</v>
      </c>
      <c r="K496" s="2">
        <v>0</v>
      </c>
      <c r="L496" s="2">
        <v>0</v>
      </c>
      <c r="M496">
        <v>0</v>
      </c>
      <c r="N496">
        <v>0</v>
      </c>
      <c r="O496" s="2">
        <v>0</v>
      </c>
      <c r="P496" s="2">
        <v>0</v>
      </c>
      <c r="Q496">
        <v>0</v>
      </c>
      <c r="R496" s="2">
        <v>0</v>
      </c>
      <c r="S496" s="2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hidden="1" x14ac:dyDescent="0.25">
      <c r="A497" t="s">
        <v>20</v>
      </c>
      <c r="B497" t="s">
        <v>21</v>
      </c>
      <c r="C497" t="s">
        <v>22</v>
      </c>
      <c r="D497" s="1">
        <v>45826</v>
      </c>
      <c r="E497" s="1">
        <v>45826</v>
      </c>
      <c r="F497" s="2">
        <v>27</v>
      </c>
      <c r="G497" s="3" t="s">
        <v>23</v>
      </c>
      <c r="H497">
        <v>28</v>
      </c>
      <c r="I497" s="2">
        <v>0</v>
      </c>
      <c r="J497" s="2">
        <v>0</v>
      </c>
      <c r="K497" s="2">
        <v>1</v>
      </c>
      <c r="L497" s="2">
        <v>0</v>
      </c>
      <c r="M497">
        <v>0</v>
      </c>
      <c r="N497">
        <v>0</v>
      </c>
      <c r="O497" s="2">
        <v>0</v>
      </c>
      <c r="P497" s="2">
        <v>0</v>
      </c>
      <c r="Q497">
        <v>0</v>
      </c>
      <c r="R497" s="2">
        <v>0</v>
      </c>
      <c r="S497" s="2">
        <v>0</v>
      </c>
      <c r="T497" t="s">
        <v>357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</row>
    <row r="498" spans="1:28" hidden="1" x14ac:dyDescent="0.25">
      <c r="A498" t="s">
        <v>25</v>
      </c>
      <c r="B498" t="s">
        <v>26</v>
      </c>
      <c r="C498" t="s">
        <v>27</v>
      </c>
      <c r="D498" s="1">
        <v>45826</v>
      </c>
      <c r="E498" s="1">
        <v>45826</v>
      </c>
      <c r="F498" s="2">
        <v>31</v>
      </c>
      <c r="G498" s="3" t="s">
        <v>23</v>
      </c>
      <c r="H498">
        <v>42</v>
      </c>
      <c r="I498" s="2">
        <v>0</v>
      </c>
      <c r="J498" s="2">
        <v>0</v>
      </c>
      <c r="K498" s="2">
        <v>0</v>
      </c>
      <c r="L498" s="2">
        <v>1</v>
      </c>
      <c r="M498">
        <v>0</v>
      </c>
      <c r="N498">
        <v>0</v>
      </c>
      <c r="O498" s="2">
        <v>0</v>
      </c>
      <c r="P498" s="2">
        <v>0</v>
      </c>
      <c r="Q498">
        <v>0</v>
      </c>
      <c r="R498" s="2">
        <v>0</v>
      </c>
      <c r="S498" s="2">
        <v>0</v>
      </c>
      <c r="T498" t="s">
        <v>358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</row>
    <row r="499" spans="1:28" hidden="1" x14ac:dyDescent="0.25">
      <c r="A499" t="s">
        <v>33</v>
      </c>
      <c r="B499" t="s">
        <v>34</v>
      </c>
      <c r="C499" t="s">
        <v>35</v>
      </c>
      <c r="D499" s="1">
        <v>45826</v>
      </c>
      <c r="E499" s="1">
        <v>45826</v>
      </c>
      <c r="F499" s="2">
        <v>52</v>
      </c>
      <c r="G499" s="3" t="s">
        <v>23</v>
      </c>
      <c r="H499">
        <v>26</v>
      </c>
      <c r="I499" s="2">
        <v>0</v>
      </c>
      <c r="J499" s="2">
        <v>0</v>
      </c>
      <c r="K499" s="2">
        <v>1</v>
      </c>
      <c r="L499" s="2">
        <v>0</v>
      </c>
      <c r="M499">
        <v>0</v>
      </c>
      <c r="N499">
        <v>0</v>
      </c>
      <c r="O499" s="2">
        <v>0</v>
      </c>
      <c r="P499" s="2">
        <v>0</v>
      </c>
      <c r="Q499">
        <v>0</v>
      </c>
      <c r="R499" s="2">
        <v>0</v>
      </c>
      <c r="S499" s="2">
        <v>0</v>
      </c>
      <c r="T499" t="s">
        <v>359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hidden="1" x14ac:dyDescent="0.25">
      <c r="A500" t="s">
        <v>29</v>
      </c>
      <c r="B500" t="s">
        <v>47</v>
      </c>
      <c r="C500" t="s">
        <v>35</v>
      </c>
      <c r="D500" s="1">
        <v>45826</v>
      </c>
      <c r="E500" s="1">
        <v>45826</v>
      </c>
      <c r="F500" s="2">
        <v>52</v>
      </c>
      <c r="G500" s="3" t="s">
        <v>23</v>
      </c>
      <c r="H500">
        <v>28</v>
      </c>
      <c r="I500" s="2">
        <v>0</v>
      </c>
      <c r="J500" s="2">
        <v>0</v>
      </c>
      <c r="K500" s="2">
        <v>1</v>
      </c>
      <c r="L500" s="2">
        <v>0</v>
      </c>
      <c r="M500">
        <v>0</v>
      </c>
      <c r="N500">
        <v>0</v>
      </c>
      <c r="O500" s="2">
        <v>0</v>
      </c>
      <c r="P500" s="2">
        <v>0</v>
      </c>
      <c r="Q500">
        <v>0</v>
      </c>
      <c r="R500" s="2">
        <v>0</v>
      </c>
      <c r="S500" s="2">
        <v>0</v>
      </c>
      <c r="T500" t="s">
        <v>359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hidden="1" x14ac:dyDescent="0.25">
      <c r="A501" t="s">
        <v>47</v>
      </c>
      <c r="B501" t="s">
        <v>30</v>
      </c>
      <c r="C501" t="s">
        <v>35</v>
      </c>
      <c r="D501" s="1">
        <v>45826</v>
      </c>
      <c r="E501" s="1">
        <v>45826</v>
      </c>
      <c r="F501" s="2">
        <v>52</v>
      </c>
      <c r="G501" s="3" t="s">
        <v>23</v>
      </c>
      <c r="H501">
        <f>28+7</f>
        <v>35</v>
      </c>
      <c r="I501" s="2">
        <v>0</v>
      </c>
      <c r="J501" s="2">
        <v>0</v>
      </c>
      <c r="K501" s="2">
        <v>1</v>
      </c>
      <c r="L501" s="2">
        <v>0</v>
      </c>
      <c r="M501">
        <v>0</v>
      </c>
      <c r="N501">
        <v>0</v>
      </c>
      <c r="O501" s="2">
        <v>0</v>
      </c>
      <c r="P501" s="2">
        <v>0</v>
      </c>
      <c r="Q501">
        <v>0</v>
      </c>
      <c r="R501" s="2">
        <v>0</v>
      </c>
      <c r="S501" s="2">
        <v>0</v>
      </c>
      <c r="T501" t="s">
        <v>359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hidden="1" x14ac:dyDescent="0.25">
      <c r="A502" t="s">
        <v>53</v>
      </c>
      <c r="B502" t="s">
        <v>47</v>
      </c>
      <c r="C502" t="s">
        <v>35</v>
      </c>
      <c r="D502" s="1">
        <v>45826</v>
      </c>
      <c r="E502" s="1">
        <v>45826</v>
      </c>
      <c r="F502" s="2">
        <v>52</v>
      </c>
      <c r="G502" s="3" t="s">
        <v>23</v>
      </c>
      <c r="H502">
        <v>7</v>
      </c>
      <c r="I502" s="2">
        <v>0</v>
      </c>
      <c r="J502" s="2">
        <v>0</v>
      </c>
      <c r="K502" s="2">
        <v>0</v>
      </c>
      <c r="L502" s="2">
        <v>0</v>
      </c>
      <c r="M502">
        <v>0</v>
      </c>
      <c r="N502">
        <v>0</v>
      </c>
      <c r="O502" s="2">
        <v>0</v>
      </c>
      <c r="P502" s="2">
        <v>0</v>
      </c>
      <c r="Q502">
        <v>0</v>
      </c>
      <c r="R502" s="2">
        <v>0</v>
      </c>
      <c r="S502" s="2">
        <v>0</v>
      </c>
      <c r="T502" t="s">
        <v>359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hidden="1" x14ac:dyDescent="0.25">
      <c r="A503" t="s">
        <v>56</v>
      </c>
      <c r="B503" t="s">
        <v>57</v>
      </c>
      <c r="C503" t="s">
        <v>35</v>
      </c>
      <c r="D503" s="1">
        <v>45826</v>
      </c>
      <c r="E503" s="1">
        <v>45826</v>
      </c>
      <c r="F503" s="2">
        <v>48</v>
      </c>
      <c r="G503" s="3" t="s">
        <v>48</v>
      </c>
      <c r="H503">
        <v>0</v>
      </c>
      <c r="I503" s="2">
        <v>0</v>
      </c>
      <c r="J503" s="2">
        <v>0</v>
      </c>
      <c r="K503" s="2">
        <v>0</v>
      </c>
      <c r="L503" s="2">
        <v>0</v>
      </c>
      <c r="M503">
        <v>0</v>
      </c>
      <c r="N503">
        <v>0</v>
      </c>
      <c r="O503" s="2">
        <v>0</v>
      </c>
      <c r="P503" s="2">
        <v>0</v>
      </c>
      <c r="Q503">
        <v>0</v>
      </c>
      <c r="R503" s="2">
        <v>0</v>
      </c>
      <c r="S503" s="2">
        <v>0</v>
      </c>
      <c r="T503" t="s">
        <v>353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</row>
    <row r="504" spans="1:28" hidden="1" x14ac:dyDescent="0.25">
      <c r="A504" t="s">
        <v>47</v>
      </c>
      <c r="B504" t="s">
        <v>38</v>
      </c>
      <c r="C504" t="s">
        <v>35</v>
      </c>
      <c r="D504" s="1">
        <v>45826</v>
      </c>
      <c r="E504" s="1">
        <v>45826</v>
      </c>
      <c r="F504" s="2">
        <v>48</v>
      </c>
      <c r="G504" s="3" t="s">
        <v>48</v>
      </c>
      <c r="H504">
        <v>0</v>
      </c>
      <c r="I504" s="2">
        <v>0</v>
      </c>
      <c r="J504" s="2">
        <v>0</v>
      </c>
      <c r="K504" s="2">
        <v>0</v>
      </c>
      <c r="L504" s="2">
        <v>0</v>
      </c>
      <c r="M504">
        <v>0</v>
      </c>
      <c r="N504">
        <v>0</v>
      </c>
      <c r="O504" s="2">
        <v>0</v>
      </c>
      <c r="P504" s="2">
        <v>0</v>
      </c>
      <c r="Q504">
        <v>0</v>
      </c>
      <c r="R504" s="2">
        <v>0</v>
      </c>
      <c r="S504" s="2">
        <v>0</v>
      </c>
      <c r="T504" t="s">
        <v>353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</row>
    <row r="505" spans="1:28" hidden="1" x14ac:dyDescent="0.25">
      <c r="A505" t="s">
        <v>37</v>
      </c>
      <c r="B505" t="s">
        <v>47</v>
      </c>
      <c r="C505">
        <v>0</v>
      </c>
      <c r="D505" s="1">
        <v>45826</v>
      </c>
      <c r="E505" s="1">
        <v>45826</v>
      </c>
      <c r="F505" s="2">
        <v>0</v>
      </c>
      <c r="G505" s="3" t="s">
        <v>50</v>
      </c>
      <c r="H505">
        <v>0</v>
      </c>
      <c r="I505" s="2">
        <v>0</v>
      </c>
      <c r="J505" s="2">
        <v>0</v>
      </c>
      <c r="K505" s="2">
        <v>0</v>
      </c>
      <c r="L505" s="2">
        <v>0</v>
      </c>
      <c r="M505">
        <v>0</v>
      </c>
      <c r="N505">
        <v>0</v>
      </c>
      <c r="O505" s="2">
        <v>0</v>
      </c>
      <c r="P505" s="2">
        <v>0</v>
      </c>
      <c r="Q505">
        <v>0</v>
      </c>
      <c r="R505" s="2">
        <v>0</v>
      </c>
      <c r="S505" s="2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hidden="1" x14ac:dyDescent="0.25">
      <c r="A506" t="s">
        <v>49</v>
      </c>
      <c r="B506" t="s">
        <v>47</v>
      </c>
      <c r="C506">
        <v>0</v>
      </c>
      <c r="D506" s="1">
        <v>45826</v>
      </c>
      <c r="E506" s="1">
        <v>45826</v>
      </c>
      <c r="F506" s="2">
        <v>0</v>
      </c>
      <c r="G506" s="3" t="s">
        <v>50</v>
      </c>
      <c r="H506">
        <v>0</v>
      </c>
      <c r="I506" s="2">
        <v>0</v>
      </c>
      <c r="J506" s="2">
        <v>0</v>
      </c>
      <c r="K506" s="2">
        <v>0</v>
      </c>
      <c r="L506" s="2">
        <v>0</v>
      </c>
      <c r="M506">
        <v>0</v>
      </c>
      <c r="N506">
        <v>0</v>
      </c>
      <c r="O506" s="2">
        <v>0</v>
      </c>
      <c r="P506" s="2">
        <v>0</v>
      </c>
      <c r="Q506">
        <v>0</v>
      </c>
      <c r="R506" s="2">
        <v>0</v>
      </c>
      <c r="S506" s="2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hidden="1" x14ac:dyDescent="0.25">
      <c r="A507" t="s">
        <v>47</v>
      </c>
      <c r="B507" t="s">
        <v>52</v>
      </c>
      <c r="C507">
        <v>0</v>
      </c>
      <c r="D507" s="1">
        <v>45826</v>
      </c>
      <c r="E507" s="1">
        <v>45826</v>
      </c>
      <c r="F507" s="2">
        <v>0</v>
      </c>
      <c r="G507" s="3" t="s">
        <v>50</v>
      </c>
      <c r="H507">
        <v>0</v>
      </c>
      <c r="I507" s="2">
        <v>0</v>
      </c>
      <c r="J507" s="2">
        <v>0</v>
      </c>
      <c r="K507" s="2">
        <v>0</v>
      </c>
      <c r="L507" s="2">
        <v>0</v>
      </c>
      <c r="M507">
        <v>0</v>
      </c>
      <c r="N507">
        <v>0</v>
      </c>
      <c r="O507" s="2">
        <v>0</v>
      </c>
      <c r="P507" s="2">
        <v>0</v>
      </c>
      <c r="Q507">
        <v>0</v>
      </c>
      <c r="R507" s="2">
        <v>0</v>
      </c>
      <c r="S507" s="2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hidden="1" x14ac:dyDescent="0.25">
      <c r="A508" t="s">
        <v>56</v>
      </c>
      <c r="B508" t="s">
        <v>57</v>
      </c>
      <c r="C508" t="s">
        <v>64</v>
      </c>
      <c r="D508" s="1">
        <v>45827</v>
      </c>
      <c r="E508" s="1">
        <v>45827</v>
      </c>
      <c r="F508" s="2">
        <v>21</v>
      </c>
      <c r="G508" s="3" t="s">
        <v>23</v>
      </c>
      <c r="H508">
        <v>24</v>
      </c>
      <c r="I508" s="2">
        <v>0</v>
      </c>
      <c r="J508" s="2">
        <v>0</v>
      </c>
      <c r="K508" s="2">
        <v>1</v>
      </c>
      <c r="L508" s="2">
        <v>0</v>
      </c>
      <c r="M508">
        <v>0</v>
      </c>
      <c r="N508">
        <v>0</v>
      </c>
      <c r="O508" s="2">
        <v>0</v>
      </c>
      <c r="P508" s="2">
        <v>0</v>
      </c>
      <c r="Q508">
        <v>0</v>
      </c>
      <c r="R508" s="2">
        <v>0</v>
      </c>
      <c r="S508" s="2">
        <v>0</v>
      </c>
      <c r="T508" t="s">
        <v>360</v>
      </c>
      <c r="U508" s="2">
        <v>0</v>
      </c>
      <c r="V508" s="2">
        <v>22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</row>
    <row r="509" spans="1:28" hidden="1" x14ac:dyDescent="0.25">
      <c r="A509" t="s">
        <v>53</v>
      </c>
      <c r="B509" t="s">
        <v>38</v>
      </c>
      <c r="C509" t="s">
        <v>54</v>
      </c>
      <c r="D509" s="1">
        <v>45827</v>
      </c>
      <c r="E509" s="1">
        <v>45827</v>
      </c>
      <c r="F509" s="2">
        <v>45</v>
      </c>
      <c r="G509" s="3" t="s">
        <v>23</v>
      </c>
      <c r="H509">
        <v>31</v>
      </c>
      <c r="I509" s="2">
        <v>0</v>
      </c>
      <c r="J509" s="2">
        <v>0</v>
      </c>
      <c r="K509" s="2">
        <v>0</v>
      </c>
      <c r="L509" s="2">
        <v>1</v>
      </c>
      <c r="M509">
        <v>1</v>
      </c>
      <c r="N509">
        <v>0</v>
      </c>
      <c r="O509" s="2">
        <v>0</v>
      </c>
      <c r="P509" s="2">
        <v>0</v>
      </c>
      <c r="Q509">
        <v>0</v>
      </c>
      <c r="R509" s="2">
        <v>0</v>
      </c>
      <c r="S509" s="2">
        <v>0</v>
      </c>
      <c r="T509" t="s">
        <v>361</v>
      </c>
      <c r="U509" s="2">
        <v>0</v>
      </c>
      <c r="V509" s="2">
        <v>8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</row>
    <row r="510" spans="1:28" hidden="1" x14ac:dyDescent="0.25">
      <c r="A510" t="s">
        <v>25</v>
      </c>
      <c r="B510" t="s">
        <v>26</v>
      </c>
      <c r="C510" t="s">
        <v>27</v>
      </c>
      <c r="D510" s="1">
        <v>45827</v>
      </c>
      <c r="E510" s="1">
        <v>45827</v>
      </c>
      <c r="F510" s="2">
        <v>22</v>
      </c>
      <c r="G510" s="3" t="s">
        <v>23</v>
      </c>
      <c r="H510">
        <v>35</v>
      </c>
      <c r="I510" s="2">
        <v>0</v>
      </c>
      <c r="J510" s="2">
        <v>0</v>
      </c>
      <c r="K510" s="2">
        <v>1</v>
      </c>
      <c r="L510" s="2">
        <v>0</v>
      </c>
      <c r="M510">
        <v>0</v>
      </c>
      <c r="N510">
        <v>0</v>
      </c>
      <c r="O510" s="2">
        <v>0</v>
      </c>
      <c r="P510" s="2">
        <v>0</v>
      </c>
      <c r="Q510">
        <v>0</v>
      </c>
      <c r="R510" s="2">
        <v>0</v>
      </c>
      <c r="S510" s="2">
        <v>0</v>
      </c>
      <c r="T510" t="s">
        <v>362</v>
      </c>
      <c r="U510">
        <v>0</v>
      </c>
      <c r="V510">
        <v>20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hidden="1" x14ac:dyDescent="0.25">
      <c r="A511" t="s">
        <v>33</v>
      </c>
      <c r="B511" t="s">
        <v>21</v>
      </c>
      <c r="C511" t="s">
        <v>35</v>
      </c>
      <c r="D511" s="1">
        <v>45827</v>
      </c>
      <c r="E511" s="1">
        <v>45827</v>
      </c>
      <c r="F511" s="2">
        <v>62</v>
      </c>
      <c r="G511" s="3" t="s">
        <v>23</v>
      </c>
      <c r="H511">
        <v>38</v>
      </c>
      <c r="I511" s="2">
        <v>0</v>
      </c>
      <c r="J511" s="2">
        <v>0</v>
      </c>
      <c r="K511" s="2">
        <v>1</v>
      </c>
      <c r="L511" s="2">
        <v>0</v>
      </c>
      <c r="M511">
        <v>0</v>
      </c>
      <c r="N511">
        <v>0</v>
      </c>
      <c r="O511" s="2">
        <v>0</v>
      </c>
      <c r="P511" s="2">
        <v>0</v>
      </c>
      <c r="Q511">
        <v>0</v>
      </c>
      <c r="R511" s="2">
        <v>0</v>
      </c>
      <c r="S511" s="2">
        <v>0</v>
      </c>
      <c r="T511" t="s">
        <v>363</v>
      </c>
      <c r="U511">
        <v>0</v>
      </c>
      <c r="V511">
        <v>20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hidden="1" x14ac:dyDescent="0.25">
      <c r="A512" t="s">
        <v>29</v>
      </c>
      <c r="B512" t="s">
        <v>30</v>
      </c>
      <c r="C512" t="s">
        <v>35</v>
      </c>
      <c r="D512" s="1">
        <v>45827</v>
      </c>
      <c r="E512" s="1">
        <v>45827</v>
      </c>
      <c r="F512" s="2">
        <v>62</v>
      </c>
      <c r="G512" s="3" t="s">
        <v>23</v>
      </c>
      <c r="H512">
        <v>3</v>
      </c>
      <c r="I512" s="2">
        <v>0</v>
      </c>
      <c r="J512" s="2">
        <v>0</v>
      </c>
      <c r="K512" s="2">
        <v>0</v>
      </c>
      <c r="L512" s="2">
        <v>0</v>
      </c>
      <c r="M512">
        <v>0</v>
      </c>
      <c r="N512">
        <v>0</v>
      </c>
      <c r="O512" s="2">
        <v>0</v>
      </c>
      <c r="P512" s="2">
        <v>0</v>
      </c>
      <c r="Q512">
        <v>0</v>
      </c>
      <c r="R512" s="2">
        <v>0</v>
      </c>
      <c r="S512" s="2">
        <v>0</v>
      </c>
      <c r="T512" t="s">
        <v>363</v>
      </c>
      <c r="U512">
        <v>0</v>
      </c>
      <c r="V512">
        <v>14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hidden="1" x14ac:dyDescent="0.25">
      <c r="A513" t="s">
        <v>20</v>
      </c>
      <c r="B513" t="s">
        <v>20</v>
      </c>
      <c r="C513" t="s">
        <v>35</v>
      </c>
      <c r="D513" s="1">
        <v>45827</v>
      </c>
      <c r="E513" s="1">
        <v>45827</v>
      </c>
      <c r="F513" s="2">
        <v>62</v>
      </c>
      <c r="G513" s="3" t="s">
        <v>23</v>
      </c>
      <c r="H513">
        <v>0</v>
      </c>
      <c r="I513" s="2">
        <v>0</v>
      </c>
      <c r="J513" s="2">
        <v>0</v>
      </c>
      <c r="K513" s="2">
        <v>0</v>
      </c>
      <c r="L513" s="2">
        <v>0</v>
      </c>
      <c r="M513">
        <v>0</v>
      </c>
      <c r="N513">
        <v>0</v>
      </c>
      <c r="O513" s="2">
        <v>0</v>
      </c>
      <c r="P513" s="2">
        <v>0</v>
      </c>
      <c r="Q513">
        <v>0</v>
      </c>
      <c r="R513" s="2">
        <v>0</v>
      </c>
      <c r="S513" s="2">
        <v>0</v>
      </c>
      <c r="T513" t="s">
        <v>363</v>
      </c>
      <c r="U513">
        <v>0</v>
      </c>
      <c r="V513">
        <v>22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hidden="1" x14ac:dyDescent="0.25">
      <c r="A514" s="11" t="s">
        <v>372</v>
      </c>
      <c r="B514" s="12" t="s">
        <v>373</v>
      </c>
      <c r="C514" t="s">
        <v>35</v>
      </c>
      <c r="D514" s="1">
        <v>45827</v>
      </c>
      <c r="E514" s="1">
        <v>45827</v>
      </c>
      <c r="F514" s="2">
        <v>62</v>
      </c>
      <c r="G514" s="3" t="s">
        <v>23</v>
      </c>
      <c r="H514">
        <v>0</v>
      </c>
      <c r="I514" s="2">
        <v>0</v>
      </c>
      <c r="J514" s="2">
        <v>0</v>
      </c>
      <c r="K514" s="2">
        <v>0</v>
      </c>
      <c r="L514" s="2">
        <v>0</v>
      </c>
      <c r="M514">
        <v>0</v>
      </c>
      <c r="N514">
        <v>0</v>
      </c>
      <c r="O514" s="2">
        <v>0</v>
      </c>
      <c r="P514" s="2">
        <v>0</v>
      </c>
      <c r="Q514">
        <v>1</v>
      </c>
      <c r="R514" s="2">
        <v>0</v>
      </c>
      <c r="S514" s="2">
        <v>0</v>
      </c>
      <c r="T514" t="s">
        <v>363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hidden="1" x14ac:dyDescent="0.25">
      <c r="A515" t="s">
        <v>47</v>
      </c>
      <c r="B515" t="s">
        <v>34</v>
      </c>
      <c r="C515" t="s">
        <v>35</v>
      </c>
      <c r="D515" s="1">
        <v>45827</v>
      </c>
      <c r="E515" s="1">
        <v>45827</v>
      </c>
      <c r="F515" s="2">
        <v>48</v>
      </c>
      <c r="G515" s="3" t="s">
        <v>48</v>
      </c>
      <c r="H515">
        <v>0</v>
      </c>
      <c r="I515" s="2">
        <v>0</v>
      </c>
      <c r="J515" s="2">
        <v>0</v>
      </c>
      <c r="K515" s="2">
        <v>0</v>
      </c>
      <c r="L515" s="2">
        <v>0</v>
      </c>
      <c r="M515">
        <v>0</v>
      </c>
      <c r="N515">
        <v>0</v>
      </c>
      <c r="O515" s="2">
        <v>0</v>
      </c>
      <c r="P515" s="2">
        <v>0</v>
      </c>
      <c r="Q515">
        <v>0</v>
      </c>
      <c r="R515" s="2">
        <v>0</v>
      </c>
      <c r="S515" s="2">
        <v>0</v>
      </c>
      <c r="T515" t="s">
        <v>353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idden="1" x14ac:dyDescent="0.25">
      <c r="A516" t="s">
        <v>37</v>
      </c>
      <c r="B516" t="s">
        <v>47</v>
      </c>
      <c r="C516">
        <v>0</v>
      </c>
      <c r="D516" s="1">
        <v>45827</v>
      </c>
      <c r="E516" s="1">
        <v>45827</v>
      </c>
      <c r="F516" s="2">
        <v>0</v>
      </c>
      <c r="G516" s="3" t="s">
        <v>50</v>
      </c>
      <c r="H516">
        <v>0</v>
      </c>
      <c r="I516" s="2">
        <v>0</v>
      </c>
      <c r="J516" s="2">
        <v>0</v>
      </c>
      <c r="K516" s="2">
        <v>0</v>
      </c>
      <c r="L516" s="2">
        <v>0</v>
      </c>
      <c r="M516">
        <v>0</v>
      </c>
      <c r="N516">
        <v>0</v>
      </c>
      <c r="O516" s="2">
        <v>0</v>
      </c>
      <c r="P516" s="2">
        <v>0</v>
      </c>
      <c r="Q516">
        <v>0</v>
      </c>
      <c r="R516" s="2">
        <v>0</v>
      </c>
      <c r="S516" s="2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hidden="1" x14ac:dyDescent="0.25">
      <c r="A517" t="s">
        <v>49</v>
      </c>
      <c r="B517" t="s">
        <v>47</v>
      </c>
      <c r="C517">
        <v>0</v>
      </c>
      <c r="D517" s="1">
        <v>45827</v>
      </c>
      <c r="E517" s="1">
        <v>45827</v>
      </c>
      <c r="F517" s="2">
        <v>0</v>
      </c>
      <c r="G517" s="3" t="s">
        <v>50</v>
      </c>
      <c r="H517">
        <v>0</v>
      </c>
      <c r="I517" s="2">
        <v>0</v>
      </c>
      <c r="J517" s="2">
        <v>0</v>
      </c>
      <c r="K517" s="2">
        <v>0</v>
      </c>
      <c r="L517" s="2">
        <v>0</v>
      </c>
      <c r="M517">
        <v>0</v>
      </c>
      <c r="N517">
        <v>0</v>
      </c>
      <c r="O517" s="2">
        <v>0</v>
      </c>
      <c r="P517" s="2">
        <v>0</v>
      </c>
      <c r="Q517">
        <v>0</v>
      </c>
      <c r="R517" s="2">
        <v>0</v>
      </c>
      <c r="S517" s="2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hidden="1" x14ac:dyDescent="0.25">
      <c r="A518" t="s">
        <v>47</v>
      </c>
      <c r="B518" t="s">
        <v>52</v>
      </c>
      <c r="C518">
        <v>0</v>
      </c>
      <c r="D518" s="1">
        <v>45827</v>
      </c>
      <c r="E518" s="1">
        <v>45827</v>
      </c>
      <c r="F518" s="2">
        <v>0</v>
      </c>
      <c r="G518" s="3" t="s">
        <v>50</v>
      </c>
      <c r="H518">
        <v>0</v>
      </c>
      <c r="I518" s="2">
        <v>0</v>
      </c>
      <c r="J518" s="2">
        <v>0</v>
      </c>
      <c r="K518" s="2">
        <v>0</v>
      </c>
      <c r="L518" s="2">
        <v>0</v>
      </c>
      <c r="M518">
        <v>0</v>
      </c>
      <c r="N518">
        <v>0</v>
      </c>
      <c r="O518" s="2">
        <v>0</v>
      </c>
      <c r="P518" s="2">
        <v>0</v>
      </c>
      <c r="Q518">
        <v>0</v>
      </c>
      <c r="R518" s="2">
        <v>0</v>
      </c>
      <c r="S518" s="2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hidden="1" x14ac:dyDescent="0.25">
      <c r="A519" t="s">
        <v>56</v>
      </c>
      <c r="B519" t="s">
        <v>57</v>
      </c>
      <c r="C519" t="s">
        <v>64</v>
      </c>
      <c r="D519" s="9">
        <v>45828</v>
      </c>
      <c r="E519" s="9">
        <v>45828</v>
      </c>
      <c r="F519" s="2">
        <v>40</v>
      </c>
      <c r="G519" s="3" t="s">
        <v>23</v>
      </c>
      <c r="H519">
        <v>0</v>
      </c>
      <c r="I519" s="2">
        <v>0</v>
      </c>
      <c r="J519" s="2">
        <v>0</v>
      </c>
      <c r="K519" s="2">
        <v>0</v>
      </c>
      <c r="L519" s="2">
        <v>0</v>
      </c>
      <c r="M519">
        <v>0</v>
      </c>
      <c r="N519">
        <v>0</v>
      </c>
      <c r="O519" s="2">
        <v>0</v>
      </c>
      <c r="P519" s="2">
        <v>1</v>
      </c>
      <c r="Q519">
        <v>0</v>
      </c>
      <c r="R519" s="2">
        <v>0</v>
      </c>
      <c r="S519" s="2">
        <v>1</v>
      </c>
      <c r="T519" t="s">
        <v>364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</row>
    <row r="520" spans="1:28" hidden="1" x14ac:dyDescent="0.25">
      <c r="A520" t="s">
        <v>25</v>
      </c>
      <c r="B520" t="s">
        <v>26</v>
      </c>
      <c r="C520" t="s">
        <v>27</v>
      </c>
      <c r="D520" s="9">
        <v>45828</v>
      </c>
      <c r="E520" s="9">
        <v>45828</v>
      </c>
      <c r="F520" s="2">
        <v>29</v>
      </c>
      <c r="G520" s="3" t="s">
        <v>23</v>
      </c>
      <c r="H520">
        <v>0</v>
      </c>
      <c r="I520" s="2">
        <v>0</v>
      </c>
      <c r="J520" s="2">
        <v>0</v>
      </c>
      <c r="K520" s="2">
        <v>0</v>
      </c>
      <c r="L520" s="2">
        <v>0</v>
      </c>
      <c r="M520">
        <v>0</v>
      </c>
      <c r="N520">
        <v>0</v>
      </c>
      <c r="O520" s="2">
        <v>0</v>
      </c>
      <c r="P520" s="2">
        <v>1</v>
      </c>
      <c r="Q520">
        <v>0</v>
      </c>
      <c r="R520" s="2">
        <v>0</v>
      </c>
      <c r="S520" s="2">
        <v>1</v>
      </c>
      <c r="T520" t="s">
        <v>365</v>
      </c>
      <c r="U520" s="2">
        <v>8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idden="1" x14ac:dyDescent="0.25">
      <c r="A521" t="s">
        <v>105</v>
      </c>
      <c r="B521" t="s">
        <v>38</v>
      </c>
      <c r="C521" t="s">
        <v>107</v>
      </c>
      <c r="D521" s="9">
        <v>45828</v>
      </c>
      <c r="E521" s="9">
        <v>45828</v>
      </c>
      <c r="F521" s="2">
        <v>208</v>
      </c>
      <c r="G521" s="3" t="s">
        <v>23</v>
      </c>
      <c r="H521">
        <v>0</v>
      </c>
      <c r="I521" s="2">
        <v>0</v>
      </c>
      <c r="J521" s="2">
        <v>0</v>
      </c>
      <c r="K521" s="2">
        <v>0</v>
      </c>
      <c r="L521" s="2">
        <v>0</v>
      </c>
      <c r="M521">
        <v>0</v>
      </c>
      <c r="N521">
        <v>0</v>
      </c>
      <c r="O521" s="2">
        <v>0</v>
      </c>
      <c r="P521" s="2">
        <v>1</v>
      </c>
      <c r="Q521">
        <v>0</v>
      </c>
      <c r="R521" s="2">
        <v>0</v>
      </c>
      <c r="S521" s="2">
        <v>1</v>
      </c>
      <c r="T521" t="s">
        <v>366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1</v>
      </c>
    </row>
    <row r="522" spans="1:28" hidden="1" x14ac:dyDescent="0.25">
      <c r="A522" t="s">
        <v>33</v>
      </c>
      <c r="B522" t="s">
        <v>34</v>
      </c>
      <c r="C522" t="s">
        <v>35</v>
      </c>
      <c r="D522" s="9">
        <v>45828</v>
      </c>
      <c r="E522" s="9">
        <v>45828</v>
      </c>
      <c r="F522" s="2">
        <v>48</v>
      </c>
      <c r="G522" s="3" t="s">
        <v>23</v>
      </c>
      <c r="H522">
        <v>0</v>
      </c>
      <c r="I522" s="2">
        <v>0</v>
      </c>
      <c r="J522" s="2">
        <v>0</v>
      </c>
      <c r="K522" s="2">
        <v>0</v>
      </c>
      <c r="L522" s="2">
        <v>0</v>
      </c>
      <c r="M522">
        <v>0</v>
      </c>
      <c r="N522">
        <v>0</v>
      </c>
      <c r="O522" s="2">
        <v>0</v>
      </c>
      <c r="P522" s="2">
        <v>1</v>
      </c>
      <c r="Q522">
        <v>0</v>
      </c>
      <c r="R522" s="2">
        <v>0</v>
      </c>
      <c r="S522" s="2">
        <v>1</v>
      </c>
      <c r="T522" t="s">
        <v>367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</row>
    <row r="523" spans="1:28" hidden="1" x14ac:dyDescent="0.25">
      <c r="A523" t="s">
        <v>56</v>
      </c>
      <c r="B523" t="s">
        <v>57</v>
      </c>
      <c r="C523" t="s">
        <v>64</v>
      </c>
      <c r="D523" s="9">
        <v>45829</v>
      </c>
      <c r="E523" s="9">
        <v>45829</v>
      </c>
      <c r="F523" s="2">
        <v>22</v>
      </c>
      <c r="G523" s="3" t="s">
        <v>23</v>
      </c>
      <c r="H523">
        <v>0</v>
      </c>
      <c r="I523" s="2">
        <v>0</v>
      </c>
      <c r="J523" s="2">
        <v>0</v>
      </c>
      <c r="K523" s="2">
        <v>0</v>
      </c>
      <c r="L523" s="2">
        <v>0</v>
      </c>
      <c r="M523">
        <v>0</v>
      </c>
      <c r="N523">
        <v>0</v>
      </c>
      <c r="O523" s="2">
        <v>1</v>
      </c>
      <c r="P523" s="2">
        <v>0</v>
      </c>
      <c r="Q523">
        <v>0</v>
      </c>
      <c r="R523" s="2">
        <v>1</v>
      </c>
      <c r="S523" s="2">
        <v>0</v>
      </c>
      <c r="T523" t="s">
        <v>368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idden="1" x14ac:dyDescent="0.25">
      <c r="A524" t="s">
        <v>25</v>
      </c>
      <c r="B524" t="s">
        <v>26</v>
      </c>
      <c r="C524" t="s">
        <v>27</v>
      </c>
      <c r="D524" s="9">
        <v>45829</v>
      </c>
      <c r="E524" s="9">
        <v>45829</v>
      </c>
      <c r="F524" s="2">
        <v>66</v>
      </c>
      <c r="G524" s="3" t="s">
        <v>23</v>
      </c>
      <c r="H524">
        <v>0</v>
      </c>
      <c r="I524" s="2">
        <v>0</v>
      </c>
      <c r="J524" s="2">
        <v>0</v>
      </c>
      <c r="K524" s="2">
        <v>0</v>
      </c>
      <c r="L524" s="2">
        <v>0</v>
      </c>
      <c r="M524">
        <v>0</v>
      </c>
      <c r="N524">
        <v>0</v>
      </c>
      <c r="O524" s="2">
        <v>1</v>
      </c>
      <c r="P524" s="2">
        <v>0</v>
      </c>
      <c r="Q524">
        <v>6</v>
      </c>
      <c r="R524" s="2">
        <v>1</v>
      </c>
      <c r="S524" s="2">
        <v>0</v>
      </c>
      <c r="T524" t="s">
        <v>369</v>
      </c>
      <c r="U524" s="2">
        <v>22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</row>
    <row r="525" spans="1:28" hidden="1" x14ac:dyDescent="0.25">
      <c r="A525" t="s">
        <v>33</v>
      </c>
      <c r="B525" t="s">
        <v>34</v>
      </c>
      <c r="C525" t="s">
        <v>35</v>
      </c>
      <c r="D525" s="9">
        <v>45829</v>
      </c>
      <c r="E525" s="9">
        <v>45829</v>
      </c>
      <c r="F525" s="2">
        <v>31</v>
      </c>
      <c r="G525" s="3" t="s">
        <v>23</v>
      </c>
      <c r="H525">
        <v>0</v>
      </c>
      <c r="I525" s="2">
        <v>0</v>
      </c>
      <c r="J525" s="2">
        <v>0</v>
      </c>
      <c r="K525" s="2">
        <v>0</v>
      </c>
      <c r="L525" s="2">
        <v>0</v>
      </c>
      <c r="M525">
        <v>0</v>
      </c>
      <c r="N525">
        <v>0</v>
      </c>
      <c r="O525" s="2">
        <v>1</v>
      </c>
      <c r="P525" s="2">
        <v>0</v>
      </c>
      <c r="Q525">
        <v>0</v>
      </c>
      <c r="R525" s="2">
        <v>1</v>
      </c>
      <c r="S525" s="2">
        <v>0</v>
      </c>
      <c r="T525" t="s">
        <v>370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</row>
    <row r="526" spans="1:28" hidden="1" x14ac:dyDescent="0.25">
      <c r="A526" t="s">
        <v>211</v>
      </c>
      <c r="B526" t="s">
        <v>38</v>
      </c>
      <c r="C526" t="s">
        <v>212</v>
      </c>
      <c r="D526" s="9">
        <v>45829</v>
      </c>
      <c r="E526" s="9">
        <v>45829</v>
      </c>
      <c r="F526" s="2">
        <v>70</v>
      </c>
      <c r="G526" s="3" t="s">
        <v>23</v>
      </c>
      <c r="H526">
        <v>0</v>
      </c>
      <c r="I526" s="2">
        <v>0</v>
      </c>
      <c r="J526" s="2">
        <v>1</v>
      </c>
      <c r="K526" s="2">
        <v>0</v>
      </c>
      <c r="L526" s="2">
        <v>0</v>
      </c>
      <c r="M526">
        <v>0</v>
      </c>
      <c r="N526">
        <v>0</v>
      </c>
      <c r="O526" s="2">
        <v>1</v>
      </c>
      <c r="P526" s="2">
        <v>0</v>
      </c>
      <c r="Q526">
        <v>0</v>
      </c>
      <c r="R526" s="2">
        <v>1</v>
      </c>
      <c r="S526" s="2">
        <v>0</v>
      </c>
      <c r="T526" t="s">
        <v>371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idden="1" x14ac:dyDescent="0.25">
      <c r="A527" t="s">
        <v>56</v>
      </c>
      <c r="B527" t="s">
        <v>57</v>
      </c>
      <c r="C527" t="s">
        <v>64</v>
      </c>
      <c r="D527" s="9">
        <v>45830</v>
      </c>
      <c r="E527" s="9">
        <v>45830</v>
      </c>
      <c r="F527" s="2">
        <v>23</v>
      </c>
      <c r="G527" s="3" t="s">
        <v>23</v>
      </c>
      <c r="H527">
        <v>0</v>
      </c>
      <c r="I527" s="2">
        <v>0</v>
      </c>
      <c r="J527" s="2">
        <v>0</v>
      </c>
      <c r="K527" s="2">
        <v>0</v>
      </c>
      <c r="L527" s="2">
        <v>0</v>
      </c>
      <c r="M527">
        <v>0</v>
      </c>
      <c r="N527">
        <v>0</v>
      </c>
      <c r="O527" s="2">
        <v>0</v>
      </c>
      <c r="P527" s="2">
        <v>1</v>
      </c>
      <c r="Q527">
        <v>4</v>
      </c>
      <c r="R527" s="2">
        <v>0</v>
      </c>
      <c r="S527" s="2">
        <v>1</v>
      </c>
      <c r="T527" t="s">
        <v>374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idden="1" x14ac:dyDescent="0.25">
      <c r="A528" t="s">
        <v>25</v>
      </c>
      <c r="B528" t="s">
        <v>26</v>
      </c>
      <c r="C528" t="s">
        <v>27</v>
      </c>
      <c r="D528" s="9">
        <v>45830</v>
      </c>
      <c r="E528" s="9">
        <v>45830</v>
      </c>
      <c r="F528" s="2">
        <v>123</v>
      </c>
      <c r="G528" s="3" t="s">
        <v>23</v>
      </c>
      <c r="H528">
        <v>0</v>
      </c>
      <c r="I528" s="2">
        <v>0</v>
      </c>
      <c r="J528" s="2">
        <v>0</v>
      </c>
      <c r="K528" s="2">
        <v>0</v>
      </c>
      <c r="L528" s="2">
        <v>0</v>
      </c>
      <c r="M528">
        <v>0</v>
      </c>
      <c r="N528">
        <v>0</v>
      </c>
      <c r="O528" s="2">
        <v>0</v>
      </c>
      <c r="P528" s="2">
        <v>1</v>
      </c>
      <c r="Q528">
        <v>1</v>
      </c>
      <c r="R528" s="2">
        <v>0</v>
      </c>
      <c r="S528" s="2">
        <v>1</v>
      </c>
      <c r="T528" t="s">
        <v>375</v>
      </c>
      <c r="U528" s="2">
        <v>16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idden="1" x14ac:dyDescent="0.25">
      <c r="A529" t="s">
        <v>33</v>
      </c>
      <c r="B529" t="s">
        <v>34</v>
      </c>
      <c r="C529" t="s">
        <v>35</v>
      </c>
      <c r="D529" s="9">
        <v>45830</v>
      </c>
      <c r="E529" s="9">
        <v>45830</v>
      </c>
      <c r="F529" s="2">
        <v>34</v>
      </c>
      <c r="G529" s="3" t="s">
        <v>23</v>
      </c>
      <c r="H529">
        <v>0</v>
      </c>
      <c r="I529" s="2">
        <v>0</v>
      </c>
      <c r="J529" s="2">
        <v>0</v>
      </c>
      <c r="K529" s="2">
        <v>0</v>
      </c>
      <c r="L529" s="2">
        <v>0</v>
      </c>
      <c r="M529">
        <v>0</v>
      </c>
      <c r="N529">
        <v>0</v>
      </c>
      <c r="O529" s="2">
        <v>0</v>
      </c>
      <c r="P529" s="2">
        <v>1</v>
      </c>
      <c r="Q529">
        <v>2</v>
      </c>
      <c r="R529" s="2">
        <v>0</v>
      </c>
      <c r="S529" s="2">
        <v>1</v>
      </c>
      <c r="T529" t="s">
        <v>376</v>
      </c>
      <c r="U529" s="2">
        <v>17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</row>
    <row r="530" spans="1:28" hidden="1" x14ac:dyDescent="0.25">
      <c r="A530" t="s">
        <v>211</v>
      </c>
      <c r="B530" t="s">
        <v>38</v>
      </c>
      <c r="C530" t="s">
        <v>212</v>
      </c>
      <c r="D530" s="9">
        <v>45830</v>
      </c>
      <c r="E530" s="9">
        <v>45830</v>
      </c>
      <c r="F530" s="2">
        <v>63</v>
      </c>
      <c r="G530" s="3" t="s">
        <v>23</v>
      </c>
      <c r="H530">
        <v>0</v>
      </c>
      <c r="I530" s="2">
        <v>0</v>
      </c>
      <c r="J530" s="2">
        <v>0</v>
      </c>
      <c r="K530" s="2">
        <v>0</v>
      </c>
      <c r="L530" s="2">
        <v>0</v>
      </c>
      <c r="M530">
        <v>0</v>
      </c>
      <c r="N530">
        <v>0</v>
      </c>
      <c r="O530" s="2">
        <v>0</v>
      </c>
      <c r="P530" s="2">
        <v>0</v>
      </c>
      <c r="Q530">
        <v>8</v>
      </c>
      <c r="R530" s="2">
        <v>0</v>
      </c>
      <c r="S530" s="2">
        <v>1</v>
      </c>
      <c r="T530" t="s">
        <v>377</v>
      </c>
      <c r="U530" s="2">
        <v>10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1</v>
      </c>
    </row>
    <row r="531" spans="1:28" hidden="1" x14ac:dyDescent="0.25">
      <c r="A531" t="s">
        <v>53</v>
      </c>
      <c r="B531" t="s">
        <v>47</v>
      </c>
      <c r="C531" t="s">
        <v>212</v>
      </c>
      <c r="D531" s="9">
        <v>45830</v>
      </c>
      <c r="E531" s="9">
        <v>45830</v>
      </c>
      <c r="F531" s="2">
        <v>0</v>
      </c>
      <c r="G531" s="3" t="s">
        <v>378</v>
      </c>
      <c r="H531">
        <v>0</v>
      </c>
      <c r="I531" s="2">
        <v>0</v>
      </c>
      <c r="J531" s="2">
        <v>0</v>
      </c>
      <c r="K531" s="2">
        <v>0</v>
      </c>
      <c r="L531" s="2">
        <v>0</v>
      </c>
      <c r="M531">
        <v>0</v>
      </c>
      <c r="N531">
        <v>0</v>
      </c>
      <c r="O531" s="2">
        <v>0</v>
      </c>
      <c r="P531" s="2">
        <v>0</v>
      </c>
      <c r="Q531">
        <v>0</v>
      </c>
      <c r="R531" s="2">
        <v>0</v>
      </c>
      <c r="S531" s="2">
        <v>0</v>
      </c>
      <c r="T531" t="s">
        <v>377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</row>
    <row r="532" spans="1:28" hidden="1" x14ac:dyDescent="0.25">
      <c r="A532" t="s">
        <v>20</v>
      </c>
      <c r="B532" t="s">
        <v>21</v>
      </c>
      <c r="C532" t="s">
        <v>212</v>
      </c>
      <c r="D532" s="9">
        <v>45830</v>
      </c>
      <c r="E532" s="9">
        <v>45830</v>
      </c>
      <c r="F532" s="2">
        <v>0</v>
      </c>
      <c r="G532" s="3" t="s">
        <v>378</v>
      </c>
      <c r="H532">
        <v>0</v>
      </c>
      <c r="I532" s="2">
        <v>0</v>
      </c>
      <c r="J532" s="2">
        <v>0</v>
      </c>
      <c r="K532" s="2">
        <v>0</v>
      </c>
      <c r="L532" s="2">
        <v>0</v>
      </c>
      <c r="M532">
        <v>0</v>
      </c>
      <c r="N532">
        <v>0</v>
      </c>
      <c r="O532" s="2">
        <v>0</v>
      </c>
      <c r="P532" s="2">
        <v>0</v>
      </c>
      <c r="Q532">
        <v>0</v>
      </c>
      <c r="R532" s="2">
        <v>0</v>
      </c>
      <c r="S532" s="2">
        <v>0</v>
      </c>
      <c r="T532" t="s">
        <v>377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</row>
    <row r="533" spans="1:28" hidden="1" x14ac:dyDescent="0.25">
      <c r="A533" t="s">
        <v>29</v>
      </c>
      <c r="B533" t="s">
        <v>30</v>
      </c>
      <c r="C533" t="s">
        <v>212</v>
      </c>
      <c r="D533" s="9">
        <v>45830</v>
      </c>
      <c r="E533" s="9">
        <v>45830</v>
      </c>
      <c r="F533" s="2">
        <v>0</v>
      </c>
      <c r="G533" s="3" t="s">
        <v>378</v>
      </c>
      <c r="H533">
        <v>0</v>
      </c>
      <c r="I533" s="2">
        <v>0</v>
      </c>
      <c r="J533" s="2">
        <v>0</v>
      </c>
      <c r="K533" s="2">
        <v>0</v>
      </c>
      <c r="L533" s="2">
        <v>0</v>
      </c>
      <c r="M533">
        <v>0</v>
      </c>
      <c r="N533">
        <v>0</v>
      </c>
      <c r="O533" s="2">
        <v>0</v>
      </c>
      <c r="P533" s="2">
        <v>0</v>
      </c>
      <c r="Q533">
        <v>0</v>
      </c>
      <c r="R533" s="2">
        <v>0</v>
      </c>
      <c r="S533" s="2">
        <v>0</v>
      </c>
      <c r="T533" t="s">
        <v>377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</row>
    <row r="534" spans="1:28" hidden="1" x14ac:dyDescent="0.25">
      <c r="A534" t="s">
        <v>37</v>
      </c>
      <c r="B534" t="s">
        <v>47</v>
      </c>
      <c r="C534" t="s">
        <v>212</v>
      </c>
      <c r="D534" s="9">
        <v>45830</v>
      </c>
      <c r="E534" s="9">
        <v>45830</v>
      </c>
      <c r="F534" s="2">
        <v>0</v>
      </c>
      <c r="G534" s="3" t="s">
        <v>50</v>
      </c>
      <c r="H534">
        <v>0</v>
      </c>
      <c r="I534" s="2">
        <v>0</v>
      </c>
      <c r="J534" s="2">
        <v>0</v>
      </c>
      <c r="K534" s="2">
        <v>0</v>
      </c>
      <c r="L534" s="2">
        <v>0</v>
      </c>
      <c r="M534">
        <v>0</v>
      </c>
      <c r="N534">
        <v>0</v>
      </c>
      <c r="O534" s="2">
        <v>0</v>
      </c>
      <c r="P534" s="2">
        <v>0</v>
      </c>
      <c r="Q534">
        <v>0</v>
      </c>
      <c r="R534" s="2">
        <v>0</v>
      </c>
      <c r="S534" s="2">
        <v>0</v>
      </c>
      <c r="T534" t="s">
        <v>377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</row>
    <row r="535" spans="1:28" hidden="1" x14ac:dyDescent="0.25">
      <c r="A535" t="s">
        <v>49</v>
      </c>
      <c r="B535" t="s">
        <v>47</v>
      </c>
      <c r="C535" t="s">
        <v>212</v>
      </c>
      <c r="D535" s="9">
        <v>45830</v>
      </c>
      <c r="E535" s="9">
        <v>45830</v>
      </c>
      <c r="F535" s="2">
        <v>0</v>
      </c>
      <c r="G535" s="3" t="s">
        <v>50</v>
      </c>
      <c r="H535">
        <v>0</v>
      </c>
      <c r="I535" s="2">
        <v>0</v>
      </c>
      <c r="J535" s="2">
        <v>0</v>
      </c>
      <c r="K535" s="2">
        <v>0</v>
      </c>
      <c r="L535" s="2">
        <v>0</v>
      </c>
      <c r="M535">
        <v>0</v>
      </c>
      <c r="N535">
        <v>0</v>
      </c>
      <c r="O535" s="2">
        <v>0</v>
      </c>
      <c r="P535" s="2">
        <v>0</v>
      </c>
      <c r="Q535">
        <v>0</v>
      </c>
      <c r="R535" s="2">
        <v>0</v>
      </c>
      <c r="S535" s="2">
        <v>0</v>
      </c>
      <c r="T535" t="s">
        <v>377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</row>
    <row r="536" spans="1:28" hidden="1" x14ac:dyDescent="0.25">
      <c r="A536" t="s">
        <v>47</v>
      </c>
      <c r="B536" t="s">
        <v>52</v>
      </c>
      <c r="C536" t="s">
        <v>212</v>
      </c>
      <c r="D536" s="9">
        <v>45830</v>
      </c>
      <c r="E536" s="9">
        <v>45830</v>
      </c>
      <c r="F536" s="2">
        <v>0</v>
      </c>
      <c r="G536" s="3" t="s">
        <v>50</v>
      </c>
      <c r="H536">
        <v>0</v>
      </c>
      <c r="I536" s="2">
        <v>0</v>
      </c>
      <c r="J536" s="2">
        <v>0</v>
      </c>
      <c r="K536" s="2">
        <v>0</v>
      </c>
      <c r="L536" s="2">
        <v>0</v>
      </c>
      <c r="M536">
        <v>0</v>
      </c>
      <c r="N536">
        <v>0</v>
      </c>
      <c r="O536" s="2">
        <v>0</v>
      </c>
      <c r="P536" s="2">
        <v>0</v>
      </c>
      <c r="Q536">
        <v>0</v>
      </c>
      <c r="R536" s="2">
        <v>0</v>
      </c>
      <c r="S536" s="2">
        <v>0</v>
      </c>
      <c r="T536" t="s">
        <v>377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</row>
    <row r="537" spans="1:28" hidden="1" x14ac:dyDescent="0.25">
      <c r="A537" t="s">
        <v>29</v>
      </c>
      <c r="B537" t="s">
        <v>30</v>
      </c>
      <c r="C537" t="s">
        <v>31</v>
      </c>
      <c r="D537" s="1">
        <v>45831</v>
      </c>
      <c r="E537" s="1">
        <v>45831</v>
      </c>
      <c r="F537" s="2">
        <v>24</v>
      </c>
      <c r="G537" s="3" t="s">
        <v>23</v>
      </c>
      <c r="H537">
        <v>13</v>
      </c>
      <c r="I537" s="2">
        <v>0</v>
      </c>
      <c r="J537" s="2">
        <v>0</v>
      </c>
      <c r="K537" s="2">
        <v>0</v>
      </c>
      <c r="L537" s="2">
        <v>0</v>
      </c>
      <c r="M537">
        <v>1</v>
      </c>
      <c r="N537">
        <v>0</v>
      </c>
      <c r="O537" s="2">
        <v>0</v>
      </c>
      <c r="P537" s="2">
        <v>0</v>
      </c>
      <c r="Q537">
        <v>0</v>
      </c>
      <c r="R537" s="2">
        <v>0</v>
      </c>
      <c r="S537" s="2">
        <v>0</v>
      </c>
      <c r="T537" t="s">
        <v>379</v>
      </c>
      <c r="U537" s="2">
        <v>0</v>
      </c>
      <c r="V537" s="2">
        <v>6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</row>
    <row r="538" spans="1:28" hidden="1" x14ac:dyDescent="0.25">
      <c r="A538" t="s">
        <v>33</v>
      </c>
      <c r="B538" t="s">
        <v>34</v>
      </c>
      <c r="C538" t="s">
        <v>35</v>
      </c>
      <c r="D538" s="1">
        <v>45831</v>
      </c>
      <c r="E538" s="1">
        <v>45831</v>
      </c>
      <c r="F538" s="2">
        <v>32</v>
      </c>
      <c r="G538" s="3" t="s">
        <v>23</v>
      </c>
      <c r="H538">
        <v>12</v>
      </c>
      <c r="I538" s="2">
        <v>0</v>
      </c>
      <c r="J538" s="2">
        <v>0</v>
      </c>
      <c r="K538" s="2">
        <v>0</v>
      </c>
      <c r="L538" s="2">
        <v>0</v>
      </c>
      <c r="M538">
        <v>0</v>
      </c>
      <c r="N538">
        <v>0</v>
      </c>
      <c r="O538" s="2">
        <v>0</v>
      </c>
      <c r="P538" s="2">
        <v>0</v>
      </c>
      <c r="Q538">
        <v>0</v>
      </c>
      <c r="R538" s="2">
        <v>0</v>
      </c>
      <c r="S538" s="2">
        <v>0</v>
      </c>
      <c r="T538" t="s">
        <v>380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</row>
    <row r="539" spans="1:28" hidden="1" x14ac:dyDescent="0.25">
      <c r="A539" t="s">
        <v>25</v>
      </c>
      <c r="B539" t="s">
        <v>26</v>
      </c>
      <c r="C539" t="s">
        <v>212</v>
      </c>
      <c r="D539" s="1">
        <v>45831</v>
      </c>
      <c r="E539" s="1">
        <v>45831</v>
      </c>
      <c r="F539" s="2">
        <v>0</v>
      </c>
      <c r="G539" s="3" t="s">
        <v>572</v>
      </c>
      <c r="H539">
        <v>0</v>
      </c>
      <c r="I539" s="2">
        <v>0</v>
      </c>
      <c r="J539" s="2">
        <v>0</v>
      </c>
      <c r="K539" s="2">
        <v>0</v>
      </c>
      <c r="L539" s="2">
        <v>0</v>
      </c>
      <c r="M539">
        <v>0</v>
      </c>
      <c r="N539">
        <v>0</v>
      </c>
      <c r="O539" s="2">
        <v>0</v>
      </c>
      <c r="P539" s="2">
        <v>0</v>
      </c>
      <c r="Q539">
        <v>0</v>
      </c>
      <c r="R539" s="2">
        <v>0</v>
      </c>
      <c r="S539" s="2">
        <v>0</v>
      </c>
      <c r="T539" t="s">
        <v>377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</row>
    <row r="540" spans="1:28" hidden="1" x14ac:dyDescent="0.25">
      <c r="A540" t="s">
        <v>53</v>
      </c>
      <c r="B540" t="s">
        <v>38</v>
      </c>
      <c r="C540" t="s">
        <v>212</v>
      </c>
      <c r="D540" s="1">
        <v>45831</v>
      </c>
      <c r="E540" s="1">
        <v>45831</v>
      </c>
      <c r="F540" s="2">
        <v>0</v>
      </c>
      <c r="G540" s="3" t="s">
        <v>572</v>
      </c>
      <c r="H540">
        <v>0</v>
      </c>
      <c r="I540" s="2">
        <v>0</v>
      </c>
      <c r="J540" s="2">
        <v>0</v>
      </c>
      <c r="K540" s="2">
        <v>0</v>
      </c>
      <c r="L540" s="2">
        <v>0</v>
      </c>
      <c r="M540">
        <v>0</v>
      </c>
      <c r="N540">
        <v>0</v>
      </c>
      <c r="O540" s="2">
        <v>0</v>
      </c>
      <c r="P540" s="2">
        <v>0</v>
      </c>
      <c r="Q540">
        <v>0</v>
      </c>
      <c r="R540" s="2">
        <v>0</v>
      </c>
      <c r="S540" s="2">
        <v>0</v>
      </c>
      <c r="T540" t="s">
        <v>377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</row>
    <row r="541" spans="1:28" hidden="1" x14ac:dyDescent="0.25">
      <c r="A541" t="s">
        <v>20</v>
      </c>
      <c r="B541" t="s">
        <v>21</v>
      </c>
      <c r="C541" t="s">
        <v>212</v>
      </c>
      <c r="D541" s="1">
        <v>45831</v>
      </c>
      <c r="E541" s="1">
        <v>45831</v>
      </c>
      <c r="F541" s="2">
        <v>0</v>
      </c>
      <c r="G541" s="3" t="s">
        <v>572</v>
      </c>
      <c r="H541">
        <v>0</v>
      </c>
      <c r="I541" s="2">
        <v>0</v>
      </c>
      <c r="J541" s="2">
        <v>0</v>
      </c>
      <c r="K541" s="2">
        <v>0</v>
      </c>
      <c r="L541" s="2">
        <v>0</v>
      </c>
      <c r="M541">
        <v>0</v>
      </c>
      <c r="N541">
        <v>0</v>
      </c>
      <c r="O541" s="2">
        <v>0</v>
      </c>
      <c r="P541" s="2">
        <v>0</v>
      </c>
      <c r="Q541">
        <v>0</v>
      </c>
      <c r="R541" s="2">
        <v>0</v>
      </c>
      <c r="S541" s="2">
        <v>0</v>
      </c>
      <c r="T541" t="s">
        <v>377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idden="1" x14ac:dyDescent="0.25">
      <c r="A542" t="s">
        <v>56</v>
      </c>
      <c r="B542" t="s">
        <v>57</v>
      </c>
      <c r="C542" t="s">
        <v>212</v>
      </c>
      <c r="D542" s="1">
        <v>45831</v>
      </c>
      <c r="E542" s="1">
        <v>45831</v>
      </c>
      <c r="F542" s="2">
        <v>0</v>
      </c>
      <c r="G542" s="3" t="s">
        <v>572</v>
      </c>
      <c r="H542">
        <v>0</v>
      </c>
      <c r="I542" s="2">
        <v>0</v>
      </c>
      <c r="J542" s="2">
        <v>0</v>
      </c>
      <c r="K542" s="2">
        <v>0</v>
      </c>
      <c r="L542" s="2">
        <v>0</v>
      </c>
      <c r="M542">
        <v>0</v>
      </c>
      <c r="N542">
        <v>0</v>
      </c>
      <c r="O542" s="2">
        <v>0</v>
      </c>
      <c r="P542" s="2">
        <v>0</v>
      </c>
      <c r="Q542">
        <v>0</v>
      </c>
      <c r="R542" s="2">
        <v>0</v>
      </c>
      <c r="S542" s="2">
        <v>0</v>
      </c>
      <c r="T542" t="s">
        <v>377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idden="1" x14ac:dyDescent="0.25">
      <c r="A543" t="s">
        <v>37</v>
      </c>
      <c r="B543" t="s">
        <v>47</v>
      </c>
      <c r="C543" t="s">
        <v>212</v>
      </c>
      <c r="D543" s="1">
        <v>45831</v>
      </c>
      <c r="E543" s="1">
        <v>45831</v>
      </c>
      <c r="F543" s="2">
        <v>0</v>
      </c>
      <c r="G543" s="3" t="s">
        <v>50</v>
      </c>
      <c r="H543">
        <v>0</v>
      </c>
      <c r="I543" s="2">
        <v>0</v>
      </c>
      <c r="J543" s="2">
        <v>0</v>
      </c>
      <c r="K543" s="2">
        <v>0</v>
      </c>
      <c r="L543" s="2">
        <v>0</v>
      </c>
      <c r="M543">
        <v>0</v>
      </c>
      <c r="N543">
        <v>0</v>
      </c>
      <c r="O543" s="2">
        <v>0</v>
      </c>
      <c r="P543" s="2">
        <v>0</v>
      </c>
      <c r="Q543">
        <v>0</v>
      </c>
      <c r="R543" s="2">
        <v>0</v>
      </c>
      <c r="S543" s="2">
        <v>0</v>
      </c>
      <c r="T543" t="s">
        <v>377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idden="1" x14ac:dyDescent="0.25">
      <c r="A544" t="s">
        <v>49</v>
      </c>
      <c r="B544" t="s">
        <v>47</v>
      </c>
      <c r="C544" t="s">
        <v>212</v>
      </c>
      <c r="D544" s="1">
        <v>45831</v>
      </c>
      <c r="E544" s="1">
        <v>45831</v>
      </c>
      <c r="F544" s="2">
        <v>0</v>
      </c>
      <c r="G544" s="3" t="s">
        <v>50</v>
      </c>
      <c r="H544">
        <v>0</v>
      </c>
      <c r="I544" s="2">
        <v>0</v>
      </c>
      <c r="J544" s="2">
        <v>0</v>
      </c>
      <c r="K544" s="2">
        <v>0</v>
      </c>
      <c r="L544" s="2">
        <v>0</v>
      </c>
      <c r="M544">
        <v>0</v>
      </c>
      <c r="N544">
        <v>0</v>
      </c>
      <c r="O544" s="2">
        <v>0</v>
      </c>
      <c r="P544" s="2">
        <v>0</v>
      </c>
      <c r="Q544">
        <v>0</v>
      </c>
      <c r="R544" s="2">
        <v>0</v>
      </c>
      <c r="S544" s="2">
        <v>0</v>
      </c>
      <c r="T544" t="s">
        <v>377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idden="1" x14ac:dyDescent="0.25">
      <c r="A545" t="s">
        <v>47</v>
      </c>
      <c r="B545" t="s">
        <v>52</v>
      </c>
      <c r="C545" t="s">
        <v>212</v>
      </c>
      <c r="D545" s="1">
        <v>45831</v>
      </c>
      <c r="E545" s="1">
        <v>45831</v>
      </c>
      <c r="F545" s="2">
        <v>0</v>
      </c>
      <c r="G545" s="3" t="s">
        <v>50</v>
      </c>
      <c r="H545">
        <v>0</v>
      </c>
      <c r="I545" s="2">
        <v>0</v>
      </c>
      <c r="J545" s="2">
        <v>0</v>
      </c>
      <c r="K545" s="2">
        <v>0</v>
      </c>
      <c r="L545" s="2">
        <v>0</v>
      </c>
      <c r="M545">
        <v>0</v>
      </c>
      <c r="N545">
        <v>0</v>
      </c>
      <c r="O545" s="2">
        <v>0</v>
      </c>
      <c r="P545" s="2">
        <v>0</v>
      </c>
      <c r="Q545">
        <v>0</v>
      </c>
      <c r="R545" s="2">
        <v>0</v>
      </c>
      <c r="S545" s="2">
        <v>0</v>
      </c>
      <c r="T545" t="s">
        <v>377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idden="1" x14ac:dyDescent="0.25">
      <c r="A546" t="s">
        <v>56</v>
      </c>
      <c r="B546" t="s">
        <v>57</v>
      </c>
      <c r="C546" t="s">
        <v>64</v>
      </c>
      <c r="D546" s="1">
        <v>45832</v>
      </c>
      <c r="E546" s="1">
        <v>45832</v>
      </c>
      <c r="F546" s="2">
        <v>47</v>
      </c>
      <c r="G546" s="3" t="s">
        <v>23</v>
      </c>
      <c r="H546">
        <v>33</v>
      </c>
      <c r="I546" s="2">
        <v>0</v>
      </c>
      <c r="J546" s="2">
        <v>0</v>
      </c>
      <c r="K546" s="2">
        <v>0</v>
      </c>
      <c r="L546" s="2">
        <v>1</v>
      </c>
      <c r="M546">
        <v>1</v>
      </c>
      <c r="N546">
        <v>0</v>
      </c>
      <c r="O546" s="2">
        <v>0</v>
      </c>
      <c r="P546" s="2">
        <v>0</v>
      </c>
      <c r="Q546">
        <v>1</v>
      </c>
      <c r="R546" s="2">
        <v>0</v>
      </c>
      <c r="S546" s="2">
        <v>0</v>
      </c>
      <c r="T546" t="s">
        <v>381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idden="1" x14ac:dyDescent="0.25">
      <c r="A547" t="s">
        <v>25</v>
      </c>
      <c r="B547" t="s">
        <v>26</v>
      </c>
      <c r="C547" t="s">
        <v>27</v>
      </c>
      <c r="D547" s="1">
        <v>45832</v>
      </c>
      <c r="E547" s="1">
        <v>45832</v>
      </c>
      <c r="F547" s="2">
        <v>55</v>
      </c>
      <c r="G547" s="3" t="s">
        <v>23</v>
      </c>
      <c r="H547">
        <v>28</v>
      </c>
      <c r="I547" s="2">
        <v>0</v>
      </c>
      <c r="J547" s="2">
        <v>0</v>
      </c>
      <c r="K547" s="2">
        <v>1</v>
      </c>
      <c r="L547" s="2">
        <v>0</v>
      </c>
      <c r="M547">
        <v>1</v>
      </c>
      <c r="N547">
        <v>0</v>
      </c>
      <c r="O547" s="2">
        <v>0</v>
      </c>
      <c r="P547" s="2">
        <v>0</v>
      </c>
      <c r="Q547">
        <v>0</v>
      </c>
      <c r="R547" s="2">
        <v>0</v>
      </c>
      <c r="S547" s="2">
        <v>0</v>
      </c>
      <c r="T547" t="s">
        <v>382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idden="1" x14ac:dyDescent="0.25">
      <c r="A548" t="s">
        <v>33</v>
      </c>
      <c r="B548" t="s">
        <v>38</v>
      </c>
      <c r="C548" t="s">
        <v>35</v>
      </c>
      <c r="D548" s="1">
        <v>45832</v>
      </c>
      <c r="E548" s="1">
        <v>45832</v>
      </c>
      <c r="F548" s="2">
        <v>28</v>
      </c>
      <c r="G548" s="3" t="s">
        <v>23</v>
      </c>
      <c r="H548">
        <v>34</v>
      </c>
      <c r="I548" s="2">
        <v>0</v>
      </c>
      <c r="J548" s="2">
        <v>0</v>
      </c>
      <c r="K548" s="2">
        <v>1</v>
      </c>
      <c r="L548" s="2">
        <v>0</v>
      </c>
      <c r="M548">
        <v>0</v>
      </c>
      <c r="N548">
        <v>0</v>
      </c>
      <c r="O548" s="2">
        <v>0</v>
      </c>
      <c r="P548" s="2">
        <v>0</v>
      </c>
      <c r="Q548">
        <v>0</v>
      </c>
      <c r="R548" s="2">
        <v>0</v>
      </c>
      <c r="S548" s="2">
        <v>0</v>
      </c>
      <c r="T548" t="s">
        <v>383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idden="1" x14ac:dyDescent="0.25">
      <c r="A549" t="s">
        <v>29</v>
      </c>
      <c r="B549" t="s">
        <v>30</v>
      </c>
      <c r="C549" t="s">
        <v>35</v>
      </c>
      <c r="D549" s="1">
        <v>45832</v>
      </c>
      <c r="E549" s="1">
        <v>45832</v>
      </c>
      <c r="F549" s="2">
        <v>28</v>
      </c>
      <c r="G549" s="3" t="s">
        <v>23</v>
      </c>
      <c r="H549">
        <v>16</v>
      </c>
      <c r="I549" s="2">
        <v>0</v>
      </c>
      <c r="J549" s="2">
        <v>0</v>
      </c>
      <c r="K549" s="2">
        <v>1</v>
      </c>
      <c r="L549" s="2">
        <v>0</v>
      </c>
      <c r="M549">
        <v>0</v>
      </c>
      <c r="N549">
        <v>0</v>
      </c>
      <c r="O549" s="2">
        <v>0</v>
      </c>
      <c r="P549" s="2">
        <v>0</v>
      </c>
      <c r="Q549">
        <v>1</v>
      </c>
      <c r="R549" s="2">
        <v>0</v>
      </c>
      <c r="S549" s="2">
        <v>0</v>
      </c>
      <c r="T549" t="s">
        <v>383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idden="1" x14ac:dyDescent="0.25">
      <c r="A550" t="s">
        <v>53</v>
      </c>
      <c r="B550" t="s">
        <v>34</v>
      </c>
      <c r="C550" t="s">
        <v>212</v>
      </c>
      <c r="D550" s="1">
        <v>45832</v>
      </c>
      <c r="E550" s="1">
        <v>45832</v>
      </c>
      <c r="F550" s="2">
        <v>0</v>
      </c>
      <c r="G550" s="3" t="s">
        <v>48</v>
      </c>
      <c r="H550">
        <v>0</v>
      </c>
      <c r="I550" s="2">
        <v>0</v>
      </c>
      <c r="J550" s="2">
        <v>0</v>
      </c>
      <c r="K550" s="2">
        <v>0</v>
      </c>
      <c r="L550" s="2">
        <v>0</v>
      </c>
      <c r="M550">
        <v>0</v>
      </c>
      <c r="N550">
        <v>0</v>
      </c>
      <c r="O550" s="2">
        <v>0</v>
      </c>
      <c r="P550" s="2">
        <v>0</v>
      </c>
      <c r="Q550">
        <v>0</v>
      </c>
      <c r="R550" s="2">
        <v>0</v>
      </c>
      <c r="S550" s="2">
        <v>0</v>
      </c>
      <c r="T550" t="s">
        <v>377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idden="1" x14ac:dyDescent="0.25">
      <c r="A551" t="s">
        <v>20</v>
      </c>
      <c r="B551" t="s">
        <v>21</v>
      </c>
      <c r="C551" t="s">
        <v>212</v>
      </c>
      <c r="D551" s="1">
        <v>45832</v>
      </c>
      <c r="E551" s="1">
        <v>45832</v>
      </c>
      <c r="F551" s="2">
        <v>0</v>
      </c>
      <c r="G551" s="3" t="s">
        <v>48</v>
      </c>
      <c r="H551">
        <v>0</v>
      </c>
      <c r="I551" s="2">
        <v>0</v>
      </c>
      <c r="J551" s="2">
        <v>0</v>
      </c>
      <c r="K551" s="2">
        <v>0</v>
      </c>
      <c r="L551" s="2">
        <v>0</v>
      </c>
      <c r="M551">
        <v>0</v>
      </c>
      <c r="N551">
        <v>0</v>
      </c>
      <c r="O551" s="2">
        <v>0</v>
      </c>
      <c r="P551" s="2">
        <v>0</v>
      </c>
      <c r="Q551">
        <v>0</v>
      </c>
      <c r="R551" s="2">
        <v>0</v>
      </c>
      <c r="S551" s="2">
        <v>0</v>
      </c>
      <c r="T551" t="s">
        <v>377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</row>
    <row r="552" spans="1:28" hidden="1" x14ac:dyDescent="0.25">
      <c r="A552" t="s">
        <v>37</v>
      </c>
      <c r="B552" t="s">
        <v>47</v>
      </c>
      <c r="C552" t="s">
        <v>212</v>
      </c>
      <c r="D552" s="1">
        <v>45832</v>
      </c>
      <c r="E552" s="1">
        <v>45832</v>
      </c>
      <c r="F552" s="2">
        <v>0</v>
      </c>
      <c r="G552" s="3" t="s">
        <v>50</v>
      </c>
      <c r="H552">
        <v>0</v>
      </c>
      <c r="I552" s="2">
        <v>0</v>
      </c>
      <c r="J552" s="2">
        <v>0</v>
      </c>
      <c r="K552" s="2">
        <v>0</v>
      </c>
      <c r="L552" s="2">
        <v>0</v>
      </c>
      <c r="M552">
        <v>0</v>
      </c>
      <c r="N552">
        <v>0</v>
      </c>
      <c r="O552" s="2">
        <v>0</v>
      </c>
      <c r="P552" s="2">
        <v>0</v>
      </c>
      <c r="Q552">
        <v>0</v>
      </c>
      <c r="R552" s="2">
        <v>0</v>
      </c>
      <c r="S552" s="2">
        <v>0</v>
      </c>
      <c r="T552" t="s">
        <v>377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</row>
    <row r="553" spans="1:28" hidden="1" x14ac:dyDescent="0.25">
      <c r="A553" t="s">
        <v>49</v>
      </c>
      <c r="B553" t="s">
        <v>47</v>
      </c>
      <c r="C553" t="s">
        <v>212</v>
      </c>
      <c r="D553" s="1">
        <v>45832</v>
      </c>
      <c r="E553" s="1">
        <v>45832</v>
      </c>
      <c r="F553" s="2">
        <v>0</v>
      </c>
      <c r="G553" s="3" t="s">
        <v>50</v>
      </c>
      <c r="H553">
        <v>0</v>
      </c>
      <c r="I553" s="2">
        <v>0</v>
      </c>
      <c r="J553" s="2">
        <v>0</v>
      </c>
      <c r="K553" s="2">
        <v>0</v>
      </c>
      <c r="L553" s="2">
        <v>0</v>
      </c>
      <c r="M553">
        <v>0</v>
      </c>
      <c r="N553">
        <v>0</v>
      </c>
      <c r="O553" s="2">
        <v>0</v>
      </c>
      <c r="P553" s="2">
        <v>0</v>
      </c>
      <c r="Q553">
        <v>0</v>
      </c>
      <c r="R553" s="2">
        <v>0</v>
      </c>
      <c r="S553" s="2">
        <v>0</v>
      </c>
      <c r="T553" t="s">
        <v>377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</row>
    <row r="554" spans="1:28" hidden="1" x14ac:dyDescent="0.25">
      <c r="A554" t="s">
        <v>47</v>
      </c>
      <c r="B554" t="s">
        <v>52</v>
      </c>
      <c r="C554" t="s">
        <v>212</v>
      </c>
      <c r="D554" s="1">
        <v>45832</v>
      </c>
      <c r="E554" s="1">
        <v>45832</v>
      </c>
      <c r="F554" s="2">
        <v>0</v>
      </c>
      <c r="G554" s="3" t="s">
        <v>50</v>
      </c>
      <c r="H554">
        <v>0</v>
      </c>
      <c r="I554" s="2">
        <v>0</v>
      </c>
      <c r="J554" s="2">
        <v>0</v>
      </c>
      <c r="K554" s="2">
        <v>0</v>
      </c>
      <c r="L554" s="2">
        <v>0</v>
      </c>
      <c r="M554">
        <v>0</v>
      </c>
      <c r="N554">
        <v>0</v>
      </c>
      <c r="O554" s="2">
        <v>0</v>
      </c>
      <c r="P554" s="2">
        <v>0</v>
      </c>
      <c r="Q554">
        <v>0</v>
      </c>
      <c r="R554" s="2">
        <v>0</v>
      </c>
      <c r="S554" s="2">
        <v>0</v>
      </c>
      <c r="T554" t="s">
        <v>377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</row>
    <row r="555" spans="1:28" hidden="1" x14ac:dyDescent="0.25">
      <c r="A555" t="s">
        <v>56</v>
      </c>
      <c r="B555" t="s">
        <v>57</v>
      </c>
      <c r="C555" t="s">
        <v>64</v>
      </c>
      <c r="D555" s="1">
        <v>45833</v>
      </c>
      <c r="E555" s="1">
        <v>45833</v>
      </c>
      <c r="F555" s="2">
        <v>229</v>
      </c>
      <c r="G555" s="3" t="s">
        <v>23</v>
      </c>
      <c r="H555">
        <v>43</v>
      </c>
      <c r="I555" s="2">
        <v>0</v>
      </c>
      <c r="J555" s="2">
        <v>0</v>
      </c>
      <c r="K555" s="2">
        <v>1</v>
      </c>
      <c r="L555" s="2">
        <v>0</v>
      </c>
      <c r="M555">
        <v>0</v>
      </c>
      <c r="N555">
        <v>0</v>
      </c>
      <c r="O555" s="2">
        <v>0</v>
      </c>
      <c r="P555" s="2">
        <v>0</v>
      </c>
      <c r="Q555">
        <v>0</v>
      </c>
      <c r="R555" s="2">
        <v>0</v>
      </c>
      <c r="S555" s="2">
        <v>0</v>
      </c>
      <c r="T555" t="s">
        <v>384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</row>
    <row r="556" spans="1:28" hidden="1" x14ac:dyDescent="0.25">
      <c r="A556" t="s">
        <v>25</v>
      </c>
      <c r="B556" t="s">
        <v>26</v>
      </c>
      <c r="C556" t="s">
        <v>27</v>
      </c>
      <c r="D556" s="1">
        <v>45833</v>
      </c>
      <c r="E556" s="1">
        <v>45833</v>
      </c>
      <c r="F556" s="2">
        <v>21</v>
      </c>
      <c r="G556" s="3" t="s">
        <v>23</v>
      </c>
      <c r="H556">
        <v>3</v>
      </c>
      <c r="I556" s="2">
        <v>0</v>
      </c>
      <c r="J556" s="2">
        <v>0</v>
      </c>
      <c r="K556" s="2">
        <v>0</v>
      </c>
      <c r="L556" s="2">
        <v>0</v>
      </c>
      <c r="M556">
        <v>1</v>
      </c>
      <c r="N556">
        <v>0</v>
      </c>
      <c r="O556" s="2">
        <v>0</v>
      </c>
      <c r="P556" s="2">
        <v>0</v>
      </c>
      <c r="Q556">
        <v>0</v>
      </c>
      <c r="R556" s="2">
        <v>0</v>
      </c>
      <c r="S556" s="2">
        <v>0</v>
      </c>
      <c r="T556" t="s">
        <v>385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</row>
    <row r="557" spans="1:28" hidden="1" x14ac:dyDescent="0.25">
      <c r="A557" t="s">
        <v>29</v>
      </c>
      <c r="B557" t="s">
        <v>30</v>
      </c>
      <c r="C557" t="s">
        <v>31</v>
      </c>
      <c r="D557" s="1">
        <v>45833</v>
      </c>
      <c r="E557" s="1">
        <v>45833</v>
      </c>
      <c r="F557" s="2">
        <v>20</v>
      </c>
      <c r="G557" s="3" t="s">
        <v>23</v>
      </c>
      <c r="H557">
        <v>75</v>
      </c>
      <c r="I557" s="2">
        <v>0</v>
      </c>
      <c r="J557" s="2">
        <v>0</v>
      </c>
      <c r="K557" s="2">
        <v>0</v>
      </c>
      <c r="L557" s="2">
        <v>1</v>
      </c>
      <c r="M557">
        <v>0</v>
      </c>
      <c r="N557">
        <v>0</v>
      </c>
      <c r="O557" s="2">
        <v>0</v>
      </c>
      <c r="P557" s="2">
        <v>0</v>
      </c>
      <c r="Q557">
        <v>0</v>
      </c>
      <c r="R557" s="2">
        <v>0</v>
      </c>
      <c r="S557" s="2">
        <v>0</v>
      </c>
      <c r="T557" t="s">
        <v>386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</row>
    <row r="558" spans="1:28" hidden="1" x14ac:dyDescent="0.25">
      <c r="A558" t="s">
        <v>53</v>
      </c>
      <c r="B558" t="s">
        <v>34</v>
      </c>
      <c r="C558" t="s">
        <v>212</v>
      </c>
      <c r="D558" s="1">
        <v>45833</v>
      </c>
      <c r="E558" s="1">
        <v>45833</v>
      </c>
      <c r="F558" s="2">
        <v>57</v>
      </c>
      <c r="G558" s="3" t="s">
        <v>23</v>
      </c>
      <c r="H558">
        <v>54</v>
      </c>
      <c r="I558" s="2">
        <v>0</v>
      </c>
      <c r="J558" s="2">
        <v>0</v>
      </c>
      <c r="K558" s="2">
        <v>1</v>
      </c>
      <c r="L558" s="2">
        <v>0</v>
      </c>
      <c r="M558">
        <v>0</v>
      </c>
      <c r="N558">
        <v>0</v>
      </c>
      <c r="O558" s="2">
        <v>0</v>
      </c>
      <c r="P558" s="2">
        <v>0</v>
      </c>
      <c r="Q558">
        <v>0</v>
      </c>
      <c r="R558" s="2">
        <v>0</v>
      </c>
      <c r="S558" s="2">
        <v>0</v>
      </c>
      <c r="T558" t="s">
        <v>387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</row>
    <row r="559" spans="1:28" hidden="1" x14ac:dyDescent="0.25">
      <c r="A559" t="s">
        <v>20</v>
      </c>
      <c r="B559" t="s">
        <v>21</v>
      </c>
      <c r="C559" t="s">
        <v>212</v>
      </c>
      <c r="D559" s="1">
        <v>45833</v>
      </c>
      <c r="E559" s="1">
        <v>45833</v>
      </c>
      <c r="F559" s="2">
        <v>57</v>
      </c>
      <c r="G559" s="3" t="s">
        <v>23</v>
      </c>
      <c r="H559">
        <v>56</v>
      </c>
      <c r="I559" s="2">
        <v>0</v>
      </c>
      <c r="J559" s="2">
        <v>0</v>
      </c>
      <c r="K559" s="2">
        <v>1</v>
      </c>
      <c r="L559" s="2">
        <v>0</v>
      </c>
      <c r="M559">
        <v>0</v>
      </c>
      <c r="N559">
        <v>0</v>
      </c>
      <c r="O559" s="2">
        <v>0</v>
      </c>
      <c r="P559" s="2">
        <v>0</v>
      </c>
      <c r="Q559">
        <v>0</v>
      </c>
      <c r="R559" s="2">
        <v>0</v>
      </c>
      <c r="S559" s="2">
        <v>0</v>
      </c>
      <c r="T559" t="s">
        <v>387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</row>
    <row r="560" spans="1:28" hidden="1" x14ac:dyDescent="0.25">
      <c r="A560" t="s">
        <v>47</v>
      </c>
      <c r="B560" t="s">
        <v>38</v>
      </c>
      <c r="C560" t="s">
        <v>212</v>
      </c>
      <c r="D560" s="1">
        <v>45833</v>
      </c>
      <c r="E560" s="1">
        <v>45833</v>
      </c>
      <c r="F560" s="2">
        <v>0</v>
      </c>
      <c r="G560" s="3" t="s">
        <v>572</v>
      </c>
      <c r="H560">
        <v>0</v>
      </c>
      <c r="I560" s="2">
        <v>0</v>
      </c>
      <c r="J560" s="2">
        <v>0</v>
      </c>
      <c r="K560" s="2">
        <v>0</v>
      </c>
      <c r="L560" s="2">
        <v>0</v>
      </c>
      <c r="M560">
        <v>0</v>
      </c>
      <c r="N560">
        <v>0</v>
      </c>
      <c r="O560" s="2">
        <v>0</v>
      </c>
      <c r="P560" s="2">
        <v>0</v>
      </c>
      <c r="Q560">
        <v>0</v>
      </c>
      <c r="R560" s="2">
        <v>0</v>
      </c>
      <c r="S560" s="2">
        <v>0</v>
      </c>
      <c r="T560" t="s">
        <v>377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</row>
    <row r="561" spans="1:28" hidden="1" x14ac:dyDescent="0.25">
      <c r="A561" t="s">
        <v>33</v>
      </c>
      <c r="B561" t="s">
        <v>47</v>
      </c>
      <c r="C561" t="s">
        <v>212</v>
      </c>
      <c r="D561" s="1">
        <v>45833</v>
      </c>
      <c r="E561" s="1">
        <v>45833</v>
      </c>
      <c r="F561" s="2">
        <v>0</v>
      </c>
      <c r="G561" s="3" t="s">
        <v>48</v>
      </c>
      <c r="H561">
        <v>0</v>
      </c>
      <c r="I561" s="2">
        <v>0</v>
      </c>
      <c r="J561" s="2">
        <v>0</v>
      </c>
      <c r="K561" s="2">
        <v>0</v>
      </c>
      <c r="L561" s="2">
        <v>0</v>
      </c>
      <c r="M561">
        <v>0</v>
      </c>
      <c r="N561">
        <v>0</v>
      </c>
      <c r="O561" s="2">
        <v>0</v>
      </c>
      <c r="P561" s="2">
        <v>0</v>
      </c>
      <c r="Q561">
        <v>0</v>
      </c>
      <c r="R561" s="2">
        <v>0</v>
      </c>
      <c r="S561" s="2">
        <v>0</v>
      </c>
      <c r="T561" t="s">
        <v>377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</row>
    <row r="562" spans="1:28" hidden="1" x14ac:dyDescent="0.25">
      <c r="A562" t="s">
        <v>37</v>
      </c>
      <c r="B562" t="s">
        <v>47</v>
      </c>
      <c r="C562" t="s">
        <v>212</v>
      </c>
      <c r="D562" s="1">
        <v>45833</v>
      </c>
      <c r="E562" s="1">
        <v>45833</v>
      </c>
      <c r="F562" s="2">
        <v>0</v>
      </c>
      <c r="G562" s="3" t="s">
        <v>50</v>
      </c>
      <c r="H562">
        <v>0</v>
      </c>
      <c r="I562" s="2">
        <v>0</v>
      </c>
      <c r="J562" s="2">
        <v>0</v>
      </c>
      <c r="K562" s="2">
        <v>0</v>
      </c>
      <c r="L562" s="2">
        <v>0</v>
      </c>
      <c r="M562">
        <v>0</v>
      </c>
      <c r="N562">
        <v>0</v>
      </c>
      <c r="O562" s="2">
        <v>0</v>
      </c>
      <c r="P562" s="2">
        <v>0</v>
      </c>
      <c r="Q562">
        <v>0</v>
      </c>
      <c r="R562" s="2">
        <v>0</v>
      </c>
      <c r="S562" s="2">
        <v>0</v>
      </c>
      <c r="T562" t="s">
        <v>377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idden="1" x14ac:dyDescent="0.25">
      <c r="A563" t="s">
        <v>49</v>
      </c>
      <c r="B563" t="s">
        <v>47</v>
      </c>
      <c r="C563" t="s">
        <v>212</v>
      </c>
      <c r="D563" s="1">
        <v>45833</v>
      </c>
      <c r="E563" s="1">
        <v>45833</v>
      </c>
      <c r="F563" s="2">
        <v>0</v>
      </c>
      <c r="G563" s="3" t="s">
        <v>50</v>
      </c>
      <c r="H563">
        <v>0</v>
      </c>
      <c r="I563" s="2">
        <v>0</v>
      </c>
      <c r="J563" s="2">
        <v>0</v>
      </c>
      <c r="K563" s="2">
        <v>0</v>
      </c>
      <c r="L563" s="2">
        <v>0</v>
      </c>
      <c r="M563">
        <v>0</v>
      </c>
      <c r="N563">
        <v>0</v>
      </c>
      <c r="O563" s="2">
        <v>0</v>
      </c>
      <c r="P563" s="2">
        <v>0</v>
      </c>
      <c r="Q563">
        <v>0</v>
      </c>
      <c r="R563" s="2">
        <v>0</v>
      </c>
      <c r="S563" s="2">
        <v>0</v>
      </c>
      <c r="T563" t="s">
        <v>377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</row>
    <row r="564" spans="1:28" hidden="1" x14ac:dyDescent="0.25">
      <c r="A564" t="s">
        <v>47</v>
      </c>
      <c r="B564" t="s">
        <v>52</v>
      </c>
      <c r="C564" t="s">
        <v>212</v>
      </c>
      <c r="D564" s="1">
        <v>45833</v>
      </c>
      <c r="E564" s="1">
        <v>45833</v>
      </c>
      <c r="F564" s="2">
        <v>0</v>
      </c>
      <c r="G564" s="3" t="s">
        <v>50</v>
      </c>
      <c r="H564">
        <v>0</v>
      </c>
      <c r="I564" s="2">
        <v>0</v>
      </c>
      <c r="J564" s="2">
        <v>0</v>
      </c>
      <c r="K564" s="2">
        <v>0</v>
      </c>
      <c r="L564" s="2">
        <v>0</v>
      </c>
      <c r="M564">
        <v>0</v>
      </c>
      <c r="N564">
        <v>0</v>
      </c>
      <c r="O564" s="2">
        <v>0</v>
      </c>
      <c r="P564" s="2">
        <v>0</v>
      </c>
      <c r="Q564">
        <v>0</v>
      </c>
      <c r="R564" s="2">
        <v>0</v>
      </c>
      <c r="S564" s="2">
        <v>0</v>
      </c>
      <c r="T564" t="s">
        <v>377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</row>
    <row r="565" spans="1:28" hidden="1" x14ac:dyDescent="0.25">
      <c r="A565" t="s">
        <v>56</v>
      </c>
      <c r="B565" t="s">
        <v>47</v>
      </c>
      <c r="C565" t="s">
        <v>64</v>
      </c>
      <c r="D565" s="1">
        <v>45834</v>
      </c>
      <c r="E565" s="1">
        <v>45834</v>
      </c>
      <c r="F565" s="2">
        <v>61</v>
      </c>
      <c r="G565" s="3" t="s">
        <v>23</v>
      </c>
      <c r="H565">
        <v>20</v>
      </c>
      <c r="I565" s="2">
        <v>0</v>
      </c>
      <c r="J565" s="2">
        <v>0</v>
      </c>
      <c r="K565" s="2">
        <v>1</v>
      </c>
      <c r="L565" s="2">
        <v>0</v>
      </c>
      <c r="M565">
        <v>0</v>
      </c>
      <c r="N565">
        <v>0</v>
      </c>
      <c r="O565" s="2">
        <v>0</v>
      </c>
      <c r="P565" s="2">
        <v>0</v>
      </c>
      <c r="Q565">
        <v>0</v>
      </c>
      <c r="R565" s="2">
        <v>0</v>
      </c>
      <c r="S565" s="2">
        <v>0</v>
      </c>
      <c r="T565" t="s">
        <v>388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idden="1" x14ac:dyDescent="0.25">
      <c r="A566" t="s">
        <v>29</v>
      </c>
      <c r="B566" t="s">
        <v>30</v>
      </c>
      <c r="C566" t="s">
        <v>31</v>
      </c>
      <c r="D566" s="1">
        <v>45834</v>
      </c>
      <c r="E566" s="1">
        <v>45834</v>
      </c>
      <c r="F566" s="2">
        <v>943</v>
      </c>
      <c r="G566" s="3" t="s">
        <v>23</v>
      </c>
      <c r="H566">
        <v>16</v>
      </c>
      <c r="I566" s="2">
        <v>0</v>
      </c>
      <c r="J566" s="2">
        <v>0</v>
      </c>
      <c r="K566" s="2">
        <v>1</v>
      </c>
      <c r="L566" s="2">
        <v>0</v>
      </c>
      <c r="M566">
        <v>0</v>
      </c>
      <c r="N566">
        <v>0</v>
      </c>
      <c r="O566" s="2">
        <v>0</v>
      </c>
      <c r="P566" s="2">
        <v>0</v>
      </c>
      <c r="Q566">
        <v>0</v>
      </c>
      <c r="R566" s="2">
        <v>0</v>
      </c>
      <c r="S566" s="2">
        <v>0</v>
      </c>
      <c r="T566" t="s">
        <v>389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</row>
    <row r="567" spans="1:28" hidden="1" x14ac:dyDescent="0.25">
      <c r="A567" t="s">
        <v>37</v>
      </c>
      <c r="B567" t="s">
        <v>47</v>
      </c>
      <c r="C567" t="s">
        <v>39</v>
      </c>
      <c r="D567" s="1">
        <v>45834</v>
      </c>
      <c r="E567" s="1">
        <v>45834</v>
      </c>
      <c r="F567" s="2">
        <v>20</v>
      </c>
      <c r="G567" s="3" t="s">
        <v>23</v>
      </c>
      <c r="H567">
        <v>13</v>
      </c>
      <c r="I567" s="2">
        <v>0</v>
      </c>
      <c r="J567" s="2">
        <v>0</v>
      </c>
      <c r="K567" s="2">
        <v>0</v>
      </c>
      <c r="L567" s="2">
        <v>0</v>
      </c>
      <c r="M567">
        <v>0</v>
      </c>
      <c r="N567">
        <v>0</v>
      </c>
      <c r="O567" s="2">
        <v>0</v>
      </c>
      <c r="P567" s="2">
        <v>0</v>
      </c>
      <c r="Q567">
        <v>0</v>
      </c>
      <c r="R567" s="2">
        <v>0</v>
      </c>
      <c r="S567" s="2">
        <v>0</v>
      </c>
      <c r="T567" t="s">
        <v>390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</row>
    <row r="568" spans="1:28" hidden="1" x14ac:dyDescent="0.25">
      <c r="A568" t="s">
        <v>47</v>
      </c>
      <c r="B568" t="s">
        <v>38</v>
      </c>
      <c r="C568" t="s">
        <v>39</v>
      </c>
      <c r="D568" s="1">
        <v>45834</v>
      </c>
      <c r="E568" s="1">
        <v>45834</v>
      </c>
      <c r="F568" s="2">
        <v>20</v>
      </c>
      <c r="G568" s="3" t="s">
        <v>23</v>
      </c>
      <c r="H568">
        <v>33</v>
      </c>
      <c r="I568" s="2">
        <v>0</v>
      </c>
      <c r="J568" s="2">
        <v>0</v>
      </c>
      <c r="K568" s="2">
        <v>1</v>
      </c>
      <c r="L568" s="2">
        <v>0</v>
      </c>
      <c r="M568">
        <v>0</v>
      </c>
      <c r="N568">
        <v>0</v>
      </c>
      <c r="O568" s="2">
        <v>0</v>
      </c>
      <c r="P568" s="2">
        <v>0</v>
      </c>
      <c r="Q568">
        <v>0</v>
      </c>
      <c r="R568" s="2">
        <v>0</v>
      </c>
      <c r="S568" s="2">
        <v>0</v>
      </c>
      <c r="T568" t="s">
        <v>390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</row>
    <row r="569" spans="1:28" hidden="1" x14ac:dyDescent="0.25">
      <c r="A569" t="s">
        <v>53</v>
      </c>
      <c r="B569" t="s">
        <v>34</v>
      </c>
      <c r="C569" t="s">
        <v>212</v>
      </c>
      <c r="D569" s="1">
        <v>45834</v>
      </c>
      <c r="E569" s="1">
        <v>45834</v>
      </c>
      <c r="F569" s="2">
        <v>20</v>
      </c>
      <c r="G569" s="3" t="s">
        <v>23</v>
      </c>
      <c r="H569">
        <v>30</v>
      </c>
      <c r="I569" s="2">
        <v>0</v>
      </c>
      <c r="J569" s="2">
        <v>0</v>
      </c>
      <c r="K569" s="2">
        <v>1</v>
      </c>
      <c r="L569" s="2">
        <v>0</v>
      </c>
      <c r="M569">
        <v>0</v>
      </c>
      <c r="N569">
        <v>0</v>
      </c>
      <c r="O569" s="2">
        <v>0</v>
      </c>
      <c r="P569" s="2">
        <v>0</v>
      </c>
      <c r="Q569">
        <v>0</v>
      </c>
      <c r="R569" s="2">
        <v>0</v>
      </c>
      <c r="S569" s="2">
        <v>0</v>
      </c>
      <c r="T569" t="s">
        <v>391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</row>
    <row r="570" spans="1:28" hidden="1" x14ac:dyDescent="0.25">
      <c r="A570" t="s">
        <v>20</v>
      </c>
      <c r="B570" t="s">
        <v>21</v>
      </c>
      <c r="C570" t="s">
        <v>212</v>
      </c>
      <c r="D570" s="1">
        <v>45834</v>
      </c>
      <c r="E570" s="1">
        <v>45834</v>
      </c>
      <c r="F570" s="2">
        <v>20</v>
      </c>
      <c r="G570" s="3" t="s">
        <v>23</v>
      </c>
      <c r="H570">
        <v>36</v>
      </c>
      <c r="I570" s="2">
        <v>0</v>
      </c>
      <c r="J570" s="2">
        <v>0</v>
      </c>
      <c r="K570" s="2">
        <v>0</v>
      </c>
      <c r="L570" s="2">
        <v>1</v>
      </c>
      <c r="M570">
        <v>0</v>
      </c>
      <c r="N570">
        <v>0</v>
      </c>
      <c r="O570" s="2">
        <v>0</v>
      </c>
      <c r="P570" s="2">
        <v>0</v>
      </c>
      <c r="Q570">
        <v>0</v>
      </c>
      <c r="R570" s="2">
        <v>0</v>
      </c>
      <c r="S570" s="2">
        <v>0</v>
      </c>
      <c r="T570" t="s">
        <v>391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</row>
    <row r="571" spans="1:28" hidden="1" x14ac:dyDescent="0.25">
      <c r="A571" t="s">
        <v>33</v>
      </c>
      <c r="B571" t="s">
        <v>47</v>
      </c>
      <c r="C571" t="s">
        <v>212</v>
      </c>
      <c r="D571" s="1">
        <v>45834</v>
      </c>
      <c r="E571" s="1">
        <v>45834</v>
      </c>
      <c r="F571" s="2">
        <v>0</v>
      </c>
      <c r="G571" s="3" t="s">
        <v>129</v>
      </c>
      <c r="H571">
        <v>0</v>
      </c>
      <c r="I571" s="2">
        <v>0</v>
      </c>
      <c r="J571" s="2">
        <v>0</v>
      </c>
      <c r="K571" s="2">
        <v>0</v>
      </c>
      <c r="L571" s="2">
        <v>0</v>
      </c>
      <c r="M571">
        <v>0</v>
      </c>
      <c r="N571">
        <v>0</v>
      </c>
      <c r="O571" s="2">
        <v>0</v>
      </c>
      <c r="P571" s="2">
        <v>0</v>
      </c>
      <c r="Q571">
        <v>0</v>
      </c>
      <c r="R571" s="2">
        <v>0</v>
      </c>
      <c r="S571" s="2">
        <v>0</v>
      </c>
      <c r="T571" t="s">
        <v>377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</row>
    <row r="572" spans="1:28" hidden="1" x14ac:dyDescent="0.25">
      <c r="A572" t="s">
        <v>25</v>
      </c>
      <c r="B572" t="s">
        <v>26</v>
      </c>
      <c r="C572" t="s">
        <v>212</v>
      </c>
      <c r="D572" s="1">
        <v>45834</v>
      </c>
      <c r="E572" s="1">
        <v>45834</v>
      </c>
      <c r="F572" s="2">
        <v>0</v>
      </c>
      <c r="G572" s="3" t="s">
        <v>572</v>
      </c>
      <c r="H572">
        <v>0</v>
      </c>
      <c r="I572" s="2">
        <v>0</v>
      </c>
      <c r="J572" s="2">
        <v>0</v>
      </c>
      <c r="K572" s="2">
        <v>0</v>
      </c>
      <c r="L572" s="2">
        <v>0</v>
      </c>
      <c r="M572">
        <v>0</v>
      </c>
      <c r="N572">
        <v>0</v>
      </c>
      <c r="O572" s="2">
        <v>0</v>
      </c>
      <c r="P572" s="2">
        <v>0</v>
      </c>
      <c r="Q572">
        <v>0</v>
      </c>
      <c r="R572" s="2">
        <v>0</v>
      </c>
      <c r="S572" s="2">
        <v>0</v>
      </c>
      <c r="T572" t="s">
        <v>377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</row>
    <row r="573" spans="1:28" hidden="1" x14ac:dyDescent="0.25">
      <c r="A573" t="s">
        <v>47</v>
      </c>
      <c r="B573" t="s">
        <v>57</v>
      </c>
      <c r="C573" t="s">
        <v>212</v>
      </c>
      <c r="D573" s="1">
        <v>45834</v>
      </c>
      <c r="E573" s="1">
        <v>45834</v>
      </c>
      <c r="F573" s="2">
        <v>0</v>
      </c>
      <c r="G573" s="3" t="s">
        <v>572</v>
      </c>
      <c r="H573">
        <v>0</v>
      </c>
      <c r="I573" s="2">
        <v>0</v>
      </c>
      <c r="J573" s="2">
        <v>0</v>
      </c>
      <c r="K573" s="2">
        <v>0</v>
      </c>
      <c r="L573" s="2">
        <v>0</v>
      </c>
      <c r="M573">
        <v>0</v>
      </c>
      <c r="N573">
        <v>0</v>
      </c>
      <c r="O573" s="2">
        <v>0</v>
      </c>
      <c r="P573" s="2">
        <v>0</v>
      </c>
      <c r="Q573">
        <v>0</v>
      </c>
      <c r="R573" s="2">
        <v>0</v>
      </c>
      <c r="S573" s="2">
        <v>0</v>
      </c>
      <c r="T573" t="s">
        <v>377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</row>
    <row r="574" spans="1:28" hidden="1" x14ac:dyDescent="0.25">
      <c r="A574" t="s">
        <v>47</v>
      </c>
      <c r="B574" t="s">
        <v>52</v>
      </c>
      <c r="C574" t="s">
        <v>212</v>
      </c>
      <c r="D574" s="1">
        <v>45834</v>
      </c>
      <c r="E574" s="1">
        <v>45834</v>
      </c>
      <c r="F574" s="2">
        <v>0</v>
      </c>
      <c r="G574" s="3" t="s">
        <v>50</v>
      </c>
      <c r="H574">
        <v>0</v>
      </c>
      <c r="I574" s="2">
        <v>0</v>
      </c>
      <c r="J574" s="2">
        <v>0</v>
      </c>
      <c r="K574" s="2">
        <v>0</v>
      </c>
      <c r="L574" s="2">
        <v>0</v>
      </c>
      <c r="M574">
        <v>0</v>
      </c>
      <c r="N574">
        <v>0</v>
      </c>
      <c r="O574" s="2">
        <v>0</v>
      </c>
      <c r="P574" s="2">
        <v>0</v>
      </c>
      <c r="Q574">
        <v>0</v>
      </c>
      <c r="R574" s="2">
        <v>0</v>
      </c>
      <c r="S574" s="2">
        <v>0</v>
      </c>
      <c r="T574" t="s">
        <v>377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</row>
    <row r="575" spans="1:28" hidden="1" x14ac:dyDescent="0.25">
      <c r="A575" t="s">
        <v>56</v>
      </c>
      <c r="B575" t="s">
        <v>57</v>
      </c>
      <c r="C575" t="s">
        <v>64</v>
      </c>
      <c r="D575" s="1">
        <v>45835</v>
      </c>
      <c r="E575" s="1">
        <v>45835</v>
      </c>
      <c r="F575" s="2">
        <v>19</v>
      </c>
      <c r="G575" s="3" t="s">
        <v>23</v>
      </c>
      <c r="H575">
        <v>10</v>
      </c>
      <c r="I575" s="2">
        <v>0</v>
      </c>
      <c r="J575" s="2">
        <v>0</v>
      </c>
      <c r="K575" s="2">
        <v>1</v>
      </c>
      <c r="L575" s="2">
        <v>0</v>
      </c>
      <c r="M575">
        <v>0</v>
      </c>
      <c r="N575">
        <v>0</v>
      </c>
      <c r="O575" s="2">
        <v>0</v>
      </c>
      <c r="P575" s="2">
        <v>0</v>
      </c>
      <c r="Q575">
        <v>0</v>
      </c>
      <c r="R575" s="2">
        <v>0</v>
      </c>
      <c r="S575" s="2">
        <v>0</v>
      </c>
      <c r="T575" t="s">
        <v>392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</row>
    <row r="576" spans="1:28" hidden="1" x14ac:dyDescent="0.25">
      <c r="A576" t="s">
        <v>25</v>
      </c>
      <c r="B576" t="s">
        <v>26</v>
      </c>
      <c r="C576" t="s">
        <v>27</v>
      </c>
      <c r="D576" s="1">
        <v>45835</v>
      </c>
      <c r="E576" s="1">
        <v>45835</v>
      </c>
      <c r="F576" s="2">
        <v>40</v>
      </c>
      <c r="G576" s="3" t="s">
        <v>23</v>
      </c>
      <c r="H576">
        <v>31</v>
      </c>
      <c r="I576" s="2">
        <v>0</v>
      </c>
      <c r="J576" s="2">
        <v>0</v>
      </c>
      <c r="K576" s="2">
        <v>1</v>
      </c>
      <c r="L576" s="2">
        <v>0</v>
      </c>
      <c r="M576">
        <v>0</v>
      </c>
      <c r="N576">
        <v>0</v>
      </c>
      <c r="O576" s="2">
        <v>0</v>
      </c>
      <c r="P576" s="2">
        <v>0</v>
      </c>
      <c r="Q576">
        <v>0</v>
      </c>
      <c r="R576" s="2">
        <v>0</v>
      </c>
      <c r="S576" s="2">
        <v>0</v>
      </c>
      <c r="T576" t="s">
        <v>393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</row>
    <row r="577" spans="1:28" hidden="1" x14ac:dyDescent="0.25">
      <c r="A577" t="s">
        <v>37</v>
      </c>
      <c r="B577" t="s">
        <v>38</v>
      </c>
      <c r="C577" t="s">
        <v>39</v>
      </c>
      <c r="D577" s="1">
        <v>45835</v>
      </c>
      <c r="E577" s="1">
        <v>45835</v>
      </c>
      <c r="F577" s="2">
        <v>24</v>
      </c>
      <c r="G577" s="3" t="s">
        <v>23</v>
      </c>
      <c r="H577">
        <v>10</v>
      </c>
      <c r="I577" s="2">
        <v>0</v>
      </c>
      <c r="J577" s="2">
        <v>0</v>
      </c>
      <c r="K577" s="2">
        <v>1</v>
      </c>
      <c r="L577" s="2">
        <v>0</v>
      </c>
      <c r="M577">
        <v>0</v>
      </c>
      <c r="N577">
        <v>0</v>
      </c>
      <c r="O577" s="2">
        <v>0</v>
      </c>
      <c r="P577" s="2">
        <v>0</v>
      </c>
      <c r="Q577">
        <v>0</v>
      </c>
      <c r="R577" s="2">
        <v>0</v>
      </c>
      <c r="S577" s="2">
        <v>0</v>
      </c>
      <c r="T577" t="s">
        <v>394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</row>
    <row r="578" spans="1:28" hidden="1" x14ac:dyDescent="0.25">
      <c r="A578" t="s">
        <v>20</v>
      </c>
      <c r="B578" t="s">
        <v>21</v>
      </c>
      <c r="C578" t="s">
        <v>212</v>
      </c>
      <c r="D578" s="1">
        <v>45835</v>
      </c>
      <c r="E578" s="1">
        <v>45835</v>
      </c>
      <c r="F578" s="2">
        <v>25</v>
      </c>
      <c r="G578" s="3" t="s">
        <v>23</v>
      </c>
      <c r="H578">
        <v>33</v>
      </c>
      <c r="I578" s="2">
        <v>0</v>
      </c>
      <c r="J578" s="2">
        <v>0</v>
      </c>
      <c r="K578" s="2">
        <v>0</v>
      </c>
      <c r="L578" s="2">
        <v>1</v>
      </c>
      <c r="M578">
        <v>0</v>
      </c>
      <c r="N578">
        <v>0</v>
      </c>
      <c r="O578" s="2">
        <v>0</v>
      </c>
      <c r="P578" s="2">
        <v>0</v>
      </c>
      <c r="Q578">
        <v>0</v>
      </c>
      <c r="R578" s="2">
        <v>0</v>
      </c>
      <c r="S578" s="2">
        <v>0</v>
      </c>
      <c r="T578" t="s">
        <v>395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</row>
    <row r="579" spans="1:28" hidden="1" x14ac:dyDescent="0.25">
      <c r="A579" t="s">
        <v>53</v>
      </c>
      <c r="B579" t="s">
        <v>34</v>
      </c>
      <c r="C579" t="s">
        <v>212</v>
      </c>
      <c r="D579" s="1">
        <v>45835</v>
      </c>
      <c r="E579" s="1">
        <v>45835</v>
      </c>
      <c r="F579" s="2">
        <v>25</v>
      </c>
      <c r="G579" s="3" t="s">
        <v>23</v>
      </c>
      <c r="H579">
        <v>38</v>
      </c>
      <c r="I579" s="2">
        <v>0</v>
      </c>
      <c r="J579" s="2">
        <v>0</v>
      </c>
      <c r="K579" s="2">
        <v>1</v>
      </c>
      <c r="L579" s="2">
        <v>0</v>
      </c>
      <c r="M579">
        <v>0</v>
      </c>
      <c r="N579">
        <v>0</v>
      </c>
      <c r="O579" s="2">
        <v>0</v>
      </c>
      <c r="P579" s="2">
        <v>0</v>
      </c>
      <c r="Q579">
        <v>0</v>
      </c>
      <c r="R579" s="2">
        <v>0</v>
      </c>
      <c r="S579" s="2">
        <v>0</v>
      </c>
      <c r="T579" t="s">
        <v>395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</row>
    <row r="580" spans="1:28" hidden="1" x14ac:dyDescent="0.25">
      <c r="A580" t="s">
        <v>29</v>
      </c>
      <c r="B580" t="s">
        <v>30</v>
      </c>
      <c r="C580" t="s">
        <v>212</v>
      </c>
      <c r="D580" s="1">
        <v>45835</v>
      </c>
      <c r="E580" s="1">
        <v>45835</v>
      </c>
      <c r="F580" s="2">
        <v>0</v>
      </c>
      <c r="G580" s="3" t="s">
        <v>572</v>
      </c>
      <c r="H580">
        <v>0</v>
      </c>
      <c r="I580" s="2">
        <v>0</v>
      </c>
      <c r="J580" s="2">
        <v>0</v>
      </c>
      <c r="K580" s="2">
        <v>0</v>
      </c>
      <c r="L580" s="2">
        <v>0</v>
      </c>
      <c r="M580">
        <v>0</v>
      </c>
      <c r="N580">
        <v>0</v>
      </c>
      <c r="O580" s="2">
        <v>0</v>
      </c>
      <c r="P580" s="2">
        <v>0</v>
      </c>
      <c r="Q580">
        <v>0</v>
      </c>
      <c r="R580" s="2">
        <v>0</v>
      </c>
      <c r="S580" s="2">
        <v>0</v>
      </c>
      <c r="T580" t="s">
        <v>377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</row>
    <row r="581" spans="1:28" hidden="1" x14ac:dyDescent="0.25">
      <c r="A581" t="s">
        <v>33</v>
      </c>
      <c r="B581" t="s">
        <v>47</v>
      </c>
      <c r="C581" t="s">
        <v>212</v>
      </c>
      <c r="D581" s="1">
        <v>45835</v>
      </c>
      <c r="E581" s="1">
        <v>45835</v>
      </c>
      <c r="F581" s="2">
        <v>0</v>
      </c>
      <c r="G581" s="3" t="s">
        <v>129</v>
      </c>
      <c r="H581">
        <v>0</v>
      </c>
      <c r="I581" s="2">
        <v>0</v>
      </c>
      <c r="J581" s="2">
        <v>0</v>
      </c>
      <c r="K581" s="2">
        <v>0</v>
      </c>
      <c r="L581" s="2">
        <v>0</v>
      </c>
      <c r="M581">
        <v>0</v>
      </c>
      <c r="N581">
        <v>0</v>
      </c>
      <c r="O581" s="2">
        <v>0</v>
      </c>
      <c r="P581" s="2">
        <v>0</v>
      </c>
      <c r="Q581">
        <v>0</v>
      </c>
      <c r="R581" s="2">
        <v>0</v>
      </c>
      <c r="S581" s="2">
        <v>0</v>
      </c>
      <c r="T581" t="s">
        <v>377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</row>
    <row r="582" spans="1:28" hidden="1" x14ac:dyDescent="0.25">
      <c r="A582" t="s">
        <v>47</v>
      </c>
      <c r="B582" t="s">
        <v>52</v>
      </c>
      <c r="C582" t="s">
        <v>212</v>
      </c>
      <c r="D582" s="1">
        <v>45835</v>
      </c>
      <c r="E582" s="1">
        <v>45835</v>
      </c>
      <c r="F582" s="2">
        <v>0</v>
      </c>
      <c r="G582" s="3" t="s">
        <v>50</v>
      </c>
      <c r="H582">
        <v>0</v>
      </c>
      <c r="I582" s="2">
        <v>0</v>
      </c>
      <c r="J582" s="2">
        <v>0</v>
      </c>
      <c r="K582" s="2">
        <v>0</v>
      </c>
      <c r="L582" s="2">
        <v>0</v>
      </c>
      <c r="M582">
        <v>0</v>
      </c>
      <c r="N582">
        <v>0</v>
      </c>
      <c r="O582" s="2">
        <v>0</v>
      </c>
      <c r="P582" s="2">
        <v>0</v>
      </c>
      <c r="Q582">
        <v>0</v>
      </c>
      <c r="R582" s="2">
        <v>0</v>
      </c>
      <c r="S582" s="2">
        <v>0</v>
      </c>
      <c r="T582" t="s">
        <v>377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</row>
    <row r="583" spans="1:28" hidden="1" x14ac:dyDescent="0.25">
      <c r="A583" t="s">
        <v>63</v>
      </c>
      <c r="B583" t="s">
        <v>284</v>
      </c>
      <c r="C583" t="s">
        <v>102</v>
      </c>
      <c r="D583" s="9">
        <v>45836</v>
      </c>
      <c r="E583" s="9">
        <v>45836</v>
      </c>
      <c r="F583" s="2">
        <v>16</v>
      </c>
      <c r="G583" s="3" t="s">
        <v>23</v>
      </c>
      <c r="H583">
        <v>0</v>
      </c>
      <c r="I583" s="2">
        <v>0</v>
      </c>
      <c r="J583" s="2">
        <v>0</v>
      </c>
      <c r="K583" s="2">
        <v>0</v>
      </c>
      <c r="L583" s="2">
        <v>0</v>
      </c>
      <c r="M583">
        <v>0</v>
      </c>
      <c r="N583">
        <v>0</v>
      </c>
      <c r="O583" s="2">
        <v>1</v>
      </c>
      <c r="P583" s="2">
        <v>0</v>
      </c>
      <c r="Q583">
        <v>0</v>
      </c>
      <c r="R583" s="2">
        <v>1</v>
      </c>
      <c r="S583" s="2">
        <v>0</v>
      </c>
      <c r="T583" t="s">
        <v>396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idden="1" x14ac:dyDescent="0.25">
      <c r="A584" t="s">
        <v>29</v>
      </c>
      <c r="B584" t="s">
        <v>30</v>
      </c>
      <c r="C584" t="s">
        <v>31</v>
      </c>
      <c r="D584" s="9">
        <v>45836</v>
      </c>
      <c r="E584" s="9">
        <v>45836</v>
      </c>
      <c r="F584" s="2">
        <v>39</v>
      </c>
      <c r="G584" s="3" t="s">
        <v>23</v>
      </c>
      <c r="H584">
        <v>0</v>
      </c>
      <c r="I584" s="2">
        <v>0</v>
      </c>
      <c r="J584" s="2">
        <v>0</v>
      </c>
      <c r="K584" s="2">
        <v>0</v>
      </c>
      <c r="L584" s="2">
        <v>0</v>
      </c>
      <c r="M584">
        <v>0</v>
      </c>
      <c r="N584">
        <v>0</v>
      </c>
      <c r="O584" s="2">
        <v>0</v>
      </c>
      <c r="P584" s="2">
        <v>0</v>
      </c>
      <c r="Q584">
        <v>6</v>
      </c>
      <c r="R584" s="2">
        <v>1</v>
      </c>
      <c r="S584" s="2">
        <v>0</v>
      </c>
      <c r="T584" t="s">
        <v>397</v>
      </c>
      <c r="U584" s="2">
        <v>22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1</v>
      </c>
      <c r="AB584" s="2">
        <v>0</v>
      </c>
    </row>
    <row r="585" spans="1:28" hidden="1" x14ac:dyDescent="0.25">
      <c r="A585" t="s">
        <v>20</v>
      </c>
      <c r="B585" t="s">
        <v>21</v>
      </c>
      <c r="C585" t="s">
        <v>212</v>
      </c>
      <c r="D585" s="9">
        <v>45836</v>
      </c>
      <c r="E585" s="9">
        <v>45836</v>
      </c>
      <c r="F585" s="2">
        <v>86</v>
      </c>
      <c r="G585" s="3" t="s">
        <v>23</v>
      </c>
      <c r="H585">
        <v>0</v>
      </c>
      <c r="I585" s="2">
        <v>0</v>
      </c>
      <c r="J585" s="2">
        <v>0</v>
      </c>
      <c r="K585" s="2">
        <v>0</v>
      </c>
      <c r="L585" s="2">
        <v>0</v>
      </c>
      <c r="M585">
        <v>0</v>
      </c>
      <c r="N585">
        <v>0</v>
      </c>
      <c r="O585" s="2">
        <v>1</v>
      </c>
      <c r="P585" s="2">
        <v>0</v>
      </c>
      <c r="Q585">
        <v>0</v>
      </c>
      <c r="R585" s="2">
        <v>1</v>
      </c>
      <c r="S585" s="2">
        <v>0</v>
      </c>
      <c r="T585" t="s">
        <v>398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idden="1" x14ac:dyDescent="0.25">
      <c r="A586" t="s">
        <v>53</v>
      </c>
      <c r="B586" t="s">
        <v>34</v>
      </c>
      <c r="C586" t="s">
        <v>31</v>
      </c>
      <c r="D586" s="9">
        <v>45836</v>
      </c>
      <c r="E586" s="9">
        <v>45836</v>
      </c>
      <c r="F586" s="2">
        <v>39</v>
      </c>
      <c r="G586" s="3" t="s">
        <v>23</v>
      </c>
      <c r="H586">
        <v>0</v>
      </c>
      <c r="I586" s="2">
        <v>0</v>
      </c>
      <c r="J586" s="2">
        <v>0</v>
      </c>
      <c r="K586" s="2">
        <v>0</v>
      </c>
      <c r="L586" s="2">
        <v>0</v>
      </c>
      <c r="M586">
        <v>0</v>
      </c>
      <c r="N586">
        <v>0</v>
      </c>
      <c r="O586" s="2">
        <v>1</v>
      </c>
      <c r="P586" s="2">
        <v>0</v>
      </c>
      <c r="Q586">
        <v>2</v>
      </c>
      <c r="R586" s="2">
        <v>1</v>
      </c>
      <c r="S586" s="2">
        <v>0</v>
      </c>
      <c r="T586" t="s">
        <v>397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idden="1" x14ac:dyDescent="0.25">
      <c r="A587" t="s">
        <v>37</v>
      </c>
      <c r="B587" t="s">
        <v>38</v>
      </c>
      <c r="C587" t="s">
        <v>212</v>
      </c>
      <c r="D587" s="9">
        <v>45836</v>
      </c>
      <c r="E587" s="9">
        <v>45836</v>
      </c>
      <c r="F587" s="2">
        <v>0</v>
      </c>
      <c r="G587" s="3" t="s">
        <v>378</v>
      </c>
      <c r="H587">
        <v>0</v>
      </c>
      <c r="I587" s="2">
        <v>0</v>
      </c>
      <c r="J587" s="2">
        <v>0</v>
      </c>
      <c r="K587" s="2">
        <v>0</v>
      </c>
      <c r="L587" s="2">
        <v>0</v>
      </c>
      <c r="M587">
        <v>0</v>
      </c>
      <c r="N587">
        <v>0</v>
      </c>
      <c r="O587" s="2">
        <v>0</v>
      </c>
      <c r="P587" s="2">
        <v>0</v>
      </c>
      <c r="Q587">
        <v>0</v>
      </c>
      <c r="R587" s="2">
        <v>0</v>
      </c>
      <c r="S587" s="2">
        <v>0</v>
      </c>
      <c r="T587" t="s">
        <v>377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idden="1" x14ac:dyDescent="0.25">
      <c r="A588" t="s">
        <v>25</v>
      </c>
      <c r="B588" t="s">
        <v>26</v>
      </c>
      <c r="C588" t="s">
        <v>212</v>
      </c>
      <c r="D588" s="9">
        <v>45836</v>
      </c>
      <c r="E588" s="9">
        <v>45836</v>
      </c>
      <c r="F588" s="2">
        <v>0</v>
      </c>
      <c r="G588" s="3" t="s">
        <v>378</v>
      </c>
      <c r="H588">
        <v>0</v>
      </c>
      <c r="I588" s="2">
        <v>0</v>
      </c>
      <c r="J588" s="2">
        <v>0</v>
      </c>
      <c r="K588" s="2">
        <v>0</v>
      </c>
      <c r="L588" s="2">
        <v>0</v>
      </c>
      <c r="M588">
        <v>0</v>
      </c>
      <c r="N588">
        <v>0</v>
      </c>
      <c r="O588" s="2">
        <v>0</v>
      </c>
      <c r="P588" s="2">
        <v>0</v>
      </c>
      <c r="Q588">
        <v>0</v>
      </c>
      <c r="R588" s="2">
        <v>0</v>
      </c>
      <c r="S588" s="2">
        <v>0</v>
      </c>
      <c r="T588" t="s">
        <v>377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idden="1" x14ac:dyDescent="0.25">
      <c r="A589" t="s">
        <v>56</v>
      </c>
      <c r="B589" t="s">
        <v>57</v>
      </c>
      <c r="C589" t="s">
        <v>212</v>
      </c>
      <c r="D589" s="9">
        <v>45836</v>
      </c>
      <c r="E589" s="9">
        <v>45836</v>
      </c>
      <c r="F589" s="2">
        <v>0</v>
      </c>
      <c r="G589" s="3" t="s">
        <v>378</v>
      </c>
      <c r="H589">
        <v>0</v>
      </c>
      <c r="I589" s="2">
        <v>0</v>
      </c>
      <c r="J589" s="2">
        <v>0</v>
      </c>
      <c r="K589" s="2">
        <v>0</v>
      </c>
      <c r="L589" s="2">
        <v>0</v>
      </c>
      <c r="M589">
        <v>0</v>
      </c>
      <c r="N589">
        <v>0</v>
      </c>
      <c r="O589" s="2">
        <v>0</v>
      </c>
      <c r="P589" s="2">
        <v>0</v>
      </c>
      <c r="Q589">
        <v>0</v>
      </c>
      <c r="R589" s="2">
        <v>0</v>
      </c>
      <c r="S589" s="2">
        <v>0</v>
      </c>
      <c r="T589" t="s">
        <v>377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idden="1" x14ac:dyDescent="0.25">
      <c r="A590" t="s">
        <v>33</v>
      </c>
      <c r="B590" t="s">
        <v>47</v>
      </c>
      <c r="C590" t="s">
        <v>212</v>
      </c>
      <c r="D590" s="9">
        <v>45836</v>
      </c>
      <c r="E590" s="9">
        <v>45836</v>
      </c>
      <c r="F590" s="2">
        <v>0</v>
      </c>
      <c r="G590" s="3" t="s">
        <v>378</v>
      </c>
      <c r="H590">
        <v>0</v>
      </c>
      <c r="I590" s="2">
        <v>0</v>
      </c>
      <c r="J590" s="2">
        <v>0</v>
      </c>
      <c r="K590" s="2">
        <v>0</v>
      </c>
      <c r="L590" s="2">
        <v>0</v>
      </c>
      <c r="M590">
        <v>0</v>
      </c>
      <c r="N590">
        <v>0</v>
      </c>
      <c r="O590" s="2">
        <v>0</v>
      </c>
      <c r="P590" s="2">
        <v>0</v>
      </c>
      <c r="Q590">
        <v>0</v>
      </c>
      <c r="R590" s="2">
        <v>0</v>
      </c>
      <c r="S590" s="2">
        <v>0</v>
      </c>
      <c r="T590" t="s">
        <v>377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idden="1" x14ac:dyDescent="0.25">
      <c r="A591" t="s">
        <v>47</v>
      </c>
      <c r="B591" t="s">
        <v>52</v>
      </c>
      <c r="C591" t="s">
        <v>212</v>
      </c>
      <c r="D591" s="9">
        <v>45836</v>
      </c>
      <c r="E591" s="9">
        <v>45836</v>
      </c>
      <c r="F591" s="2">
        <v>0</v>
      </c>
      <c r="G591" s="3" t="s">
        <v>50</v>
      </c>
      <c r="H591">
        <v>0</v>
      </c>
      <c r="I591" s="2">
        <v>0</v>
      </c>
      <c r="J591" s="2">
        <v>0</v>
      </c>
      <c r="K591" s="2">
        <v>0</v>
      </c>
      <c r="L591" s="2">
        <v>0</v>
      </c>
      <c r="M591">
        <v>0</v>
      </c>
      <c r="N591">
        <v>0</v>
      </c>
      <c r="O591" s="2">
        <v>0</v>
      </c>
      <c r="P591" s="2">
        <v>0</v>
      </c>
      <c r="Q591">
        <v>0</v>
      </c>
      <c r="R591" s="2">
        <v>0</v>
      </c>
      <c r="S591" s="2">
        <v>0</v>
      </c>
      <c r="T591" t="s">
        <v>377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</row>
    <row r="592" spans="1:28" hidden="1" x14ac:dyDescent="0.25">
      <c r="A592" t="s">
        <v>63</v>
      </c>
      <c r="B592" t="s">
        <v>284</v>
      </c>
      <c r="C592" t="s">
        <v>102</v>
      </c>
      <c r="D592" s="9">
        <v>45837</v>
      </c>
      <c r="E592" s="9">
        <v>45837</v>
      </c>
      <c r="F592" s="2">
        <v>20</v>
      </c>
      <c r="G592" s="3" t="s">
        <v>23</v>
      </c>
      <c r="H592">
        <v>0</v>
      </c>
      <c r="I592" s="2">
        <v>0</v>
      </c>
      <c r="J592" s="2">
        <v>0</v>
      </c>
      <c r="K592" s="2">
        <v>0</v>
      </c>
      <c r="L592" s="2">
        <v>0</v>
      </c>
      <c r="M592">
        <v>0</v>
      </c>
      <c r="N592">
        <v>0</v>
      </c>
      <c r="O592" s="2">
        <v>0</v>
      </c>
      <c r="P592" s="2">
        <v>1</v>
      </c>
      <c r="Q592">
        <v>0</v>
      </c>
      <c r="R592" s="2">
        <v>0</v>
      </c>
      <c r="S592" s="2">
        <v>1</v>
      </c>
      <c r="T592" t="s">
        <v>399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idden="1" x14ac:dyDescent="0.25">
      <c r="A593" t="s">
        <v>29</v>
      </c>
      <c r="B593" t="s">
        <v>30</v>
      </c>
      <c r="C593" t="s">
        <v>31</v>
      </c>
      <c r="D593" s="9">
        <v>45837</v>
      </c>
      <c r="E593" s="9">
        <v>45837</v>
      </c>
      <c r="F593" s="2">
        <v>26</v>
      </c>
      <c r="G593" s="3" t="s">
        <v>23</v>
      </c>
      <c r="H593">
        <v>0</v>
      </c>
      <c r="I593" s="2">
        <v>0</v>
      </c>
      <c r="J593" s="2">
        <v>0</v>
      </c>
      <c r="K593" s="2">
        <v>0</v>
      </c>
      <c r="L593" s="2">
        <v>0</v>
      </c>
      <c r="M593">
        <v>0</v>
      </c>
      <c r="N593">
        <v>0</v>
      </c>
      <c r="O593" s="2">
        <v>0</v>
      </c>
      <c r="P593" s="2">
        <v>1</v>
      </c>
      <c r="Q593">
        <v>0</v>
      </c>
      <c r="R593" s="2">
        <v>0</v>
      </c>
      <c r="S593" s="2">
        <v>1</v>
      </c>
      <c r="T593" t="s">
        <v>400</v>
      </c>
      <c r="U593" s="2">
        <v>16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idden="1" x14ac:dyDescent="0.25">
      <c r="A594" t="s">
        <v>53</v>
      </c>
      <c r="B594" t="s">
        <v>34</v>
      </c>
      <c r="C594" t="s">
        <v>212</v>
      </c>
      <c r="D594" s="9">
        <v>45837</v>
      </c>
      <c r="E594" s="9">
        <v>45837</v>
      </c>
      <c r="F594" s="2">
        <v>62</v>
      </c>
      <c r="G594" s="3" t="s">
        <v>23</v>
      </c>
      <c r="H594">
        <v>0</v>
      </c>
      <c r="I594" s="2">
        <v>0</v>
      </c>
      <c r="J594" s="2">
        <v>0</v>
      </c>
      <c r="K594" s="2">
        <v>0</v>
      </c>
      <c r="L594" s="2">
        <v>0</v>
      </c>
      <c r="M594">
        <v>0</v>
      </c>
      <c r="N594">
        <v>0</v>
      </c>
      <c r="O594" s="2">
        <v>0</v>
      </c>
      <c r="P594" s="2">
        <v>1</v>
      </c>
      <c r="Q594">
        <v>0</v>
      </c>
      <c r="R594" s="2">
        <v>0</v>
      </c>
      <c r="S594" s="2">
        <v>1</v>
      </c>
      <c r="T594" t="s">
        <v>401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idden="1" x14ac:dyDescent="0.25">
      <c r="A595" t="s">
        <v>20</v>
      </c>
      <c r="B595" t="s">
        <v>21</v>
      </c>
      <c r="C595" t="s">
        <v>212</v>
      </c>
      <c r="D595" s="9">
        <v>45837</v>
      </c>
      <c r="E595" s="9">
        <v>45837</v>
      </c>
      <c r="F595" s="2">
        <v>62</v>
      </c>
      <c r="G595" s="3" t="s">
        <v>23</v>
      </c>
      <c r="H595">
        <v>0</v>
      </c>
      <c r="I595" s="2">
        <v>0</v>
      </c>
      <c r="J595" s="2">
        <v>0</v>
      </c>
      <c r="K595" s="2">
        <v>0</v>
      </c>
      <c r="L595" s="2">
        <v>0</v>
      </c>
      <c r="M595">
        <v>0</v>
      </c>
      <c r="N595">
        <v>0</v>
      </c>
      <c r="O595" s="2">
        <v>0</v>
      </c>
      <c r="P595" s="2">
        <v>0</v>
      </c>
      <c r="Q595">
        <v>5</v>
      </c>
      <c r="R595" s="2">
        <v>0</v>
      </c>
      <c r="S595" s="2">
        <v>1</v>
      </c>
      <c r="T595" t="s">
        <v>401</v>
      </c>
      <c r="U595" s="2">
        <v>10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1</v>
      </c>
    </row>
    <row r="596" spans="1:28" hidden="1" x14ac:dyDescent="0.25">
      <c r="A596" t="s">
        <v>37</v>
      </c>
      <c r="B596" t="s">
        <v>38</v>
      </c>
      <c r="C596" t="s">
        <v>212</v>
      </c>
      <c r="D596" s="9">
        <v>45837</v>
      </c>
      <c r="E596" s="9">
        <v>45837</v>
      </c>
      <c r="F596" s="2">
        <v>0</v>
      </c>
      <c r="G596" s="3" t="s">
        <v>378</v>
      </c>
      <c r="H596">
        <v>0</v>
      </c>
      <c r="I596" s="2">
        <v>0</v>
      </c>
      <c r="J596" s="2">
        <v>0</v>
      </c>
      <c r="K596" s="2">
        <v>0</v>
      </c>
      <c r="L596" s="2">
        <v>0</v>
      </c>
      <c r="M596">
        <v>0</v>
      </c>
      <c r="N596">
        <v>0</v>
      </c>
      <c r="O596" s="2">
        <v>0</v>
      </c>
      <c r="P596" s="2">
        <v>0</v>
      </c>
      <c r="Q596">
        <v>0</v>
      </c>
      <c r="R596" s="2">
        <v>0</v>
      </c>
      <c r="S596" s="2">
        <v>0</v>
      </c>
      <c r="T596" t="s">
        <v>377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idden="1" x14ac:dyDescent="0.25">
      <c r="A597" t="s">
        <v>25</v>
      </c>
      <c r="B597" t="s">
        <v>26</v>
      </c>
      <c r="C597" t="s">
        <v>212</v>
      </c>
      <c r="D597" s="9">
        <v>45837</v>
      </c>
      <c r="E597" s="9">
        <v>45837</v>
      </c>
      <c r="F597" s="2">
        <v>0</v>
      </c>
      <c r="G597" s="3" t="s">
        <v>378</v>
      </c>
      <c r="H597">
        <v>0</v>
      </c>
      <c r="I597" s="2">
        <v>0</v>
      </c>
      <c r="J597" s="2">
        <v>0</v>
      </c>
      <c r="K597" s="2">
        <v>0</v>
      </c>
      <c r="L597" s="2">
        <v>0</v>
      </c>
      <c r="M597">
        <v>0</v>
      </c>
      <c r="N597">
        <v>0</v>
      </c>
      <c r="O597" s="2">
        <v>0</v>
      </c>
      <c r="P597" s="2">
        <v>0</v>
      </c>
      <c r="Q597">
        <v>0</v>
      </c>
      <c r="R597" s="2">
        <v>0</v>
      </c>
      <c r="S597" s="2">
        <v>0</v>
      </c>
      <c r="T597" t="s">
        <v>377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idden="1" x14ac:dyDescent="0.25">
      <c r="A598" t="s">
        <v>56</v>
      </c>
      <c r="B598" t="s">
        <v>57</v>
      </c>
      <c r="C598" t="s">
        <v>212</v>
      </c>
      <c r="D598" s="9">
        <v>45837</v>
      </c>
      <c r="E598" s="9">
        <v>45837</v>
      </c>
      <c r="F598" s="2">
        <v>0</v>
      </c>
      <c r="G598" s="3" t="s">
        <v>378</v>
      </c>
      <c r="H598">
        <v>0</v>
      </c>
      <c r="I598" s="2">
        <v>0</v>
      </c>
      <c r="J598" s="2">
        <v>0</v>
      </c>
      <c r="K598" s="2">
        <v>0</v>
      </c>
      <c r="L598" s="2">
        <v>0</v>
      </c>
      <c r="M598">
        <v>0</v>
      </c>
      <c r="N598">
        <v>0</v>
      </c>
      <c r="O598" s="2">
        <v>0</v>
      </c>
      <c r="P598" s="2">
        <v>0</v>
      </c>
      <c r="Q598">
        <v>0</v>
      </c>
      <c r="R598" s="2">
        <v>0</v>
      </c>
      <c r="S598" s="2">
        <v>0</v>
      </c>
      <c r="T598" t="s">
        <v>377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idden="1" x14ac:dyDescent="0.25">
      <c r="A599" t="s">
        <v>33</v>
      </c>
      <c r="B599" t="s">
        <v>47</v>
      </c>
      <c r="C599" t="s">
        <v>212</v>
      </c>
      <c r="D599" s="9">
        <v>45837</v>
      </c>
      <c r="E599" s="9">
        <v>45837</v>
      </c>
      <c r="F599" s="2">
        <v>0</v>
      </c>
      <c r="G599" s="3" t="s">
        <v>378</v>
      </c>
      <c r="H599">
        <v>0</v>
      </c>
      <c r="I599" s="2">
        <v>0</v>
      </c>
      <c r="J599" s="2">
        <v>0</v>
      </c>
      <c r="K599" s="2">
        <v>0</v>
      </c>
      <c r="L599" s="2">
        <v>0</v>
      </c>
      <c r="M599">
        <v>0</v>
      </c>
      <c r="N599">
        <v>0</v>
      </c>
      <c r="O599" s="2">
        <v>0</v>
      </c>
      <c r="P599" s="2">
        <v>0</v>
      </c>
      <c r="Q599">
        <v>0</v>
      </c>
      <c r="R599" s="2">
        <v>0</v>
      </c>
      <c r="S599" s="2">
        <v>0</v>
      </c>
      <c r="T599" t="s">
        <v>377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idden="1" x14ac:dyDescent="0.25">
      <c r="A600" t="s">
        <v>47</v>
      </c>
      <c r="B600" t="s">
        <v>52</v>
      </c>
      <c r="C600" t="s">
        <v>212</v>
      </c>
      <c r="D600" s="9">
        <v>45837</v>
      </c>
      <c r="E600" s="9">
        <v>45837</v>
      </c>
      <c r="F600" s="2">
        <v>0</v>
      </c>
      <c r="G600" s="3" t="s">
        <v>50</v>
      </c>
      <c r="H600">
        <v>0</v>
      </c>
      <c r="I600" s="2">
        <v>0</v>
      </c>
      <c r="J600" s="2">
        <v>0</v>
      </c>
      <c r="K600" s="2">
        <v>0</v>
      </c>
      <c r="L600" s="2">
        <v>0</v>
      </c>
      <c r="M600">
        <v>0</v>
      </c>
      <c r="N600">
        <v>0</v>
      </c>
      <c r="O600" s="2">
        <v>0</v>
      </c>
      <c r="P600" s="2">
        <v>0</v>
      </c>
      <c r="Q600">
        <v>0</v>
      </c>
      <c r="R600" s="2">
        <v>0</v>
      </c>
      <c r="S600" s="2">
        <v>0</v>
      </c>
      <c r="T600" t="s">
        <v>377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idden="1" x14ac:dyDescent="0.25">
      <c r="A601" t="s">
        <v>56</v>
      </c>
      <c r="B601" t="s">
        <v>57</v>
      </c>
      <c r="C601" t="s">
        <v>64</v>
      </c>
      <c r="D601" s="1">
        <v>45838</v>
      </c>
      <c r="E601" s="1">
        <v>45838</v>
      </c>
      <c r="F601" s="2">
        <v>37</v>
      </c>
      <c r="G601" s="3" t="s">
        <v>23</v>
      </c>
      <c r="H601">
        <v>11</v>
      </c>
      <c r="I601" s="2">
        <v>0</v>
      </c>
      <c r="J601" s="2">
        <v>0</v>
      </c>
      <c r="K601" s="2">
        <v>0</v>
      </c>
      <c r="L601" s="2">
        <v>0</v>
      </c>
      <c r="M601">
        <v>1</v>
      </c>
      <c r="N601">
        <v>0</v>
      </c>
      <c r="O601" s="2">
        <v>0</v>
      </c>
      <c r="P601" s="2">
        <v>0</v>
      </c>
      <c r="Q601">
        <v>0</v>
      </c>
      <c r="R601" s="2">
        <v>0</v>
      </c>
      <c r="S601" s="2">
        <v>0</v>
      </c>
      <c r="T601" t="s">
        <v>458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idden="1" x14ac:dyDescent="0.25">
      <c r="A602" t="s">
        <v>33</v>
      </c>
      <c r="B602" t="s">
        <v>34</v>
      </c>
      <c r="C602" t="s">
        <v>35</v>
      </c>
      <c r="D602" s="1">
        <v>45838</v>
      </c>
      <c r="E602" s="1">
        <v>45838</v>
      </c>
      <c r="F602" s="2">
        <v>28</v>
      </c>
      <c r="G602" s="3" t="s">
        <v>23</v>
      </c>
      <c r="H602">
        <v>11</v>
      </c>
      <c r="I602" s="2">
        <v>0</v>
      </c>
      <c r="J602" s="2">
        <v>0</v>
      </c>
      <c r="K602" s="2">
        <v>0</v>
      </c>
      <c r="L602" s="2">
        <v>0</v>
      </c>
      <c r="M602">
        <v>0</v>
      </c>
      <c r="N602">
        <v>1</v>
      </c>
      <c r="O602" s="2">
        <v>0</v>
      </c>
      <c r="P602" s="2">
        <v>0</v>
      </c>
      <c r="Q602">
        <v>0</v>
      </c>
      <c r="R602" s="2">
        <v>0</v>
      </c>
      <c r="S602" s="2">
        <v>0</v>
      </c>
      <c r="T602" t="s">
        <v>459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idden="1" x14ac:dyDescent="0.25">
      <c r="A603" t="s">
        <v>37</v>
      </c>
      <c r="B603" t="s">
        <v>38</v>
      </c>
      <c r="C603" t="s">
        <v>39</v>
      </c>
      <c r="D603" s="1">
        <v>45838</v>
      </c>
      <c r="E603" s="1">
        <v>45838</v>
      </c>
      <c r="F603" s="2">
        <v>16</v>
      </c>
      <c r="G603" s="3" t="s">
        <v>23</v>
      </c>
      <c r="H603">
        <v>12</v>
      </c>
      <c r="I603" s="2">
        <v>0</v>
      </c>
      <c r="J603" s="2">
        <v>0</v>
      </c>
      <c r="K603" s="2">
        <v>0</v>
      </c>
      <c r="L603" s="2">
        <v>0</v>
      </c>
      <c r="M603">
        <v>0</v>
      </c>
      <c r="N603">
        <v>0</v>
      </c>
      <c r="O603" s="2">
        <v>0</v>
      </c>
      <c r="P603" s="2">
        <v>0</v>
      </c>
      <c r="Q603">
        <v>0</v>
      </c>
      <c r="R603" s="2">
        <v>0</v>
      </c>
      <c r="S603" s="2">
        <v>0</v>
      </c>
      <c r="T603" t="s">
        <v>460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idden="1" x14ac:dyDescent="0.25">
      <c r="A604" t="s">
        <v>53</v>
      </c>
      <c r="B604" t="s">
        <v>47</v>
      </c>
      <c r="C604" t="s">
        <v>39</v>
      </c>
      <c r="D604" s="1">
        <v>45838</v>
      </c>
      <c r="E604" s="1">
        <v>45838</v>
      </c>
      <c r="F604" s="2">
        <v>16</v>
      </c>
      <c r="G604" s="3" t="s">
        <v>23</v>
      </c>
      <c r="H604">
        <v>0</v>
      </c>
      <c r="I604" s="2">
        <v>0</v>
      </c>
      <c r="J604" s="2">
        <v>0</v>
      </c>
      <c r="K604" s="2">
        <v>0</v>
      </c>
      <c r="L604" s="2">
        <v>0</v>
      </c>
      <c r="M604">
        <v>0</v>
      </c>
      <c r="N604">
        <v>0</v>
      </c>
      <c r="O604" s="2">
        <v>0</v>
      </c>
      <c r="P604" s="2">
        <v>0</v>
      </c>
      <c r="Q604">
        <v>1</v>
      </c>
      <c r="R604" s="2">
        <v>0</v>
      </c>
      <c r="S604" s="2">
        <v>0</v>
      </c>
      <c r="T604" t="s">
        <v>460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idden="1" x14ac:dyDescent="0.25">
      <c r="A605" t="s">
        <v>20</v>
      </c>
      <c r="B605" t="s">
        <v>21</v>
      </c>
      <c r="C605" t="s">
        <v>212</v>
      </c>
      <c r="D605" s="1">
        <v>45838</v>
      </c>
      <c r="E605" s="1">
        <v>45838</v>
      </c>
      <c r="F605" s="2">
        <v>0</v>
      </c>
      <c r="G605" s="3" t="s">
        <v>572</v>
      </c>
      <c r="H605">
        <v>0</v>
      </c>
      <c r="I605" s="2">
        <v>0</v>
      </c>
      <c r="J605" s="2">
        <v>0</v>
      </c>
      <c r="K605" s="2">
        <v>0</v>
      </c>
      <c r="L605" s="2">
        <v>0</v>
      </c>
      <c r="M605">
        <v>0</v>
      </c>
      <c r="N605">
        <v>0</v>
      </c>
      <c r="O605" s="2">
        <v>0</v>
      </c>
      <c r="P605" s="2">
        <v>0</v>
      </c>
      <c r="Q605">
        <v>0</v>
      </c>
      <c r="R605" s="2">
        <v>0</v>
      </c>
      <c r="S605" s="2">
        <v>0</v>
      </c>
      <c r="T605" t="s">
        <v>377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idden="1" x14ac:dyDescent="0.25">
      <c r="A606" t="s">
        <v>29</v>
      </c>
      <c r="B606" t="s">
        <v>30</v>
      </c>
      <c r="C606" t="s">
        <v>212</v>
      </c>
      <c r="D606" s="1">
        <v>45838</v>
      </c>
      <c r="E606" s="1">
        <v>45838</v>
      </c>
      <c r="F606" s="2">
        <v>0</v>
      </c>
      <c r="G606" s="3" t="s">
        <v>572</v>
      </c>
      <c r="H606">
        <v>0</v>
      </c>
      <c r="I606" s="2">
        <v>0</v>
      </c>
      <c r="J606" s="2">
        <v>0</v>
      </c>
      <c r="K606" s="2">
        <v>0</v>
      </c>
      <c r="L606" s="2">
        <v>0</v>
      </c>
      <c r="M606">
        <v>0</v>
      </c>
      <c r="N606">
        <v>0</v>
      </c>
      <c r="O606" s="2">
        <v>0</v>
      </c>
      <c r="P606" s="2">
        <v>0</v>
      </c>
      <c r="Q606">
        <v>0</v>
      </c>
      <c r="R606" s="2">
        <v>0</v>
      </c>
      <c r="S606" s="2">
        <v>0</v>
      </c>
      <c r="T606" t="s">
        <v>377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idden="1" x14ac:dyDescent="0.25">
      <c r="A607" t="s">
        <v>25</v>
      </c>
      <c r="B607" t="s">
        <v>26</v>
      </c>
      <c r="C607" t="s">
        <v>212</v>
      </c>
      <c r="D607" s="1">
        <v>45838</v>
      </c>
      <c r="E607" s="1">
        <v>45838</v>
      </c>
      <c r="F607" s="2">
        <v>0</v>
      </c>
      <c r="G607" s="3" t="s">
        <v>572</v>
      </c>
      <c r="H607">
        <v>0</v>
      </c>
      <c r="I607" s="2">
        <v>0</v>
      </c>
      <c r="J607" s="2">
        <v>0</v>
      </c>
      <c r="K607" s="2">
        <v>0</v>
      </c>
      <c r="L607" s="2">
        <v>0</v>
      </c>
      <c r="M607">
        <v>0</v>
      </c>
      <c r="N607">
        <v>0</v>
      </c>
      <c r="O607" s="2">
        <v>0</v>
      </c>
      <c r="P607" s="2">
        <v>0</v>
      </c>
      <c r="Q607">
        <v>0</v>
      </c>
      <c r="R607" s="2">
        <v>0</v>
      </c>
      <c r="S607" s="2">
        <v>0</v>
      </c>
      <c r="T607" t="s">
        <v>377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idden="1" x14ac:dyDescent="0.25">
      <c r="A608" t="s">
        <v>47</v>
      </c>
      <c r="B608" t="s">
        <v>52</v>
      </c>
      <c r="C608" t="s">
        <v>212</v>
      </c>
      <c r="D608" s="1">
        <v>45838</v>
      </c>
      <c r="E608" s="1">
        <v>45838</v>
      </c>
      <c r="F608" s="2">
        <v>0</v>
      </c>
      <c r="G608" s="3" t="s">
        <v>50</v>
      </c>
      <c r="H608">
        <v>0</v>
      </c>
      <c r="I608" s="2">
        <v>0</v>
      </c>
      <c r="J608" s="2">
        <v>0</v>
      </c>
      <c r="K608" s="2">
        <v>0</v>
      </c>
      <c r="L608" s="2">
        <v>0</v>
      </c>
      <c r="M608">
        <v>0</v>
      </c>
      <c r="N608">
        <v>0</v>
      </c>
      <c r="O608" s="2">
        <v>0</v>
      </c>
      <c r="P608" s="2">
        <v>0</v>
      </c>
      <c r="Q608">
        <v>0</v>
      </c>
      <c r="R608" s="2">
        <v>0</v>
      </c>
      <c r="S608" s="2">
        <v>0</v>
      </c>
      <c r="T608" t="s">
        <v>377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idden="1" x14ac:dyDescent="0.25">
      <c r="A609" t="s">
        <v>20</v>
      </c>
      <c r="B609" t="s">
        <v>47</v>
      </c>
      <c r="C609" t="s">
        <v>22</v>
      </c>
      <c r="D609" s="1">
        <v>45839</v>
      </c>
      <c r="E609" s="1">
        <v>45839</v>
      </c>
      <c r="F609" s="2">
        <v>25</v>
      </c>
      <c r="G609" s="3" t="s">
        <v>23</v>
      </c>
      <c r="H609">
        <v>6</v>
      </c>
      <c r="I609" s="2">
        <v>0</v>
      </c>
      <c r="J609" s="2">
        <v>0</v>
      </c>
      <c r="K609" s="2">
        <v>0</v>
      </c>
      <c r="L609" s="2">
        <v>0</v>
      </c>
      <c r="M609">
        <v>0</v>
      </c>
      <c r="N609">
        <v>0</v>
      </c>
      <c r="O609" s="2">
        <v>0</v>
      </c>
      <c r="P609" s="2">
        <v>0</v>
      </c>
      <c r="Q609">
        <v>0</v>
      </c>
      <c r="R609" s="2">
        <v>0</v>
      </c>
      <c r="S609" s="2">
        <v>0</v>
      </c>
      <c r="T609" t="s">
        <v>402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idden="1" x14ac:dyDescent="0.25">
      <c r="A610" t="s">
        <v>25</v>
      </c>
      <c r="B610" t="s">
        <v>26</v>
      </c>
      <c r="C610" t="s">
        <v>27</v>
      </c>
      <c r="D610" s="1">
        <v>45839</v>
      </c>
      <c r="E610" s="1">
        <v>45839</v>
      </c>
      <c r="F610" s="2">
        <v>31</v>
      </c>
      <c r="G610" s="3" t="s">
        <v>23</v>
      </c>
      <c r="H610">
        <v>33</v>
      </c>
      <c r="I610" s="2">
        <v>0</v>
      </c>
      <c r="J610" s="2">
        <v>0</v>
      </c>
      <c r="K610" s="2">
        <v>1</v>
      </c>
      <c r="L610" s="2">
        <v>0</v>
      </c>
      <c r="M610">
        <v>0</v>
      </c>
      <c r="N610">
        <v>1</v>
      </c>
      <c r="O610" s="2">
        <v>0</v>
      </c>
      <c r="P610" s="2">
        <v>0</v>
      </c>
      <c r="Q610">
        <v>0</v>
      </c>
      <c r="R610" s="2">
        <v>0</v>
      </c>
      <c r="S610" s="2">
        <v>0</v>
      </c>
      <c r="T610" t="s">
        <v>403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idden="1" x14ac:dyDescent="0.25">
      <c r="A611" t="s">
        <v>33</v>
      </c>
      <c r="B611" t="s">
        <v>34</v>
      </c>
      <c r="C611" t="s">
        <v>35</v>
      </c>
      <c r="D611" s="1">
        <v>45839</v>
      </c>
      <c r="E611" s="1">
        <v>45839</v>
      </c>
      <c r="F611" s="2">
        <v>53</v>
      </c>
      <c r="G611" s="3" t="s">
        <v>23</v>
      </c>
      <c r="H611">
        <v>16</v>
      </c>
      <c r="I611" s="2">
        <v>0</v>
      </c>
      <c r="J611" s="2">
        <v>0</v>
      </c>
      <c r="K611" s="2">
        <v>1</v>
      </c>
      <c r="L611" s="2">
        <v>0</v>
      </c>
      <c r="M611">
        <v>0</v>
      </c>
      <c r="N611">
        <v>0</v>
      </c>
      <c r="O611" s="2">
        <v>0</v>
      </c>
      <c r="P611" s="2">
        <v>0</v>
      </c>
      <c r="Q611">
        <v>0</v>
      </c>
      <c r="R611" s="2">
        <v>0</v>
      </c>
      <c r="S611" s="2">
        <v>0</v>
      </c>
      <c r="T611" t="s">
        <v>404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idden="1" x14ac:dyDescent="0.25">
      <c r="A612" t="s">
        <v>37</v>
      </c>
      <c r="B612" t="s">
        <v>38</v>
      </c>
      <c r="C612" t="s">
        <v>39</v>
      </c>
      <c r="D612" s="1">
        <v>45839</v>
      </c>
      <c r="E612" s="1">
        <v>45839</v>
      </c>
      <c r="F612" s="2">
        <v>30</v>
      </c>
      <c r="G612" s="3" t="s">
        <v>23</v>
      </c>
      <c r="H612">
        <v>25</v>
      </c>
      <c r="I612" s="2">
        <v>0</v>
      </c>
      <c r="J612" s="2">
        <v>0</v>
      </c>
      <c r="K612" s="2">
        <v>0</v>
      </c>
      <c r="L612" s="2">
        <v>1</v>
      </c>
      <c r="M612">
        <v>0</v>
      </c>
      <c r="N612">
        <v>0</v>
      </c>
      <c r="O612" s="2">
        <v>0</v>
      </c>
      <c r="P612" s="2">
        <v>0</v>
      </c>
      <c r="Q612">
        <v>0</v>
      </c>
      <c r="R612" s="2">
        <v>0</v>
      </c>
      <c r="S612" s="2">
        <v>0</v>
      </c>
      <c r="T612" t="s">
        <v>405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idden="1" x14ac:dyDescent="0.25">
      <c r="A613" t="s">
        <v>53</v>
      </c>
      <c r="B613" t="s">
        <v>47</v>
      </c>
      <c r="C613" t="s">
        <v>39</v>
      </c>
      <c r="D613" s="1">
        <v>45839</v>
      </c>
      <c r="E613" s="1">
        <v>45839</v>
      </c>
      <c r="F613" s="2">
        <v>30</v>
      </c>
      <c r="G613" s="3" t="s">
        <v>23</v>
      </c>
      <c r="H613">
        <v>30</v>
      </c>
      <c r="I613" s="2">
        <v>0</v>
      </c>
      <c r="J613" s="2">
        <v>0</v>
      </c>
      <c r="K613" s="2">
        <v>1</v>
      </c>
      <c r="L613" s="2">
        <v>0</v>
      </c>
      <c r="M613">
        <v>0</v>
      </c>
      <c r="N613">
        <v>0</v>
      </c>
      <c r="O613" s="2">
        <v>0</v>
      </c>
      <c r="P613" s="2">
        <v>0</v>
      </c>
      <c r="Q613">
        <v>0</v>
      </c>
      <c r="R613" s="2">
        <v>0</v>
      </c>
      <c r="S613" s="2">
        <v>0</v>
      </c>
      <c r="T613" t="s">
        <v>405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idden="1" x14ac:dyDescent="0.25">
      <c r="A614" t="s">
        <v>29</v>
      </c>
      <c r="B614" t="s">
        <v>30</v>
      </c>
      <c r="C614" t="s">
        <v>31</v>
      </c>
      <c r="D614" s="1">
        <v>45839</v>
      </c>
      <c r="E614" s="1">
        <v>45839</v>
      </c>
      <c r="F614" s="2">
        <v>26</v>
      </c>
      <c r="G614" s="3" t="s">
        <v>23</v>
      </c>
      <c r="H614">
        <v>10</v>
      </c>
      <c r="I614" s="2">
        <v>0</v>
      </c>
      <c r="J614" s="2">
        <v>0</v>
      </c>
      <c r="K614" s="2">
        <v>0</v>
      </c>
      <c r="L614" s="2">
        <v>0</v>
      </c>
      <c r="M614">
        <v>0</v>
      </c>
      <c r="N614">
        <v>0</v>
      </c>
      <c r="O614" s="2">
        <v>0</v>
      </c>
      <c r="P614" s="2">
        <v>0</v>
      </c>
      <c r="Q614">
        <v>0</v>
      </c>
      <c r="R614" s="2">
        <v>0</v>
      </c>
      <c r="S614" s="2">
        <v>0</v>
      </c>
      <c r="T614" t="s">
        <v>400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idden="1" x14ac:dyDescent="0.25">
      <c r="A615" t="s">
        <v>47</v>
      </c>
      <c r="B615" t="s">
        <v>21</v>
      </c>
      <c r="C615" t="s">
        <v>22</v>
      </c>
      <c r="D615" s="1">
        <v>45839</v>
      </c>
      <c r="E615" s="1">
        <v>45839</v>
      </c>
      <c r="F615" s="2">
        <v>25</v>
      </c>
      <c r="G615" s="3" t="s">
        <v>23</v>
      </c>
      <c r="H615">
        <v>36</v>
      </c>
      <c r="I615" s="2">
        <v>0</v>
      </c>
      <c r="J615" s="2">
        <v>0</v>
      </c>
      <c r="K615" s="2">
        <v>1</v>
      </c>
      <c r="L615" s="2">
        <v>0</v>
      </c>
      <c r="M615">
        <v>0</v>
      </c>
      <c r="N615">
        <v>0</v>
      </c>
      <c r="O615" s="2">
        <v>0</v>
      </c>
      <c r="P615" s="2">
        <v>0</v>
      </c>
      <c r="Q615">
        <v>0</v>
      </c>
      <c r="R615" s="2">
        <v>0</v>
      </c>
      <c r="S615" s="2">
        <v>0</v>
      </c>
      <c r="T615" t="s">
        <v>402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idden="1" x14ac:dyDescent="0.25">
      <c r="A616" t="s">
        <v>56</v>
      </c>
      <c r="B616" t="s">
        <v>57</v>
      </c>
      <c r="C616" t="s">
        <v>212</v>
      </c>
      <c r="D616" s="1">
        <v>45839</v>
      </c>
      <c r="E616" s="1">
        <v>45839</v>
      </c>
      <c r="F616" s="2">
        <v>0</v>
      </c>
      <c r="G616" s="3" t="s">
        <v>48</v>
      </c>
      <c r="H616">
        <v>0</v>
      </c>
      <c r="I616" s="2">
        <v>0</v>
      </c>
      <c r="J616" s="2">
        <v>0</v>
      </c>
      <c r="K616" s="2">
        <v>0</v>
      </c>
      <c r="L616" s="2">
        <v>0</v>
      </c>
      <c r="M616">
        <v>0</v>
      </c>
      <c r="N616">
        <v>0</v>
      </c>
      <c r="O616" s="2">
        <v>0</v>
      </c>
      <c r="P616" s="2">
        <v>0</v>
      </c>
      <c r="Q616">
        <v>0</v>
      </c>
      <c r="R616" s="2">
        <v>0</v>
      </c>
      <c r="S616" s="2">
        <v>0</v>
      </c>
      <c r="T616" t="s">
        <v>377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idden="1" x14ac:dyDescent="0.25">
      <c r="A617" t="s">
        <v>47</v>
      </c>
      <c r="B617" t="s">
        <v>52</v>
      </c>
      <c r="C617" t="s">
        <v>212</v>
      </c>
      <c r="D617" s="1">
        <v>45839</v>
      </c>
      <c r="E617" s="1">
        <v>45839</v>
      </c>
      <c r="F617" s="2">
        <v>0</v>
      </c>
      <c r="G617" s="3" t="s">
        <v>50</v>
      </c>
      <c r="H617">
        <v>0</v>
      </c>
      <c r="I617" s="2">
        <v>0</v>
      </c>
      <c r="J617" s="2">
        <v>0</v>
      </c>
      <c r="K617" s="2">
        <v>0</v>
      </c>
      <c r="L617" s="2">
        <v>0</v>
      </c>
      <c r="M617">
        <v>0</v>
      </c>
      <c r="N617">
        <v>0</v>
      </c>
      <c r="O617" s="2">
        <v>0</v>
      </c>
      <c r="P617" s="2">
        <v>0</v>
      </c>
      <c r="Q617">
        <v>0</v>
      </c>
      <c r="R617" s="2">
        <v>0</v>
      </c>
      <c r="S617" s="2">
        <v>0</v>
      </c>
      <c r="T617" t="s">
        <v>377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</row>
    <row r="618" spans="1:28" hidden="1" x14ac:dyDescent="0.25">
      <c r="A618" t="s">
        <v>56</v>
      </c>
      <c r="B618" t="s">
        <v>57</v>
      </c>
      <c r="C618" t="s">
        <v>64</v>
      </c>
      <c r="D618" s="1">
        <v>45840</v>
      </c>
      <c r="E618" s="1">
        <v>45840</v>
      </c>
      <c r="F618" s="2">
        <v>17</v>
      </c>
      <c r="G618" s="3" t="s">
        <v>23</v>
      </c>
      <c r="H618">
        <v>32</v>
      </c>
      <c r="I618" s="2">
        <v>0</v>
      </c>
      <c r="J618" s="2">
        <v>0</v>
      </c>
      <c r="K618" s="2">
        <v>1</v>
      </c>
      <c r="L618" s="2">
        <v>0</v>
      </c>
      <c r="M618">
        <v>1</v>
      </c>
      <c r="N618">
        <v>0</v>
      </c>
      <c r="O618" s="2">
        <v>0</v>
      </c>
      <c r="P618" s="2">
        <v>0</v>
      </c>
      <c r="Q618">
        <v>0</v>
      </c>
      <c r="R618" s="2">
        <v>0</v>
      </c>
      <c r="S618" s="2">
        <v>0</v>
      </c>
      <c r="T618" t="s">
        <v>406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</row>
    <row r="619" spans="1:28" hidden="1" x14ac:dyDescent="0.25">
      <c r="A619" t="s">
        <v>33</v>
      </c>
      <c r="B619" t="s">
        <v>34</v>
      </c>
      <c r="C619" t="s">
        <v>35</v>
      </c>
      <c r="D619" s="1">
        <v>45840</v>
      </c>
      <c r="E619" s="1">
        <v>45840</v>
      </c>
      <c r="F619" s="2">
        <v>41</v>
      </c>
      <c r="G619" s="3" t="s">
        <v>23</v>
      </c>
      <c r="H619">
        <v>32</v>
      </c>
      <c r="I619" s="2">
        <v>0</v>
      </c>
      <c r="J619" s="2">
        <v>0</v>
      </c>
      <c r="K619" s="2">
        <v>0</v>
      </c>
      <c r="L619" s="2">
        <v>1</v>
      </c>
      <c r="M619">
        <v>0</v>
      </c>
      <c r="N619">
        <v>0</v>
      </c>
      <c r="O619" s="2">
        <v>0</v>
      </c>
      <c r="P619" s="2">
        <v>0</v>
      </c>
      <c r="Q619">
        <v>0</v>
      </c>
      <c r="R619" s="2">
        <v>0</v>
      </c>
      <c r="S619" s="2">
        <v>0</v>
      </c>
      <c r="T619" t="s">
        <v>407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</row>
    <row r="620" spans="1:28" hidden="1" x14ac:dyDescent="0.25">
      <c r="A620" t="s">
        <v>37</v>
      </c>
      <c r="B620" t="s">
        <v>38</v>
      </c>
      <c r="C620" t="s">
        <v>39</v>
      </c>
      <c r="D620" s="1">
        <v>45840</v>
      </c>
      <c r="E620" s="1">
        <v>45840</v>
      </c>
      <c r="F620" s="2">
        <v>18</v>
      </c>
      <c r="G620" s="3" t="s">
        <v>23</v>
      </c>
      <c r="H620">
        <v>28</v>
      </c>
      <c r="I620" s="2">
        <v>0</v>
      </c>
      <c r="J620" s="2">
        <v>0</v>
      </c>
      <c r="K620" s="2">
        <v>1</v>
      </c>
      <c r="L620" s="2">
        <v>0</v>
      </c>
      <c r="M620">
        <v>0</v>
      </c>
      <c r="N620">
        <v>0</v>
      </c>
      <c r="O620" s="2">
        <v>0</v>
      </c>
      <c r="P620" s="2">
        <v>0</v>
      </c>
      <c r="Q620">
        <v>0</v>
      </c>
      <c r="R620" s="2">
        <v>0</v>
      </c>
      <c r="S620" s="2">
        <v>0</v>
      </c>
      <c r="T620" t="s">
        <v>408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</row>
    <row r="621" spans="1:28" hidden="1" x14ac:dyDescent="0.25">
      <c r="A621" t="s">
        <v>29</v>
      </c>
      <c r="B621" t="s">
        <v>30</v>
      </c>
      <c r="C621" t="s">
        <v>39</v>
      </c>
      <c r="D621" s="1">
        <v>45840</v>
      </c>
      <c r="E621" s="1">
        <v>45840</v>
      </c>
      <c r="F621" s="2">
        <v>18</v>
      </c>
      <c r="G621" s="3" t="s">
        <v>23</v>
      </c>
      <c r="H621">
        <v>28</v>
      </c>
      <c r="I621" s="2">
        <v>0</v>
      </c>
      <c r="J621" s="2">
        <v>0</v>
      </c>
      <c r="K621" s="2">
        <v>1</v>
      </c>
      <c r="L621" s="2">
        <v>0</v>
      </c>
      <c r="M621">
        <v>0</v>
      </c>
      <c r="N621">
        <v>0</v>
      </c>
      <c r="O621" s="2">
        <v>0</v>
      </c>
      <c r="P621" s="2">
        <v>0</v>
      </c>
      <c r="Q621">
        <v>0</v>
      </c>
      <c r="R621" s="2">
        <v>0</v>
      </c>
      <c r="S621" s="2">
        <v>0</v>
      </c>
      <c r="T621" t="s">
        <v>408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</row>
    <row r="622" spans="1:28" hidden="1" x14ac:dyDescent="0.25">
      <c r="A622" t="s">
        <v>53</v>
      </c>
      <c r="B622" t="s">
        <v>47</v>
      </c>
      <c r="C622" t="s">
        <v>39</v>
      </c>
      <c r="D622" s="1">
        <v>45840</v>
      </c>
      <c r="E622" s="1">
        <v>45840</v>
      </c>
      <c r="F622" s="2">
        <v>30</v>
      </c>
      <c r="G622" s="3" t="s">
        <v>23</v>
      </c>
      <c r="H622">
        <v>0</v>
      </c>
      <c r="I622" s="2">
        <v>0</v>
      </c>
      <c r="J622" s="2">
        <v>0</v>
      </c>
      <c r="K622" s="2">
        <v>0</v>
      </c>
      <c r="L622" s="2">
        <v>0</v>
      </c>
      <c r="M622">
        <v>0</v>
      </c>
      <c r="N622">
        <v>0</v>
      </c>
      <c r="O622" s="2">
        <v>0</v>
      </c>
      <c r="P622" s="2">
        <v>0</v>
      </c>
      <c r="Q622">
        <v>1</v>
      </c>
      <c r="R622" s="2">
        <v>0</v>
      </c>
      <c r="S622" s="2">
        <v>0</v>
      </c>
      <c r="T622" t="s">
        <v>405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</row>
    <row r="623" spans="1:28" hidden="1" x14ac:dyDescent="0.25">
      <c r="A623" t="s">
        <v>20</v>
      </c>
      <c r="B623" t="s">
        <v>21</v>
      </c>
      <c r="C623" t="s">
        <v>22</v>
      </c>
      <c r="D623" s="1">
        <v>45840</v>
      </c>
      <c r="E623" s="1">
        <v>45840</v>
      </c>
      <c r="F623" s="2">
        <v>25</v>
      </c>
      <c r="G623" s="3" t="s">
        <v>409</v>
      </c>
      <c r="H623">
        <v>0</v>
      </c>
      <c r="I623" s="2">
        <v>0</v>
      </c>
      <c r="J623" s="2">
        <v>0</v>
      </c>
      <c r="K623" s="2">
        <v>0</v>
      </c>
      <c r="L623" s="2">
        <v>0</v>
      </c>
      <c r="M623">
        <v>0</v>
      </c>
      <c r="N623">
        <v>0</v>
      </c>
      <c r="O623" s="2">
        <v>0</v>
      </c>
      <c r="P623" s="2">
        <v>0</v>
      </c>
      <c r="Q623">
        <v>0</v>
      </c>
      <c r="R623" s="2">
        <v>0</v>
      </c>
      <c r="S623" s="2">
        <v>0</v>
      </c>
      <c r="T623" t="s">
        <v>377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</row>
    <row r="624" spans="1:28" hidden="1" x14ac:dyDescent="0.25">
      <c r="A624" t="s">
        <v>25</v>
      </c>
      <c r="B624" t="s">
        <v>26</v>
      </c>
      <c r="C624" t="s">
        <v>212</v>
      </c>
      <c r="D624" s="1">
        <v>45840</v>
      </c>
      <c r="E624" s="1">
        <v>45840</v>
      </c>
      <c r="F624" s="2">
        <v>0</v>
      </c>
      <c r="G624" s="3" t="s">
        <v>48</v>
      </c>
      <c r="H624">
        <v>0</v>
      </c>
      <c r="I624" s="2">
        <v>0</v>
      </c>
      <c r="J624" s="2">
        <v>0</v>
      </c>
      <c r="K624" s="2">
        <v>0</v>
      </c>
      <c r="L624" s="2">
        <v>0</v>
      </c>
      <c r="M624">
        <v>0</v>
      </c>
      <c r="N624">
        <v>0</v>
      </c>
      <c r="O624" s="2">
        <v>0</v>
      </c>
      <c r="P624" s="2">
        <v>0</v>
      </c>
      <c r="Q624">
        <v>0</v>
      </c>
      <c r="R624" s="2">
        <v>0</v>
      </c>
      <c r="S624" s="2">
        <v>0</v>
      </c>
      <c r="T624" t="s">
        <v>377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</row>
    <row r="625" spans="1:28" hidden="1" x14ac:dyDescent="0.25">
      <c r="A625" t="s">
        <v>47</v>
      </c>
      <c r="B625" t="s">
        <v>52</v>
      </c>
      <c r="C625" t="s">
        <v>212</v>
      </c>
      <c r="D625" s="1">
        <v>45840</v>
      </c>
      <c r="E625" s="1">
        <v>45840</v>
      </c>
      <c r="F625" s="2">
        <v>0</v>
      </c>
      <c r="G625" s="3" t="s">
        <v>50</v>
      </c>
      <c r="H625">
        <v>0</v>
      </c>
      <c r="I625" s="2">
        <v>0</v>
      </c>
      <c r="J625" s="2">
        <v>0</v>
      </c>
      <c r="K625" s="2">
        <v>0</v>
      </c>
      <c r="L625" s="2">
        <v>0</v>
      </c>
      <c r="M625">
        <v>0</v>
      </c>
      <c r="N625">
        <v>0</v>
      </c>
      <c r="O625" s="2">
        <v>0</v>
      </c>
      <c r="P625" s="2">
        <v>0</v>
      </c>
      <c r="Q625">
        <v>0</v>
      </c>
      <c r="R625" s="2">
        <v>0</v>
      </c>
      <c r="S625" s="2">
        <v>0</v>
      </c>
      <c r="T625" t="s">
        <v>377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</row>
    <row r="626" spans="1:28" hidden="1" x14ac:dyDescent="0.25">
      <c r="A626" t="s">
        <v>56</v>
      </c>
      <c r="B626" t="s">
        <v>57</v>
      </c>
      <c r="C626" t="s">
        <v>64</v>
      </c>
      <c r="D626" s="1">
        <v>45841</v>
      </c>
      <c r="E626" s="1">
        <v>45841</v>
      </c>
      <c r="F626" s="2">
        <v>26</v>
      </c>
      <c r="G626" s="3" t="s">
        <v>23</v>
      </c>
      <c r="H626">
        <v>30</v>
      </c>
      <c r="I626" s="2">
        <v>0</v>
      </c>
      <c r="J626" s="2">
        <v>0</v>
      </c>
      <c r="K626" s="2">
        <v>1</v>
      </c>
      <c r="L626" s="2">
        <v>0</v>
      </c>
      <c r="M626">
        <v>0</v>
      </c>
      <c r="N626">
        <v>0</v>
      </c>
      <c r="O626" s="2">
        <v>0</v>
      </c>
      <c r="P626" s="2">
        <v>0</v>
      </c>
      <c r="Q626">
        <v>0</v>
      </c>
      <c r="R626" s="2">
        <v>0</v>
      </c>
      <c r="S626" s="2">
        <v>0</v>
      </c>
      <c r="T626" t="s">
        <v>410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</row>
    <row r="627" spans="1:28" hidden="1" x14ac:dyDescent="0.25">
      <c r="A627" t="s">
        <v>25</v>
      </c>
      <c r="B627" t="s">
        <v>26</v>
      </c>
      <c r="C627" t="s">
        <v>27</v>
      </c>
      <c r="D627" s="1">
        <v>45841</v>
      </c>
      <c r="E627" s="1">
        <v>45841</v>
      </c>
      <c r="F627" s="2">
        <v>32</v>
      </c>
      <c r="G627" s="3" t="s">
        <v>23</v>
      </c>
      <c r="H627">
        <v>28</v>
      </c>
      <c r="I627" s="2">
        <v>0</v>
      </c>
      <c r="J627" s="2">
        <v>0</v>
      </c>
      <c r="K627" s="2">
        <v>1</v>
      </c>
      <c r="L627" s="2">
        <v>0</v>
      </c>
      <c r="M627">
        <v>0</v>
      </c>
      <c r="N627">
        <v>0</v>
      </c>
      <c r="O627" s="2">
        <v>0</v>
      </c>
      <c r="P627" s="2">
        <v>0</v>
      </c>
      <c r="Q627">
        <v>0</v>
      </c>
      <c r="R627" s="2">
        <v>0</v>
      </c>
      <c r="S627" s="2">
        <v>0</v>
      </c>
      <c r="T627" t="s">
        <v>411</v>
      </c>
      <c r="U627" s="2">
        <v>0</v>
      </c>
      <c r="V627" s="2">
        <v>10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idden="1" x14ac:dyDescent="0.25">
      <c r="A628" t="s">
        <v>33</v>
      </c>
      <c r="B628" t="s">
        <v>34</v>
      </c>
      <c r="C628" t="s">
        <v>35</v>
      </c>
      <c r="D628" s="1">
        <v>45841</v>
      </c>
      <c r="E628" s="1">
        <v>45841</v>
      </c>
      <c r="F628" s="2">
        <v>41</v>
      </c>
      <c r="G628" s="3" t="s">
        <v>23</v>
      </c>
      <c r="H628">
        <v>32</v>
      </c>
      <c r="I628" s="2">
        <v>0</v>
      </c>
      <c r="J628" s="2">
        <v>0</v>
      </c>
      <c r="K628" s="2">
        <v>1</v>
      </c>
      <c r="L628" s="2">
        <v>0</v>
      </c>
      <c r="M628">
        <v>0</v>
      </c>
      <c r="N628">
        <v>0</v>
      </c>
      <c r="O628" s="2">
        <v>0</v>
      </c>
      <c r="P628" s="2">
        <v>0</v>
      </c>
      <c r="Q628">
        <v>0</v>
      </c>
      <c r="R628" s="2">
        <v>0</v>
      </c>
      <c r="S628" s="2">
        <v>0</v>
      </c>
      <c r="T628" t="s">
        <v>412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</row>
    <row r="629" spans="1:28" hidden="1" x14ac:dyDescent="0.25">
      <c r="A629" t="s">
        <v>37</v>
      </c>
      <c r="B629" t="s">
        <v>38</v>
      </c>
      <c r="C629" t="s">
        <v>39</v>
      </c>
      <c r="D629" s="1">
        <v>45841</v>
      </c>
      <c r="E629" s="1">
        <v>45841</v>
      </c>
      <c r="F629" s="2">
        <v>20</v>
      </c>
      <c r="G629" s="3" t="s">
        <v>23</v>
      </c>
      <c r="H629">
        <v>22</v>
      </c>
      <c r="I629" s="2">
        <v>0</v>
      </c>
      <c r="J629" s="2">
        <v>0</v>
      </c>
      <c r="K629" s="2">
        <v>0</v>
      </c>
      <c r="L629" s="2">
        <v>1</v>
      </c>
      <c r="M629">
        <v>0</v>
      </c>
      <c r="N629">
        <v>0</v>
      </c>
      <c r="O629" s="2">
        <v>0</v>
      </c>
      <c r="P629" s="2">
        <v>0</v>
      </c>
      <c r="Q629">
        <v>0</v>
      </c>
      <c r="R629" s="2">
        <v>0</v>
      </c>
      <c r="S629" s="2">
        <v>0</v>
      </c>
      <c r="T629" t="s">
        <v>413</v>
      </c>
      <c r="U629" s="2">
        <v>0</v>
      </c>
      <c r="V629" s="2">
        <v>0</v>
      </c>
      <c r="W629" s="2">
        <v>2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</row>
    <row r="630" spans="1:28" hidden="1" x14ac:dyDescent="0.25">
      <c r="A630" t="s">
        <v>20</v>
      </c>
      <c r="B630" t="s">
        <v>47</v>
      </c>
      <c r="C630" t="s">
        <v>22</v>
      </c>
      <c r="D630" s="1">
        <v>45841</v>
      </c>
      <c r="E630" s="1">
        <v>45841</v>
      </c>
      <c r="F630" s="2">
        <v>25</v>
      </c>
      <c r="G630" s="3" t="s">
        <v>23</v>
      </c>
      <c r="H630">
        <v>0</v>
      </c>
      <c r="I630" s="2">
        <v>0</v>
      </c>
      <c r="J630" s="2">
        <v>0</v>
      </c>
      <c r="K630" s="2">
        <v>0</v>
      </c>
      <c r="L630" s="2">
        <v>0</v>
      </c>
      <c r="M630">
        <v>0</v>
      </c>
      <c r="N630">
        <v>0</v>
      </c>
      <c r="O630" s="2">
        <v>0</v>
      </c>
      <c r="P630" s="2">
        <v>0</v>
      </c>
      <c r="Q630">
        <v>1</v>
      </c>
      <c r="R630" s="2">
        <v>0</v>
      </c>
      <c r="S630" s="2">
        <v>0</v>
      </c>
      <c r="T630" t="s">
        <v>377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idden="1" x14ac:dyDescent="0.25">
      <c r="A631" t="s">
        <v>53</v>
      </c>
      <c r="B631" t="s">
        <v>21</v>
      </c>
      <c r="C631" t="s">
        <v>39</v>
      </c>
      <c r="D631" s="1">
        <v>45841</v>
      </c>
      <c r="E631" s="1">
        <v>45841</v>
      </c>
      <c r="F631" s="2">
        <v>30</v>
      </c>
      <c r="G631" s="3" t="s">
        <v>23</v>
      </c>
      <c r="H631">
        <v>10</v>
      </c>
      <c r="I631" s="2">
        <v>0</v>
      </c>
      <c r="J631" s="2">
        <v>0</v>
      </c>
      <c r="K631" s="2">
        <v>0</v>
      </c>
      <c r="L631" s="2">
        <v>0</v>
      </c>
      <c r="M631">
        <v>0</v>
      </c>
      <c r="N631">
        <v>0</v>
      </c>
      <c r="O631" s="2">
        <v>0</v>
      </c>
      <c r="P631" s="2">
        <v>0</v>
      </c>
      <c r="Q631">
        <v>0</v>
      </c>
      <c r="R631" s="2">
        <v>0</v>
      </c>
      <c r="S631" s="2">
        <v>0</v>
      </c>
      <c r="T631" t="s">
        <v>405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idden="1" x14ac:dyDescent="0.25">
      <c r="A632" t="s">
        <v>29</v>
      </c>
      <c r="B632" t="s">
        <v>30</v>
      </c>
      <c r="C632" t="s">
        <v>39</v>
      </c>
      <c r="D632" s="1">
        <v>45841</v>
      </c>
      <c r="E632" s="1">
        <v>45841</v>
      </c>
      <c r="F632" s="2">
        <v>20</v>
      </c>
      <c r="G632" s="3" t="s">
        <v>23</v>
      </c>
      <c r="H632">
        <v>11</v>
      </c>
      <c r="I632" s="2">
        <v>0</v>
      </c>
      <c r="J632" s="2">
        <v>0</v>
      </c>
      <c r="K632" s="2">
        <v>0</v>
      </c>
      <c r="L632" s="2">
        <v>0</v>
      </c>
      <c r="M632">
        <v>0</v>
      </c>
      <c r="N632">
        <v>0</v>
      </c>
      <c r="O632" s="2">
        <v>0</v>
      </c>
      <c r="P632" s="2">
        <v>0</v>
      </c>
      <c r="Q632">
        <v>0</v>
      </c>
      <c r="R632" s="2">
        <v>0</v>
      </c>
      <c r="S632" s="2">
        <v>0</v>
      </c>
      <c r="T632" t="s">
        <v>413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</row>
    <row r="633" spans="1:28" hidden="1" x14ac:dyDescent="0.25">
      <c r="A633" t="s">
        <v>47</v>
      </c>
      <c r="B633" t="s">
        <v>52</v>
      </c>
      <c r="C633" t="s">
        <v>212</v>
      </c>
      <c r="D633" s="1">
        <v>45841</v>
      </c>
      <c r="E633" s="1">
        <v>45841</v>
      </c>
      <c r="F633" s="2">
        <v>0</v>
      </c>
      <c r="G633" s="3" t="s">
        <v>50</v>
      </c>
      <c r="H633">
        <v>0</v>
      </c>
      <c r="I633" s="2">
        <v>0</v>
      </c>
      <c r="J633" s="2">
        <v>0</v>
      </c>
      <c r="K633" s="2">
        <v>0</v>
      </c>
      <c r="L633" s="2">
        <v>0</v>
      </c>
      <c r="M633">
        <v>0</v>
      </c>
      <c r="N633">
        <v>0</v>
      </c>
      <c r="O633" s="2">
        <v>0</v>
      </c>
      <c r="P633" s="2">
        <v>0</v>
      </c>
      <c r="Q633">
        <v>0</v>
      </c>
      <c r="R633" s="2">
        <v>0</v>
      </c>
      <c r="S633" s="2">
        <v>0</v>
      </c>
      <c r="T633" t="s">
        <v>377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idden="1" x14ac:dyDescent="0.25">
      <c r="A634" t="s">
        <v>56</v>
      </c>
      <c r="B634" t="s">
        <v>57</v>
      </c>
      <c r="C634" t="s">
        <v>64</v>
      </c>
      <c r="D634" s="1">
        <v>45842</v>
      </c>
      <c r="E634" s="1">
        <v>45842</v>
      </c>
      <c r="F634" s="2">
        <v>55</v>
      </c>
      <c r="G634" s="3" t="s">
        <v>23</v>
      </c>
      <c r="H634">
        <v>30</v>
      </c>
      <c r="I634" s="2">
        <v>0</v>
      </c>
      <c r="J634" s="2">
        <v>0</v>
      </c>
      <c r="K634" s="2">
        <v>1</v>
      </c>
      <c r="L634" s="2">
        <v>0</v>
      </c>
      <c r="M634">
        <v>0</v>
      </c>
      <c r="N634">
        <v>0</v>
      </c>
      <c r="O634" s="2">
        <v>0</v>
      </c>
      <c r="P634" s="2">
        <v>0</v>
      </c>
      <c r="Q634">
        <v>0</v>
      </c>
      <c r="R634" s="2">
        <v>0</v>
      </c>
      <c r="S634" s="2">
        <v>0</v>
      </c>
      <c r="T634" t="s">
        <v>414</v>
      </c>
      <c r="U634" s="2">
        <v>0</v>
      </c>
      <c r="V634" s="2">
        <v>40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</row>
    <row r="635" spans="1:28" hidden="1" x14ac:dyDescent="0.25">
      <c r="A635" t="s">
        <v>20</v>
      </c>
      <c r="B635" t="s">
        <v>21</v>
      </c>
      <c r="C635" t="s">
        <v>22</v>
      </c>
      <c r="D635" s="1">
        <v>45842</v>
      </c>
      <c r="E635" s="1">
        <v>45842</v>
      </c>
      <c r="F635" s="2">
        <v>40</v>
      </c>
      <c r="G635" s="3" t="s">
        <v>23</v>
      </c>
      <c r="H635">
        <v>33</v>
      </c>
      <c r="I635" s="2">
        <v>0</v>
      </c>
      <c r="J635" s="2">
        <v>0</v>
      </c>
      <c r="K635" s="2">
        <v>0</v>
      </c>
      <c r="L635" s="2">
        <v>1</v>
      </c>
      <c r="M635">
        <v>1</v>
      </c>
      <c r="N635">
        <v>0</v>
      </c>
      <c r="O635" s="2">
        <v>0</v>
      </c>
      <c r="P635" s="2">
        <v>0</v>
      </c>
      <c r="Q635">
        <v>1</v>
      </c>
      <c r="R635" s="2">
        <v>0</v>
      </c>
      <c r="S635" s="2">
        <v>0</v>
      </c>
      <c r="T635" t="s">
        <v>415</v>
      </c>
      <c r="U635" s="2">
        <v>0</v>
      </c>
      <c r="V635" s="2">
        <v>10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</row>
    <row r="636" spans="1:28" hidden="1" x14ac:dyDescent="0.25">
      <c r="A636" t="s">
        <v>25</v>
      </c>
      <c r="B636" t="s">
        <v>26</v>
      </c>
      <c r="C636" t="s">
        <v>27</v>
      </c>
      <c r="D636" s="1">
        <v>45842</v>
      </c>
      <c r="E636" s="1">
        <v>45842</v>
      </c>
      <c r="F636" s="2">
        <v>28</v>
      </c>
      <c r="G636" s="3" t="s">
        <v>23</v>
      </c>
      <c r="H636">
        <v>20</v>
      </c>
      <c r="I636" s="2">
        <v>0</v>
      </c>
      <c r="J636" s="2">
        <v>0</v>
      </c>
      <c r="K636" s="2">
        <v>1</v>
      </c>
      <c r="L636" s="2">
        <v>0</v>
      </c>
      <c r="M636">
        <v>0</v>
      </c>
      <c r="N636">
        <v>0</v>
      </c>
      <c r="O636" s="2">
        <v>0</v>
      </c>
      <c r="P636" s="2">
        <v>0</v>
      </c>
      <c r="Q636">
        <v>0</v>
      </c>
      <c r="R636" s="2">
        <v>0</v>
      </c>
      <c r="S636" s="2">
        <v>0</v>
      </c>
      <c r="T636" t="s">
        <v>416</v>
      </c>
      <c r="U636" s="2">
        <v>0</v>
      </c>
      <c r="V636" s="2">
        <v>40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idden="1" x14ac:dyDescent="0.25">
      <c r="A637" t="s">
        <v>53</v>
      </c>
      <c r="B637" t="s">
        <v>30</v>
      </c>
      <c r="C637" t="s">
        <v>27</v>
      </c>
      <c r="D637" s="1">
        <v>45842</v>
      </c>
      <c r="E637" s="1">
        <v>45842</v>
      </c>
      <c r="F637" s="2">
        <v>28</v>
      </c>
      <c r="G637" s="3" t="s">
        <v>23</v>
      </c>
      <c r="H637">
        <v>16</v>
      </c>
      <c r="I637" s="2">
        <v>0</v>
      </c>
      <c r="J637" s="2">
        <v>0</v>
      </c>
      <c r="K637" s="2">
        <v>1</v>
      </c>
      <c r="L637" s="2">
        <v>0</v>
      </c>
      <c r="M637">
        <v>0</v>
      </c>
      <c r="N637">
        <v>0</v>
      </c>
      <c r="O637" s="2">
        <v>0</v>
      </c>
      <c r="P637" s="2">
        <v>0</v>
      </c>
      <c r="Q637">
        <v>0</v>
      </c>
      <c r="R637" s="2">
        <v>0</v>
      </c>
      <c r="S637" s="2">
        <v>0</v>
      </c>
      <c r="T637" t="s">
        <v>416</v>
      </c>
      <c r="U637" s="2">
        <v>0</v>
      </c>
      <c r="V637" s="2">
        <v>34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</row>
    <row r="638" spans="1:28" hidden="1" x14ac:dyDescent="0.25">
      <c r="A638" t="s">
        <v>29</v>
      </c>
      <c r="B638" t="s">
        <v>29</v>
      </c>
      <c r="C638" t="s">
        <v>39</v>
      </c>
      <c r="D638" s="1">
        <v>45842</v>
      </c>
      <c r="E638" s="1">
        <v>45842</v>
      </c>
      <c r="F638" s="2">
        <v>20</v>
      </c>
      <c r="G638" s="3" t="s">
        <v>23</v>
      </c>
      <c r="H638">
        <v>0</v>
      </c>
      <c r="I638" s="2">
        <v>0</v>
      </c>
      <c r="J638" s="2">
        <v>0</v>
      </c>
      <c r="K638" s="2">
        <v>0</v>
      </c>
      <c r="L638" s="2">
        <v>0</v>
      </c>
      <c r="M638">
        <v>0</v>
      </c>
      <c r="N638">
        <v>0</v>
      </c>
      <c r="O638" s="2">
        <v>0</v>
      </c>
      <c r="P638" s="2">
        <v>0</v>
      </c>
      <c r="Q638">
        <v>0</v>
      </c>
      <c r="R638" s="2">
        <v>0</v>
      </c>
      <c r="S638" s="2">
        <v>0</v>
      </c>
      <c r="T638" t="s">
        <v>413</v>
      </c>
      <c r="U638" s="2">
        <v>0</v>
      </c>
      <c r="V638" s="2">
        <v>14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idden="1" x14ac:dyDescent="0.25">
      <c r="A639" t="s">
        <v>33</v>
      </c>
      <c r="B639" t="s">
        <v>34</v>
      </c>
      <c r="C639" t="s">
        <v>35</v>
      </c>
      <c r="D639" s="1">
        <v>45842</v>
      </c>
      <c r="E639" s="1">
        <v>45842</v>
      </c>
      <c r="F639" s="2">
        <v>41</v>
      </c>
      <c r="G639" s="3" t="s">
        <v>48</v>
      </c>
      <c r="H639">
        <v>0</v>
      </c>
      <c r="I639" s="2">
        <v>0</v>
      </c>
      <c r="J639" s="2">
        <v>0</v>
      </c>
      <c r="K639" s="2">
        <v>0</v>
      </c>
      <c r="L639" s="2">
        <v>0</v>
      </c>
      <c r="M639">
        <v>0</v>
      </c>
      <c r="N639">
        <v>0</v>
      </c>
      <c r="O639" s="2">
        <v>0</v>
      </c>
      <c r="P639" s="2">
        <v>0</v>
      </c>
      <c r="Q639">
        <v>0</v>
      </c>
      <c r="R639" s="2">
        <v>0</v>
      </c>
      <c r="S639" s="2">
        <v>0</v>
      </c>
      <c r="T639" t="s">
        <v>377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</row>
    <row r="640" spans="1:28" hidden="1" x14ac:dyDescent="0.25">
      <c r="A640" t="s">
        <v>37</v>
      </c>
      <c r="B640" t="s">
        <v>38</v>
      </c>
      <c r="C640" t="s">
        <v>39</v>
      </c>
      <c r="D640" s="1">
        <v>45842</v>
      </c>
      <c r="E640" s="1">
        <v>45842</v>
      </c>
      <c r="F640" s="2">
        <v>20</v>
      </c>
      <c r="G640" s="3" t="s">
        <v>48</v>
      </c>
      <c r="H640">
        <v>0</v>
      </c>
      <c r="I640" s="2">
        <v>0</v>
      </c>
      <c r="J640" s="2">
        <v>0</v>
      </c>
      <c r="K640" s="2">
        <v>0</v>
      </c>
      <c r="L640" s="2">
        <v>0</v>
      </c>
      <c r="M640">
        <v>0</v>
      </c>
      <c r="N640">
        <v>0</v>
      </c>
      <c r="O640" s="2">
        <v>0</v>
      </c>
      <c r="P640" s="2">
        <v>0</v>
      </c>
      <c r="Q640">
        <v>0</v>
      </c>
      <c r="R640" s="2">
        <v>0</v>
      </c>
      <c r="S640" s="2">
        <v>0</v>
      </c>
      <c r="T640" t="s">
        <v>377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</row>
    <row r="641" spans="1:28" hidden="1" x14ac:dyDescent="0.25">
      <c r="A641" t="s">
        <v>47</v>
      </c>
      <c r="B641" t="s">
        <v>52</v>
      </c>
      <c r="C641" t="s">
        <v>212</v>
      </c>
      <c r="D641" s="1">
        <v>45842</v>
      </c>
      <c r="E641" s="1">
        <v>45842</v>
      </c>
      <c r="F641" s="2">
        <v>0</v>
      </c>
      <c r="G641" s="3" t="s">
        <v>50</v>
      </c>
      <c r="H641">
        <v>0</v>
      </c>
      <c r="I641" s="2">
        <v>0</v>
      </c>
      <c r="J641" s="2">
        <v>0</v>
      </c>
      <c r="K641" s="2">
        <v>0</v>
      </c>
      <c r="L641" s="2">
        <v>0</v>
      </c>
      <c r="M641">
        <v>0</v>
      </c>
      <c r="N641">
        <v>0</v>
      </c>
      <c r="O641" s="2">
        <v>0</v>
      </c>
      <c r="P641" s="2">
        <v>0</v>
      </c>
      <c r="Q641">
        <v>0</v>
      </c>
      <c r="R641" s="2">
        <v>0</v>
      </c>
      <c r="S641" s="2">
        <v>0</v>
      </c>
      <c r="T641" t="s">
        <v>377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idden="1" x14ac:dyDescent="0.25">
      <c r="A642" t="s">
        <v>56</v>
      </c>
      <c r="B642" t="s">
        <v>57</v>
      </c>
      <c r="C642" t="s">
        <v>64</v>
      </c>
      <c r="D642" s="9">
        <v>45843</v>
      </c>
      <c r="E642" s="9">
        <v>45843</v>
      </c>
      <c r="F642" s="2">
        <v>103</v>
      </c>
      <c r="G642" s="3" t="s">
        <v>23</v>
      </c>
      <c r="H642">
        <v>0</v>
      </c>
      <c r="I642" s="2">
        <v>0</v>
      </c>
      <c r="J642" s="2">
        <v>0</v>
      </c>
      <c r="K642" s="2">
        <v>0</v>
      </c>
      <c r="L642" s="2">
        <v>0</v>
      </c>
      <c r="M642">
        <v>0</v>
      </c>
      <c r="N642">
        <v>0</v>
      </c>
      <c r="O642" s="2">
        <v>1</v>
      </c>
      <c r="P642" s="2">
        <v>0</v>
      </c>
      <c r="Q642">
        <v>6</v>
      </c>
      <c r="R642" s="2">
        <v>1</v>
      </c>
      <c r="S642" s="2">
        <v>0</v>
      </c>
      <c r="T642" t="s">
        <v>417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idden="1" x14ac:dyDescent="0.25">
      <c r="A643" t="s">
        <v>25</v>
      </c>
      <c r="B643" t="s">
        <v>26</v>
      </c>
      <c r="C643" t="s">
        <v>27</v>
      </c>
      <c r="D643" s="9">
        <v>45843</v>
      </c>
      <c r="E643" s="9">
        <v>45843</v>
      </c>
      <c r="F643" s="2">
        <v>29</v>
      </c>
      <c r="G643" s="3" t="s">
        <v>23</v>
      </c>
      <c r="H643">
        <v>0</v>
      </c>
      <c r="I643" s="2">
        <v>0</v>
      </c>
      <c r="J643" s="2">
        <v>0</v>
      </c>
      <c r="K643" s="2">
        <v>0</v>
      </c>
      <c r="L643" s="2">
        <v>0</v>
      </c>
      <c r="M643">
        <v>0</v>
      </c>
      <c r="N643">
        <v>0</v>
      </c>
      <c r="O643" s="2">
        <v>1</v>
      </c>
      <c r="P643" s="2">
        <v>0</v>
      </c>
      <c r="Q643">
        <v>4</v>
      </c>
      <c r="R643" s="2">
        <v>1</v>
      </c>
      <c r="S643" s="2">
        <v>0</v>
      </c>
      <c r="T643" t="s">
        <v>418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</row>
    <row r="644" spans="1:28" hidden="1" x14ac:dyDescent="0.25">
      <c r="A644" t="s">
        <v>33</v>
      </c>
      <c r="B644" t="s">
        <v>34</v>
      </c>
      <c r="C644" t="s">
        <v>35</v>
      </c>
      <c r="D644" s="9">
        <v>45843</v>
      </c>
      <c r="E644" s="9">
        <v>45843</v>
      </c>
      <c r="F644" s="2">
        <v>45</v>
      </c>
      <c r="G644" s="3" t="s">
        <v>23</v>
      </c>
      <c r="H644">
        <v>0</v>
      </c>
      <c r="I644" s="2">
        <v>0</v>
      </c>
      <c r="J644" s="2">
        <v>0</v>
      </c>
      <c r="K644" s="2">
        <v>0</v>
      </c>
      <c r="L644" s="2">
        <v>0</v>
      </c>
      <c r="M644">
        <v>0</v>
      </c>
      <c r="N644">
        <v>0</v>
      </c>
      <c r="O644" s="2">
        <v>0</v>
      </c>
      <c r="P644" s="2">
        <v>0</v>
      </c>
      <c r="Q644">
        <v>6</v>
      </c>
      <c r="R644" s="2">
        <v>1</v>
      </c>
      <c r="S644" s="2">
        <v>0</v>
      </c>
      <c r="T644" t="s">
        <v>419</v>
      </c>
      <c r="U644" s="2">
        <v>23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1</v>
      </c>
      <c r="AB644" s="2">
        <v>0</v>
      </c>
    </row>
    <row r="645" spans="1:28" hidden="1" x14ac:dyDescent="0.25">
      <c r="A645" t="s">
        <v>37</v>
      </c>
      <c r="B645" t="s">
        <v>38</v>
      </c>
      <c r="C645" t="s">
        <v>39</v>
      </c>
      <c r="D645" s="9">
        <v>45843</v>
      </c>
      <c r="E645" s="9">
        <v>45843</v>
      </c>
      <c r="F645" s="2">
        <v>169</v>
      </c>
      <c r="G645" s="3" t="s">
        <v>23</v>
      </c>
      <c r="H645">
        <v>0</v>
      </c>
      <c r="I645" s="2">
        <v>0</v>
      </c>
      <c r="J645" s="2">
        <v>0</v>
      </c>
      <c r="K645" s="2">
        <v>0</v>
      </c>
      <c r="L645" s="2">
        <v>0</v>
      </c>
      <c r="M645">
        <v>0</v>
      </c>
      <c r="N645">
        <v>0</v>
      </c>
      <c r="O645" s="2">
        <v>1</v>
      </c>
      <c r="P645" s="2">
        <v>0</v>
      </c>
      <c r="Q645">
        <v>5</v>
      </c>
      <c r="R645" s="2">
        <v>1</v>
      </c>
      <c r="S645" s="2">
        <v>0</v>
      </c>
      <c r="T645" t="s">
        <v>420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</row>
    <row r="646" spans="1:28" hidden="1" x14ac:dyDescent="0.25">
      <c r="A646" t="s">
        <v>47</v>
      </c>
      <c r="B646" t="s">
        <v>52</v>
      </c>
      <c r="C646" t="s">
        <v>212</v>
      </c>
      <c r="D646" s="9">
        <v>45843</v>
      </c>
      <c r="E646" s="9">
        <v>45843</v>
      </c>
      <c r="F646" s="2">
        <v>0</v>
      </c>
      <c r="G646" s="3" t="s">
        <v>50</v>
      </c>
      <c r="H646">
        <v>0</v>
      </c>
      <c r="I646" s="2">
        <v>0</v>
      </c>
      <c r="J646" s="2">
        <v>0</v>
      </c>
      <c r="K646" s="2">
        <v>0</v>
      </c>
      <c r="L646" s="2">
        <v>0</v>
      </c>
      <c r="M646">
        <v>0</v>
      </c>
      <c r="N646">
        <v>0</v>
      </c>
      <c r="O646" s="2">
        <v>0</v>
      </c>
      <c r="P646" s="2">
        <v>0</v>
      </c>
      <c r="Q646">
        <v>0</v>
      </c>
      <c r="R646" s="2">
        <v>0</v>
      </c>
      <c r="S646" s="2">
        <v>0</v>
      </c>
      <c r="T646" t="s">
        <v>377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</row>
    <row r="647" spans="1:28" hidden="1" x14ac:dyDescent="0.25">
      <c r="A647" t="s">
        <v>53</v>
      </c>
      <c r="B647" t="s">
        <v>47</v>
      </c>
      <c r="C647" t="s">
        <v>212</v>
      </c>
      <c r="D647" s="9">
        <v>45843</v>
      </c>
      <c r="E647" s="9">
        <v>45843</v>
      </c>
      <c r="F647" s="2">
        <v>0</v>
      </c>
      <c r="G647" s="3" t="s">
        <v>378</v>
      </c>
      <c r="H647">
        <v>0</v>
      </c>
      <c r="I647" s="2">
        <v>0</v>
      </c>
      <c r="J647" s="2">
        <v>0</v>
      </c>
      <c r="K647" s="2">
        <v>0</v>
      </c>
      <c r="L647" s="2">
        <v>0</v>
      </c>
      <c r="M647">
        <v>0</v>
      </c>
      <c r="N647">
        <v>0</v>
      </c>
      <c r="O647" s="2">
        <v>0</v>
      </c>
      <c r="P647" s="2">
        <v>0</v>
      </c>
      <c r="Q647">
        <v>0</v>
      </c>
      <c r="R647" s="2">
        <v>0</v>
      </c>
      <c r="S647" s="2">
        <v>0</v>
      </c>
      <c r="T647" t="s">
        <v>377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</row>
    <row r="648" spans="1:28" hidden="1" x14ac:dyDescent="0.25">
      <c r="A648" t="s">
        <v>20</v>
      </c>
      <c r="B648" t="s">
        <v>21</v>
      </c>
      <c r="C648" t="s">
        <v>212</v>
      </c>
      <c r="D648" s="9">
        <v>45843</v>
      </c>
      <c r="E648" s="9">
        <v>45843</v>
      </c>
      <c r="F648" s="2">
        <v>0</v>
      </c>
      <c r="G648" s="3" t="s">
        <v>378</v>
      </c>
      <c r="H648">
        <v>0</v>
      </c>
      <c r="I648" s="2">
        <v>0</v>
      </c>
      <c r="J648" s="2">
        <v>0</v>
      </c>
      <c r="K648" s="2">
        <v>0</v>
      </c>
      <c r="L648" s="2">
        <v>0</v>
      </c>
      <c r="M648">
        <v>0</v>
      </c>
      <c r="N648">
        <v>0</v>
      </c>
      <c r="O648" s="2">
        <v>0</v>
      </c>
      <c r="P648" s="2">
        <v>0</v>
      </c>
      <c r="Q648">
        <v>0</v>
      </c>
      <c r="R648" s="2">
        <v>0</v>
      </c>
      <c r="S648" s="2">
        <v>0</v>
      </c>
      <c r="T648" t="s">
        <v>377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</row>
    <row r="649" spans="1:28" hidden="1" x14ac:dyDescent="0.25">
      <c r="A649" t="s">
        <v>29</v>
      </c>
      <c r="B649" t="s">
        <v>30</v>
      </c>
      <c r="C649" t="s">
        <v>212</v>
      </c>
      <c r="D649" s="9">
        <v>45843</v>
      </c>
      <c r="E649" s="9">
        <v>45843</v>
      </c>
      <c r="F649" s="2">
        <v>0</v>
      </c>
      <c r="G649" s="3" t="s">
        <v>378</v>
      </c>
      <c r="H649">
        <v>0</v>
      </c>
      <c r="I649" s="2">
        <v>0</v>
      </c>
      <c r="J649" s="2">
        <v>0</v>
      </c>
      <c r="K649" s="2">
        <v>0</v>
      </c>
      <c r="L649" s="2">
        <v>0</v>
      </c>
      <c r="M649">
        <v>0</v>
      </c>
      <c r="N649">
        <v>0</v>
      </c>
      <c r="O649" s="2">
        <v>0</v>
      </c>
      <c r="P649" s="2">
        <v>0</v>
      </c>
      <c r="Q649">
        <v>0</v>
      </c>
      <c r="R649" s="2">
        <v>0</v>
      </c>
      <c r="S649" s="2">
        <v>0</v>
      </c>
      <c r="T649" t="s">
        <v>377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</row>
    <row r="650" spans="1:28" hidden="1" x14ac:dyDescent="0.25">
      <c r="A650" t="s">
        <v>56</v>
      </c>
      <c r="B650" t="s">
        <v>57</v>
      </c>
      <c r="C650" t="s">
        <v>64</v>
      </c>
      <c r="D650" s="9">
        <v>45844</v>
      </c>
      <c r="E650" s="9">
        <v>45844</v>
      </c>
      <c r="F650" s="2">
        <v>53</v>
      </c>
      <c r="G650" s="3" t="s">
        <v>23</v>
      </c>
      <c r="H650">
        <v>0</v>
      </c>
      <c r="I650" s="2">
        <v>0</v>
      </c>
      <c r="J650" s="2">
        <v>0</v>
      </c>
      <c r="K650" s="2">
        <v>0</v>
      </c>
      <c r="L650" s="2">
        <v>0</v>
      </c>
      <c r="M650">
        <v>0</v>
      </c>
      <c r="N650">
        <v>0</v>
      </c>
      <c r="O650" s="2">
        <v>0</v>
      </c>
      <c r="P650" s="2">
        <v>1</v>
      </c>
      <c r="Q650">
        <v>0</v>
      </c>
      <c r="R650" s="2">
        <v>0</v>
      </c>
      <c r="S650" s="2">
        <v>1</v>
      </c>
      <c r="T650" t="s">
        <v>421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</row>
    <row r="651" spans="1:28" hidden="1" x14ac:dyDescent="0.25">
      <c r="A651" t="s">
        <v>25</v>
      </c>
      <c r="B651" t="s">
        <v>26</v>
      </c>
      <c r="C651" t="s">
        <v>27</v>
      </c>
      <c r="D651" s="9">
        <v>45844</v>
      </c>
      <c r="E651" s="9">
        <v>45844</v>
      </c>
      <c r="F651" s="2">
        <v>26</v>
      </c>
      <c r="G651" s="3" t="s">
        <v>23</v>
      </c>
      <c r="H651">
        <v>0</v>
      </c>
      <c r="I651" s="2">
        <v>0</v>
      </c>
      <c r="J651" s="2">
        <v>0</v>
      </c>
      <c r="K651" s="2">
        <v>0</v>
      </c>
      <c r="L651" s="2">
        <v>0</v>
      </c>
      <c r="M651">
        <v>0</v>
      </c>
      <c r="N651">
        <v>0</v>
      </c>
      <c r="O651" s="2">
        <v>0</v>
      </c>
      <c r="P651" s="2">
        <v>1</v>
      </c>
      <c r="Q651">
        <v>0</v>
      </c>
      <c r="R651" s="2">
        <v>0</v>
      </c>
      <c r="S651" s="2">
        <v>1</v>
      </c>
      <c r="T651" t="s">
        <v>422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</row>
    <row r="652" spans="1:28" hidden="1" x14ac:dyDescent="0.25">
      <c r="A652" t="s">
        <v>33</v>
      </c>
      <c r="B652" t="s">
        <v>34</v>
      </c>
      <c r="C652" t="s">
        <v>35</v>
      </c>
      <c r="D652" s="9">
        <v>45844</v>
      </c>
      <c r="E652" s="9">
        <v>45844</v>
      </c>
      <c r="F652" s="2">
        <v>133</v>
      </c>
      <c r="G652" s="3" t="s">
        <v>23</v>
      </c>
      <c r="H652">
        <v>0</v>
      </c>
      <c r="I652" s="2">
        <v>0</v>
      </c>
      <c r="J652" s="2">
        <v>0</v>
      </c>
      <c r="K652" s="2">
        <v>0</v>
      </c>
      <c r="L652" s="2">
        <v>0</v>
      </c>
      <c r="M652">
        <v>1</v>
      </c>
      <c r="N652">
        <v>0</v>
      </c>
      <c r="O652" s="2">
        <v>0</v>
      </c>
      <c r="P652" s="2">
        <v>1</v>
      </c>
      <c r="Q652">
        <v>2</v>
      </c>
      <c r="R652" s="2">
        <v>0</v>
      </c>
      <c r="S652" s="2">
        <v>1</v>
      </c>
      <c r="T652" t="s">
        <v>423</v>
      </c>
      <c r="U652" s="2">
        <v>18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</row>
    <row r="653" spans="1:28" hidden="1" x14ac:dyDescent="0.25">
      <c r="A653" t="s">
        <v>37</v>
      </c>
      <c r="B653" t="s">
        <v>38</v>
      </c>
      <c r="C653" t="s">
        <v>39</v>
      </c>
      <c r="D653" s="9">
        <v>45844</v>
      </c>
      <c r="E653" s="9">
        <v>45844</v>
      </c>
      <c r="F653" s="2">
        <v>45</v>
      </c>
      <c r="G653" s="3" t="s">
        <v>23</v>
      </c>
      <c r="H653">
        <v>0</v>
      </c>
      <c r="I653" s="2">
        <v>0</v>
      </c>
      <c r="J653" s="2">
        <v>0</v>
      </c>
      <c r="K653" s="2">
        <v>0</v>
      </c>
      <c r="L653" s="2">
        <v>0</v>
      </c>
      <c r="M653">
        <v>0</v>
      </c>
      <c r="N653">
        <v>0</v>
      </c>
      <c r="O653" s="2">
        <v>0</v>
      </c>
      <c r="P653" s="2">
        <v>0</v>
      </c>
      <c r="Q653">
        <v>7</v>
      </c>
      <c r="R653" s="2">
        <v>0</v>
      </c>
      <c r="S653" s="2">
        <v>1</v>
      </c>
      <c r="T653" t="s">
        <v>424</v>
      </c>
      <c r="U653" s="2">
        <v>10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</v>
      </c>
    </row>
    <row r="654" spans="1:28" hidden="1" x14ac:dyDescent="0.25">
      <c r="A654" t="s">
        <v>47</v>
      </c>
      <c r="B654" t="s">
        <v>52</v>
      </c>
      <c r="C654" t="s">
        <v>212</v>
      </c>
      <c r="D654" s="9">
        <v>45844</v>
      </c>
      <c r="E654" s="9">
        <v>45844</v>
      </c>
      <c r="F654" s="2">
        <v>0</v>
      </c>
      <c r="G654" s="3" t="s">
        <v>50</v>
      </c>
      <c r="H654">
        <v>0</v>
      </c>
      <c r="I654" s="2">
        <v>0</v>
      </c>
      <c r="J654" s="2">
        <v>0</v>
      </c>
      <c r="K654" s="2">
        <v>0</v>
      </c>
      <c r="L654" s="2">
        <v>0</v>
      </c>
      <c r="M654">
        <v>0</v>
      </c>
      <c r="N654">
        <v>0</v>
      </c>
      <c r="O654" s="2">
        <v>0</v>
      </c>
      <c r="P654" s="2">
        <v>0</v>
      </c>
      <c r="Q654">
        <v>0</v>
      </c>
      <c r="R654" s="2">
        <v>0</v>
      </c>
      <c r="S654" s="2">
        <v>0</v>
      </c>
      <c r="T654" t="s">
        <v>377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idden="1" x14ac:dyDescent="0.25">
      <c r="A655" t="s">
        <v>53</v>
      </c>
      <c r="B655" t="s">
        <v>47</v>
      </c>
      <c r="C655" t="s">
        <v>212</v>
      </c>
      <c r="D655" s="9">
        <v>45844</v>
      </c>
      <c r="E655" s="9">
        <v>45844</v>
      </c>
      <c r="F655" s="2">
        <v>0</v>
      </c>
      <c r="G655" s="3" t="s">
        <v>378</v>
      </c>
      <c r="H655">
        <v>0</v>
      </c>
      <c r="I655" s="2">
        <v>0</v>
      </c>
      <c r="J655" s="2">
        <v>0</v>
      </c>
      <c r="K655" s="2">
        <v>0</v>
      </c>
      <c r="L655" s="2">
        <v>0</v>
      </c>
      <c r="M655">
        <v>0</v>
      </c>
      <c r="N655">
        <v>0</v>
      </c>
      <c r="O655" s="2">
        <v>0</v>
      </c>
      <c r="P655" s="2">
        <v>0</v>
      </c>
      <c r="Q655">
        <v>0</v>
      </c>
      <c r="R655" s="2">
        <v>0</v>
      </c>
      <c r="S655" s="2">
        <v>0</v>
      </c>
      <c r="T655" t="s">
        <v>377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idden="1" x14ac:dyDescent="0.25">
      <c r="A656" t="s">
        <v>20</v>
      </c>
      <c r="B656" t="s">
        <v>21</v>
      </c>
      <c r="C656" t="s">
        <v>212</v>
      </c>
      <c r="D656" s="9">
        <v>45844</v>
      </c>
      <c r="E656" s="9">
        <v>45844</v>
      </c>
      <c r="F656" s="2">
        <v>0</v>
      </c>
      <c r="G656" s="3" t="s">
        <v>378</v>
      </c>
      <c r="H656">
        <v>0</v>
      </c>
      <c r="I656" s="2">
        <v>0</v>
      </c>
      <c r="J656" s="2">
        <v>0</v>
      </c>
      <c r="K656" s="2">
        <v>0</v>
      </c>
      <c r="L656" s="2">
        <v>0</v>
      </c>
      <c r="M656">
        <v>0</v>
      </c>
      <c r="N656">
        <v>0</v>
      </c>
      <c r="O656" s="2">
        <v>0</v>
      </c>
      <c r="P656" s="2">
        <v>0</v>
      </c>
      <c r="Q656">
        <v>0</v>
      </c>
      <c r="R656" s="2">
        <v>0</v>
      </c>
      <c r="S656" s="2">
        <v>0</v>
      </c>
      <c r="T656" t="s">
        <v>377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idden="1" x14ac:dyDescent="0.25">
      <c r="A657" t="s">
        <v>29</v>
      </c>
      <c r="B657" t="s">
        <v>30</v>
      </c>
      <c r="C657" t="s">
        <v>212</v>
      </c>
      <c r="D657" s="9">
        <v>45844</v>
      </c>
      <c r="E657" s="9">
        <v>45844</v>
      </c>
      <c r="F657" s="2">
        <v>0</v>
      </c>
      <c r="G657" s="3" t="s">
        <v>378</v>
      </c>
      <c r="H657">
        <v>0</v>
      </c>
      <c r="I657" s="2">
        <v>0</v>
      </c>
      <c r="J657" s="2">
        <v>0</v>
      </c>
      <c r="K657" s="2">
        <v>0</v>
      </c>
      <c r="L657" s="2">
        <v>0</v>
      </c>
      <c r="M657">
        <v>0</v>
      </c>
      <c r="N657">
        <v>0</v>
      </c>
      <c r="O657" s="2">
        <v>0</v>
      </c>
      <c r="P657" s="2">
        <v>0</v>
      </c>
      <c r="Q657">
        <v>0</v>
      </c>
      <c r="R657" s="2">
        <v>0</v>
      </c>
      <c r="S657" s="2">
        <v>0</v>
      </c>
      <c r="T657" t="s">
        <v>377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</row>
    <row r="658" spans="1:28" hidden="1" x14ac:dyDescent="0.25">
      <c r="A658" t="s">
        <v>56</v>
      </c>
      <c r="B658" t="s">
        <v>57</v>
      </c>
      <c r="C658" t="s">
        <v>64</v>
      </c>
      <c r="D658" s="1">
        <v>45845</v>
      </c>
      <c r="E658" s="1">
        <v>45845</v>
      </c>
      <c r="F658" s="2">
        <v>28</v>
      </c>
      <c r="G658" s="3" t="s">
        <v>23</v>
      </c>
      <c r="H658">
        <v>7</v>
      </c>
      <c r="I658" s="2">
        <v>0</v>
      </c>
      <c r="J658" s="2">
        <v>0</v>
      </c>
      <c r="K658" s="2">
        <v>0</v>
      </c>
      <c r="L658" s="2">
        <v>0</v>
      </c>
      <c r="M658">
        <v>0</v>
      </c>
      <c r="N658">
        <v>0</v>
      </c>
      <c r="O658" s="2">
        <v>0</v>
      </c>
      <c r="P658" s="2">
        <v>0</v>
      </c>
      <c r="Q658">
        <v>0</v>
      </c>
      <c r="R658" s="2">
        <v>0</v>
      </c>
      <c r="S658" s="2">
        <v>0</v>
      </c>
      <c r="T658" t="s">
        <v>425</v>
      </c>
      <c r="U658" s="2">
        <v>0</v>
      </c>
      <c r="V658" s="2">
        <v>9</v>
      </c>
      <c r="W658" s="2">
        <v>1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idden="1" x14ac:dyDescent="0.25">
      <c r="A659" t="s">
        <v>20</v>
      </c>
      <c r="B659" t="s">
        <v>21</v>
      </c>
      <c r="C659" t="s">
        <v>22</v>
      </c>
      <c r="D659" s="1">
        <v>45845</v>
      </c>
      <c r="E659" s="1">
        <v>45845</v>
      </c>
      <c r="F659" s="2">
        <v>22</v>
      </c>
      <c r="G659" s="3" t="s">
        <v>23</v>
      </c>
      <c r="H659">
        <v>14</v>
      </c>
      <c r="I659" s="2">
        <v>0</v>
      </c>
      <c r="J659" s="2">
        <v>0</v>
      </c>
      <c r="K659" s="2">
        <v>0</v>
      </c>
      <c r="L659" s="2">
        <v>0</v>
      </c>
      <c r="M659">
        <v>0</v>
      </c>
      <c r="N659">
        <v>0</v>
      </c>
      <c r="O659" s="2">
        <v>0</v>
      </c>
      <c r="P659" s="2">
        <v>0</v>
      </c>
      <c r="Q659">
        <v>0</v>
      </c>
      <c r="R659" s="2">
        <v>0</v>
      </c>
      <c r="S659" s="2">
        <v>0</v>
      </c>
      <c r="T659" t="s">
        <v>426</v>
      </c>
      <c r="U659" s="2">
        <v>0</v>
      </c>
      <c r="V659" s="2">
        <v>9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idden="1" x14ac:dyDescent="0.25">
      <c r="A660" t="s">
        <v>25</v>
      </c>
      <c r="B660" t="s">
        <v>47</v>
      </c>
      <c r="C660" t="s">
        <v>27</v>
      </c>
      <c r="D660" s="1">
        <v>45845</v>
      </c>
      <c r="E660" s="1">
        <v>45845</v>
      </c>
      <c r="F660" s="2">
        <v>35</v>
      </c>
      <c r="G660" s="3" t="s">
        <v>23</v>
      </c>
      <c r="H660">
        <v>0</v>
      </c>
      <c r="I660" s="2">
        <v>0</v>
      </c>
      <c r="J660" s="2">
        <v>0</v>
      </c>
      <c r="K660" s="2">
        <v>0</v>
      </c>
      <c r="L660" s="2">
        <v>0</v>
      </c>
      <c r="M660">
        <v>0</v>
      </c>
      <c r="N660">
        <v>0</v>
      </c>
      <c r="O660" s="2">
        <v>0</v>
      </c>
      <c r="P660" s="2">
        <v>0</v>
      </c>
      <c r="Q660">
        <v>0</v>
      </c>
      <c r="R660" s="2">
        <v>0</v>
      </c>
      <c r="S660" s="2">
        <v>0</v>
      </c>
      <c r="T660" t="s">
        <v>427</v>
      </c>
      <c r="U660" s="2">
        <v>0</v>
      </c>
      <c r="V660" s="2">
        <v>20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idden="1" x14ac:dyDescent="0.25">
      <c r="A661" t="s">
        <v>29</v>
      </c>
      <c r="B661" t="s">
        <v>30</v>
      </c>
      <c r="C661" t="s">
        <v>31</v>
      </c>
      <c r="D661" s="1">
        <v>45845</v>
      </c>
      <c r="E661" s="1">
        <v>45845</v>
      </c>
      <c r="F661" s="2">
        <v>29</v>
      </c>
      <c r="G661" s="3" t="s">
        <v>23</v>
      </c>
      <c r="H661">
        <v>12</v>
      </c>
      <c r="I661" s="2">
        <v>0</v>
      </c>
      <c r="J661" s="2">
        <v>0</v>
      </c>
      <c r="K661" s="2">
        <v>0</v>
      </c>
      <c r="L661" s="2">
        <v>0</v>
      </c>
      <c r="M661">
        <v>1</v>
      </c>
      <c r="N661">
        <v>0</v>
      </c>
      <c r="O661" s="2">
        <v>0</v>
      </c>
      <c r="P661" s="2">
        <v>0</v>
      </c>
      <c r="Q661">
        <v>0</v>
      </c>
      <c r="R661" s="2">
        <v>0</v>
      </c>
      <c r="S661" s="2">
        <v>0</v>
      </c>
      <c r="T661" t="s">
        <v>428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idden="1" x14ac:dyDescent="0.25">
      <c r="A662" t="s">
        <v>37</v>
      </c>
      <c r="B662" t="s">
        <v>47</v>
      </c>
      <c r="C662" t="s">
        <v>39</v>
      </c>
      <c r="D662" s="1">
        <v>45845</v>
      </c>
      <c r="E662" s="1">
        <v>45845</v>
      </c>
      <c r="F662" s="2">
        <v>24</v>
      </c>
      <c r="G662" s="3" t="s">
        <v>23</v>
      </c>
      <c r="H662">
        <v>0</v>
      </c>
      <c r="I662" s="2">
        <v>0</v>
      </c>
      <c r="J662" s="2">
        <v>0</v>
      </c>
      <c r="K662" s="2">
        <v>0</v>
      </c>
      <c r="L662" s="2">
        <v>0</v>
      </c>
      <c r="M662">
        <v>0</v>
      </c>
      <c r="N662">
        <v>0</v>
      </c>
      <c r="O662" s="2">
        <v>0</v>
      </c>
      <c r="P662" s="2">
        <v>0</v>
      </c>
      <c r="Q662">
        <v>0</v>
      </c>
      <c r="R662" s="2">
        <v>0</v>
      </c>
      <c r="S662" s="2">
        <v>0</v>
      </c>
      <c r="T662" t="s">
        <v>429</v>
      </c>
      <c r="U662" s="2">
        <v>0</v>
      </c>
      <c r="V662" s="2">
        <v>24</v>
      </c>
      <c r="W662" s="2">
        <v>2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idden="1" x14ac:dyDescent="0.25">
      <c r="A663" t="s">
        <v>47</v>
      </c>
      <c r="B663" t="s">
        <v>26</v>
      </c>
      <c r="C663" t="s">
        <v>27</v>
      </c>
      <c r="D663" s="1">
        <v>45845</v>
      </c>
      <c r="E663" s="1">
        <v>45845</v>
      </c>
      <c r="F663" s="2">
        <v>35</v>
      </c>
      <c r="G663" s="3" t="s">
        <v>23</v>
      </c>
      <c r="H663">
        <v>0</v>
      </c>
      <c r="I663" s="2">
        <v>0</v>
      </c>
      <c r="J663" s="2">
        <v>0</v>
      </c>
      <c r="K663" s="2">
        <v>0</v>
      </c>
      <c r="L663" s="2">
        <v>0</v>
      </c>
      <c r="M663">
        <v>0</v>
      </c>
      <c r="N663">
        <v>0</v>
      </c>
      <c r="O663" s="2">
        <v>0</v>
      </c>
      <c r="P663" s="2">
        <v>0</v>
      </c>
      <c r="Q663">
        <v>0</v>
      </c>
      <c r="R663" s="2">
        <v>0</v>
      </c>
      <c r="S663" s="2">
        <v>0</v>
      </c>
      <c r="T663" t="s">
        <v>427</v>
      </c>
      <c r="U663" s="2">
        <v>0</v>
      </c>
      <c r="V663" s="2">
        <v>44</v>
      </c>
      <c r="W663" s="2">
        <v>2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idden="1" x14ac:dyDescent="0.25">
      <c r="A664" t="s">
        <v>53</v>
      </c>
      <c r="B664" t="s">
        <v>38</v>
      </c>
      <c r="C664" t="s">
        <v>35</v>
      </c>
      <c r="D664" s="1">
        <v>45845</v>
      </c>
      <c r="E664" s="1">
        <v>45845</v>
      </c>
      <c r="F664" s="2">
        <v>41</v>
      </c>
      <c r="G664" s="3" t="s">
        <v>572</v>
      </c>
      <c r="H664">
        <v>0</v>
      </c>
      <c r="I664" s="2">
        <v>0</v>
      </c>
      <c r="J664" s="2">
        <v>0</v>
      </c>
      <c r="K664" s="2">
        <v>0</v>
      </c>
      <c r="L664" s="2">
        <v>0</v>
      </c>
      <c r="M664">
        <v>0</v>
      </c>
      <c r="N664">
        <v>0</v>
      </c>
      <c r="O664" s="2">
        <v>0</v>
      </c>
      <c r="P664" s="2">
        <v>0</v>
      </c>
      <c r="Q664">
        <v>0</v>
      </c>
      <c r="R664" s="2">
        <v>0</v>
      </c>
      <c r="S664" s="2">
        <v>0</v>
      </c>
      <c r="T664" t="s">
        <v>377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idden="1" x14ac:dyDescent="0.25">
      <c r="A665" t="s">
        <v>33</v>
      </c>
      <c r="B665" t="s">
        <v>34</v>
      </c>
      <c r="C665" t="s">
        <v>35</v>
      </c>
      <c r="D665" s="1">
        <v>45845</v>
      </c>
      <c r="E665" s="1">
        <v>45845</v>
      </c>
      <c r="F665" s="2">
        <v>41</v>
      </c>
      <c r="G665" s="3" t="s">
        <v>572</v>
      </c>
      <c r="H665">
        <v>0</v>
      </c>
      <c r="I665" s="2">
        <v>0</v>
      </c>
      <c r="J665" s="2">
        <v>0</v>
      </c>
      <c r="K665" s="2">
        <v>0</v>
      </c>
      <c r="L665" s="2">
        <v>0</v>
      </c>
      <c r="M665">
        <v>0</v>
      </c>
      <c r="N665">
        <v>0</v>
      </c>
      <c r="O665" s="2">
        <v>0</v>
      </c>
      <c r="P665" s="2">
        <v>0</v>
      </c>
      <c r="Q665">
        <v>0</v>
      </c>
      <c r="R665" s="2">
        <v>0</v>
      </c>
      <c r="S665" s="2">
        <v>0</v>
      </c>
      <c r="T665" t="s">
        <v>377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idden="1" x14ac:dyDescent="0.25">
      <c r="A666" t="s">
        <v>47</v>
      </c>
      <c r="B666" t="s">
        <v>52</v>
      </c>
      <c r="C666" t="s">
        <v>212</v>
      </c>
      <c r="D666" s="1">
        <v>45845</v>
      </c>
      <c r="E666" s="1">
        <v>45845</v>
      </c>
      <c r="F666" s="2">
        <v>0</v>
      </c>
      <c r="G666" s="3" t="s">
        <v>50</v>
      </c>
      <c r="H666">
        <v>0</v>
      </c>
      <c r="I666" s="2">
        <v>0</v>
      </c>
      <c r="J666" s="2">
        <v>0</v>
      </c>
      <c r="K666" s="2">
        <v>0</v>
      </c>
      <c r="L666" s="2">
        <v>0</v>
      </c>
      <c r="M666">
        <v>0</v>
      </c>
      <c r="N666">
        <v>0</v>
      </c>
      <c r="O666" s="2">
        <v>0</v>
      </c>
      <c r="P666" s="2">
        <v>0</v>
      </c>
      <c r="Q666">
        <v>0</v>
      </c>
      <c r="R666" s="2">
        <v>0</v>
      </c>
      <c r="S666" s="2">
        <v>0</v>
      </c>
      <c r="T666" t="s">
        <v>377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</row>
    <row r="667" spans="1:28" hidden="1" x14ac:dyDescent="0.25">
      <c r="A667" t="s">
        <v>20</v>
      </c>
      <c r="B667" t="s">
        <v>21</v>
      </c>
      <c r="C667" t="s">
        <v>22</v>
      </c>
      <c r="D667" s="1">
        <v>45846</v>
      </c>
      <c r="E667" s="1">
        <v>45846</v>
      </c>
      <c r="F667" s="2">
        <v>60</v>
      </c>
      <c r="G667" s="3" t="s">
        <v>23</v>
      </c>
      <c r="H667">
        <v>40</v>
      </c>
      <c r="I667" s="2">
        <v>0</v>
      </c>
      <c r="J667" s="2">
        <v>0</v>
      </c>
      <c r="K667" s="2">
        <v>1</v>
      </c>
      <c r="L667" s="2">
        <v>0</v>
      </c>
      <c r="M667">
        <v>0</v>
      </c>
      <c r="N667">
        <v>0</v>
      </c>
      <c r="O667" s="2">
        <v>0</v>
      </c>
      <c r="P667" s="2">
        <v>0</v>
      </c>
      <c r="Q667">
        <v>0</v>
      </c>
      <c r="R667" s="2">
        <v>0</v>
      </c>
      <c r="S667" s="2">
        <v>0</v>
      </c>
      <c r="T667" t="s">
        <v>430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idden="1" x14ac:dyDescent="0.25">
      <c r="A668" t="s">
        <v>25</v>
      </c>
      <c r="B668" t="s">
        <v>47</v>
      </c>
      <c r="C668" t="s">
        <v>27</v>
      </c>
      <c r="D668" s="1">
        <v>45846</v>
      </c>
      <c r="E668" s="1">
        <v>45846</v>
      </c>
      <c r="F668" s="2">
        <v>32</v>
      </c>
      <c r="G668" s="3" t="s">
        <v>23</v>
      </c>
      <c r="H668">
        <v>20</v>
      </c>
      <c r="I668" s="2">
        <v>0</v>
      </c>
      <c r="J668" s="2">
        <v>0</v>
      </c>
      <c r="K668" s="2">
        <v>1</v>
      </c>
      <c r="L668" s="2">
        <v>0</v>
      </c>
      <c r="M668">
        <v>0</v>
      </c>
      <c r="N668">
        <v>0</v>
      </c>
      <c r="O668" s="2">
        <v>0</v>
      </c>
      <c r="P668" s="2">
        <v>0</v>
      </c>
      <c r="Q668">
        <v>0</v>
      </c>
      <c r="R668" s="2">
        <v>0</v>
      </c>
      <c r="S668" s="2">
        <v>0</v>
      </c>
      <c r="T668" t="s">
        <v>431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</row>
    <row r="669" spans="1:28" hidden="1" x14ac:dyDescent="0.25">
      <c r="A669" t="s">
        <v>29</v>
      </c>
      <c r="B669" t="s">
        <v>30</v>
      </c>
      <c r="C669" t="s">
        <v>31</v>
      </c>
      <c r="D669" s="1">
        <v>45846</v>
      </c>
      <c r="E669" s="1">
        <v>45846</v>
      </c>
      <c r="F669" s="2">
        <v>25</v>
      </c>
      <c r="G669" s="3" t="s">
        <v>23</v>
      </c>
      <c r="H669">
        <v>36</v>
      </c>
      <c r="I669" s="2">
        <v>0</v>
      </c>
      <c r="J669" s="2">
        <v>0</v>
      </c>
      <c r="K669" s="2">
        <v>0</v>
      </c>
      <c r="L669" s="2">
        <v>1</v>
      </c>
      <c r="M669">
        <v>1</v>
      </c>
      <c r="N669">
        <v>0</v>
      </c>
      <c r="O669" s="2">
        <v>0</v>
      </c>
      <c r="P669" s="2">
        <v>0</v>
      </c>
      <c r="Q669">
        <v>0</v>
      </c>
      <c r="R669" s="2">
        <v>0</v>
      </c>
      <c r="S669" s="2">
        <v>0</v>
      </c>
      <c r="T669" t="s">
        <v>432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</row>
    <row r="670" spans="1:28" hidden="1" x14ac:dyDescent="0.25">
      <c r="A670" t="s">
        <v>33</v>
      </c>
      <c r="B670" t="s">
        <v>47</v>
      </c>
      <c r="C670" t="s">
        <v>35</v>
      </c>
      <c r="D670" s="1">
        <v>45846</v>
      </c>
      <c r="E670" s="1">
        <v>45846</v>
      </c>
      <c r="F670" s="2">
        <v>22</v>
      </c>
      <c r="G670" s="3" t="s">
        <v>23</v>
      </c>
      <c r="H670">
        <v>4</v>
      </c>
      <c r="I670" s="2">
        <v>0</v>
      </c>
      <c r="J670" s="2">
        <v>0</v>
      </c>
      <c r="K670" s="2">
        <v>0</v>
      </c>
      <c r="L670" s="2">
        <v>0</v>
      </c>
      <c r="M670">
        <v>0</v>
      </c>
      <c r="N670">
        <v>0</v>
      </c>
      <c r="O670" s="2">
        <v>0</v>
      </c>
      <c r="P670" s="2">
        <v>0</v>
      </c>
      <c r="Q670">
        <v>0</v>
      </c>
      <c r="R670" s="2">
        <v>0</v>
      </c>
      <c r="S670" s="2">
        <v>0</v>
      </c>
      <c r="T670" t="s">
        <v>433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idden="1" x14ac:dyDescent="0.25">
      <c r="A671" t="s">
        <v>37</v>
      </c>
      <c r="B671" t="s">
        <v>38</v>
      </c>
      <c r="C671" t="s">
        <v>39</v>
      </c>
      <c r="D671" s="1">
        <v>45846</v>
      </c>
      <c r="E671" s="1">
        <v>45846</v>
      </c>
      <c r="F671" s="2">
        <v>19</v>
      </c>
      <c r="G671" s="3" t="s">
        <v>23</v>
      </c>
      <c r="H671">
        <v>16</v>
      </c>
      <c r="I671" s="2">
        <v>0</v>
      </c>
      <c r="J671" s="2">
        <v>0</v>
      </c>
      <c r="K671" s="2">
        <v>1</v>
      </c>
      <c r="L671" s="2">
        <v>0</v>
      </c>
      <c r="M671">
        <v>0</v>
      </c>
      <c r="N671">
        <v>0</v>
      </c>
      <c r="O671" s="2">
        <v>0</v>
      </c>
      <c r="P671" s="2">
        <v>0</v>
      </c>
      <c r="Q671">
        <v>0</v>
      </c>
      <c r="R671" s="2">
        <v>0</v>
      </c>
      <c r="S671" s="2">
        <v>0</v>
      </c>
      <c r="T671" t="s">
        <v>434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idden="1" x14ac:dyDescent="0.25">
      <c r="A672" t="s">
        <v>47</v>
      </c>
      <c r="B672" t="s">
        <v>26</v>
      </c>
      <c r="C672" t="s">
        <v>27</v>
      </c>
      <c r="D672" s="1">
        <v>45846</v>
      </c>
      <c r="E672" s="1">
        <v>45846</v>
      </c>
      <c r="F672" s="2">
        <v>32</v>
      </c>
      <c r="G672" s="3" t="s">
        <v>23</v>
      </c>
      <c r="H672">
        <v>24</v>
      </c>
      <c r="I672" s="2">
        <v>0</v>
      </c>
      <c r="J672" s="2">
        <v>0</v>
      </c>
      <c r="K672" s="2">
        <v>1</v>
      </c>
      <c r="L672" s="2">
        <v>0</v>
      </c>
      <c r="M672">
        <v>0</v>
      </c>
      <c r="N672">
        <v>0</v>
      </c>
      <c r="O672" s="2">
        <v>0</v>
      </c>
      <c r="P672" s="2">
        <v>0</v>
      </c>
      <c r="Q672">
        <v>0</v>
      </c>
      <c r="R672" s="2">
        <v>0</v>
      </c>
      <c r="S672" s="2">
        <v>0</v>
      </c>
      <c r="T672" t="s">
        <v>431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idden="1" x14ac:dyDescent="0.25">
      <c r="A673" t="s">
        <v>53</v>
      </c>
      <c r="B673" t="s">
        <v>34</v>
      </c>
      <c r="C673" t="s">
        <v>35</v>
      </c>
      <c r="D673" s="1">
        <v>45846</v>
      </c>
      <c r="E673" s="1">
        <v>45846</v>
      </c>
      <c r="F673" s="2">
        <v>41</v>
      </c>
      <c r="G673" s="3" t="s">
        <v>48</v>
      </c>
      <c r="H673">
        <v>0</v>
      </c>
      <c r="I673" s="2">
        <v>0</v>
      </c>
      <c r="J673" s="2">
        <v>0</v>
      </c>
      <c r="K673" s="2">
        <v>0</v>
      </c>
      <c r="L673" s="2">
        <v>0</v>
      </c>
      <c r="M673">
        <v>0</v>
      </c>
      <c r="N673">
        <v>0</v>
      </c>
      <c r="O673" s="2">
        <v>0</v>
      </c>
      <c r="P673" s="2">
        <v>0</v>
      </c>
      <c r="Q673">
        <v>0</v>
      </c>
      <c r="R673" s="2">
        <v>0</v>
      </c>
      <c r="S673" s="2">
        <v>0</v>
      </c>
      <c r="T673" t="s">
        <v>377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idden="1" x14ac:dyDescent="0.25">
      <c r="A674" t="s">
        <v>56</v>
      </c>
      <c r="B674" t="s">
        <v>57</v>
      </c>
      <c r="C674" t="s">
        <v>35</v>
      </c>
      <c r="D674" s="1">
        <v>45846</v>
      </c>
      <c r="E674" s="1">
        <v>45846</v>
      </c>
      <c r="F674" s="2">
        <v>41</v>
      </c>
      <c r="G674" s="3" t="s">
        <v>572</v>
      </c>
      <c r="H674">
        <v>0</v>
      </c>
      <c r="I674" s="2">
        <v>0</v>
      </c>
      <c r="J674" s="2">
        <v>0</v>
      </c>
      <c r="K674" s="2">
        <v>0</v>
      </c>
      <c r="L674" s="2">
        <v>0</v>
      </c>
      <c r="M674">
        <v>0</v>
      </c>
      <c r="N674">
        <v>0</v>
      </c>
      <c r="O674" s="2">
        <v>0</v>
      </c>
      <c r="P674" s="2">
        <v>0</v>
      </c>
      <c r="Q674">
        <v>0</v>
      </c>
      <c r="R674" s="2">
        <v>0</v>
      </c>
      <c r="S674" s="2">
        <v>0</v>
      </c>
      <c r="T674" t="s">
        <v>377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idden="1" x14ac:dyDescent="0.25">
      <c r="A675" t="s">
        <v>47</v>
      </c>
      <c r="B675" t="s">
        <v>52</v>
      </c>
      <c r="C675" t="s">
        <v>212</v>
      </c>
      <c r="D675" s="1">
        <v>45846</v>
      </c>
      <c r="E675" s="1">
        <v>45846</v>
      </c>
      <c r="F675" s="2">
        <v>0</v>
      </c>
      <c r="G675" s="3" t="s">
        <v>50</v>
      </c>
      <c r="H675">
        <v>0</v>
      </c>
      <c r="I675" s="2">
        <v>0</v>
      </c>
      <c r="J675" s="2">
        <v>0</v>
      </c>
      <c r="K675" s="2">
        <v>0</v>
      </c>
      <c r="L675" s="2">
        <v>0</v>
      </c>
      <c r="M675">
        <v>0</v>
      </c>
      <c r="N675">
        <v>0</v>
      </c>
      <c r="O675" s="2">
        <v>0</v>
      </c>
      <c r="P675" s="2">
        <v>0</v>
      </c>
      <c r="Q675">
        <v>0</v>
      </c>
      <c r="R675" s="2">
        <v>0</v>
      </c>
      <c r="S675" s="2">
        <v>0</v>
      </c>
      <c r="T675" t="s">
        <v>377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idden="1" x14ac:dyDescent="0.25">
      <c r="A676" t="s">
        <v>56</v>
      </c>
      <c r="B676" t="s">
        <v>47</v>
      </c>
      <c r="C676" t="s">
        <v>64</v>
      </c>
      <c r="D676" s="1">
        <v>45847</v>
      </c>
      <c r="E676" s="1">
        <v>45847</v>
      </c>
      <c r="F676" s="2">
        <v>17</v>
      </c>
      <c r="G676" s="3" t="s">
        <v>23</v>
      </c>
      <c r="H676">
        <v>28</v>
      </c>
      <c r="I676" s="2">
        <v>0</v>
      </c>
      <c r="J676" s="2">
        <v>0</v>
      </c>
      <c r="K676" s="2">
        <v>1</v>
      </c>
      <c r="L676" s="2">
        <v>0</v>
      </c>
      <c r="M676">
        <v>0</v>
      </c>
      <c r="N676">
        <v>0</v>
      </c>
      <c r="O676" s="2">
        <v>0</v>
      </c>
      <c r="P676" s="2">
        <v>0</v>
      </c>
      <c r="Q676">
        <v>1</v>
      </c>
      <c r="R676" s="2">
        <v>0</v>
      </c>
      <c r="S676" s="2">
        <v>0</v>
      </c>
      <c r="T676" t="s">
        <v>435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idden="1" x14ac:dyDescent="0.25">
      <c r="A677" t="s">
        <v>47</v>
      </c>
      <c r="B677" t="s">
        <v>57</v>
      </c>
      <c r="C677" t="s">
        <v>64</v>
      </c>
      <c r="D677" s="1">
        <v>45847</v>
      </c>
      <c r="E677" s="1">
        <v>45847</v>
      </c>
      <c r="F677" s="2">
        <v>17</v>
      </c>
      <c r="G677" s="3" t="s">
        <v>23</v>
      </c>
      <c r="H677">
        <v>28</v>
      </c>
      <c r="I677" s="2">
        <v>0</v>
      </c>
      <c r="J677" s="2">
        <v>0</v>
      </c>
      <c r="K677" s="2">
        <v>1</v>
      </c>
      <c r="L677" s="2">
        <v>0</v>
      </c>
      <c r="M677">
        <v>0</v>
      </c>
      <c r="N677">
        <v>0</v>
      </c>
      <c r="O677" s="2">
        <v>0</v>
      </c>
      <c r="P677" s="2">
        <v>0</v>
      </c>
      <c r="Q677">
        <v>0</v>
      </c>
      <c r="R677" s="2">
        <v>0</v>
      </c>
      <c r="S677" s="2">
        <v>0</v>
      </c>
      <c r="T677" t="s">
        <v>435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idden="1" x14ac:dyDescent="0.25">
      <c r="A678" t="s">
        <v>53</v>
      </c>
      <c r="B678" t="s">
        <v>34</v>
      </c>
      <c r="C678" t="s">
        <v>54</v>
      </c>
      <c r="D678" s="1">
        <v>45847</v>
      </c>
      <c r="E678" s="1">
        <v>45847</v>
      </c>
      <c r="F678" s="2">
        <v>44</v>
      </c>
      <c r="G678" s="3" t="s">
        <v>23</v>
      </c>
      <c r="H678">
        <v>34</v>
      </c>
      <c r="I678" s="2">
        <v>0</v>
      </c>
      <c r="J678" s="2">
        <v>0</v>
      </c>
      <c r="K678" s="2">
        <v>0</v>
      </c>
      <c r="L678" s="2">
        <v>1</v>
      </c>
      <c r="M678">
        <v>1</v>
      </c>
      <c r="N678">
        <v>0</v>
      </c>
      <c r="O678" s="2">
        <v>0</v>
      </c>
      <c r="P678" s="2">
        <v>0</v>
      </c>
      <c r="Q678">
        <v>0</v>
      </c>
      <c r="R678" s="2">
        <v>0</v>
      </c>
      <c r="S678" s="2">
        <v>0</v>
      </c>
      <c r="T678" t="s">
        <v>436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</row>
    <row r="679" spans="1:28" hidden="1" x14ac:dyDescent="0.25">
      <c r="A679" t="s">
        <v>25</v>
      </c>
      <c r="B679" t="s">
        <v>26</v>
      </c>
      <c r="C679" t="s">
        <v>27</v>
      </c>
      <c r="D679" s="1">
        <v>45847</v>
      </c>
      <c r="E679" s="1">
        <v>45847</v>
      </c>
      <c r="F679" s="2">
        <v>37</v>
      </c>
      <c r="G679" s="3" t="s">
        <v>23</v>
      </c>
      <c r="H679">
        <v>26</v>
      </c>
      <c r="I679" s="2">
        <v>0</v>
      </c>
      <c r="J679" s="2">
        <v>0</v>
      </c>
      <c r="K679" s="2">
        <v>1</v>
      </c>
      <c r="L679" s="2">
        <v>0</v>
      </c>
      <c r="M679">
        <v>0</v>
      </c>
      <c r="N679">
        <v>0</v>
      </c>
      <c r="O679" s="2">
        <v>0</v>
      </c>
      <c r="P679" s="2">
        <v>0</v>
      </c>
      <c r="Q679">
        <v>0</v>
      </c>
      <c r="R679" s="2">
        <v>0</v>
      </c>
      <c r="S679" s="2">
        <v>0</v>
      </c>
      <c r="T679" t="s">
        <v>437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idden="1" x14ac:dyDescent="0.25">
      <c r="A680" t="s">
        <v>37</v>
      </c>
      <c r="B680" t="s">
        <v>47</v>
      </c>
      <c r="C680" t="s">
        <v>39</v>
      </c>
      <c r="D680" s="1">
        <v>45847</v>
      </c>
      <c r="E680" s="1">
        <v>45847</v>
      </c>
      <c r="F680" s="2">
        <v>14</v>
      </c>
      <c r="G680" s="3" t="s">
        <v>23</v>
      </c>
      <c r="H680">
        <v>7</v>
      </c>
      <c r="I680" s="2">
        <v>0</v>
      </c>
      <c r="J680" s="2">
        <v>0</v>
      </c>
      <c r="K680" s="2">
        <v>0</v>
      </c>
      <c r="L680" s="2">
        <v>0</v>
      </c>
      <c r="M680">
        <v>0</v>
      </c>
      <c r="N680">
        <v>0</v>
      </c>
      <c r="O680" s="2">
        <v>0</v>
      </c>
      <c r="P680" s="2">
        <v>0</v>
      </c>
      <c r="Q680">
        <v>0</v>
      </c>
      <c r="R680" s="2">
        <v>0</v>
      </c>
      <c r="S680" s="2">
        <v>0</v>
      </c>
      <c r="T680" t="s">
        <v>438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</row>
    <row r="681" spans="1:28" hidden="1" x14ac:dyDescent="0.25">
      <c r="A681" t="s">
        <v>29</v>
      </c>
      <c r="B681" t="s">
        <v>47</v>
      </c>
      <c r="C681" t="s">
        <v>39</v>
      </c>
      <c r="D681" s="1">
        <v>45847</v>
      </c>
      <c r="E681" s="1">
        <v>45847</v>
      </c>
      <c r="F681" s="2">
        <v>14</v>
      </c>
      <c r="G681" s="3" t="s">
        <v>23</v>
      </c>
      <c r="H681">
        <v>28</v>
      </c>
      <c r="I681" s="2">
        <v>0</v>
      </c>
      <c r="J681" s="2">
        <v>0</v>
      </c>
      <c r="K681" s="2">
        <v>1</v>
      </c>
      <c r="L681" s="2">
        <v>0</v>
      </c>
      <c r="M681">
        <v>0</v>
      </c>
      <c r="N681">
        <v>0</v>
      </c>
      <c r="O681" s="2">
        <v>0</v>
      </c>
      <c r="P681" s="2">
        <v>0</v>
      </c>
      <c r="Q681">
        <v>0</v>
      </c>
      <c r="R681" s="2">
        <v>0</v>
      </c>
      <c r="S681" s="2">
        <v>0</v>
      </c>
      <c r="T681" t="s">
        <v>438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idden="1" x14ac:dyDescent="0.25">
      <c r="A682" t="s">
        <v>47</v>
      </c>
      <c r="B682" t="s">
        <v>30</v>
      </c>
      <c r="C682" t="s">
        <v>39</v>
      </c>
      <c r="D682" s="1">
        <v>45847</v>
      </c>
      <c r="E682" s="1">
        <v>45847</v>
      </c>
      <c r="F682" s="2">
        <v>14</v>
      </c>
      <c r="G682" s="3" t="s">
        <v>23</v>
      </c>
      <c r="H682">
        <f>7+28</f>
        <v>35</v>
      </c>
      <c r="I682" s="2">
        <v>0</v>
      </c>
      <c r="J682" s="2">
        <v>0</v>
      </c>
      <c r="K682" s="2">
        <v>1</v>
      </c>
      <c r="L682" s="2">
        <v>0</v>
      </c>
      <c r="M682">
        <v>0</v>
      </c>
      <c r="N682">
        <v>0</v>
      </c>
      <c r="O682" s="2">
        <v>0</v>
      </c>
      <c r="P682" s="2">
        <v>0</v>
      </c>
      <c r="Q682">
        <v>0</v>
      </c>
      <c r="R682" s="2">
        <v>0</v>
      </c>
      <c r="S682" s="2">
        <v>0</v>
      </c>
      <c r="T682" t="s">
        <v>438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idden="1" x14ac:dyDescent="0.25">
      <c r="A683" t="s">
        <v>47</v>
      </c>
      <c r="B683" t="s">
        <v>38</v>
      </c>
      <c r="C683" t="s">
        <v>35</v>
      </c>
      <c r="D683" s="1">
        <v>45847</v>
      </c>
      <c r="E683" s="1">
        <v>45847</v>
      </c>
      <c r="F683" s="2">
        <v>41</v>
      </c>
      <c r="G683" s="3" t="s">
        <v>409</v>
      </c>
      <c r="H683">
        <v>0</v>
      </c>
      <c r="I683" s="2">
        <v>0</v>
      </c>
      <c r="J683" s="2">
        <v>0</v>
      </c>
      <c r="K683" s="2">
        <v>0</v>
      </c>
      <c r="L683" s="2">
        <v>0</v>
      </c>
      <c r="M683">
        <v>0</v>
      </c>
      <c r="N683">
        <v>0</v>
      </c>
      <c r="O683" s="2">
        <v>0</v>
      </c>
      <c r="P683" s="2">
        <v>0</v>
      </c>
      <c r="Q683">
        <v>0</v>
      </c>
      <c r="R683" s="2">
        <v>0</v>
      </c>
      <c r="S683" s="2">
        <v>0</v>
      </c>
      <c r="T683" t="s">
        <v>377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idden="1" x14ac:dyDescent="0.25">
      <c r="A684" t="s">
        <v>20</v>
      </c>
      <c r="B684" t="s">
        <v>21</v>
      </c>
      <c r="C684" t="s">
        <v>35</v>
      </c>
      <c r="D684" s="1">
        <v>45847</v>
      </c>
      <c r="E684" s="1">
        <v>45847</v>
      </c>
      <c r="F684" s="2">
        <v>41</v>
      </c>
      <c r="G684" s="3" t="s">
        <v>572</v>
      </c>
      <c r="H684">
        <v>0</v>
      </c>
      <c r="I684" s="2">
        <v>0</v>
      </c>
      <c r="J684" s="2">
        <v>0</v>
      </c>
      <c r="K684" s="2">
        <v>0</v>
      </c>
      <c r="L684" s="2">
        <v>0</v>
      </c>
      <c r="M684">
        <v>0</v>
      </c>
      <c r="N684">
        <v>0</v>
      </c>
      <c r="O684" s="2">
        <v>0</v>
      </c>
      <c r="P684" s="2">
        <v>0</v>
      </c>
      <c r="Q684">
        <v>0</v>
      </c>
      <c r="R684" s="2">
        <v>0</v>
      </c>
      <c r="S684" s="2">
        <v>0</v>
      </c>
      <c r="T684" t="s">
        <v>377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idden="1" x14ac:dyDescent="0.25">
      <c r="A685" t="s">
        <v>33</v>
      </c>
      <c r="B685" t="s">
        <v>47</v>
      </c>
      <c r="C685" t="s">
        <v>35</v>
      </c>
      <c r="D685" s="1">
        <v>45847</v>
      </c>
      <c r="E685" s="1">
        <v>45847</v>
      </c>
      <c r="F685" s="2">
        <v>41</v>
      </c>
      <c r="G685" s="3" t="s">
        <v>572</v>
      </c>
      <c r="H685">
        <v>0</v>
      </c>
      <c r="I685" s="2">
        <v>0</v>
      </c>
      <c r="J685" s="2">
        <v>0</v>
      </c>
      <c r="K685" s="2">
        <v>0</v>
      </c>
      <c r="L685" s="2">
        <v>0</v>
      </c>
      <c r="M685">
        <v>0</v>
      </c>
      <c r="N685">
        <v>0</v>
      </c>
      <c r="O685" s="2">
        <v>0</v>
      </c>
      <c r="P685" s="2">
        <v>0</v>
      </c>
      <c r="Q685">
        <v>0</v>
      </c>
      <c r="R685" s="2">
        <v>0</v>
      </c>
      <c r="S685" s="2">
        <v>0</v>
      </c>
      <c r="T685" t="s">
        <v>377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</row>
    <row r="686" spans="1:28" hidden="1" x14ac:dyDescent="0.25">
      <c r="A686" t="s">
        <v>47</v>
      </c>
      <c r="B686" t="s">
        <v>52</v>
      </c>
      <c r="C686" t="s">
        <v>212</v>
      </c>
      <c r="D686" s="1">
        <v>45847</v>
      </c>
      <c r="E686" s="1">
        <v>45847</v>
      </c>
      <c r="F686" s="2">
        <v>0</v>
      </c>
      <c r="G686" s="3" t="s">
        <v>50</v>
      </c>
      <c r="H686">
        <v>0</v>
      </c>
      <c r="I686" s="2">
        <v>0</v>
      </c>
      <c r="J686" s="2">
        <v>0</v>
      </c>
      <c r="K686" s="2">
        <v>0</v>
      </c>
      <c r="L686" s="2">
        <v>0</v>
      </c>
      <c r="M686">
        <v>0</v>
      </c>
      <c r="N686">
        <v>0</v>
      </c>
      <c r="O686" s="2">
        <v>0</v>
      </c>
      <c r="P686" s="2">
        <v>0</v>
      </c>
      <c r="Q686">
        <v>0</v>
      </c>
      <c r="R686" s="2">
        <v>0</v>
      </c>
      <c r="S686" s="2">
        <v>0</v>
      </c>
      <c r="T686" t="s">
        <v>377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idden="1" x14ac:dyDescent="0.25">
      <c r="A687" t="s">
        <v>56</v>
      </c>
      <c r="B687" t="s">
        <v>57</v>
      </c>
      <c r="C687" t="s">
        <v>64</v>
      </c>
      <c r="D687" s="1">
        <v>45848</v>
      </c>
      <c r="E687" s="1">
        <v>45848</v>
      </c>
      <c r="F687" s="2">
        <v>21</v>
      </c>
      <c r="G687" s="3" t="s">
        <v>23</v>
      </c>
      <c r="H687">
        <v>0</v>
      </c>
      <c r="I687" s="2">
        <v>0</v>
      </c>
      <c r="J687" s="2">
        <v>0</v>
      </c>
      <c r="K687" s="2">
        <v>0</v>
      </c>
      <c r="L687" s="2">
        <v>0</v>
      </c>
      <c r="M687">
        <v>0</v>
      </c>
      <c r="N687">
        <v>0</v>
      </c>
      <c r="O687" s="2">
        <v>0</v>
      </c>
      <c r="P687" s="2">
        <v>0</v>
      </c>
      <c r="Q687">
        <v>0</v>
      </c>
      <c r="R687" s="2">
        <v>0</v>
      </c>
      <c r="S687" s="2">
        <v>0</v>
      </c>
      <c r="T687" t="s">
        <v>439</v>
      </c>
      <c r="U687" s="2">
        <v>0</v>
      </c>
      <c r="V687" s="2">
        <v>20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</row>
    <row r="688" spans="1:28" hidden="1" x14ac:dyDescent="0.25">
      <c r="A688" t="s">
        <v>20</v>
      </c>
      <c r="B688" t="s">
        <v>21</v>
      </c>
      <c r="C688" t="s">
        <v>22</v>
      </c>
      <c r="D688" s="1">
        <v>45848</v>
      </c>
      <c r="E688" s="1">
        <v>45848</v>
      </c>
      <c r="F688" s="2">
        <v>32</v>
      </c>
      <c r="G688" s="3" t="s">
        <v>23</v>
      </c>
      <c r="H688">
        <v>30</v>
      </c>
      <c r="I688" s="2">
        <v>0</v>
      </c>
      <c r="J688" s="2">
        <v>0</v>
      </c>
      <c r="K688" s="2">
        <v>1</v>
      </c>
      <c r="L688" s="2">
        <v>0</v>
      </c>
      <c r="M688">
        <v>0</v>
      </c>
      <c r="N688">
        <v>0</v>
      </c>
      <c r="O688" s="2">
        <v>0</v>
      </c>
      <c r="P688" s="2">
        <v>0</v>
      </c>
      <c r="Q688">
        <v>0</v>
      </c>
      <c r="R688" s="2">
        <v>0</v>
      </c>
      <c r="S688" s="2">
        <v>0</v>
      </c>
      <c r="T688" t="s">
        <v>440</v>
      </c>
      <c r="U688" s="2">
        <v>0</v>
      </c>
      <c r="V688" s="2">
        <v>66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idden="1" x14ac:dyDescent="0.25">
      <c r="A689" t="s">
        <v>25</v>
      </c>
      <c r="B689" t="s">
        <v>25</v>
      </c>
      <c r="C689" t="s">
        <v>27</v>
      </c>
      <c r="D689" s="1">
        <v>45848</v>
      </c>
      <c r="E689" s="1">
        <v>45848</v>
      </c>
      <c r="F689" s="2">
        <v>35</v>
      </c>
      <c r="G689" s="3" t="s">
        <v>23</v>
      </c>
      <c r="H689">
        <v>0</v>
      </c>
      <c r="I689" s="2">
        <v>0</v>
      </c>
      <c r="J689" s="2">
        <v>0</v>
      </c>
      <c r="K689" s="2">
        <v>0</v>
      </c>
      <c r="L689" s="2">
        <v>0</v>
      </c>
      <c r="M689">
        <v>0</v>
      </c>
      <c r="N689">
        <v>0</v>
      </c>
      <c r="O689" s="2">
        <v>0</v>
      </c>
      <c r="P689" s="2">
        <v>0</v>
      </c>
      <c r="Q689">
        <v>0</v>
      </c>
      <c r="R689" s="2">
        <v>0</v>
      </c>
      <c r="S689" s="2">
        <v>0</v>
      </c>
      <c r="T689" t="s">
        <v>441</v>
      </c>
      <c r="U689" s="2">
        <v>0</v>
      </c>
      <c r="V689" s="2">
        <v>40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</row>
    <row r="690" spans="1:28" hidden="1" x14ac:dyDescent="0.25">
      <c r="A690" t="s">
        <v>33</v>
      </c>
      <c r="B690" t="s">
        <v>26</v>
      </c>
      <c r="C690" t="s">
        <v>35</v>
      </c>
      <c r="D690" s="1">
        <v>45848</v>
      </c>
      <c r="E690" s="1">
        <v>45848</v>
      </c>
      <c r="F690" s="2">
        <v>37</v>
      </c>
      <c r="G690" s="3" t="s">
        <v>23</v>
      </c>
      <c r="H690">
        <v>22</v>
      </c>
      <c r="I690" s="2">
        <v>0</v>
      </c>
      <c r="J690" s="2">
        <v>0</v>
      </c>
      <c r="K690" s="2">
        <v>0</v>
      </c>
      <c r="L690" s="2">
        <v>1</v>
      </c>
      <c r="M690">
        <v>0</v>
      </c>
      <c r="N690">
        <v>0</v>
      </c>
      <c r="O690" s="2">
        <v>0</v>
      </c>
      <c r="P690" s="2">
        <v>0</v>
      </c>
      <c r="Q690">
        <v>0</v>
      </c>
      <c r="R690" s="2">
        <v>0</v>
      </c>
      <c r="S690" s="2">
        <v>0</v>
      </c>
      <c r="T690" t="s">
        <v>442</v>
      </c>
      <c r="U690" s="2">
        <v>0</v>
      </c>
      <c r="V690" s="2">
        <v>55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idden="1" x14ac:dyDescent="0.25">
      <c r="A691" t="s">
        <v>37</v>
      </c>
      <c r="B691" t="s">
        <v>38</v>
      </c>
      <c r="C691" t="s">
        <v>39</v>
      </c>
      <c r="D691" s="1">
        <v>45848</v>
      </c>
      <c r="E691" s="1">
        <v>45848</v>
      </c>
      <c r="F691" s="2">
        <v>17</v>
      </c>
      <c r="G691" s="3" t="s">
        <v>23</v>
      </c>
      <c r="H691">
        <v>29</v>
      </c>
      <c r="I691" s="2">
        <v>0</v>
      </c>
      <c r="J691" s="2">
        <v>0</v>
      </c>
      <c r="K691" s="2">
        <v>1</v>
      </c>
      <c r="L691" s="2">
        <v>0</v>
      </c>
      <c r="M691">
        <v>0</v>
      </c>
      <c r="N691">
        <v>0</v>
      </c>
      <c r="O691" s="2">
        <v>0</v>
      </c>
      <c r="P691" s="2">
        <v>0</v>
      </c>
      <c r="Q691">
        <v>0</v>
      </c>
      <c r="R691" s="2">
        <v>0</v>
      </c>
      <c r="S691" s="2">
        <v>0</v>
      </c>
      <c r="T691" t="s">
        <v>443</v>
      </c>
      <c r="U691" s="2">
        <v>0</v>
      </c>
      <c r="V691" s="2">
        <v>25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</row>
    <row r="692" spans="1:28" hidden="1" x14ac:dyDescent="0.25">
      <c r="A692" t="s">
        <v>53</v>
      </c>
      <c r="B692" t="s">
        <v>34</v>
      </c>
      <c r="C692" t="s">
        <v>39</v>
      </c>
      <c r="D692" s="1">
        <v>45848</v>
      </c>
      <c r="E692" s="1">
        <v>45848</v>
      </c>
      <c r="F692" s="2">
        <v>17</v>
      </c>
      <c r="G692" s="3" t="s">
        <v>23</v>
      </c>
      <c r="H692">
        <v>32</v>
      </c>
      <c r="I692" s="2">
        <v>0</v>
      </c>
      <c r="J692" s="2">
        <v>0</v>
      </c>
      <c r="K692" s="2">
        <v>1</v>
      </c>
      <c r="L692" s="2">
        <v>0</v>
      </c>
      <c r="M692">
        <v>0</v>
      </c>
      <c r="N692">
        <v>0</v>
      </c>
      <c r="O692" s="2">
        <v>0</v>
      </c>
      <c r="P692" s="2">
        <v>0</v>
      </c>
      <c r="Q692">
        <v>0</v>
      </c>
      <c r="R692" s="2">
        <v>0</v>
      </c>
      <c r="S692" s="2">
        <v>0</v>
      </c>
      <c r="T692" t="s">
        <v>443</v>
      </c>
      <c r="U692" s="2">
        <v>0</v>
      </c>
      <c r="V692" s="2">
        <v>44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</row>
    <row r="693" spans="1:28" hidden="1" x14ac:dyDescent="0.25">
      <c r="A693" t="s">
        <v>29</v>
      </c>
      <c r="B693" t="s">
        <v>30</v>
      </c>
      <c r="C693" t="s">
        <v>35</v>
      </c>
      <c r="D693" s="1">
        <v>45848</v>
      </c>
      <c r="E693" s="1">
        <v>45848</v>
      </c>
      <c r="F693" s="2">
        <v>41</v>
      </c>
      <c r="G693" s="3" t="s">
        <v>48</v>
      </c>
      <c r="H693">
        <v>0</v>
      </c>
      <c r="I693" s="2">
        <v>0</v>
      </c>
      <c r="J693" s="2">
        <v>0</v>
      </c>
      <c r="K693" s="2">
        <v>0</v>
      </c>
      <c r="L693" s="2">
        <v>0</v>
      </c>
      <c r="M693">
        <v>0</v>
      </c>
      <c r="N693">
        <v>0</v>
      </c>
      <c r="O693" s="2">
        <v>0</v>
      </c>
      <c r="P693" s="2">
        <v>0</v>
      </c>
      <c r="Q693">
        <v>0</v>
      </c>
      <c r="R693" s="2">
        <v>0</v>
      </c>
      <c r="S693" s="2">
        <v>0</v>
      </c>
      <c r="T693" t="s">
        <v>377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idden="1" x14ac:dyDescent="0.25">
      <c r="A694" t="s">
        <v>47</v>
      </c>
      <c r="B694" t="s">
        <v>52</v>
      </c>
      <c r="C694" t="s">
        <v>212</v>
      </c>
      <c r="D694" s="1">
        <v>45848</v>
      </c>
      <c r="E694" s="1">
        <v>45848</v>
      </c>
      <c r="F694" s="2">
        <v>0</v>
      </c>
      <c r="G694" s="3" t="s">
        <v>50</v>
      </c>
      <c r="H694">
        <v>0</v>
      </c>
      <c r="I694" s="2">
        <v>0</v>
      </c>
      <c r="J694" s="2">
        <v>0</v>
      </c>
      <c r="K694" s="2">
        <v>0</v>
      </c>
      <c r="L694" s="2">
        <v>0</v>
      </c>
      <c r="M694">
        <v>0</v>
      </c>
      <c r="N694">
        <v>0</v>
      </c>
      <c r="O694" s="2">
        <v>0</v>
      </c>
      <c r="P694" s="2">
        <v>0</v>
      </c>
      <c r="Q694">
        <v>0</v>
      </c>
      <c r="R694" s="2">
        <v>0</v>
      </c>
      <c r="S694" s="2">
        <v>0</v>
      </c>
      <c r="T694" t="s">
        <v>377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</row>
    <row r="695" spans="1:28" hidden="1" x14ac:dyDescent="0.25">
      <c r="A695" t="s">
        <v>20</v>
      </c>
      <c r="B695" t="s">
        <v>21</v>
      </c>
      <c r="C695" t="s">
        <v>22</v>
      </c>
      <c r="D695" s="1">
        <v>45849</v>
      </c>
      <c r="E695" s="1">
        <v>45849</v>
      </c>
      <c r="F695" s="2">
        <v>35</v>
      </c>
      <c r="G695" s="3" t="s">
        <v>23</v>
      </c>
      <c r="H695">
        <v>30</v>
      </c>
      <c r="I695" s="2">
        <v>0</v>
      </c>
      <c r="J695" s="2">
        <v>0</v>
      </c>
      <c r="K695" s="2">
        <v>1</v>
      </c>
      <c r="L695" s="2">
        <v>0</v>
      </c>
      <c r="M695">
        <v>0</v>
      </c>
      <c r="N695">
        <v>0</v>
      </c>
      <c r="O695" s="2">
        <v>0</v>
      </c>
      <c r="P695" s="2">
        <v>0</v>
      </c>
      <c r="Q695">
        <v>0</v>
      </c>
      <c r="R695" s="2">
        <v>0</v>
      </c>
      <c r="S695" s="2">
        <v>0</v>
      </c>
      <c r="T695" t="s">
        <v>444</v>
      </c>
      <c r="U695" s="2">
        <v>0</v>
      </c>
      <c r="V695" s="2">
        <v>0</v>
      </c>
      <c r="W695" s="2">
        <v>10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</row>
    <row r="696" spans="1:28" hidden="1" x14ac:dyDescent="0.25">
      <c r="A696" t="s">
        <v>29</v>
      </c>
      <c r="B696" t="s">
        <v>30</v>
      </c>
      <c r="C696" t="s">
        <v>31</v>
      </c>
      <c r="D696" s="1">
        <v>45849</v>
      </c>
      <c r="E696" s="1">
        <v>45849</v>
      </c>
      <c r="F696" s="2">
        <v>18</v>
      </c>
      <c r="G696" s="3" t="s">
        <v>23</v>
      </c>
      <c r="H696">
        <v>35</v>
      </c>
      <c r="I696" s="2">
        <v>0</v>
      </c>
      <c r="J696" s="2">
        <v>0</v>
      </c>
      <c r="K696" s="2">
        <v>0</v>
      </c>
      <c r="L696" s="2">
        <v>1</v>
      </c>
      <c r="M696">
        <v>0</v>
      </c>
      <c r="N696">
        <v>0</v>
      </c>
      <c r="O696" s="2">
        <v>0</v>
      </c>
      <c r="P696" s="2">
        <v>0</v>
      </c>
      <c r="Q696">
        <v>0</v>
      </c>
      <c r="R696" s="2">
        <v>0</v>
      </c>
      <c r="S696" s="2">
        <v>0</v>
      </c>
      <c r="T696" t="s">
        <v>445</v>
      </c>
      <c r="U696" s="2">
        <v>0</v>
      </c>
      <c r="V696" s="2">
        <v>0</v>
      </c>
      <c r="W696" s="2">
        <v>2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idden="1" x14ac:dyDescent="0.25">
      <c r="A697" t="s">
        <v>33</v>
      </c>
      <c r="B697" t="s">
        <v>26</v>
      </c>
      <c r="C697" t="s">
        <v>35</v>
      </c>
      <c r="D697" s="1">
        <v>45849</v>
      </c>
      <c r="E697" s="1">
        <v>45849</v>
      </c>
      <c r="F697" s="2">
        <v>110</v>
      </c>
      <c r="G697" s="3" t="s">
        <v>23</v>
      </c>
      <c r="H697">
        <v>20</v>
      </c>
      <c r="I697" s="2">
        <v>0</v>
      </c>
      <c r="J697" s="2">
        <v>0</v>
      </c>
      <c r="K697" s="2">
        <v>1</v>
      </c>
      <c r="L697" s="2">
        <v>0</v>
      </c>
      <c r="M697">
        <v>0</v>
      </c>
      <c r="N697">
        <v>0</v>
      </c>
      <c r="O697" s="2">
        <v>0</v>
      </c>
      <c r="P697" s="2">
        <v>0</v>
      </c>
      <c r="Q697">
        <v>0</v>
      </c>
      <c r="R697" s="2">
        <v>0</v>
      </c>
      <c r="S697" s="2">
        <v>0</v>
      </c>
      <c r="T697" t="s">
        <v>446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</row>
    <row r="698" spans="1:28" hidden="1" x14ac:dyDescent="0.25">
      <c r="A698" t="s">
        <v>53</v>
      </c>
      <c r="B698" t="s">
        <v>34</v>
      </c>
      <c r="C698" t="s">
        <v>35</v>
      </c>
      <c r="D698" s="1">
        <v>45849</v>
      </c>
      <c r="E698" s="1">
        <v>45849</v>
      </c>
      <c r="F698" s="2">
        <v>110</v>
      </c>
      <c r="G698" s="3" t="s">
        <v>23</v>
      </c>
      <c r="H698">
        <v>25</v>
      </c>
      <c r="I698" s="2">
        <v>0</v>
      </c>
      <c r="J698" s="2">
        <v>0</v>
      </c>
      <c r="K698" s="2">
        <v>1</v>
      </c>
      <c r="L698" s="2">
        <v>0</v>
      </c>
      <c r="M698">
        <v>0</v>
      </c>
      <c r="N698">
        <v>0</v>
      </c>
      <c r="O698" s="2">
        <v>0</v>
      </c>
      <c r="P698" s="2">
        <v>0</v>
      </c>
      <c r="Q698">
        <v>0</v>
      </c>
      <c r="R698" s="2">
        <v>0</v>
      </c>
      <c r="S698" s="2">
        <v>0</v>
      </c>
      <c r="T698" t="s">
        <v>446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idden="1" x14ac:dyDescent="0.25">
      <c r="A699" t="s">
        <v>37</v>
      </c>
      <c r="B699" t="s">
        <v>38</v>
      </c>
      <c r="C699" t="s">
        <v>35</v>
      </c>
      <c r="D699" s="1">
        <v>45849</v>
      </c>
      <c r="E699" s="1">
        <v>45849</v>
      </c>
      <c r="F699" s="2">
        <v>110</v>
      </c>
      <c r="G699" s="3" t="s">
        <v>572</v>
      </c>
      <c r="H699">
        <v>0</v>
      </c>
      <c r="I699" s="2">
        <v>0</v>
      </c>
      <c r="J699" s="2">
        <v>0</v>
      </c>
      <c r="K699" s="2">
        <v>0</v>
      </c>
      <c r="L699" s="2">
        <v>0</v>
      </c>
      <c r="M699">
        <v>0</v>
      </c>
      <c r="N699">
        <v>0</v>
      </c>
      <c r="O699" s="2">
        <v>0</v>
      </c>
      <c r="P699" s="2">
        <v>0</v>
      </c>
      <c r="Q699">
        <v>0</v>
      </c>
      <c r="R699" s="2">
        <v>0</v>
      </c>
      <c r="S699" s="2">
        <v>0</v>
      </c>
      <c r="T699" t="s">
        <v>446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idden="1" x14ac:dyDescent="0.25">
      <c r="A700" t="s">
        <v>56</v>
      </c>
      <c r="B700" t="s">
        <v>57</v>
      </c>
      <c r="C700" t="s">
        <v>35</v>
      </c>
      <c r="D700" s="1">
        <v>45849</v>
      </c>
      <c r="E700" s="1">
        <v>45849</v>
      </c>
      <c r="F700" s="2">
        <v>110</v>
      </c>
      <c r="G700" s="3" t="s">
        <v>572</v>
      </c>
      <c r="H700">
        <v>0</v>
      </c>
      <c r="I700" s="2">
        <v>0</v>
      </c>
      <c r="J700" s="2">
        <v>0</v>
      </c>
      <c r="K700" s="2">
        <v>0</v>
      </c>
      <c r="L700" s="2">
        <v>0</v>
      </c>
      <c r="M700">
        <v>0</v>
      </c>
      <c r="N700">
        <v>0</v>
      </c>
      <c r="O700" s="2">
        <v>0</v>
      </c>
      <c r="P700" s="2">
        <v>0</v>
      </c>
      <c r="Q700">
        <v>0</v>
      </c>
      <c r="R700" s="2">
        <v>0</v>
      </c>
      <c r="S700" s="2">
        <v>0</v>
      </c>
      <c r="T700" t="s">
        <v>446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idden="1" x14ac:dyDescent="0.25">
      <c r="A701" t="s">
        <v>25</v>
      </c>
      <c r="B701" t="s">
        <v>47</v>
      </c>
      <c r="C701" t="s">
        <v>35</v>
      </c>
      <c r="D701" s="1">
        <v>45849</v>
      </c>
      <c r="E701" s="1">
        <v>45849</v>
      </c>
      <c r="F701" s="2">
        <v>110</v>
      </c>
      <c r="G701" s="3" t="s">
        <v>23</v>
      </c>
      <c r="H701">
        <v>10</v>
      </c>
      <c r="I701" s="2">
        <v>0</v>
      </c>
      <c r="J701" s="2">
        <v>0</v>
      </c>
      <c r="K701" s="2">
        <v>0</v>
      </c>
      <c r="L701" s="2">
        <v>0</v>
      </c>
      <c r="M701">
        <v>0</v>
      </c>
      <c r="N701">
        <v>0</v>
      </c>
      <c r="O701" s="2">
        <v>0</v>
      </c>
      <c r="P701" s="2">
        <v>0</v>
      </c>
      <c r="Q701">
        <v>0</v>
      </c>
      <c r="R701" s="2">
        <v>0</v>
      </c>
      <c r="S701" s="2">
        <v>0</v>
      </c>
      <c r="T701" t="s">
        <v>446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</row>
    <row r="702" spans="1:28" hidden="1" x14ac:dyDescent="0.25">
      <c r="A702" t="s">
        <v>47</v>
      </c>
      <c r="B702" t="s">
        <v>52</v>
      </c>
      <c r="C702" t="s">
        <v>212</v>
      </c>
      <c r="D702" s="1">
        <v>45848</v>
      </c>
      <c r="E702" s="1">
        <v>45848</v>
      </c>
      <c r="F702" s="2">
        <v>0</v>
      </c>
      <c r="G702" s="3" t="s">
        <v>50</v>
      </c>
      <c r="H702">
        <v>0</v>
      </c>
      <c r="I702" s="2">
        <v>0</v>
      </c>
      <c r="J702" s="2">
        <v>0</v>
      </c>
      <c r="K702" s="2">
        <v>0</v>
      </c>
      <c r="L702" s="2">
        <v>0</v>
      </c>
      <c r="M702">
        <v>0</v>
      </c>
      <c r="N702">
        <v>0</v>
      </c>
      <c r="O702" s="2">
        <v>0</v>
      </c>
      <c r="P702" s="2">
        <v>0</v>
      </c>
      <c r="Q702">
        <v>0</v>
      </c>
      <c r="R702" s="2">
        <v>0</v>
      </c>
      <c r="S702" s="2">
        <v>0</v>
      </c>
      <c r="T702" t="s">
        <v>377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</row>
    <row r="703" spans="1:28" hidden="1" x14ac:dyDescent="0.25">
      <c r="A703" t="s">
        <v>53</v>
      </c>
      <c r="B703" t="s">
        <v>34</v>
      </c>
      <c r="C703" t="s">
        <v>54</v>
      </c>
      <c r="D703" s="9">
        <v>45850</v>
      </c>
      <c r="E703" s="9">
        <v>45850</v>
      </c>
      <c r="F703" s="2">
        <v>64</v>
      </c>
      <c r="G703" s="3" t="s">
        <v>23</v>
      </c>
      <c r="H703">
        <v>0</v>
      </c>
      <c r="I703" s="2">
        <v>0</v>
      </c>
      <c r="J703" s="2">
        <v>0</v>
      </c>
      <c r="K703" s="2">
        <v>0</v>
      </c>
      <c r="L703" s="2">
        <v>0</v>
      </c>
      <c r="M703">
        <v>0</v>
      </c>
      <c r="N703">
        <v>0</v>
      </c>
      <c r="O703" s="2">
        <v>0</v>
      </c>
      <c r="P703" s="2">
        <v>0</v>
      </c>
      <c r="Q703">
        <v>6</v>
      </c>
      <c r="R703" s="2">
        <v>1</v>
      </c>
      <c r="S703" s="2">
        <v>0</v>
      </c>
      <c r="T703" t="s">
        <v>447</v>
      </c>
      <c r="U703" s="2">
        <v>23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1</v>
      </c>
      <c r="AB703" s="2">
        <v>0</v>
      </c>
    </row>
    <row r="704" spans="1:28" hidden="1" x14ac:dyDescent="0.25">
      <c r="A704" t="s">
        <v>20</v>
      </c>
      <c r="B704" t="s">
        <v>21</v>
      </c>
      <c r="C704" t="s">
        <v>22</v>
      </c>
      <c r="D704" s="9">
        <v>45850</v>
      </c>
      <c r="E704" s="9">
        <v>45850</v>
      </c>
      <c r="F704" s="2">
        <v>49</v>
      </c>
      <c r="G704" s="3" t="s">
        <v>23</v>
      </c>
      <c r="H704">
        <v>0</v>
      </c>
      <c r="I704" s="2">
        <v>0</v>
      </c>
      <c r="J704" s="2">
        <v>0</v>
      </c>
      <c r="K704" s="2">
        <v>0</v>
      </c>
      <c r="L704" s="2">
        <v>0</v>
      </c>
      <c r="M704">
        <v>0</v>
      </c>
      <c r="N704">
        <v>0</v>
      </c>
      <c r="O704" s="2">
        <v>1</v>
      </c>
      <c r="P704" s="2">
        <v>0</v>
      </c>
      <c r="Q704">
        <v>0</v>
      </c>
      <c r="R704" s="2">
        <v>1</v>
      </c>
      <c r="S704" s="2">
        <v>0</v>
      </c>
      <c r="T704" t="s">
        <v>448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idden="1" x14ac:dyDescent="0.25">
      <c r="A705" t="s">
        <v>63</v>
      </c>
      <c r="B705" t="s">
        <v>284</v>
      </c>
      <c r="C705" t="s">
        <v>102</v>
      </c>
      <c r="D705" s="9">
        <v>45850</v>
      </c>
      <c r="E705" s="9">
        <v>45850</v>
      </c>
      <c r="F705" s="2">
        <v>39</v>
      </c>
      <c r="G705" s="3" t="s">
        <v>23</v>
      </c>
      <c r="H705">
        <v>0</v>
      </c>
      <c r="I705" s="2">
        <v>0</v>
      </c>
      <c r="J705" s="2">
        <v>0</v>
      </c>
      <c r="K705" s="2">
        <v>0</v>
      </c>
      <c r="L705" s="2">
        <v>0</v>
      </c>
      <c r="M705">
        <v>0</v>
      </c>
      <c r="N705">
        <v>0</v>
      </c>
      <c r="O705" s="2">
        <v>1</v>
      </c>
      <c r="P705" s="2">
        <v>0</v>
      </c>
      <c r="Q705">
        <v>0</v>
      </c>
      <c r="R705" s="2">
        <v>1</v>
      </c>
      <c r="S705" s="2">
        <v>0</v>
      </c>
      <c r="T705" t="s">
        <v>449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idden="1" x14ac:dyDescent="0.25">
      <c r="A706" t="s">
        <v>29</v>
      </c>
      <c r="B706" t="s">
        <v>30</v>
      </c>
      <c r="C706" t="s">
        <v>31</v>
      </c>
      <c r="D706" s="9">
        <v>45850</v>
      </c>
      <c r="E706" s="9">
        <v>45850</v>
      </c>
      <c r="F706" s="2">
        <v>35</v>
      </c>
      <c r="G706" s="3" t="s">
        <v>23</v>
      </c>
      <c r="H706">
        <v>0</v>
      </c>
      <c r="I706" s="2">
        <v>0</v>
      </c>
      <c r="J706" s="2">
        <v>0</v>
      </c>
      <c r="K706" s="2">
        <v>0</v>
      </c>
      <c r="L706" s="2">
        <v>0</v>
      </c>
      <c r="M706">
        <v>0</v>
      </c>
      <c r="N706">
        <v>0</v>
      </c>
      <c r="O706" s="2">
        <v>1</v>
      </c>
      <c r="P706" s="2">
        <v>0</v>
      </c>
      <c r="Q706">
        <v>1</v>
      </c>
      <c r="R706" s="2">
        <v>1</v>
      </c>
      <c r="S706" s="2">
        <v>0</v>
      </c>
      <c r="T706" t="s">
        <v>450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</row>
    <row r="707" spans="1:28" hidden="1" x14ac:dyDescent="0.25">
      <c r="A707" t="s">
        <v>56</v>
      </c>
      <c r="B707" t="s">
        <v>57</v>
      </c>
      <c r="C707" t="s">
        <v>64</v>
      </c>
      <c r="D707" s="9">
        <v>45850</v>
      </c>
      <c r="E707" s="9">
        <v>45850</v>
      </c>
      <c r="F707" s="2">
        <v>0</v>
      </c>
      <c r="G707" s="3" t="s">
        <v>378</v>
      </c>
      <c r="H707">
        <v>0</v>
      </c>
      <c r="I707" s="2">
        <v>0</v>
      </c>
      <c r="J707" s="2">
        <v>0</v>
      </c>
      <c r="K707" s="2">
        <v>0</v>
      </c>
      <c r="L707" s="2">
        <v>0</v>
      </c>
      <c r="M707">
        <v>0</v>
      </c>
      <c r="N707">
        <v>0</v>
      </c>
      <c r="O707" s="2">
        <v>0</v>
      </c>
      <c r="P707" s="2">
        <v>0</v>
      </c>
      <c r="Q707">
        <v>0</v>
      </c>
      <c r="R707" s="2">
        <v>0</v>
      </c>
      <c r="S707" s="2">
        <v>0</v>
      </c>
      <c r="T707" t="s">
        <v>377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</row>
    <row r="708" spans="1:28" hidden="1" x14ac:dyDescent="0.25">
      <c r="A708" t="s">
        <v>25</v>
      </c>
      <c r="B708" t="s">
        <v>26</v>
      </c>
      <c r="C708" t="s">
        <v>27</v>
      </c>
      <c r="D708" s="9">
        <v>45850</v>
      </c>
      <c r="E708" s="9">
        <v>45850</v>
      </c>
      <c r="F708" s="2">
        <v>0</v>
      </c>
      <c r="G708" s="3" t="s">
        <v>378</v>
      </c>
      <c r="H708">
        <v>0</v>
      </c>
      <c r="I708" s="2">
        <v>0</v>
      </c>
      <c r="J708" s="2">
        <v>0</v>
      </c>
      <c r="K708" s="2">
        <v>0</v>
      </c>
      <c r="L708" s="2">
        <v>0</v>
      </c>
      <c r="M708">
        <v>0</v>
      </c>
      <c r="N708">
        <v>0</v>
      </c>
      <c r="O708" s="2">
        <v>0</v>
      </c>
      <c r="P708" s="2">
        <v>0</v>
      </c>
      <c r="Q708">
        <v>0</v>
      </c>
      <c r="R708" s="2">
        <v>0</v>
      </c>
      <c r="S708" s="2">
        <v>0</v>
      </c>
      <c r="T708" t="s">
        <v>377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</row>
    <row r="709" spans="1:28" hidden="1" x14ac:dyDescent="0.25">
      <c r="A709" t="s">
        <v>33</v>
      </c>
      <c r="B709" t="s">
        <v>47</v>
      </c>
      <c r="C709" t="s">
        <v>35</v>
      </c>
      <c r="D709" s="9">
        <v>45850</v>
      </c>
      <c r="E709" s="9">
        <v>45850</v>
      </c>
      <c r="F709" s="2">
        <v>0</v>
      </c>
      <c r="G709" s="3" t="s">
        <v>378</v>
      </c>
      <c r="H709">
        <v>0</v>
      </c>
      <c r="I709" s="2">
        <v>0</v>
      </c>
      <c r="J709" s="2">
        <v>0</v>
      </c>
      <c r="K709" s="2">
        <v>0</v>
      </c>
      <c r="L709" s="2">
        <v>0</v>
      </c>
      <c r="M709">
        <v>0</v>
      </c>
      <c r="N709">
        <v>0</v>
      </c>
      <c r="O709" s="2">
        <v>0</v>
      </c>
      <c r="P709" s="2">
        <v>0</v>
      </c>
      <c r="Q709">
        <v>0</v>
      </c>
      <c r="R709" s="2">
        <v>0</v>
      </c>
      <c r="S709" s="2">
        <v>0</v>
      </c>
      <c r="T709" t="s">
        <v>377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</row>
    <row r="710" spans="1:28" hidden="1" x14ac:dyDescent="0.25">
      <c r="A710" t="s">
        <v>37</v>
      </c>
      <c r="B710" t="s">
        <v>38</v>
      </c>
      <c r="C710" t="s">
        <v>212</v>
      </c>
      <c r="D710" s="9">
        <v>45850</v>
      </c>
      <c r="E710" s="9">
        <v>45850</v>
      </c>
      <c r="F710" s="2">
        <v>0</v>
      </c>
      <c r="G710" s="3" t="s">
        <v>378</v>
      </c>
      <c r="H710">
        <v>0</v>
      </c>
      <c r="I710" s="2">
        <v>0</v>
      </c>
      <c r="J710" s="2">
        <v>0</v>
      </c>
      <c r="K710" s="2">
        <v>0</v>
      </c>
      <c r="L710" s="2">
        <v>0</v>
      </c>
      <c r="M710">
        <v>0</v>
      </c>
      <c r="N710">
        <v>0</v>
      </c>
      <c r="O710" s="2">
        <v>0</v>
      </c>
      <c r="P710" s="2">
        <v>0</v>
      </c>
      <c r="Q710">
        <v>0</v>
      </c>
      <c r="R710" s="2">
        <v>0</v>
      </c>
      <c r="S710" s="2">
        <v>0</v>
      </c>
      <c r="T710" t="s">
        <v>377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idden="1" x14ac:dyDescent="0.25">
      <c r="A711" t="s">
        <v>47</v>
      </c>
      <c r="B711" t="s">
        <v>52</v>
      </c>
      <c r="C711" t="s">
        <v>212</v>
      </c>
      <c r="D711" s="9">
        <v>45850</v>
      </c>
      <c r="E711" s="9">
        <v>45850</v>
      </c>
      <c r="F711" s="2">
        <v>0</v>
      </c>
      <c r="G711" s="3" t="s">
        <v>50</v>
      </c>
      <c r="H711">
        <v>0</v>
      </c>
      <c r="I711" s="2">
        <v>0</v>
      </c>
      <c r="J711" s="2">
        <v>0</v>
      </c>
      <c r="K711" s="2">
        <v>0</v>
      </c>
      <c r="L711" s="2">
        <v>0</v>
      </c>
      <c r="M711">
        <v>0</v>
      </c>
      <c r="N711">
        <v>0</v>
      </c>
      <c r="O711" s="2">
        <v>0</v>
      </c>
      <c r="P711" s="2">
        <v>0</v>
      </c>
      <c r="Q711">
        <v>0</v>
      </c>
      <c r="R711" s="2">
        <v>0</v>
      </c>
      <c r="S711" s="2">
        <v>0</v>
      </c>
      <c r="T711" t="s">
        <v>377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idden="1" x14ac:dyDescent="0.25">
      <c r="A712" t="s">
        <v>53</v>
      </c>
      <c r="B712" t="s">
        <v>34</v>
      </c>
      <c r="C712" t="s">
        <v>54</v>
      </c>
      <c r="D712" s="9">
        <v>45851</v>
      </c>
      <c r="E712" s="9">
        <v>45851</v>
      </c>
      <c r="F712" s="2">
        <v>54</v>
      </c>
      <c r="G712" s="3" t="s">
        <v>23</v>
      </c>
      <c r="H712">
        <v>0</v>
      </c>
      <c r="I712" s="2">
        <v>0</v>
      </c>
      <c r="J712" s="2">
        <v>0</v>
      </c>
      <c r="K712" s="2">
        <v>0</v>
      </c>
      <c r="L712" s="2">
        <v>0</v>
      </c>
      <c r="M712">
        <v>0</v>
      </c>
      <c r="N712">
        <v>0</v>
      </c>
      <c r="O712" s="2">
        <v>0</v>
      </c>
      <c r="P712" s="2">
        <v>1</v>
      </c>
      <c r="Q712">
        <v>0</v>
      </c>
      <c r="R712" s="2">
        <v>0</v>
      </c>
      <c r="S712" s="2">
        <v>1</v>
      </c>
      <c r="T712" t="s">
        <v>451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</row>
    <row r="713" spans="1:28" hidden="1" x14ac:dyDescent="0.25">
      <c r="A713" t="s">
        <v>20</v>
      </c>
      <c r="B713" t="s">
        <v>21</v>
      </c>
      <c r="C713" t="s">
        <v>22</v>
      </c>
      <c r="D713" s="9">
        <v>45851</v>
      </c>
      <c r="E713" s="9">
        <v>45851</v>
      </c>
      <c r="F713" s="2">
        <v>88</v>
      </c>
      <c r="G713" s="3" t="s">
        <v>23</v>
      </c>
      <c r="H713">
        <v>0</v>
      </c>
      <c r="I713" s="2">
        <v>0</v>
      </c>
      <c r="J713" s="2">
        <v>0</v>
      </c>
      <c r="K713" s="2">
        <v>0</v>
      </c>
      <c r="L713" s="2">
        <v>0</v>
      </c>
      <c r="M713">
        <v>0</v>
      </c>
      <c r="N713">
        <v>0</v>
      </c>
      <c r="O713" s="2">
        <v>0</v>
      </c>
      <c r="P713" s="2">
        <v>1</v>
      </c>
      <c r="Q713">
        <v>0</v>
      </c>
      <c r="R713" s="2">
        <v>0</v>
      </c>
      <c r="S713" s="2">
        <v>1</v>
      </c>
      <c r="T713" t="s">
        <v>452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idden="1" x14ac:dyDescent="0.25">
      <c r="A714" t="s">
        <v>29</v>
      </c>
      <c r="B714" t="s">
        <v>30</v>
      </c>
      <c r="C714" t="s">
        <v>102</v>
      </c>
      <c r="D714" s="9">
        <v>45851</v>
      </c>
      <c r="E714" s="9">
        <v>45851</v>
      </c>
      <c r="F714" s="2">
        <v>15</v>
      </c>
      <c r="G714" s="3" t="s">
        <v>23</v>
      </c>
      <c r="H714">
        <v>0</v>
      </c>
      <c r="I714" s="2">
        <v>0</v>
      </c>
      <c r="J714" s="2">
        <v>0</v>
      </c>
      <c r="K714" s="2">
        <v>0</v>
      </c>
      <c r="L714" s="2">
        <v>0</v>
      </c>
      <c r="M714">
        <v>0</v>
      </c>
      <c r="N714">
        <v>0</v>
      </c>
      <c r="O714" s="2">
        <v>0</v>
      </c>
      <c r="P714" s="2">
        <v>0</v>
      </c>
      <c r="Q714">
        <v>4</v>
      </c>
      <c r="R714" s="2">
        <v>0</v>
      </c>
      <c r="S714" s="2">
        <v>1</v>
      </c>
      <c r="T714" t="s">
        <v>453</v>
      </c>
      <c r="U714" s="2">
        <v>10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1</v>
      </c>
    </row>
    <row r="715" spans="1:28" hidden="1" x14ac:dyDescent="0.25">
      <c r="A715" t="s">
        <v>63</v>
      </c>
      <c r="B715" t="s">
        <v>284</v>
      </c>
      <c r="C715" t="s">
        <v>102</v>
      </c>
      <c r="D715" s="9">
        <v>45851</v>
      </c>
      <c r="E715" s="9">
        <v>45851</v>
      </c>
      <c r="F715" s="2">
        <v>15</v>
      </c>
      <c r="G715" s="3" t="s">
        <v>23</v>
      </c>
      <c r="H715">
        <v>0</v>
      </c>
      <c r="I715" s="2">
        <v>0</v>
      </c>
      <c r="J715" s="2">
        <v>0</v>
      </c>
      <c r="K715" s="2">
        <v>0</v>
      </c>
      <c r="L715" s="2">
        <v>0</v>
      </c>
      <c r="M715">
        <v>0</v>
      </c>
      <c r="N715">
        <v>0</v>
      </c>
      <c r="O715" s="2">
        <v>0</v>
      </c>
      <c r="P715" s="2">
        <v>1</v>
      </c>
      <c r="Q715">
        <v>0</v>
      </c>
      <c r="R715" s="2">
        <v>0</v>
      </c>
      <c r="S715" s="2">
        <v>1</v>
      </c>
      <c r="T715" t="s">
        <v>453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idden="1" x14ac:dyDescent="0.25">
      <c r="A716" t="s">
        <v>56</v>
      </c>
      <c r="B716" t="s">
        <v>57</v>
      </c>
      <c r="C716" t="s">
        <v>64</v>
      </c>
      <c r="D716" s="9">
        <v>45851</v>
      </c>
      <c r="E716" s="9">
        <v>45851</v>
      </c>
      <c r="F716" s="2">
        <v>0</v>
      </c>
      <c r="G716" s="3" t="s">
        <v>378</v>
      </c>
      <c r="H716">
        <v>0</v>
      </c>
      <c r="I716" s="2">
        <v>0</v>
      </c>
      <c r="J716" s="2">
        <v>0</v>
      </c>
      <c r="K716" s="2">
        <v>0</v>
      </c>
      <c r="L716" s="2">
        <v>0</v>
      </c>
      <c r="M716">
        <v>0</v>
      </c>
      <c r="N716">
        <v>0</v>
      </c>
      <c r="O716" s="2">
        <v>0</v>
      </c>
      <c r="P716" s="2">
        <v>0</v>
      </c>
      <c r="Q716">
        <v>0</v>
      </c>
      <c r="R716" s="2">
        <v>0</v>
      </c>
      <c r="S716" s="2">
        <v>0</v>
      </c>
      <c r="T716" t="s">
        <v>377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idden="1" x14ac:dyDescent="0.25">
      <c r="A717" t="s">
        <v>25</v>
      </c>
      <c r="B717" t="s">
        <v>26</v>
      </c>
      <c r="C717" t="s">
        <v>27</v>
      </c>
      <c r="D717" s="9">
        <v>45851</v>
      </c>
      <c r="E717" s="9">
        <v>45851</v>
      </c>
      <c r="F717" s="2">
        <v>0</v>
      </c>
      <c r="G717" s="3" t="s">
        <v>378</v>
      </c>
      <c r="H717">
        <v>0</v>
      </c>
      <c r="I717" s="2">
        <v>0</v>
      </c>
      <c r="J717" s="2">
        <v>0</v>
      </c>
      <c r="K717" s="2">
        <v>0</v>
      </c>
      <c r="L717" s="2">
        <v>0</v>
      </c>
      <c r="M717">
        <v>0</v>
      </c>
      <c r="N717">
        <v>0</v>
      </c>
      <c r="O717" s="2">
        <v>0</v>
      </c>
      <c r="P717" s="2">
        <v>0</v>
      </c>
      <c r="Q717">
        <v>0</v>
      </c>
      <c r="R717" s="2">
        <v>0</v>
      </c>
      <c r="S717" s="2">
        <v>0</v>
      </c>
      <c r="T717" t="s">
        <v>377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idden="1" x14ac:dyDescent="0.25">
      <c r="A718" t="s">
        <v>33</v>
      </c>
      <c r="B718" t="s">
        <v>47</v>
      </c>
      <c r="C718" t="s">
        <v>35</v>
      </c>
      <c r="D718" s="9">
        <v>45851</v>
      </c>
      <c r="E718" s="9">
        <v>45851</v>
      </c>
      <c r="F718" s="2">
        <v>0</v>
      </c>
      <c r="G718" s="3" t="s">
        <v>378</v>
      </c>
      <c r="H718">
        <v>0</v>
      </c>
      <c r="I718" s="2">
        <v>0</v>
      </c>
      <c r="J718" s="2">
        <v>0</v>
      </c>
      <c r="K718" s="2">
        <v>0</v>
      </c>
      <c r="L718" s="2">
        <v>0</v>
      </c>
      <c r="M718">
        <v>0</v>
      </c>
      <c r="N718">
        <v>0</v>
      </c>
      <c r="O718" s="2">
        <v>0</v>
      </c>
      <c r="P718" s="2">
        <v>0</v>
      </c>
      <c r="Q718">
        <v>0</v>
      </c>
      <c r="R718" s="2">
        <v>0</v>
      </c>
      <c r="S718" s="2">
        <v>0</v>
      </c>
      <c r="T718" t="s">
        <v>377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idden="1" x14ac:dyDescent="0.25">
      <c r="A719" t="s">
        <v>37</v>
      </c>
      <c r="B719" t="s">
        <v>38</v>
      </c>
      <c r="C719" t="s">
        <v>212</v>
      </c>
      <c r="D719" s="9">
        <v>45851</v>
      </c>
      <c r="E719" s="9">
        <v>45851</v>
      </c>
      <c r="F719" s="2">
        <v>0</v>
      </c>
      <c r="G719" s="3" t="s">
        <v>378</v>
      </c>
      <c r="H719">
        <v>0</v>
      </c>
      <c r="I719" s="2">
        <v>0</v>
      </c>
      <c r="J719" s="2">
        <v>0</v>
      </c>
      <c r="K719" s="2">
        <v>0</v>
      </c>
      <c r="L719" s="2">
        <v>0</v>
      </c>
      <c r="M719">
        <v>0</v>
      </c>
      <c r="N719">
        <v>0</v>
      </c>
      <c r="O719" s="2">
        <v>0</v>
      </c>
      <c r="P719" s="2">
        <v>0</v>
      </c>
      <c r="Q719">
        <v>0</v>
      </c>
      <c r="R719" s="2">
        <v>0</v>
      </c>
      <c r="S719" s="2">
        <v>0</v>
      </c>
      <c r="T719" t="s">
        <v>377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idden="1" x14ac:dyDescent="0.25">
      <c r="A720" t="s">
        <v>47</v>
      </c>
      <c r="B720" t="s">
        <v>52</v>
      </c>
      <c r="C720" t="s">
        <v>212</v>
      </c>
      <c r="D720" s="9">
        <v>45851</v>
      </c>
      <c r="E720" s="9">
        <v>45851</v>
      </c>
      <c r="F720" s="2">
        <v>0</v>
      </c>
      <c r="G720" s="3" t="s">
        <v>50</v>
      </c>
      <c r="H720">
        <v>0</v>
      </c>
      <c r="I720" s="2">
        <v>0</v>
      </c>
      <c r="J720" s="2">
        <v>0</v>
      </c>
      <c r="K720" s="2">
        <v>0</v>
      </c>
      <c r="L720" s="2">
        <v>0</v>
      </c>
      <c r="M720">
        <v>0</v>
      </c>
      <c r="N720">
        <v>0</v>
      </c>
      <c r="O720" s="2">
        <v>0</v>
      </c>
      <c r="P720" s="2">
        <v>0</v>
      </c>
      <c r="Q720">
        <v>0</v>
      </c>
      <c r="R720" s="2">
        <v>0</v>
      </c>
      <c r="S720" s="2">
        <v>0</v>
      </c>
      <c r="T720" t="s">
        <v>377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</row>
    <row r="721" spans="1:28" hidden="1" x14ac:dyDescent="0.25">
      <c r="A721" t="s">
        <v>56</v>
      </c>
      <c r="B721" t="s">
        <v>21</v>
      </c>
      <c r="C721" t="s">
        <v>64</v>
      </c>
      <c r="D721" s="1">
        <v>45852</v>
      </c>
      <c r="E721" s="1">
        <v>45852</v>
      </c>
      <c r="F721" s="2">
        <v>54</v>
      </c>
      <c r="G721" s="3" t="s">
        <v>23</v>
      </c>
      <c r="H721">
        <v>12</v>
      </c>
      <c r="I721" s="2">
        <v>0</v>
      </c>
      <c r="J721" s="2">
        <v>0</v>
      </c>
      <c r="K721" s="2">
        <v>0</v>
      </c>
      <c r="L721" s="2">
        <v>0</v>
      </c>
      <c r="M721">
        <v>0</v>
      </c>
      <c r="N721">
        <v>0</v>
      </c>
      <c r="O721" s="2">
        <v>0</v>
      </c>
      <c r="P721" s="2">
        <v>0</v>
      </c>
      <c r="Q721">
        <v>0</v>
      </c>
      <c r="R721" s="2">
        <v>0</v>
      </c>
      <c r="S721" s="2">
        <v>0</v>
      </c>
      <c r="T721" t="s">
        <v>461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</row>
    <row r="722" spans="1:28" hidden="1" x14ac:dyDescent="0.25">
      <c r="A722" t="s">
        <v>33</v>
      </c>
      <c r="B722" t="s">
        <v>57</v>
      </c>
      <c r="C722" t="s">
        <v>35</v>
      </c>
      <c r="D722" s="1">
        <v>45852</v>
      </c>
      <c r="E722" s="1">
        <v>45852</v>
      </c>
      <c r="F722" s="2">
        <v>34</v>
      </c>
      <c r="G722" s="3" t="s">
        <v>23</v>
      </c>
      <c r="H722">
        <v>15</v>
      </c>
      <c r="I722" s="2">
        <v>0</v>
      </c>
      <c r="J722" s="2">
        <v>0</v>
      </c>
      <c r="K722" s="2">
        <v>0</v>
      </c>
      <c r="L722" s="2">
        <v>0</v>
      </c>
      <c r="M722">
        <v>0</v>
      </c>
      <c r="N722">
        <v>0</v>
      </c>
      <c r="O722" s="2">
        <v>0</v>
      </c>
      <c r="P722" s="2">
        <v>0</v>
      </c>
      <c r="Q722">
        <v>0</v>
      </c>
      <c r="R722" s="2">
        <v>0</v>
      </c>
      <c r="S722" s="2">
        <v>0</v>
      </c>
      <c r="T722" t="s">
        <v>462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</row>
    <row r="723" spans="1:28" hidden="1" x14ac:dyDescent="0.25">
      <c r="A723" t="s">
        <v>37</v>
      </c>
      <c r="B723" t="s">
        <v>38</v>
      </c>
      <c r="C723" t="s">
        <v>39</v>
      </c>
      <c r="D723" s="1">
        <v>45852</v>
      </c>
      <c r="E723" s="1">
        <v>45852</v>
      </c>
      <c r="F723" s="2">
        <v>22</v>
      </c>
      <c r="G723" s="3" t="s">
        <v>23</v>
      </c>
      <c r="H723">
        <v>7</v>
      </c>
      <c r="I723" s="2">
        <v>0</v>
      </c>
      <c r="J723" s="2">
        <v>0</v>
      </c>
      <c r="K723" s="2">
        <v>0</v>
      </c>
      <c r="L723" s="2">
        <v>0</v>
      </c>
      <c r="M723">
        <v>1</v>
      </c>
      <c r="N723">
        <v>0</v>
      </c>
      <c r="O723" s="2">
        <v>0</v>
      </c>
      <c r="P723" s="2">
        <v>0</v>
      </c>
      <c r="Q723">
        <v>0</v>
      </c>
      <c r="R723" s="2">
        <v>0</v>
      </c>
      <c r="S723" s="2">
        <v>0</v>
      </c>
      <c r="T723" t="s">
        <v>463</v>
      </c>
      <c r="U723" s="2">
        <v>0</v>
      </c>
      <c r="V723" s="2">
        <v>9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</row>
    <row r="724" spans="1:28" hidden="1" x14ac:dyDescent="0.25">
      <c r="A724" t="s">
        <v>20</v>
      </c>
      <c r="B724" t="s">
        <v>47</v>
      </c>
      <c r="C724" t="s">
        <v>35</v>
      </c>
      <c r="D724" s="1">
        <v>45852</v>
      </c>
      <c r="E724" s="1">
        <v>45852</v>
      </c>
      <c r="F724" s="2">
        <v>110</v>
      </c>
      <c r="G724" s="3" t="s">
        <v>23</v>
      </c>
      <c r="H724">
        <v>10</v>
      </c>
      <c r="I724" s="2">
        <v>0</v>
      </c>
      <c r="J724" s="2">
        <v>0</v>
      </c>
      <c r="K724" s="2">
        <v>0</v>
      </c>
      <c r="L724" s="2">
        <v>0</v>
      </c>
      <c r="M724">
        <v>0</v>
      </c>
      <c r="N724">
        <v>0</v>
      </c>
      <c r="O724" s="2">
        <v>0</v>
      </c>
      <c r="P724" s="2">
        <v>0</v>
      </c>
      <c r="Q724">
        <v>0</v>
      </c>
      <c r="R724" s="2">
        <v>0</v>
      </c>
      <c r="S724" s="2">
        <v>0</v>
      </c>
      <c r="T724" t="s">
        <v>446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</row>
    <row r="725" spans="1:28" hidden="1" x14ac:dyDescent="0.25">
      <c r="A725" t="s">
        <v>47</v>
      </c>
      <c r="B725" t="s">
        <v>34</v>
      </c>
      <c r="C725" t="s">
        <v>35</v>
      </c>
      <c r="D725" s="1">
        <v>45852</v>
      </c>
      <c r="E725" s="1">
        <v>45852</v>
      </c>
      <c r="F725" s="2">
        <v>110</v>
      </c>
      <c r="G725" s="3" t="s">
        <v>129</v>
      </c>
      <c r="H725">
        <v>0</v>
      </c>
      <c r="I725" s="2">
        <v>0</v>
      </c>
      <c r="J725" s="2">
        <v>0</v>
      </c>
      <c r="K725" s="2">
        <v>0</v>
      </c>
      <c r="L725" s="2">
        <v>0</v>
      </c>
      <c r="M725">
        <v>0</v>
      </c>
      <c r="N725">
        <v>0</v>
      </c>
      <c r="O725" s="2">
        <v>0</v>
      </c>
      <c r="P725" s="2">
        <v>0</v>
      </c>
      <c r="Q725">
        <v>0</v>
      </c>
      <c r="R725" s="2">
        <v>0</v>
      </c>
      <c r="S725" s="2">
        <v>0</v>
      </c>
      <c r="T725" t="s">
        <v>446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</row>
    <row r="726" spans="1:28" hidden="1" x14ac:dyDescent="0.25">
      <c r="A726" t="s">
        <v>47</v>
      </c>
      <c r="B726" t="s">
        <v>26</v>
      </c>
      <c r="C726" t="s">
        <v>35</v>
      </c>
      <c r="D726" s="1">
        <v>45852</v>
      </c>
      <c r="E726" s="1">
        <v>45852</v>
      </c>
      <c r="F726" s="2">
        <v>110</v>
      </c>
      <c r="G726" s="3" t="s">
        <v>572</v>
      </c>
      <c r="H726">
        <v>0</v>
      </c>
      <c r="I726" s="2">
        <v>0</v>
      </c>
      <c r="J726" s="2">
        <v>0</v>
      </c>
      <c r="K726" s="2">
        <v>0</v>
      </c>
      <c r="L726" s="2">
        <v>0</v>
      </c>
      <c r="M726">
        <v>0</v>
      </c>
      <c r="N726">
        <v>0</v>
      </c>
      <c r="O726" s="2">
        <v>0</v>
      </c>
      <c r="P726" s="2">
        <v>0</v>
      </c>
      <c r="Q726">
        <v>0</v>
      </c>
      <c r="R726" s="2">
        <v>0</v>
      </c>
      <c r="S726" s="2">
        <v>0</v>
      </c>
      <c r="T726" t="s">
        <v>446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idden="1" x14ac:dyDescent="0.25">
      <c r="A727" t="s">
        <v>29</v>
      </c>
      <c r="B727" t="s">
        <v>30</v>
      </c>
      <c r="C727" t="s">
        <v>35</v>
      </c>
      <c r="D727" s="1">
        <v>45852</v>
      </c>
      <c r="E727" s="1">
        <v>45852</v>
      </c>
      <c r="F727" s="2">
        <v>110</v>
      </c>
      <c r="G727" s="3" t="s">
        <v>572</v>
      </c>
      <c r="H727">
        <v>0</v>
      </c>
      <c r="I727" s="2">
        <v>0</v>
      </c>
      <c r="J727" s="2">
        <v>0</v>
      </c>
      <c r="K727" s="2">
        <v>0</v>
      </c>
      <c r="L727" s="2">
        <v>0</v>
      </c>
      <c r="M727">
        <v>0</v>
      </c>
      <c r="N727">
        <v>0</v>
      </c>
      <c r="O727" s="2">
        <v>0</v>
      </c>
      <c r="P727" s="2">
        <v>0</v>
      </c>
      <c r="Q727">
        <v>0</v>
      </c>
      <c r="R727" s="2">
        <v>0</v>
      </c>
      <c r="S727" s="2">
        <v>0</v>
      </c>
      <c r="T727" t="s">
        <v>446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idden="1" x14ac:dyDescent="0.25">
      <c r="A728" t="s">
        <v>53</v>
      </c>
      <c r="B728" t="s">
        <v>47</v>
      </c>
      <c r="C728" t="s">
        <v>35</v>
      </c>
      <c r="D728" s="1">
        <v>45852</v>
      </c>
      <c r="E728" s="1">
        <v>45852</v>
      </c>
      <c r="F728" s="2">
        <v>110</v>
      </c>
      <c r="G728" s="3" t="s">
        <v>572</v>
      </c>
      <c r="H728">
        <v>0</v>
      </c>
      <c r="I728" s="2">
        <v>0</v>
      </c>
      <c r="J728" s="2">
        <v>0</v>
      </c>
      <c r="K728" s="2">
        <v>0</v>
      </c>
      <c r="L728" s="2">
        <v>0</v>
      </c>
      <c r="M728">
        <v>0</v>
      </c>
      <c r="N728">
        <v>0</v>
      </c>
      <c r="O728" s="2">
        <v>0</v>
      </c>
      <c r="P728" s="2">
        <v>0</v>
      </c>
      <c r="Q728">
        <v>0</v>
      </c>
      <c r="R728" s="2">
        <v>0</v>
      </c>
      <c r="S728" s="2">
        <v>0</v>
      </c>
      <c r="T728" t="s">
        <v>446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</row>
    <row r="729" spans="1:28" hidden="1" x14ac:dyDescent="0.25">
      <c r="A729" t="s">
        <v>25</v>
      </c>
      <c r="B729" t="s">
        <v>47</v>
      </c>
      <c r="C729" t="s">
        <v>35</v>
      </c>
      <c r="D729" s="1">
        <v>45852</v>
      </c>
      <c r="E729" s="1">
        <v>45852</v>
      </c>
      <c r="F729" s="2">
        <v>110</v>
      </c>
      <c r="G729" s="3" t="s">
        <v>572</v>
      </c>
      <c r="H729">
        <v>0</v>
      </c>
      <c r="I729" s="2">
        <v>0</v>
      </c>
      <c r="J729" s="2">
        <v>0</v>
      </c>
      <c r="K729" s="2">
        <v>0</v>
      </c>
      <c r="L729" s="2">
        <v>0</v>
      </c>
      <c r="M729">
        <v>0</v>
      </c>
      <c r="N729">
        <v>0</v>
      </c>
      <c r="O729" s="2">
        <v>0</v>
      </c>
      <c r="P729" s="2">
        <v>0</v>
      </c>
      <c r="Q729">
        <v>0</v>
      </c>
      <c r="R729" s="2">
        <v>0</v>
      </c>
      <c r="S729" s="2">
        <v>0</v>
      </c>
      <c r="T729" t="s">
        <v>446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idden="1" x14ac:dyDescent="0.25">
      <c r="A730" t="s">
        <v>47</v>
      </c>
      <c r="B730" t="s">
        <v>52</v>
      </c>
      <c r="C730" t="s">
        <v>212</v>
      </c>
      <c r="D730" s="1">
        <v>45852</v>
      </c>
      <c r="E730" s="1">
        <v>45852</v>
      </c>
      <c r="F730" s="2">
        <v>0</v>
      </c>
      <c r="G730" s="3" t="s">
        <v>572</v>
      </c>
      <c r="H730">
        <v>0</v>
      </c>
      <c r="I730" s="2">
        <v>0</v>
      </c>
      <c r="J730" s="2">
        <v>0</v>
      </c>
      <c r="K730" s="2">
        <v>0</v>
      </c>
      <c r="L730" s="2">
        <v>0</v>
      </c>
      <c r="M730">
        <v>0</v>
      </c>
      <c r="N730">
        <v>0</v>
      </c>
      <c r="O730" s="2">
        <v>0</v>
      </c>
      <c r="P730" s="2">
        <v>0</v>
      </c>
      <c r="Q730">
        <v>0</v>
      </c>
      <c r="R730" s="2">
        <v>0</v>
      </c>
      <c r="S730" s="2">
        <v>0</v>
      </c>
      <c r="T730" t="s">
        <v>377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idden="1" x14ac:dyDescent="0.25">
      <c r="A731" t="s">
        <v>56</v>
      </c>
      <c r="B731" t="s">
        <v>47</v>
      </c>
      <c r="C731" t="s">
        <v>64</v>
      </c>
      <c r="D731" s="1">
        <v>45853</v>
      </c>
      <c r="E731" s="1">
        <v>45853</v>
      </c>
      <c r="F731" s="2">
        <v>88</v>
      </c>
      <c r="G731" s="3" t="s">
        <v>23</v>
      </c>
      <c r="H731">
        <v>28</v>
      </c>
      <c r="I731" s="2">
        <v>0</v>
      </c>
      <c r="J731" s="2">
        <v>0</v>
      </c>
      <c r="K731" s="2">
        <v>1</v>
      </c>
      <c r="L731" s="2">
        <v>0</v>
      </c>
      <c r="M731">
        <v>0</v>
      </c>
      <c r="N731">
        <v>0</v>
      </c>
      <c r="O731" s="2">
        <v>0</v>
      </c>
      <c r="P731" s="2">
        <v>0</v>
      </c>
      <c r="Q731">
        <v>0</v>
      </c>
      <c r="R731" s="2">
        <v>0</v>
      </c>
      <c r="S731" s="2">
        <v>0</v>
      </c>
      <c r="T731" t="s">
        <v>464</v>
      </c>
      <c r="U731" s="2">
        <v>0</v>
      </c>
      <c r="V731" s="2">
        <v>14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</row>
    <row r="732" spans="1:28" hidden="1" x14ac:dyDescent="0.25">
      <c r="A732" t="s">
        <v>53</v>
      </c>
      <c r="B732" t="s">
        <v>47</v>
      </c>
      <c r="C732" t="s">
        <v>64</v>
      </c>
      <c r="D732" s="1">
        <v>45853</v>
      </c>
      <c r="E732" s="1">
        <v>45853</v>
      </c>
      <c r="F732" s="2">
        <v>88</v>
      </c>
      <c r="G732" s="3" t="s">
        <v>23</v>
      </c>
      <c r="H732">
        <v>28</v>
      </c>
      <c r="I732" s="2">
        <v>0</v>
      </c>
      <c r="J732" s="2">
        <v>0</v>
      </c>
      <c r="K732" s="2">
        <v>1</v>
      </c>
      <c r="L732" s="2">
        <v>0</v>
      </c>
      <c r="M732">
        <v>0</v>
      </c>
      <c r="N732">
        <v>0</v>
      </c>
      <c r="O732" s="2">
        <v>0</v>
      </c>
      <c r="P732" s="2">
        <v>0</v>
      </c>
      <c r="Q732">
        <v>0</v>
      </c>
      <c r="R732" s="2">
        <v>0</v>
      </c>
      <c r="S732" s="2">
        <v>0</v>
      </c>
      <c r="T732" t="s">
        <v>464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</row>
    <row r="733" spans="1:28" hidden="1" x14ac:dyDescent="0.25">
      <c r="A733" t="s">
        <v>29</v>
      </c>
      <c r="B733" t="s">
        <v>30</v>
      </c>
      <c r="C733" t="s">
        <v>31</v>
      </c>
      <c r="D733" s="1">
        <v>45853</v>
      </c>
      <c r="E733" s="1">
        <v>45853</v>
      </c>
      <c r="F733" s="2">
        <v>29</v>
      </c>
      <c r="G733" s="3" t="s">
        <v>23</v>
      </c>
      <c r="H733">
        <v>16</v>
      </c>
      <c r="I733" s="2">
        <v>0</v>
      </c>
      <c r="J733" s="2">
        <v>0</v>
      </c>
      <c r="K733" s="2">
        <v>1</v>
      </c>
      <c r="L733" s="2">
        <v>0</v>
      </c>
      <c r="M733">
        <v>0</v>
      </c>
      <c r="N733">
        <v>0</v>
      </c>
      <c r="O733" s="2">
        <v>0</v>
      </c>
      <c r="P733" s="2">
        <v>0</v>
      </c>
      <c r="Q733">
        <v>0</v>
      </c>
      <c r="R733" s="2">
        <v>0</v>
      </c>
      <c r="S733" s="2">
        <v>0</v>
      </c>
      <c r="T733" t="s">
        <v>465</v>
      </c>
      <c r="U733" s="2">
        <v>0</v>
      </c>
      <c r="V733" s="2">
        <v>14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idden="1" x14ac:dyDescent="0.25">
      <c r="A734" t="s">
        <v>33</v>
      </c>
      <c r="B734" t="s">
        <v>57</v>
      </c>
      <c r="C734" t="s">
        <v>35</v>
      </c>
      <c r="D734" s="1">
        <v>45853</v>
      </c>
      <c r="E734" s="1">
        <v>45853</v>
      </c>
      <c r="F734" s="2">
        <v>55</v>
      </c>
      <c r="G734" s="3" t="s">
        <v>23</v>
      </c>
      <c r="H734">
        <v>25</v>
      </c>
      <c r="I734" s="2">
        <v>0</v>
      </c>
      <c r="J734" s="2">
        <v>0</v>
      </c>
      <c r="K734" s="2">
        <v>1</v>
      </c>
      <c r="L734" s="2">
        <v>0</v>
      </c>
      <c r="M734">
        <v>0</v>
      </c>
      <c r="N734">
        <v>0</v>
      </c>
      <c r="O734" s="2">
        <v>0</v>
      </c>
      <c r="P734" s="2">
        <v>0</v>
      </c>
      <c r="Q734">
        <v>0</v>
      </c>
      <c r="R734" s="2">
        <v>0</v>
      </c>
      <c r="S734" s="2">
        <v>0</v>
      </c>
      <c r="T734" t="s">
        <v>466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idden="1" x14ac:dyDescent="0.25">
      <c r="A735" t="s">
        <v>20</v>
      </c>
      <c r="B735" t="s">
        <v>21</v>
      </c>
      <c r="C735" t="s">
        <v>35</v>
      </c>
      <c r="D735" s="1">
        <v>45853</v>
      </c>
      <c r="E735" s="1">
        <v>45853</v>
      </c>
      <c r="F735" s="2">
        <v>55</v>
      </c>
      <c r="G735" s="3" t="s">
        <v>23</v>
      </c>
      <c r="H735">
        <v>24</v>
      </c>
      <c r="I735" s="2">
        <v>0</v>
      </c>
      <c r="J735" s="2">
        <v>0</v>
      </c>
      <c r="K735" s="2">
        <v>0</v>
      </c>
      <c r="L735" s="2">
        <v>1</v>
      </c>
      <c r="M735">
        <v>0</v>
      </c>
      <c r="N735">
        <v>0</v>
      </c>
      <c r="O735" s="2">
        <v>0</v>
      </c>
      <c r="P735" s="2">
        <v>0</v>
      </c>
      <c r="Q735">
        <v>0</v>
      </c>
      <c r="R735" s="2">
        <v>0</v>
      </c>
      <c r="S735" s="2">
        <v>0</v>
      </c>
      <c r="T735" t="s">
        <v>466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idden="1" x14ac:dyDescent="0.25">
      <c r="A736" t="s">
        <v>25</v>
      </c>
      <c r="B736" t="s">
        <v>26</v>
      </c>
      <c r="C736" t="s">
        <v>35</v>
      </c>
      <c r="D736" s="1">
        <v>45853</v>
      </c>
      <c r="E736" s="1">
        <v>45853</v>
      </c>
      <c r="F736" s="2">
        <v>110</v>
      </c>
      <c r="G736" s="3" t="s">
        <v>48</v>
      </c>
      <c r="H736">
        <v>0</v>
      </c>
      <c r="I736" s="2">
        <v>0</v>
      </c>
      <c r="J736" s="2">
        <v>0</v>
      </c>
      <c r="K736" s="2">
        <v>0</v>
      </c>
      <c r="L736" s="2">
        <v>0</v>
      </c>
      <c r="M736">
        <v>0</v>
      </c>
      <c r="N736">
        <v>0</v>
      </c>
      <c r="O736" s="2">
        <v>0</v>
      </c>
      <c r="P736" s="2">
        <v>0</v>
      </c>
      <c r="Q736">
        <v>0</v>
      </c>
      <c r="R736" s="2">
        <v>0</v>
      </c>
      <c r="S736" s="2">
        <v>0</v>
      </c>
      <c r="T736" t="s">
        <v>446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idden="1" x14ac:dyDescent="0.25">
      <c r="A737" t="s">
        <v>37</v>
      </c>
      <c r="B737" t="s">
        <v>38</v>
      </c>
      <c r="C737" t="s">
        <v>35</v>
      </c>
      <c r="D737" s="1">
        <v>45853</v>
      </c>
      <c r="E737" s="1">
        <v>45853</v>
      </c>
      <c r="F737" s="2">
        <v>110</v>
      </c>
      <c r="G737" s="3" t="s">
        <v>48</v>
      </c>
      <c r="H737">
        <v>0</v>
      </c>
      <c r="I737" s="2">
        <v>0</v>
      </c>
      <c r="J737" s="2">
        <v>0</v>
      </c>
      <c r="K737" s="2">
        <v>0</v>
      </c>
      <c r="L737" s="2">
        <v>0</v>
      </c>
      <c r="M737">
        <v>0</v>
      </c>
      <c r="N737">
        <v>0</v>
      </c>
      <c r="O737" s="2">
        <v>0</v>
      </c>
      <c r="P737" s="2">
        <v>0</v>
      </c>
      <c r="Q737">
        <v>0</v>
      </c>
      <c r="R737" s="2">
        <v>0</v>
      </c>
      <c r="S737" s="2">
        <v>0</v>
      </c>
      <c r="T737" t="s">
        <v>446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</row>
    <row r="738" spans="1:28" hidden="1" x14ac:dyDescent="0.25">
      <c r="A738" t="s">
        <v>47</v>
      </c>
      <c r="B738" t="s">
        <v>34</v>
      </c>
      <c r="C738" t="s">
        <v>212</v>
      </c>
      <c r="D738" s="1">
        <v>45853</v>
      </c>
      <c r="E738" s="1">
        <v>45853</v>
      </c>
      <c r="F738" s="2">
        <v>0</v>
      </c>
      <c r="G738" s="3" t="s">
        <v>129</v>
      </c>
      <c r="H738">
        <v>0</v>
      </c>
      <c r="I738" s="2">
        <v>0</v>
      </c>
      <c r="J738" s="2">
        <v>0</v>
      </c>
      <c r="K738" s="2">
        <v>0</v>
      </c>
      <c r="L738" s="2">
        <v>0</v>
      </c>
      <c r="M738">
        <v>0</v>
      </c>
      <c r="N738">
        <v>0</v>
      </c>
      <c r="O738" s="2">
        <v>0</v>
      </c>
      <c r="P738" s="2">
        <v>0</v>
      </c>
      <c r="Q738">
        <v>0</v>
      </c>
      <c r="R738" s="2">
        <v>0</v>
      </c>
      <c r="S738" s="2">
        <v>0</v>
      </c>
      <c r="T738" t="s">
        <v>377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</row>
    <row r="739" spans="1:28" hidden="1" x14ac:dyDescent="0.25">
      <c r="A739" t="s">
        <v>47</v>
      </c>
      <c r="B739" t="s">
        <v>52</v>
      </c>
      <c r="C739" t="s">
        <v>212</v>
      </c>
      <c r="D739" s="1">
        <v>45853</v>
      </c>
      <c r="E739" s="1">
        <v>45853</v>
      </c>
      <c r="F739" s="2">
        <v>0</v>
      </c>
      <c r="G739" s="3" t="s">
        <v>572</v>
      </c>
      <c r="H739">
        <v>0</v>
      </c>
      <c r="I739" s="2">
        <v>0</v>
      </c>
      <c r="J739" s="2">
        <v>0</v>
      </c>
      <c r="K739" s="2">
        <v>0</v>
      </c>
      <c r="L739" s="2">
        <v>0</v>
      </c>
      <c r="M739">
        <v>0</v>
      </c>
      <c r="N739">
        <v>0</v>
      </c>
      <c r="O739" s="2">
        <v>0</v>
      </c>
      <c r="P739" s="2">
        <v>0</v>
      </c>
      <c r="Q739">
        <v>0</v>
      </c>
      <c r="R739" s="2">
        <v>0</v>
      </c>
      <c r="S739" s="2">
        <v>0</v>
      </c>
      <c r="T739" t="s">
        <v>377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</row>
    <row r="740" spans="1:28" hidden="1" x14ac:dyDescent="0.25">
      <c r="A740" t="s">
        <v>56</v>
      </c>
      <c r="B740" t="s">
        <v>21</v>
      </c>
      <c r="C740" t="s">
        <v>64</v>
      </c>
      <c r="D740" s="9">
        <v>45854</v>
      </c>
      <c r="E740" s="9">
        <v>45854</v>
      </c>
      <c r="F740" s="2">
        <v>75</v>
      </c>
      <c r="G740" s="3" t="s">
        <v>23</v>
      </c>
      <c r="H740">
        <v>0</v>
      </c>
      <c r="I740" s="2">
        <v>0</v>
      </c>
      <c r="J740" s="2">
        <v>0</v>
      </c>
      <c r="K740" s="2">
        <v>0</v>
      </c>
      <c r="L740" s="2">
        <v>0</v>
      </c>
      <c r="M740">
        <v>0</v>
      </c>
      <c r="N740">
        <v>0</v>
      </c>
      <c r="O740" s="2">
        <v>0</v>
      </c>
      <c r="P740" s="2">
        <v>1</v>
      </c>
      <c r="Q740">
        <v>0</v>
      </c>
      <c r="R740" s="2">
        <v>0</v>
      </c>
      <c r="S740" s="2">
        <v>1</v>
      </c>
      <c r="T740" t="s">
        <v>467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</row>
    <row r="741" spans="1:28" hidden="1" x14ac:dyDescent="0.25">
      <c r="A741" t="s">
        <v>25</v>
      </c>
      <c r="B741" t="s">
        <v>26</v>
      </c>
      <c r="C741" t="s">
        <v>27</v>
      </c>
      <c r="D741" s="9">
        <v>45854</v>
      </c>
      <c r="E741" s="9">
        <v>45854</v>
      </c>
      <c r="F741" s="2">
        <v>25</v>
      </c>
      <c r="G741" s="3" t="s">
        <v>23</v>
      </c>
      <c r="H741">
        <v>0</v>
      </c>
      <c r="I741" s="2">
        <v>0</v>
      </c>
      <c r="J741" s="2">
        <v>0</v>
      </c>
      <c r="K741" s="2">
        <v>0</v>
      </c>
      <c r="L741" s="2">
        <v>0</v>
      </c>
      <c r="M741">
        <v>0</v>
      </c>
      <c r="N741">
        <v>0</v>
      </c>
      <c r="O741" s="2">
        <v>0</v>
      </c>
      <c r="P741" s="2">
        <v>1</v>
      </c>
      <c r="Q741">
        <v>0</v>
      </c>
      <c r="R741" s="2">
        <v>0</v>
      </c>
      <c r="S741" s="2">
        <v>1</v>
      </c>
      <c r="T741" t="s">
        <v>468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</row>
    <row r="742" spans="1:28" hidden="1" x14ac:dyDescent="0.25">
      <c r="A742" t="s">
        <v>33</v>
      </c>
      <c r="B742" t="s">
        <v>57</v>
      </c>
      <c r="C742" t="s">
        <v>35</v>
      </c>
      <c r="D742" s="9">
        <v>45854</v>
      </c>
      <c r="E742" s="9">
        <v>45854</v>
      </c>
      <c r="F742" s="2">
        <v>67</v>
      </c>
      <c r="G742" s="3" t="s">
        <v>23</v>
      </c>
      <c r="H742">
        <v>0</v>
      </c>
      <c r="I742" s="2">
        <v>0</v>
      </c>
      <c r="J742" s="2">
        <v>0</v>
      </c>
      <c r="K742" s="2">
        <v>0</v>
      </c>
      <c r="L742" s="2">
        <v>0</v>
      </c>
      <c r="M742">
        <v>0</v>
      </c>
      <c r="N742">
        <v>0</v>
      </c>
      <c r="O742" s="2">
        <v>0</v>
      </c>
      <c r="P742" s="2">
        <v>1</v>
      </c>
      <c r="Q742">
        <v>0</v>
      </c>
      <c r="R742" s="2">
        <v>0</v>
      </c>
      <c r="S742" s="2">
        <v>1</v>
      </c>
      <c r="T742" t="s">
        <v>469</v>
      </c>
      <c r="U742" s="2">
        <v>14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idden="1" x14ac:dyDescent="0.25">
      <c r="A743" t="s">
        <v>37</v>
      </c>
      <c r="B743" t="s">
        <v>38</v>
      </c>
      <c r="C743" t="s">
        <v>39</v>
      </c>
      <c r="D743" s="9">
        <v>45854</v>
      </c>
      <c r="E743" s="9">
        <v>45854</v>
      </c>
      <c r="F743" s="2">
        <v>26</v>
      </c>
      <c r="G743" s="3" t="s">
        <v>23</v>
      </c>
      <c r="H743">
        <v>0</v>
      </c>
      <c r="I743" s="2">
        <v>0</v>
      </c>
      <c r="J743" s="2">
        <v>0</v>
      </c>
      <c r="K743" s="2">
        <v>0</v>
      </c>
      <c r="L743" s="2">
        <v>0</v>
      </c>
      <c r="M743">
        <v>0</v>
      </c>
      <c r="N743">
        <v>0</v>
      </c>
      <c r="O743" s="2">
        <v>0</v>
      </c>
      <c r="P743" s="2">
        <v>1</v>
      </c>
      <c r="Q743">
        <v>0</v>
      </c>
      <c r="R743" s="2">
        <v>0</v>
      </c>
      <c r="S743" s="2">
        <v>1</v>
      </c>
      <c r="T743" t="s">
        <v>470</v>
      </c>
      <c r="U743" s="2">
        <v>15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1</v>
      </c>
    </row>
    <row r="744" spans="1:28" hidden="1" x14ac:dyDescent="0.25">
      <c r="A744" t="s">
        <v>53</v>
      </c>
      <c r="B744" t="s">
        <v>47</v>
      </c>
      <c r="C744" t="s">
        <v>27</v>
      </c>
      <c r="D744" s="9">
        <v>45854</v>
      </c>
      <c r="E744" s="9">
        <v>45854</v>
      </c>
      <c r="F744" s="2">
        <v>0</v>
      </c>
      <c r="G744" s="3" t="s">
        <v>378</v>
      </c>
      <c r="H744">
        <v>0</v>
      </c>
      <c r="I744" s="2">
        <v>0</v>
      </c>
      <c r="J744" s="2">
        <v>0</v>
      </c>
      <c r="K744" s="2">
        <v>0</v>
      </c>
      <c r="L744" s="2">
        <v>0</v>
      </c>
      <c r="M744">
        <v>0</v>
      </c>
      <c r="N744">
        <v>0</v>
      </c>
      <c r="O744" s="2">
        <v>0</v>
      </c>
      <c r="P744" s="2">
        <v>0</v>
      </c>
      <c r="Q744">
        <v>0</v>
      </c>
      <c r="R744" s="2">
        <v>0</v>
      </c>
      <c r="S744" s="2">
        <v>0</v>
      </c>
      <c r="T744" t="s">
        <v>377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idden="1" x14ac:dyDescent="0.25">
      <c r="A745" t="s">
        <v>29</v>
      </c>
      <c r="B745" t="s">
        <v>30</v>
      </c>
      <c r="C745" t="s">
        <v>35</v>
      </c>
      <c r="D745" s="9">
        <v>45854</v>
      </c>
      <c r="E745" s="9">
        <v>45854</v>
      </c>
      <c r="F745" s="2">
        <v>0</v>
      </c>
      <c r="G745" s="3" t="s">
        <v>378</v>
      </c>
      <c r="H745">
        <v>0</v>
      </c>
      <c r="I745" s="2">
        <v>0</v>
      </c>
      <c r="J745" s="2">
        <v>0</v>
      </c>
      <c r="K745" s="2">
        <v>0</v>
      </c>
      <c r="L745" s="2">
        <v>0</v>
      </c>
      <c r="M745">
        <v>0</v>
      </c>
      <c r="N745">
        <v>0</v>
      </c>
      <c r="O745" s="2">
        <v>0</v>
      </c>
      <c r="P745" s="2">
        <v>0</v>
      </c>
      <c r="Q745">
        <v>0</v>
      </c>
      <c r="R745" s="2">
        <v>0</v>
      </c>
      <c r="S745" s="2">
        <v>0</v>
      </c>
      <c r="T745" t="s">
        <v>377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idden="1" x14ac:dyDescent="0.25">
      <c r="A746" t="s">
        <v>20</v>
      </c>
      <c r="B746" t="s">
        <v>47</v>
      </c>
      <c r="C746" t="s">
        <v>212</v>
      </c>
      <c r="D746" s="9">
        <v>45854</v>
      </c>
      <c r="E746" s="9">
        <v>45854</v>
      </c>
      <c r="F746" s="2">
        <v>0</v>
      </c>
      <c r="G746" s="3" t="s">
        <v>378</v>
      </c>
      <c r="H746">
        <v>0</v>
      </c>
      <c r="I746" s="2">
        <v>0</v>
      </c>
      <c r="J746" s="2">
        <v>0</v>
      </c>
      <c r="K746" s="2">
        <v>0</v>
      </c>
      <c r="L746" s="2">
        <v>0</v>
      </c>
      <c r="M746">
        <v>0</v>
      </c>
      <c r="N746">
        <v>0</v>
      </c>
      <c r="O746" s="2">
        <v>0</v>
      </c>
      <c r="P746" s="2">
        <v>0</v>
      </c>
      <c r="Q746">
        <v>0</v>
      </c>
      <c r="R746" s="2">
        <v>0</v>
      </c>
      <c r="S746" s="2">
        <v>0</v>
      </c>
      <c r="T746" t="s">
        <v>377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</row>
    <row r="747" spans="1:28" hidden="1" x14ac:dyDescent="0.25">
      <c r="A747" t="s">
        <v>47</v>
      </c>
      <c r="B747" t="s">
        <v>34</v>
      </c>
      <c r="C747" t="s">
        <v>212</v>
      </c>
      <c r="D747" s="9">
        <v>45854</v>
      </c>
      <c r="E747" s="9">
        <v>45854</v>
      </c>
      <c r="F747" s="2">
        <v>0</v>
      </c>
      <c r="G747" s="3" t="s">
        <v>129</v>
      </c>
      <c r="H747">
        <v>0</v>
      </c>
      <c r="I747" s="2">
        <v>0</v>
      </c>
      <c r="J747" s="2">
        <v>0</v>
      </c>
      <c r="K747" s="2">
        <v>0</v>
      </c>
      <c r="L747" s="2">
        <v>0</v>
      </c>
      <c r="M747">
        <v>0</v>
      </c>
      <c r="N747">
        <v>0</v>
      </c>
      <c r="O747" s="2">
        <v>0</v>
      </c>
      <c r="P747" s="2">
        <v>0</v>
      </c>
      <c r="Q747">
        <v>0</v>
      </c>
      <c r="R747" s="2">
        <v>0</v>
      </c>
      <c r="S747" s="2">
        <v>0</v>
      </c>
      <c r="T747" t="s">
        <v>377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</row>
    <row r="748" spans="1:28" hidden="1" x14ac:dyDescent="0.25">
      <c r="A748" t="s">
        <v>47</v>
      </c>
      <c r="B748" t="s">
        <v>52</v>
      </c>
      <c r="C748" t="s">
        <v>212</v>
      </c>
      <c r="D748" s="9">
        <v>45854</v>
      </c>
      <c r="E748" s="9">
        <v>45854</v>
      </c>
      <c r="F748" s="2">
        <v>0</v>
      </c>
      <c r="G748" s="3" t="s">
        <v>378</v>
      </c>
      <c r="H748">
        <v>0</v>
      </c>
      <c r="I748" s="2">
        <v>0</v>
      </c>
      <c r="J748" s="2">
        <v>0</v>
      </c>
      <c r="K748" s="2">
        <v>0</v>
      </c>
      <c r="L748" s="2">
        <v>0</v>
      </c>
      <c r="M748">
        <v>0</v>
      </c>
      <c r="N748">
        <v>0</v>
      </c>
      <c r="O748" s="2">
        <v>0</v>
      </c>
      <c r="P748" s="2">
        <v>0</v>
      </c>
      <c r="Q748">
        <v>0</v>
      </c>
      <c r="R748" s="2">
        <v>0</v>
      </c>
      <c r="S748" s="2">
        <v>0</v>
      </c>
      <c r="T748" t="s">
        <v>377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idden="1" x14ac:dyDescent="0.25">
      <c r="A749" t="s">
        <v>56</v>
      </c>
      <c r="B749" t="s">
        <v>47</v>
      </c>
      <c r="C749" t="s">
        <v>64</v>
      </c>
      <c r="D749" s="1">
        <v>45855</v>
      </c>
      <c r="E749" s="1">
        <v>45855</v>
      </c>
      <c r="F749" s="2">
        <v>36</v>
      </c>
      <c r="G749" s="3" t="s">
        <v>23</v>
      </c>
      <c r="H749">
        <v>30</v>
      </c>
      <c r="I749" s="2">
        <v>0</v>
      </c>
      <c r="J749" s="2">
        <v>0</v>
      </c>
      <c r="K749" s="2">
        <v>1</v>
      </c>
      <c r="L749" s="2">
        <v>0</v>
      </c>
      <c r="M749">
        <v>0</v>
      </c>
      <c r="N749">
        <v>0</v>
      </c>
      <c r="O749" s="2">
        <v>0</v>
      </c>
      <c r="P749" s="2">
        <v>0</v>
      </c>
      <c r="Q749">
        <v>0</v>
      </c>
      <c r="R749" s="2">
        <v>0</v>
      </c>
      <c r="S749" s="2">
        <v>0</v>
      </c>
      <c r="T749" t="s">
        <v>471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idden="1" x14ac:dyDescent="0.25">
      <c r="A750" t="s">
        <v>53</v>
      </c>
      <c r="B750" t="s">
        <v>47</v>
      </c>
      <c r="C750" t="s">
        <v>64</v>
      </c>
      <c r="D750" s="1">
        <v>45855</v>
      </c>
      <c r="E750" s="1">
        <v>45855</v>
      </c>
      <c r="F750" s="2">
        <v>36</v>
      </c>
      <c r="G750" s="3" t="s">
        <v>23</v>
      </c>
      <c r="H750">
        <v>30</v>
      </c>
      <c r="I750" s="2">
        <v>0</v>
      </c>
      <c r="J750" s="2">
        <v>0</v>
      </c>
      <c r="K750" s="2">
        <v>1</v>
      </c>
      <c r="L750" s="2">
        <v>0</v>
      </c>
      <c r="M750">
        <v>0</v>
      </c>
      <c r="N750">
        <v>0</v>
      </c>
      <c r="O750" s="2">
        <v>0</v>
      </c>
      <c r="P750" s="2">
        <v>0</v>
      </c>
      <c r="Q750">
        <v>0</v>
      </c>
      <c r="R750" s="2">
        <v>0</v>
      </c>
      <c r="S750" s="2">
        <v>0</v>
      </c>
      <c r="T750" t="s">
        <v>471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idden="1" x14ac:dyDescent="0.25">
      <c r="A751" t="s">
        <v>25</v>
      </c>
      <c r="B751" t="s">
        <v>26</v>
      </c>
      <c r="C751" t="s">
        <v>27</v>
      </c>
      <c r="D751" s="1">
        <v>45855</v>
      </c>
      <c r="E751" s="1">
        <v>45855</v>
      </c>
      <c r="F751" s="2">
        <v>26</v>
      </c>
      <c r="G751" s="3" t="s">
        <v>23</v>
      </c>
      <c r="H751">
        <v>34</v>
      </c>
      <c r="I751" s="2">
        <v>0</v>
      </c>
      <c r="J751" s="2">
        <v>0</v>
      </c>
      <c r="K751" s="2">
        <v>0</v>
      </c>
      <c r="L751" s="2">
        <v>1</v>
      </c>
      <c r="M751">
        <v>0</v>
      </c>
      <c r="N751">
        <v>0</v>
      </c>
      <c r="O751" s="2">
        <v>0</v>
      </c>
      <c r="P751" s="2">
        <v>0</v>
      </c>
      <c r="Q751">
        <v>0</v>
      </c>
      <c r="R751" s="2">
        <v>0</v>
      </c>
      <c r="S751" s="2">
        <v>0</v>
      </c>
      <c r="T751" t="s">
        <v>472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</row>
    <row r="752" spans="1:28" hidden="1" x14ac:dyDescent="0.25">
      <c r="A752" t="s">
        <v>37</v>
      </c>
      <c r="B752" t="s">
        <v>38</v>
      </c>
      <c r="C752" t="s">
        <v>39</v>
      </c>
      <c r="D752" s="1">
        <v>45855</v>
      </c>
      <c r="E752" s="1">
        <v>45855</v>
      </c>
      <c r="F752" s="2">
        <v>40</v>
      </c>
      <c r="G752" s="3" t="s">
        <v>23</v>
      </c>
      <c r="H752">
        <v>34</v>
      </c>
      <c r="I752" s="2">
        <v>0</v>
      </c>
      <c r="J752" s="2">
        <v>0</v>
      </c>
      <c r="K752" s="2">
        <v>1</v>
      </c>
      <c r="L752" s="2">
        <v>0</v>
      </c>
      <c r="M752">
        <v>1</v>
      </c>
      <c r="N752">
        <v>0</v>
      </c>
      <c r="O752" s="2">
        <v>0</v>
      </c>
      <c r="P752" s="2">
        <v>0</v>
      </c>
      <c r="Q752">
        <v>0</v>
      </c>
      <c r="R752" s="2">
        <v>0</v>
      </c>
      <c r="S752" s="2">
        <v>0</v>
      </c>
      <c r="T752" t="s">
        <v>473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</row>
    <row r="753" spans="1:28" hidden="1" x14ac:dyDescent="0.25">
      <c r="A753" t="s">
        <v>29</v>
      </c>
      <c r="B753" t="s">
        <v>30</v>
      </c>
      <c r="C753" t="s">
        <v>39</v>
      </c>
      <c r="D753" s="1">
        <v>45855</v>
      </c>
      <c r="E753" s="1">
        <v>45855</v>
      </c>
      <c r="F753" s="2">
        <v>40</v>
      </c>
      <c r="G753" s="3" t="s">
        <v>23</v>
      </c>
      <c r="H753">
        <v>24</v>
      </c>
      <c r="I753" s="2">
        <v>0</v>
      </c>
      <c r="J753" s="2">
        <v>0</v>
      </c>
      <c r="K753" s="2">
        <v>1</v>
      </c>
      <c r="L753" s="2">
        <v>0</v>
      </c>
      <c r="M753">
        <v>0</v>
      </c>
      <c r="N753">
        <v>0</v>
      </c>
      <c r="O753" s="2">
        <v>0</v>
      </c>
      <c r="P753" s="2">
        <v>0</v>
      </c>
      <c r="Q753">
        <v>0</v>
      </c>
      <c r="R753" s="2">
        <v>0</v>
      </c>
      <c r="S753" s="2">
        <v>0</v>
      </c>
      <c r="T753" t="s">
        <v>473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idden="1" x14ac:dyDescent="0.25">
      <c r="A754" t="s">
        <v>20</v>
      </c>
      <c r="B754" t="s">
        <v>47</v>
      </c>
      <c r="C754" t="s">
        <v>35</v>
      </c>
      <c r="D754" s="1">
        <v>45855</v>
      </c>
      <c r="E754" s="1">
        <v>45855</v>
      </c>
      <c r="F754" s="2">
        <v>110</v>
      </c>
      <c r="G754" s="3" t="s">
        <v>409</v>
      </c>
      <c r="H754">
        <v>0</v>
      </c>
      <c r="I754" s="2">
        <v>0</v>
      </c>
      <c r="J754" s="2">
        <v>0</v>
      </c>
      <c r="K754" s="2">
        <v>0</v>
      </c>
      <c r="L754" s="2">
        <v>0</v>
      </c>
      <c r="M754">
        <v>0</v>
      </c>
      <c r="N754">
        <v>0</v>
      </c>
      <c r="O754" s="2">
        <v>0</v>
      </c>
      <c r="P754" s="2">
        <v>0</v>
      </c>
      <c r="Q754">
        <v>0</v>
      </c>
      <c r="R754" s="2">
        <v>0</v>
      </c>
      <c r="S754" s="2">
        <v>0</v>
      </c>
      <c r="T754" t="s">
        <v>446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idden="1" x14ac:dyDescent="0.25">
      <c r="A755" t="s">
        <v>33</v>
      </c>
      <c r="B755" t="s">
        <v>57</v>
      </c>
      <c r="C755" t="s">
        <v>35</v>
      </c>
      <c r="D755" s="1">
        <v>45855</v>
      </c>
      <c r="E755" s="1">
        <v>45855</v>
      </c>
      <c r="F755" s="2">
        <v>110</v>
      </c>
      <c r="G755" s="3" t="s">
        <v>48</v>
      </c>
      <c r="H755">
        <v>0</v>
      </c>
      <c r="I755" s="2">
        <v>0</v>
      </c>
      <c r="J755" s="2">
        <v>0</v>
      </c>
      <c r="K755" s="2">
        <v>0</v>
      </c>
      <c r="L755" s="2">
        <v>0</v>
      </c>
      <c r="M755">
        <v>0</v>
      </c>
      <c r="N755">
        <v>0</v>
      </c>
      <c r="O755" s="2">
        <v>0</v>
      </c>
      <c r="P755" s="2">
        <v>0</v>
      </c>
      <c r="Q755">
        <v>0</v>
      </c>
      <c r="R755" s="2">
        <v>0</v>
      </c>
      <c r="S755" s="2">
        <v>0</v>
      </c>
      <c r="T755" t="s">
        <v>446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idden="1" x14ac:dyDescent="0.25">
      <c r="A756" t="s">
        <v>47</v>
      </c>
      <c r="B756" t="s">
        <v>21</v>
      </c>
      <c r="C756" t="s">
        <v>35</v>
      </c>
      <c r="D756" s="1">
        <v>45855</v>
      </c>
      <c r="E756" s="1">
        <v>45855</v>
      </c>
      <c r="F756" s="2">
        <v>110</v>
      </c>
      <c r="G756" s="3" t="s">
        <v>48</v>
      </c>
      <c r="H756">
        <v>0</v>
      </c>
      <c r="I756" s="2">
        <v>0</v>
      </c>
      <c r="J756" s="2">
        <v>0</v>
      </c>
      <c r="K756" s="2">
        <v>0</v>
      </c>
      <c r="L756" s="2">
        <v>0</v>
      </c>
      <c r="M756">
        <v>0</v>
      </c>
      <c r="N756">
        <v>0</v>
      </c>
      <c r="O756" s="2">
        <v>0</v>
      </c>
      <c r="P756" s="2">
        <v>0</v>
      </c>
      <c r="Q756">
        <v>0</v>
      </c>
      <c r="R756" s="2">
        <v>0</v>
      </c>
      <c r="S756" s="2">
        <v>0</v>
      </c>
      <c r="T756" t="s">
        <v>446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idden="1" x14ac:dyDescent="0.25">
      <c r="A757" t="s">
        <v>47</v>
      </c>
      <c r="B757" t="s">
        <v>34</v>
      </c>
      <c r="C757" t="s">
        <v>212</v>
      </c>
      <c r="D757" s="1">
        <v>45855</v>
      </c>
      <c r="E757" s="1">
        <v>45855</v>
      </c>
      <c r="F757" s="2">
        <v>0</v>
      </c>
      <c r="G757" s="3" t="s">
        <v>129</v>
      </c>
      <c r="H757">
        <v>0</v>
      </c>
      <c r="I757" s="2">
        <v>0</v>
      </c>
      <c r="J757" s="2">
        <v>0</v>
      </c>
      <c r="K757" s="2">
        <v>0</v>
      </c>
      <c r="L757" s="2">
        <v>0</v>
      </c>
      <c r="M757">
        <v>0</v>
      </c>
      <c r="N757">
        <v>0</v>
      </c>
      <c r="O757" s="2">
        <v>0</v>
      </c>
      <c r="P757" s="2">
        <v>0</v>
      </c>
      <c r="Q757">
        <v>0</v>
      </c>
      <c r="R757" s="2">
        <v>0</v>
      </c>
      <c r="S757" s="2">
        <v>0</v>
      </c>
      <c r="T757" t="s">
        <v>377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idden="1" x14ac:dyDescent="0.25">
      <c r="A758" t="s">
        <v>47</v>
      </c>
      <c r="B758" t="s">
        <v>52</v>
      </c>
      <c r="C758" t="s">
        <v>212</v>
      </c>
      <c r="D758" s="1">
        <v>45855</v>
      </c>
      <c r="E758" s="1">
        <v>45855</v>
      </c>
      <c r="F758" s="2">
        <v>0</v>
      </c>
      <c r="G758" s="3" t="s">
        <v>572</v>
      </c>
      <c r="H758">
        <v>0</v>
      </c>
      <c r="I758" s="2">
        <v>0</v>
      </c>
      <c r="J758" s="2">
        <v>0</v>
      </c>
      <c r="K758" s="2">
        <v>0</v>
      </c>
      <c r="L758" s="2">
        <v>0</v>
      </c>
      <c r="M758">
        <v>0</v>
      </c>
      <c r="N758">
        <v>0</v>
      </c>
      <c r="O758" s="2">
        <v>0</v>
      </c>
      <c r="P758" s="2">
        <v>0</v>
      </c>
      <c r="Q758">
        <v>0</v>
      </c>
      <c r="R758" s="2">
        <v>0</v>
      </c>
      <c r="S758" s="2">
        <v>0</v>
      </c>
      <c r="T758" t="s">
        <v>377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idden="1" x14ac:dyDescent="0.25">
      <c r="A759" t="s">
        <v>20</v>
      </c>
      <c r="B759" t="s">
        <v>21</v>
      </c>
      <c r="C759" t="s">
        <v>22</v>
      </c>
      <c r="D759" s="1">
        <v>45856</v>
      </c>
      <c r="E759" s="1">
        <v>45856</v>
      </c>
      <c r="F759" s="2">
        <v>88</v>
      </c>
      <c r="G759" s="3" t="s">
        <v>23</v>
      </c>
      <c r="H759">
        <v>28</v>
      </c>
      <c r="I759" s="2">
        <v>0</v>
      </c>
      <c r="J759" s="2">
        <v>1</v>
      </c>
      <c r="K759" s="2">
        <v>1</v>
      </c>
      <c r="L759" s="2">
        <v>0</v>
      </c>
      <c r="M759">
        <v>0</v>
      </c>
      <c r="N759">
        <v>0</v>
      </c>
      <c r="O759" s="2">
        <v>0</v>
      </c>
      <c r="P759" s="2">
        <v>0</v>
      </c>
      <c r="Q759">
        <v>0</v>
      </c>
      <c r="R759" s="2">
        <v>0</v>
      </c>
      <c r="S759" s="2">
        <v>0</v>
      </c>
      <c r="T759" t="s">
        <v>474</v>
      </c>
      <c r="U759" s="2">
        <v>0</v>
      </c>
      <c r="V759" s="2">
        <v>66</v>
      </c>
      <c r="W759" s="2">
        <v>10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idden="1" x14ac:dyDescent="0.25">
      <c r="A760" t="s">
        <v>25</v>
      </c>
      <c r="B760" t="s">
        <v>26</v>
      </c>
      <c r="C760" t="s">
        <v>27</v>
      </c>
      <c r="D760" s="1">
        <v>45856</v>
      </c>
      <c r="E760" s="1">
        <v>45856</v>
      </c>
      <c r="F760" s="2">
        <v>26</v>
      </c>
      <c r="G760" s="3" t="s">
        <v>23</v>
      </c>
      <c r="H760">
        <v>37</v>
      </c>
      <c r="I760" s="2">
        <v>0</v>
      </c>
      <c r="J760" s="2">
        <v>0</v>
      </c>
      <c r="K760" s="2">
        <v>0</v>
      </c>
      <c r="L760" s="2">
        <v>1</v>
      </c>
      <c r="M760">
        <v>0</v>
      </c>
      <c r="N760">
        <v>0</v>
      </c>
      <c r="O760" s="2">
        <v>0</v>
      </c>
      <c r="P760" s="2">
        <v>0</v>
      </c>
      <c r="Q760">
        <v>0</v>
      </c>
      <c r="R760" s="2">
        <v>0</v>
      </c>
      <c r="S760" s="2">
        <v>0</v>
      </c>
      <c r="T760" t="s">
        <v>475</v>
      </c>
      <c r="U760" s="2">
        <v>0</v>
      </c>
      <c r="V760" s="2">
        <v>44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</row>
    <row r="761" spans="1:28" hidden="1" x14ac:dyDescent="0.25">
      <c r="A761" t="s">
        <v>33</v>
      </c>
      <c r="B761" t="s">
        <v>57</v>
      </c>
      <c r="C761" t="s">
        <v>35</v>
      </c>
      <c r="D761" s="1">
        <v>45856</v>
      </c>
      <c r="E761" s="1">
        <v>45856</v>
      </c>
      <c r="F761" s="2">
        <v>23</v>
      </c>
      <c r="G761" s="3" t="s">
        <v>23</v>
      </c>
      <c r="H761">
        <v>20</v>
      </c>
      <c r="I761" s="2">
        <v>0</v>
      </c>
      <c r="J761" s="2">
        <v>0</v>
      </c>
      <c r="K761" s="2">
        <v>1</v>
      </c>
      <c r="L761" s="2">
        <v>0</v>
      </c>
      <c r="M761">
        <v>0</v>
      </c>
      <c r="N761">
        <v>0</v>
      </c>
      <c r="O761" s="2">
        <v>0</v>
      </c>
      <c r="P761" s="2">
        <v>0</v>
      </c>
      <c r="Q761">
        <v>0</v>
      </c>
      <c r="R761" s="2">
        <v>0</v>
      </c>
      <c r="S761" s="2">
        <v>0</v>
      </c>
      <c r="T761" t="s">
        <v>476</v>
      </c>
      <c r="U761" s="2">
        <v>0</v>
      </c>
      <c r="V761" s="2">
        <v>60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</row>
    <row r="762" spans="1:28" hidden="1" x14ac:dyDescent="0.25">
      <c r="A762" t="s">
        <v>37</v>
      </c>
      <c r="B762" t="s">
        <v>38</v>
      </c>
      <c r="C762" t="s">
        <v>39</v>
      </c>
      <c r="D762" s="1">
        <v>45856</v>
      </c>
      <c r="E762" s="1">
        <v>45856</v>
      </c>
      <c r="F762" s="2">
        <v>17</v>
      </c>
      <c r="G762" s="3" t="s">
        <v>23</v>
      </c>
      <c r="H762">
        <v>22</v>
      </c>
      <c r="I762" s="2">
        <v>0</v>
      </c>
      <c r="J762" s="2">
        <v>0</v>
      </c>
      <c r="K762" s="2">
        <v>1</v>
      </c>
      <c r="L762" s="2">
        <v>0</v>
      </c>
      <c r="M762">
        <v>0</v>
      </c>
      <c r="N762">
        <v>0</v>
      </c>
      <c r="O762" s="2">
        <v>0</v>
      </c>
      <c r="P762" s="2">
        <v>0</v>
      </c>
      <c r="Q762">
        <v>0</v>
      </c>
      <c r="R762" s="2">
        <v>0</v>
      </c>
      <c r="S762" s="2">
        <v>0</v>
      </c>
      <c r="T762" t="s">
        <v>477</v>
      </c>
      <c r="U762" s="2">
        <v>0</v>
      </c>
      <c r="V762" s="2">
        <v>66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idden="1" x14ac:dyDescent="0.25">
      <c r="A763" t="s">
        <v>29</v>
      </c>
      <c r="B763" t="s">
        <v>30</v>
      </c>
      <c r="C763" t="s">
        <v>39</v>
      </c>
      <c r="D763" s="1">
        <v>45856</v>
      </c>
      <c r="E763" s="1">
        <v>45856</v>
      </c>
      <c r="F763" s="2">
        <v>17</v>
      </c>
      <c r="G763" s="3" t="s">
        <v>23</v>
      </c>
      <c r="H763">
        <v>16</v>
      </c>
      <c r="I763" s="2">
        <v>0</v>
      </c>
      <c r="J763" s="2">
        <v>0</v>
      </c>
      <c r="K763" s="2">
        <v>1</v>
      </c>
      <c r="L763" s="2">
        <v>0</v>
      </c>
      <c r="M763">
        <v>0</v>
      </c>
      <c r="N763">
        <v>1</v>
      </c>
      <c r="O763" s="2">
        <v>0</v>
      </c>
      <c r="P763" s="2">
        <v>0</v>
      </c>
      <c r="Q763">
        <v>0</v>
      </c>
      <c r="R763" s="2">
        <v>0</v>
      </c>
      <c r="S763" s="2">
        <v>0</v>
      </c>
      <c r="T763" t="s">
        <v>477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1</v>
      </c>
      <c r="AA763" s="2">
        <v>0</v>
      </c>
      <c r="AB763" s="2">
        <v>0</v>
      </c>
    </row>
    <row r="764" spans="1:28" hidden="1" x14ac:dyDescent="0.25">
      <c r="A764" t="s">
        <v>56</v>
      </c>
      <c r="B764" t="s">
        <v>47</v>
      </c>
      <c r="C764" t="s">
        <v>35</v>
      </c>
      <c r="D764" s="1">
        <v>45856</v>
      </c>
      <c r="E764" s="1">
        <v>45856</v>
      </c>
      <c r="F764" s="2">
        <v>110</v>
      </c>
      <c r="G764" s="3" t="s">
        <v>48</v>
      </c>
      <c r="H764">
        <v>0</v>
      </c>
      <c r="I764" s="2">
        <v>0</v>
      </c>
      <c r="J764" s="2">
        <v>0</v>
      </c>
      <c r="K764" s="2">
        <v>0</v>
      </c>
      <c r="L764" s="2">
        <v>0</v>
      </c>
      <c r="M764">
        <v>0</v>
      </c>
      <c r="N764">
        <v>0</v>
      </c>
      <c r="O764" s="2">
        <v>0</v>
      </c>
      <c r="P764" s="2">
        <v>0</v>
      </c>
      <c r="Q764">
        <v>0</v>
      </c>
      <c r="R764" s="2">
        <v>0</v>
      </c>
      <c r="S764" s="2">
        <v>0</v>
      </c>
      <c r="T764" t="s">
        <v>446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</row>
    <row r="765" spans="1:28" hidden="1" x14ac:dyDescent="0.25">
      <c r="A765" t="s">
        <v>53</v>
      </c>
      <c r="B765" t="s">
        <v>47</v>
      </c>
      <c r="C765" t="s">
        <v>35</v>
      </c>
      <c r="D765" s="1">
        <v>45856</v>
      </c>
      <c r="E765" s="1">
        <v>45856</v>
      </c>
      <c r="F765" s="2">
        <v>110</v>
      </c>
      <c r="G765" s="3" t="s">
        <v>572</v>
      </c>
      <c r="H765">
        <v>0</v>
      </c>
      <c r="I765" s="2">
        <v>0</v>
      </c>
      <c r="J765" s="2">
        <v>0</v>
      </c>
      <c r="K765" s="2">
        <v>0</v>
      </c>
      <c r="L765" s="2">
        <v>0</v>
      </c>
      <c r="M765">
        <v>0</v>
      </c>
      <c r="N765">
        <v>0</v>
      </c>
      <c r="O765" s="2">
        <v>0</v>
      </c>
      <c r="P765" s="2">
        <v>0</v>
      </c>
      <c r="Q765">
        <v>0</v>
      </c>
      <c r="R765" s="2">
        <v>0</v>
      </c>
      <c r="S765" s="2">
        <v>0</v>
      </c>
      <c r="T765" t="s">
        <v>446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</row>
    <row r="766" spans="1:28" hidden="1" x14ac:dyDescent="0.25">
      <c r="A766" t="s">
        <v>47</v>
      </c>
      <c r="B766" t="s">
        <v>34</v>
      </c>
      <c r="C766" t="s">
        <v>212</v>
      </c>
      <c r="D766" s="1">
        <v>45856</v>
      </c>
      <c r="E766" s="1">
        <v>45856</v>
      </c>
      <c r="F766" s="2">
        <v>0</v>
      </c>
      <c r="G766" s="3" t="s">
        <v>129</v>
      </c>
      <c r="H766">
        <v>0</v>
      </c>
      <c r="I766" s="2">
        <v>0</v>
      </c>
      <c r="J766" s="2">
        <v>0</v>
      </c>
      <c r="K766" s="2">
        <v>0</v>
      </c>
      <c r="L766" s="2">
        <v>0</v>
      </c>
      <c r="M766">
        <v>0</v>
      </c>
      <c r="N766">
        <v>0</v>
      </c>
      <c r="O766" s="2">
        <v>0</v>
      </c>
      <c r="P766" s="2">
        <v>0</v>
      </c>
      <c r="Q766">
        <v>0</v>
      </c>
      <c r="R766" s="2">
        <v>0</v>
      </c>
      <c r="S766" s="2">
        <v>0</v>
      </c>
      <c r="T766" t="s">
        <v>377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idden="1" x14ac:dyDescent="0.25">
      <c r="A767" t="s">
        <v>47</v>
      </c>
      <c r="B767" t="s">
        <v>52</v>
      </c>
      <c r="C767" t="s">
        <v>212</v>
      </c>
      <c r="D767" s="1">
        <v>45856</v>
      </c>
      <c r="E767" s="1">
        <v>45856</v>
      </c>
      <c r="F767" s="2">
        <v>0</v>
      </c>
      <c r="G767" s="3" t="s">
        <v>572</v>
      </c>
      <c r="H767">
        <v>0</v>
      </c>
      <c r="I767" s="2">
        <v>0</v>
      </c>
      <c r="J767" s="2">
        <v>0</v>
      </c>
      <c r="K767" s="2">
        <v>0</v>
      </c>
      <c r="L767" s="2">
        <v>0</v>
      </c>
      <c r="M767">
        <v>0</v>
      </c>
      <c r="N767">
        <v>0</v>
      </c>
      <c r="O767" s="2">
        <v>0</v>
      </c>
      <c r="P767" s="2">
        <v>0</v>
      </c>
      <c r="Q767">
        <v>0</v>
      </c>
      <c r="R767" s="2">
        <v>0</v>
      </c>
      <c r="S767" s="2">
        <v>0</v>
      </c>
      <c r="T767" t="s">
        <v>377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</row>
    <row r="768" spans="1:28" hidden="1" x14ac:dyDescent="0.25">
      <c r="A768" t="s">
        <v>56</v>
      </c>
      <c r="B768" t="s">
        <v>21</v>
      </c>
      <c r="C768" t="s">
        <v>64</v>
      </c>
      <c r="D768" s="9">
        <v>45857</v>
      </c>
      <c r="E768" s="9">
        <v>45857</v>
      </c>
      <c r="F768" s="2">
        <v>35</v>
      </c>
      <c r="G768" s="3" t="s">
        <v>23</v>
      </c>
      <c r="H768">
        <v>0</v>
      </c>
      <c r="I768" s="2">
        <v>0</v>
      </c>
      <c r="J768" s="2">
        <v>0</v>
      </c>
      <c r="K768" s="2">
        <v>0</v>
      </c>
      <c r="L768" s="2">
        <v>0</v>
      </c>
      <c r="M768">
        <v>0</v>
      </c>
      <c r="N768">
        <v>0</v>
      </c>
      <c r="O768" s="2">
        <v>1</v>
      </c>
      <c r="P768" s="2">
        <v>0</v>
      </c>
      <c r="Q768">
        <v>0</v>
      </c>
      <c r="R768" s="2">
        <v>1</v>
      </c>
      <c r="S768" s="2">
        <v>0</v>
      </c>
      <c r="T768" t="s">
        <v>478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idden="1" x14ac:dyDescent="0.25">
      <c r="A769" t="s">
        <v>25</v>
      </c>
      <c r="B769" t="s">
        <v>26</v>
      </c>
      <c r="C769" t="s">
        <v>27</v>
      </c>
      <c r="D769" s="9">
        <v>45857</v>
      </c>
      <c r="E769" s="9">
        <v>45857</v>
      </c>
      <c r="F769" s="2">
        <v>24</v>
      </c>
      <c r="G769" s="3" t="s">
        <v>23</v>
      </c>
      <c r="H769">
        <v>0</v>
      </c>
      <c r="I769" s="2">
        <v>0</v>
      </c>
      <c r="J769" s="2">
        <v>0</v>
      </c>
      <c r="K769" s="2">
        <v>0</v>
      </c>
      <c r="L769" s="2">
        <v>0</v>
      </c>
      <c r="M769">
        <v>0</v>
      </c>
      <c r="N769">
        <v>0</v>
      </c>
      <c r="O769" s="2">
        <v>1</v>
      </c>
      <c r="P769" s="2">
        <v>0</v>
      </c>
      <c r="Q769">
        <v>0</v>
      </c>
      <c r="R769" s="2">
        <v>1</v>
      </c>
      <c r="S769" s="2">
        <v>0</v>
      </c>
      <c r="T769" t="s">
        <v>479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idden="1" x14ac:dyDescent="0.25">
      <c r="A770" t="s">
        <v>33</v>
      </c>
      <c r="B770" t="s">
        <v>57</v>
      </c>
      <c r="C770" t="s">
        <v>35</v>
      </c>
      <c r="D770" s="9">
        <v>45857</v>
      </c>
      <c r="E770" s="9">
        <v>45857</v>
      </c>
      <c r="F770" s="2">
        <v>39</v>
      </c>
      <c r="G770" s="3" t="s">
        <v>23</v>
      </c>
      <c r="H770">
        <v>0</v>
      </c>
      <c r="I770" s="2">
        <v>0</v>
      </c>
      <c r="J770" s="2">
        <v>0</v>
      </c>
      <c r="K770" s="2">
        <v>0</v>
      </c>
      <c r="L770" s="2">
        <v>0</v>
      </c>
      <c r="M770">
        <v>0</v>
      </c>
      <c r="N770">
        <v>0</v>
      </c>
      <c r="O770" s="2">
        <v>1</v>
      </c>
      <c r="P770" s="2">
        <v>0</v>
      </c>
      <c r="Q770">
        <v>0</v>
      </c>
      <c r="R770" s="2">
        <v>1</v>
      </c>
      <c r="S770" s="2">
        <v>0</v>
      </c>
      <c r="T770" t="s">
        <v>480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</row>
    <row r="771" spans="1:28" hidden="1" x14ac:dyDescent="0.25">
      <c r="A771" t="s">
        <v>37</v>
      </c>
      <c r="B771" t="s">
        <v>38</v>
      </c>
      <c r="C771" t="s">
        <v>39</v>
      </c>
      <c r="D771" s="9">
        <v>45857</v>
      </c>
      <c r="E771" s="9">
        <v>45857</v>
      </c>
      <c r="F771" s="2">
        <v>55</v>
      </c>
      <c r="G771" s="3" t="s">
        <v>23</v>
      </c>
      <c r="H771">
        <v>0</v>
      </c>
      <c r="I771" s="2">
        <v>0</v>
      </c>
      <c r="J771" s="2">
        <v>0</v>
      </c>
      <c r="K771" s="2">
        <v>0</v>
      </c>
      <c r="L771" s="2">
        <v>0</v>
      </c>
      <c r="M771">
        <v>0</v>
      </c>
      <c r="N771">
        <v>0</v>
      </c>
      <c r="O771" s="2">
        <v>0</v>
      </c>
      <c r="P771" s="2">
        <v>0</v>
      </c>
      <c r="Q771">
        <v>6</v>
      </c>
      <c r="R771" s="2">
        <v>1</v>
      </c>
      <c r="S771" s="2">
        <v>0</v>
      </c>
      <c r="T771" t="s">
        <v>481</v>
      </c>
      <c r="U771" s="2">
        <v>22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1</v>
      </c>
      <c r="AB771" s="2">
        <v>0</v>
      </c>
    </row>
    <row r="772" spans="1:28" hidden="1" x14ac:dyDescent="0.25">
      <c r="A772" t="s">
        <v>20</v>
      </c>
      <c r="B772" t="s">
        <v>47</v>
      </c>
      <c r="C772" t="s">
        <v>35</v>
      </c>
      <c r="D772" s="9">
        <v>45857</v>
      </c>
      <c r="E772" s="9">
        <v>45857</v>
      </c>
      <c r="F772" s="2">
        <v>110</v>
      </c>
      <c r="G772" s="3" t="s">
        <v>378</v>
      </c>
      <c r="H772">
        <v>0</v>
      </c>
      <c r="I772" s="2">
        <v>0</v>
      </c>
      <c r="J772" s="2">
        <v>0</v>
      </c>
      <c r="K772" s="2">
        <v>0</v>
      </c>
      <c r="L772" s="2">
        <v>0</v>
      </c>
      <c r="M772">
        <v>0</v>
      </c>
      <c r="N772">
        <v>0</v>
      </c>
      <c r="O772" s="2">
        <v>0</v>
      </c>
      <c r="P772" s="2">
        <v>0</v>
      </c>
      <c r="Q772">
        <v>0</v>
      </c>
      <c r="R772" s="2">
        <v>0</v>
      </c>
      <c r="S772" s="2">
        <v>0</v>
      </c>
      <c r="T772" t="s">
        <v>446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idden="1" x14ac:dyDescent="0.25">
      <c r="A773" t="s">
        <v>29</v>
      </c>
      <c r="B773" t="s">
        <v>30</v>
      </c>
      <c r="C773" t="s">
        <v>35</v>
      </c>
      <c r="D773" s="9">
        <v>45857</v>
      </c>
      <c r="E773" s="9">
        <v>45857</v>
      </c>
      <c r="F773" s="2">
        <v>110</v>
      </c>
      <c r="G773" s="3" t="s">
        <v>378</v>
      </c>
      <c r="H773">
        <v>0</v>
      </c>
      <c r="I773" s="2">
        <v>0</v>
      </c>
      <c r="J773" s="2">
        <v>0</v>
      </c>
      <c r="K773" s="2">
        <v>0</v>
      </c>
      <c r="L773" s="2">
        <v>0</v>
      </c>
      <c r="M773">
        <v>0</v>
      </c>
      <c r="N773">
        <v>0</v>
      </c>
      <c r="O773" s="2">
        <v>0</v>
      </c>
      <c r="P773" s="2">
        <v>0</v>
      </c>
      <c r="Q773">
        <v>0</v>
      </c>
      <c r="R773" s="2">
        <v>0</v>
      </c>
      <c r="S773" s="2">
        <v>0</v>
      </c>
      <c r="T773" t="s">
        <v>446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</row>
    <row r="774" spans="1:28" hidden="1" x14ac:dyDescent="0.25">
      <c r="A774" t="s">
        <v>53</v>
      </c>
      <c r="B774" t="s">
        <v>47</v>
      </c>
      <c r="C774" t="s">
        <v>35</v>
      </c>
      <c r="D774" s="9">
        <v>45857</v>
      </c>
      <c r="E774" s="9">
        <v>45857</v>
      </c>
      <c r="F774" s="2">
        <v>110</v>
      </c>
      <c r="G774" s="3" t="s">
        <v>378</v>
      </c>
      <c r="H774">
        <v>0</v>
      </c>
      <c r="I774" s="2">
        <v>0</v>
      </c>
      <c r="J774" s="2">
        <v>0</v>
      </c>
      <c r="K774" s="2">
        <v>0</v>
      </c>
      <c r="L774" s="2">
        <v>0</v>
      </c>
      <c r="M774">
        <v>0</v>
      </c>
      <c r="N774">
        <v>0</v>
      </c>
      <c r="O774" s="2">
        <v>0</v>
      </c>
      <c r="P774" s="2">
        <v>0</v>
      </c>
      <c r="Q774">
        <v>0</v>
      </c>
      <c r="R774" s="2">
        <v>0</v>
      </c>
      <c r="S774" s="2">
        <v>0</v>
      </c>
      <c r="T774" t="s">
        <v>446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idden="1" x14ac:dyDescent="0.25">
      <c r="A775" t="s">
        <v>47</v>
      </c>
      <c r="B775" t="s">
        <v>34</v>
      </c>
      <c r="C775" t="s">
        <v>212</v>
      </c>
      <c r="D775" s="9">
        <v>45857</v>
      </c>
      <c r="E775" s="9">
        <v>45857</v>
      </c>
      <c r="F775" s="2">
        <v>0</v>
      </c>
      <c r="G775" s="3" t="s">
        <v>129</v>
      </c>
      <c r="H775">
        <v>0</v>
      </c>
      <c r="I775" s="2">
        <v>0</v>
      </c>
      <c r="J775" s="2">
        <v>0</v>
      </c>
      <c r="K775" s="2">
        <v>0</v>
      </c>
      <c r="L775" s="2">
        <v>0</v>
      </c>
      <c r="M775">
        <v>0</v>
      </c>
      <c r="N775">
        <v>0</v>
      </c>
      <c r="O775" s="2">
        <v>0</v>
      </c>
      <c r="P775" s="2">
        <v>0</v>
      </c>
      <c r="Q775">
        <v>0</v>
      </c>
      <c r="R775" s="2">
        <v>0</v>
      </c>
      <c r="S775" s="2">
        <v>0</v>
      </c>
      <c r="T775" t="s">
        <v>377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idden="1" x14ac:dyDescent="0.25">
      <c r="A776" t="s">
        <v>47</v>
      </c>
      <c r="B776" t="s">
        <v>52</v>
      </c>
      <c r="C776" t="s">
        <v>212</v>
      </c>
      <c r="D776" s="9">
        <v>45857</v>
      </c>
      <c r="E776" s="9">
        <v>45857</v>
      </c>
      <c r="F776" s="2">
        <v>0</v>
      </c>
      <c r="G776" s="3" t="s">
        <v>378</v>
      </c>
      <c r="H776">
        <v>0</v>
      </c>
      <c r="I776" s="2">
        <v>0</v>
      </c>
      <c r="J776" s="2">
        <v>0</v>
      </c>
      <c r="K776" s="2">
        <v>0</v>
      </c>
      <c r="L776" s="2">
        <v>0</v>
      </c>
      <c r="M776">
        <v>0</v>
      </c>
      <c r="N776">
        <v>0</v>
      </c>
      <c r="O776" s="2">
        <v>0</v>
      </c>
      <c r="P776" s="2">
        <v>0</v>
      </c>
      <c r="Q776">
        <v>0</v>
      </c>
      <c r="R776" s="2">
        <v>0</v>
      </c>
      <c r="S776" s="2">
        <v>0</v>
      </c>
      <c r="T776" t="s">
        <v>377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</row>
    <row r="777" spans="1:28" hidden="1" x14ac:dyDescent="0.25">
      <c r="A777" t="s">
        <v>56</v>
      </c>
      <c r="B777" t="s">
        <v>21</v>
      </c>
      <c r="C777" t="s">
        <v>64</v>
      </c>
      <c r="D777" s="9">
        <v>45858</v>
      </c>
      <c r="E777" s="9">
        <v>45858</v>
      </c>
      <c r="F777" s="2">
        <v>39</v>
      </c>
      <c r="G777" s="3" t="s">
        <v>23</v>
      </c>
      <c r="H777">
        <v>0</v>
      </c>
      <c r="I777" s="2">
        <v>0</v>
      </c>
      <c r="J777" s="2">
        <v>0</v>
      </c>
      <c r="K777" s="2">
        <v>0</v>
      </c>
      <c r="L777" s="2">
        <v>0</v>
      </c>
      <c r="M777">
        <v>0</v>
      </c>
      <c r="N777">
        <v>0</v>
      </c>
      <c r="O777" s="2">
        <v>0</v>
      </c>
      <c r="P777" s="2">
        <v>1</v>
      </c>
      <c r="Q777">
        <v>0</v>
      </c>
      <c r="R777" s="2">
        <v>0</v>
      </c>
      <c r="S777" s="2">
        <v>1</v>
      </c>
      <c r="T777" t="s">
        <v>482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idden="1" x14ac:dyDescent="0.25">
      <c r="A778" t="s">
        <v>33</v>
      </c>
      <c r="B778" t="s">
        <v>57</v>
      </c>
      <c r="C778" t="s">
        <v>35</v>
      </c>
      <c r="D778" s="9">
        <v>45858</v>
      </c>
      <c r="E778" s="9">
        <v>45858</v>
      </c>
      <c r="F778" s="2">
        <v>33</v>
      </c>
      <c r="G778" s="3" t="s">
        <v>23</v>
      </c>
      <c r="H778">
        <v>0</v>
      </c>
      <c r="I778" s="2">
        <v>0</v>
      </c>
      <c r="J778" s="2">
        <v>0</v>
      </c>
      <c r="K778" s="2">
        <v>0</v>
      </c>
      <c r="L778" s="2">
        <v>0</v>
      </c>
      <c r="M778">
        <v>0</v>
      </c>
      <c r="N778">
        <v>0</v>
      </c>
      <c r="O778" s="2">
        <v>0</v>
      </c>
      <c r="P778" s="2">
        <v>1</v>
      </c>
      <c r="Q778">
        <v>0</v>
      </c>
      <c r="R778" s="2">
        <v>0</v>
      </c>
      <c r="S778" s="2">
        <v>1</v>
      </c>
      <c r="T778" t="s">
        <v>483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idden="1" x14ac:dyDescent="0.25">
      <c r="A779" t="s">
        <v>37</v>
      </c>
      <c r="B779" t="s">
        <v>38</v>
      </c>
      <c r="C779" t="s">
        <v>39</v>
      </c>
      <c r="D779" s="9">
        <v>45858</v>
      </c>
      <c r="E779" s="9">
        <v>45858</v>
      </c>
      <c r="F779" s="2">
        <v>26</v>
      </c>
      <c r="G779" s="3" t="s">
        <v>23</v>
      </c>
      <c r="H779">
        <v>0</v>
      </c>
      <c r="I779" s="2">
        <v>0</v>
      </c>
      <c r="J779" s="2">
        <v>0</v>
      </c>
      <c r="K779" s="2">
        <v>0</v>
      </c>
      <c r="L779" s="2">
        <v>0</v>
      </c>
      <c r="M779">
        <v>0</v>
      </c>
      <c r="N779">
        <v>0</v>
      </c>
      <c r="O779" s="2">
        <v>0</v>
      </c>
      <c r="P779" s="2">
        <v>1</v>
      </c>
      <c r="Q779">
        <v>0</v>
      </c>
      <c r="R779" s="2">
        <v>0</v>
      </c>
      <c r="S779" s="2">
        <v>1</v>
      </c>
      <c r="T779" t="s">
        <v>484</v>
      </c>
      <c r="U779" s="2">
        <v>16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</row>
    <row r="780" spans="1:28" hidden="1" x14ac:dyDescent="0.25">
      <c r="A780" t="s">
        <v>25</v>
      </c>
      <c r="B780" t="s">
        <v>26</v>
      </c>
      <c r="C780" t="s">
        <v>27</v>
      </c>
      <c r="D780" s="9">
        <v>45858</v>
      </c>
      <c r="E780" s="9">
        <v>45858</v>
      </c>
      <c r="F780" s="2">
        <v>24</v>
      </c>
      <c r="G780" s="3" t="s">
        <v>23</v>
      </c>
      <c r="H780">
        <v>0</v>
      </c>
      <c r="I780" s="2">
        <v>0</v>
      </c>
      <c r="J780" s="2">
        <v>0</v>
      </c>
      <c r="K780" s="2">
        <v>0</v>
      </c>
      <c r="L780" s="2">
        <v>0</v>
      </c>
      <c r="M780">
        <v>0</v>
      </c>
      <c r="N780">
        <v>0</v>
      </c>
      <c r="O780" s="2">
        <v>0</v>
      </c>
      <c r="P780" s="2">
        <v>0</v>
      </c>
      <c r="Q780">
        <v>6</v>
      </c>
      <c r="R780" s="2">
        <v>0</v>
      </c>
      <c r="S780" s="2">
        <v>1</v>
      </c>
      <c r="T780" t="s">
        <v>479</v>
      </c>
      <c r="U780" s="2">
        <v>11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1</v>
      </c>
    </row>
    <row r="781" spans="1:28" hidden="1" x14ac:dyDescent="0.25">
      <c r="A781" t="s">
        <v>20</v>
      </c>
      <c r="B781" t="s">
        <v>47</v>
      </c>
      <c r="C781" t="s">
        <v>35</v>
      </c>
      <c r="D781" s="9">
        <v>45858</v>
      </c>
      <c r="E781" s="9">
        <v>45858</v>
      </c>
      <c r="F781" s="2">
        <v>110</v>
      </c>
      <c r="G781" s="3" t="s">
        <v>378</v>
      </c>
      <c r="H781">
        <v>0</v>
      </c>
      <c r="I781" s="2">
        <v>0</v>
      </c>
      <c r="J781" s="2">
        <v>0</v>
      </c>
      <c r="K781" s="2">
        <v>0</v>
      </c>
      <c r="L781" s="2">
        <v>0</v>
      </c>
      <c r="M781">
        <v>0</v>
      </c>
      <c r="N781">
        <v>0</v>
      </c>
      <c r="O781" s="2">
        <v>0</v>
      </c>
      <c r="P781" s="2">
        <v>0</v>
      </c>
      <c r="Q781">
        <v>0</v>
      </c>
      <c r="R781" s="2">
        <v>0</v>
      </c>
      <c r="S781" s="2">
        <v>0</v>
      </c>
      <c r="T781" t="s">
        <v>446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</row>
    <row r="782" spans="1:28" hidden="1" x14ac:dyDescent="0.25">
      <c r="A782" t="s">
        <v>29</v>
      </c>
      <c r="B782" t="s">
        <v>30</v>
      </c>
      <c r="C782" t="s">
        <v>35</v>
      </c>
      <c r="D782" s="9">
        <v>45858</v>
      </c>
      <c r="E782" s="9">
        <v>45858</v>
      </c>
      <c r="F782" s="2">
        <v>110</v>
      </c>
      <c r="G782" s="3" t="s">
        <v>378</v>
      </c>
      <c r="H782">
        <v>0</v>
      </c>
      <c r="I782" s="2">
        <v>0</v>
      </c>
      <c r="J782" s="2">
        <v>0</v>
      </c>
      <c r="K782" s="2">
        <v>0</v>
      </c>
      <c r="L782" s="2">
        <v>0</v>
      </c>
      <c r="M782">
        <v>0</v>
      </c>
      <c r="N782">
        <v>0</v>
      </c>
      <c r="O782" s="2">
        <v>0</v>
      </c>
      <c r="P782" s="2">
        <v>0</v>
      </c>
      <c r="Q782">
        <v>0</v>
      </c>
      <c r="R782" s="2">
        <v>0</v>
      </c>
      <c r="S782" s="2">
        <v>0</v>
      </c>
      <c r="T782" t="s">
        <v>446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idden="1" x14ac:dyDescent="0.25">
      <c r="A783" t="s">
        <v>53</v>
      </c>
      <c r="B783" t="s">
        <v>47</v>
      </c>
      <c r="C783" t="s">
        <v>35</v>
      </c>
      <c r="D783" s="9">
        <v>45858</v>
      </c>
      <c r="E783" s="9">
        <v>45858</v>
      </c>
      <c r="F783" s="2">
        <v>110</v>
      </c>
      <c r="G783" s="3" t="s">
        <v>378</v>
      </c>
      <c r="H783">
        <v>0</v>
      </c>
      <c r="I783" s="2">
        <v>0</v>
      </c>
      <c r="J783" s="2">
        <v>0</v>
      </c>
      <c r="K783" s="2">
        <v>0</v>
      </c>
      <c r="L783" s="2">
        <v>0</v>
      </c>
      <c r="M783">
        <v>0</v>
      </c>
      <c r="N783">
        <v>0</v>
      </c>
      <c r="O783" s="2">
        <v>0</v>
      </c>
      <c r="P783" s="2">
        <v>0</v>
      </c>
      <c r="Q783">
        <v>0</v>
      </c>
      <c r="R783" s="2">
        <v>0</v>
      </c>
      <c r="S783" s="2">
        <v>0</v>
      </c>
      <c r="T783" t="s">
        <v>446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</row>
    <row r="784" spans="1:28" hidden="1" x14ac:dyDescent="0.25">
      <c r="A784" t="s">
        <v>47</v>
      </c>
      <c r="B784" t="s">
        <v>34</v>
      </c>
      <c r="C784" t="s">
        <v>212</v>
      </c>
      <c r="D784" s="9">
        <v>45858</v>
      </c>
      <c r="E784" s="9">
        <v>45858</v>
      </c>
      <c r="F784" s="2">
        <v>0</v>
      </c>
      <c r="G784" s="3" t="s">
        <v>129</v>
      </c>
      <c r="H784">
        <v>0</v>
      </c>
      <c r="I784" s="2">
        <v>0</v>
      </c>
      <c r="J784" s="2">
        <v>0</v>
      </c>
      <c r="K784" s="2">
        <v>0</v>
      </c>
      <c r="L784" s="2">
        <v>0</v>
      </c>
      <c r="M784">
        <v>0</v>
      </c>
      <c r="N784">
        <v>0</v>
      </c>
      <c r="O784" s="2">
        <v>0</v>
      </c>
      <c r="P784" s="2">
        <v>0</v>
      </c>
      <c r="Q784">
        <v>0</v>
      </c>
      <c r="R784" s="2">
        <v>0</v>
      </c>
      <c r="S784" s="2">
        <v>0</v>
      </c>
      <c r="T784" t="s">
        <v>377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idden="1" x14ac:dyDescent="0.25">
      <c r="A785" t="s">
        <v>47</v>
      </c>
      <c r="B785" t="s">
        <v>52</v>
      </c>
      <c r="C785" t="s">
        <v>212</v>
      </c>
      <c r="D785" s="9">
        <v>45858</v>
      </c>
      <c r="E785" s="9">
        <v>45858</v>
      </c>
      <c r="F785" s="2">
        <v>0</v>
      </c>
      <c r="G785" s="3" t="s">
        <v>378</v>
      </c>
      <c r="H785">
        <v>0</v>
      </c>
      <c r="I785" s="2">
        <v>0</v>
      </c>
      <c r="J785" s="2">
        <v>0</v>
      </c>
      <c r="K785" s="2">
        <v>0</v>
      </c>
      <c r="L785" s="2">
        <v>0</v>
      </c>
      <c r="M785">
        <v>0</v>
      </c>
      <c r="N785">
        <v>0</v>
      </c>
      <c r="O785" s="2">
        <v>0</v>
      </c>
      <c r="P785" s="2">
        <v>0</v>
      </c>
      <c r="Q785">
        <v>0</v>
      </c>
      <c r="R785" s="2">
        <v>0</v>
      </c>
      <c r="S785" s="2">
        <v>0</v>
      </c>
      <c r="T785" t="s">
        <v>377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</row>
    <row r="786" spans="1:28" hidden="1" x14ac:dyDescent="0.25">
      <c r="A786" t="s">
        <v>56</v>
      </c>
      <c r="B786" t="s">
        <v>30</v>
      </c>
      <c r="C786" t="s">
        <v>64</v>
      </c>
      <c r="D786" s="1">
        <v>45859</v>
      </c>
      <c r="E786" s="1">
        <v>45859</v>
      </c>
      <c r="F786" s="2">
        <v>25</v>
      </c>
      <c r="G786" s="3" t="s">
        <v>23</v>
      </c>
      <c r="H786">
        <v>23</v>
      </c>
      <c r="I786" s="2">
        <v>0</v>
      </c>
      <c r="J786" s="2">
        <v>0</v>
      </c>
      <c r="K786" s="2">
        <v>0</v>
      </c>
      <c r="L786" s="2">
        <v>0</v>
      </c>
      <c r="M786">
        <v>0</v>
      </c>
      <c r="N786">
        <v>0</v>
      </c>
      <c r="O786" s="2">
        <v>0</v>
      </c>
      <c r="P786" s="2">
        <v>0</v>
      </c>
      <c r="Q786">
        <v>0</v>
      </c>
      <c r="R786" s="2">
        <v>0</v>
      </c>
      <c r="S786" s="2">
        <v>0</v>
      </c>
      <c r="T786" t="s">
        <v>485</v>
      </c>
      <c r="U786" s="2">
        <v>0</v>
      </c>
      <c r="V786" s="2">
        <v>4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idden="1" x14ac:dyDescent="0.25">
      <c r="A787" t="s">
        <v>53</v>
      </c>
      <c r="B787" t="s">
        <v>38</v>
      </c>
      <c r="C787" t="s">
        <v>27</v>
      </c>
      <c r="D787" s="1">
        <v>45859</v>
      </c>
      <c r="E787" s="1">
        <v>45859</v>
      </c>
      <c r="F787" s="2">
        <v>26</v>
      </c>
      <c r="G787" s="3" t="s">
        <v>23</v>
      </c>
      <c r="H787">
        <v>11</v>
      </c>
      <c r="I787" s="2">
        <v>0</v>
      </c>
      <c r="J787" s="2">
        <v>0</v>
      </c>
      <c r="K787" s="2">
        <v>0</v>
      </c>
      <c r="L787" s="2">
        <v>0</v>
      </c>
      <c r="M787">
        <v>1</v>
      </c>
      <c r="N787">
        <v>0</v>
      </c>
      <c r="O787" s="2">
        <v>0</v>
      </c>
      <c r="P787" s="2">
        <v>0</v>
      </c>
      <c r="Q787">
        <v>0</v>
      </c>
      <c r="R787" s="2">
        <v>0</v>
      </c>
      <c r="S787" s="2">
        <v>0</v>
      </c>
      <c r="T787" t="s">
        <v>446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idden="1" x14ac:dyDescent="0.25">
      <c r="A788" t="s">
        <v>29</v>
      </c>
      <c r="B788" t="s">
        <v>47</v>
      </c>
      <c r="C788" t="s">
        <v>64</v>
      </c>
      <c r="D788" s="1">
        <v>45859</v>
      </c>
      <c r="E788" s="1">
        <v>45859</v>
      </c>
      <c r="F788" s="2">
        <v>25</v>
      </c>
      <c r="G788" s="3" t="s">
        <v>23</v>
      </c>
      <c r="H788">
        <v>0</v>
      </c>
      <c r="I788" s="2">
        <v>0</v>
      </c>
      <c r="J788" s="2">
        <v>0</v>
      </c>
      <c r="K788" s="2">
        <v>0</v>
      </c>
      <c r="L788" s="2">
        <v>0</v>
      </c>
      <c r="M788">
        <v>0</v>
      </c>
      <c r="N788">
        <v>0</v>
      </c>
      <c r="O788" s="2">
        <v>0</v>
      </c>
      <c r="P788" s="2">
        <v>0</v>
      </c>
      <c r="Q788">
        <v>1</v>
      </c>
      <c r="R788" s="2">
        <v>0</v>
      </c>
      <c r="S788" s="2">
        <v>0</v>
      </c>
      <c r="T788" t="s">
        <v>485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idden="1" x14ac:dyDescent="0.25">
      <c r="A789" t="s">
        <v>25</v>
      </c>
      <c r="B789" t="s">
        <v>26</v>
      </c>
      <c r="C789" t="s">
        <v>64</v>
      </c>
      <c r="D789" s="1">
        <v>45859</v>
      </c>
      <c r="E789" s="1">
        <v>45859</v>
      </c>
      <c r="F789" s="2">
        <v>25</v>
      </c>
      <c r="G789" s="3" t="s">
        <v>572</v>
      </c>
      <c r="H789">
        <v>0</v>
      </c>
      <c r="I789" s="2">
        <v>0</v>
      </c>
      <c r="J789" s="2">
        <v>0</v>
      </c>
      <c r="K789" s="2">
        <v>0</v>
      </c>
      <c r="L789" s="2">
        <v>0</v>
      </c>
      <c r="M789">
        <v>0</v>
      </c>
      <c r="N789">
        <v>0</v>
      </c>
      <c r="O789" s="2">
        <v>0</v>
      </c>
      <c r="P789" s="2">
        <v>0</v>
      </c>
      <c r="Q789">
        <v>0</v>
      </c>
      <c r="R789" s="2">
        <v>0</v>
      </c>
      <c r="S789" s="2">
        <v>0</v>
      </c>
      <c r="T789" t="s">
        <v>485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idden="1" x14ac:dyDescent="0.25">
      <c r="A790" t="s">
        <v>33</v>
      </c>
      <c r="B790" t="s">
        <v>57</v>
      </c>
      <c r="C790" t="s">
        <v>64</v>
      </c>
      <c r="D790" s="1">
        <v>45859</v>
      </c>
      <c r="E790" s="1">
        <v>45859</v>
      </c>
      <c r="F790" s="2">
        <v>25</v>
      </c>
      <c r="G790" s="3" t="s">
        <v>572</v>
      </c>
      <c r="H790">
        <v>0</v>
      </c>
      <c r="I790" s="2">
        <v>0</v>
      </c>
      <c r="J790" s="2">
        <v>0</v>
      </c>
      <c r="K790" s="2">
        <v>0</v>
      </c>
      <c r="L790" s="2">
        <v>0</v>
      </c>
      <c r="M790">
        <v>0</v>
      </c>
      <c r="N790">
        <v>0</v>
      </c>
      <c r="O790" s="2">
        <v>0</v>
      </c>
      <c r="P790" s="2">
        <v>0</v>
      </c>
      <c r="Q790">
        <v>0</v>
      </c>
      <c r="R790" s="2">
        <v>0</v>
      </c>
      <c r="S790" s="2">
        <v>0</v>
      </c>
      <c r="T790" t="s">
        <v>485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idden="1" x14ac:dyDescent="0.25">
      <c r="A791" t="s">
        <v>37</v>
      </c>
      <c r="B791" t="s">
        <v>47</v>
      </c>
      <c r="C791" t="s">
        <v>64</v>
      </c>
      <c r="D791" s="1">
        <v>45859</v>
      </c>
      <c r="E791" s="1">
        <v>45859</v>
      </c>
      <c r="F791" s="2">
        <v>25</v>
      </c>
      <c r="G791" s="3" t="s">
        <v>572</v>
      </c>
      <c r="H791">
        <v>0</v>
      </c>
      <c r="I791" s="2">
        <v>0</v>
      </c>
      <c r="J791" s="2">
        <v>0</v>
      </c>
      <c r="K791" s="2">
        <v>0</v>
      </c>
      <c r="L791" s="2">
        <v>0</v>
      </c>
      <c r="M791">
        <v>0</v>
      </c>
      <c r="N791">
        <v>0</v>
      </c>
      <c r="O791" s="2">
        <v>0</v>
      </c>
      <c r="P791" s="2">
        <v>0</v>
      </c>
      <c r="Q791">
        <v>0</v>
      </c>
      <c r="R791" s="2">
        <v>0</v>
      </c>
      <c r="S791" s="2">
        <v>0</v>
      </c>
      <c r="T791" t="s">
        <v>485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</row>
    <row r="792" spans="1:28" hidden="1" x14ac:dyDescent="0.25">
      <c r="A792" t="s">
        <v>47</v>
      </c>
      <c r="B792" t="s">
        <v>21</v>
      </c>
      <c r="C792" t="s">
        <v>64</v>
      </c>
      <c r="D792" s="1">
        <v>45859</v>
      </c>
      <c r="E792" s="1">
        <v>45859</v>
      </c>
      <c r="F792" s="2">
        <v>25</v>
      </c>
      <c r="G792" s="3" t="s">
        <v>572</v>
      </c>
      <c r="H792">
        <v>0</v>
      </c>
      <c r="I792" s="2">
        <v>0</v>
      </c>
      <c r="J792" s="2">
        <v>0</v>
      </c>
      <c r="K792" s="2">
        <v>0</v>
      </c>
      <c r="L792" s="2">
        <v>0</v>
      </c>
      <c r="M792">
        <v>0</v>
      </c>
      <c r="N792">
        <v>0</v>
      </c>
      <c r="O792" s="2">
        <v>0</v>
      </c>
      <c r="P792" s="2">
        <v>0</v>
      </c>
      <c r="Q792">
        <v>0</v>
      </c>
      <c r="R792" s="2">
        <v>0</v>
      </c>
      <c r="S792" s="2">
        <v>0</v>
      </c>
      <c r="T792" t="s">
        <v>485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</row>
    <row r="793" spans="1:28" hidden="1" x14ac:dyDescent="0.25">
      <c r="A793" t="s">
        <v>20</v>
      </c>
      <c r="B793" t="s">
        <v>47</v>
      </c>
      <c r="C793" t="s">
        <v>22</v>
      </c>
      <c r="D793" s="1">
        <v>45859</v>
      </c>
      <c r="E793" s="1">
        <v>45859</v>
      </c>
      <c r="F793" s="2">
        <v>88</v>
      </c>
      <c r="G793" s="3" t="s">
        <v>129</v>
      </c>
      <c r="H793">
        <v>0</v>
      </c>
      <c r="I793" s="2">
        <v>0</v>
      </c>
      <c r="J793" s="2">
        <v>0</v>
      </c>
      <c r="K793" s="2">
        <v>0</v>
      </c>
      <c r="L793" s="2">
        <v>0</v>
      </c>
      <c r="M793">
        <v>0</v>
      </c>
      <c r="N793">
        <v>0</v>
      </c>
      <c r="O793" s="2">
        <v>0</v>
      </c>
      <c r="P793" s="2">
        <v>0</v>
      </c>
      <c r="Q793">
        <v>0</v>
      </c>
      <c r="R793" s="2">
        <v>0</v>
      </c>
      <c r="S793" s="2">
        <v>0</v>
      </c>
      <c r="T793" t="s">
        <v>446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idden="1" x14ac:dyDescent="0.25">
      <c r="A794" t="s">
        <v>47</v>
      </c>
      <c r="B794" t="s">
        <v>52</v>
      </c>
      <c r="C794" t="s">
        <v>212</v>
      </c>
      <c r="D794" s="1">
        <v>45859</v>
      </c>
      <c r="E794" s="1">
        <v>45859</v>
      </c>
      <c r="F794" s="2">
        <v>0</v>
      </c>
      <c r="G794" s="3" t="s">
        <v>572</v>
      </c>
      <c r="H794">
        <v>0</v>
      </c>
      <c r="I794" s="2">
        <v>0</v>
      </c>
      <c r="J794" s="2">
        <v>0</v>
      </c>
      <c r="K794" s="2">
        <v>0</v>
      </c>
      <c r="L794" s="2">
        <v>0</v>
      </c>
      <c r="M794">
        <v>0</v>
      </c>
      <c r="N794">
        <v>0</v>
      </c>
      <c r="O794" s="2">
        <v>0</v>
      </c>
      <c r="P794" s="2">
        <v>0</v>
      </c>
      <c r="Q794">
        <v>0</v>
      </c>
      <c r="R794" s="2">
        <v>0</v>
      </c>
      <c r="S794" s="2">
        <v>0</v>
      </c>
      <c r="T794" t="s">
        <v>377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idden="1" x14ac:dyDescent="0.25">
      <c r="A795" t="s">
        <v>56</v>
      </c>
      <c r="B795" t="s">
        <v>26</v>
      </c>
      <c r="C795" t="s">
        <v>64</v>
      </c>
      <c r="D795" s="1">
        <v>45860</v>
      </c>
      <c r="E795" s="1">
        <v>45860</v>
      </c>
      <c r="F795" s="2">
        <v>36</v>
      </c>
      <c r="G795" s="3" t="s">
        <v>23</v>
      </c>
      <c r="H795">
        <v>16</v>
      </c>
      <c r="I795" s="2">
        <v>0</v>
      </c>
      <c r="J795" s="2">
        <v>0</v>
      </c>
      <c r="K795" s="2">
        <v>1</v>
      </c>
      <c r="L795" s="2">
        <v>0</v>
      </c>
      <c r="M795">
        <v>0</v>
      </c>
      <c r="N795">
        <v>0</v>
      </c>
      <c r="O795" s="2">
        <v>0</v>
      </c>
      <c r="P795" s="2">
        <v>0</v>
      </c>
      <c r="Q795">
        <v>0</v>
      </c>
      <c r="R795" s="2">
        <v>0</v>
      </c>
      <c r="S795" s="2">
        <v>0</v>
      </c>
      <c r="T795" t="s">
        <v>486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idden="1" x14ac:dyDescent="0.25">
      <c r="A796" t="s">
        <v>53</v>
      </c>
      <c r="B796" t="s">
        <v>38</v>
      </c>
      <c r="C796" t="s">
        <v>54</v>
      </c>
      <c r="D796" s="1">
        <v>45860</v>
      </c>
      <c r="E796" s="1">
        <v>45860</v>
      </c>
      <c r="F796" s="2">
        <v>61</v>
      </c>
      <c r="G796" s="3" t="s">
        <v>23</v>
      </c>
      <c r="H796">
        <v>29</v>
      </c>
      <c r="I796" s="2">
        <v>0</v>
      </c>
      <c r="J796" s="2">
        <v>0</v>
      </c>
      <c r="K796" s="2">
        <v>0</v>
      </c>
      <c r="L796" s="2">
        <v>1</v>
      </c>
      <c r="M796">
        <v>0</v>
      </c>
      <c r="N796">
        <v>0</v>
      </c>
      <c r="O796" s="2">
        <v>0</v>
      </c>
      <c r="P796" s="2">
        <v>0</v>
      </c>
      <c r="Q796">
        <v>0</v>
      </c>
      <c r="R796" s="2">
        <v>0</v>
      </c>
      <c r="S796" s="2">
        <v>0</v>
      </c>
      <c r="T796" t="s">
        <v>487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</row>
    <row r="797" spans="1:28" hidden="1" x14ac:dyDescent="0.25">
      <c r="A797" t="s">
        <v>29</v>
      </c>
      <c r="B797" t="s">
        <v>30</v>
      </c>
      <c r="C797" t="s">
        <v>31</v>
      </c>
      <c r="D797" s="1">
        <v>45860</v>
      </c>
      <c r="E797" s="1">
        <v>45860</v>
      </c>
      <c r="F797" s="2">
        <v>30</v>
      </c>
      <c r="G797" s="3" t="s">
        <v>23</v>
      </c>
      <c r="H797">
        <v>37</v>
      </c>
      <c r="I797" s="2">
        <v>0</v>
      </c>
      <c r="J797" s="2">
        <v>0</v>
      </c>
      <c r="K797" s="2">
        <v>1</v>
      </c>
      <c r="L797" s="2">
        <v>0</v>
      </c>
      <c r="M797">
        <v>1</v>
      </c>
      <c r="N797">
        <v>0</v>
      </c>
      <c r="O797" s="2">
        <v>0</v>
      </c>
      <c r="P797" s="2">
        <v>0</v>
      </c>
      <c r="Q797">
        <v>0</v>
      </c>
      <c r="R797" s="2">
        <v>0</v>
      </c>
      <c r="S797" s="2">
        <v>0</v>
      </c>
      <c r="T797" t="s">
        <v>488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idden="1" x14ac:dyDescent="0.25">
      <c r="A798" t="s">
        <v>33</v>
      </c>
      <c r="B798" t="s">
        <v>57</v>
      </c>
      <c r="C798" t="s">
        <v>35</v>
      </c>
      <c r="D798" s="1">
        <v>45860</v>
      </c>
      <c r="E798" s="1">
        <v>45860</v>
      </c>
      <c r="F798" s="2">
        <v>27</v>
      </c>
      <c r="G798" s="3" t="s">
        <v>23</v>
      </c>
      <c r="H798">
        <v>20</v>
      </c>
      <c r="I798" s="2">
        <v>0</v>
      </c>
      <c r="J798" s="2">
        <v>0</v>
      </c>
      <c r="K798" s="2">
        <v>1</v>
      </c>
      <c r="L798" s="2">
        <v>0</v>
      </c>
      <c r="M798">
        <v>0</v>
      </c>
      <c r="N798">
        <v>0</v>
      </c>
      <c r="O798" s="2">
        <v>0</v>
      </c>
      <c r="P798" s="2">
        <v>0</v>
      </c>
      <c r="Q798">
        <v>0</v>
      </c>
      <c r="R798" s="2">
        <v>0</v>
      </c>
      <c r="S798" s="2">
        <v>0</v>
      </c>
      <c r="T798" t="s">
        <v>489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idden="1" x14ac:dyDescent="0.25">
      <c r="A799" t="s">
        <v>37</v>
      </c>
      <c r="B799" t="s">
        <v>47</v>
      </c>
      <c r="C799" t="s">
        <v>64</v>
      </c>
      <c r="D799" s="1">
        <v>45860</v>
      </c>
      <c r="E799" s="1">
        <v>45860</v>
      </c>
      <c r="F799" s="2">
        <v>25</v>
      </c>
      <c r="G799" s="3" t="s">
        <v>572</v>
      </c>
      <c r="H799">
        <v>0</v>
      </c>
      <c r="I799" s="2">
        <v>0</v>
      </c>
      <c r="J799" s="2">
        <v>0</v>
      </c>
      <c r="K799" s="2">
        <v>0</v>
      </c>
      <c r="L799" s="2">
        <v>0</v>
      </c>
      <c r="M799">
        <v>0</v>
      </c>
      <c r="N799">
        <v>0</v>
      </c>
      <c r="O799" s="2">
        <v>0</v>
      </c>
      <c r="P799" s="2">
        <v>0</v>
      </c>
      <c r="Q799">
        <v>0</v>
      </c>
      <c r="R799" s="2">
        <v>0</v>
      </c>
      <c r="S799" s="2">
        <v>0</v>
      </c>
      <c r="T799" t="s">
        <v>485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idden="1" x14ac:dyDescent="0.25">
      <c r="A800" t="s">
        <v>25</v>
      </c>
      <c r="B800" t="s">
        <v>21</v>
      </c>
      <c r="C800" t="s">
        <v>64</v>
      </c>
      <c r="D800" s="1">
        <v>45860</v>
      </c>
      <c r="E800" s="1">
        <v>45860</v>
      </c>
      <c r="F800" s="2">
        <v>25</v>
      </c>
      <c r="G800" s="3" t="s">
        <v>48</v>
      </c>
      <c r="H800">
        <v>0</v>
      </c>
      <c r="I800" s="2">
        <v>0</v>
      </c>
      <c r="J800" s="2">
        <v>0</v>
      </c>
      <c r="K800" s="2">
        <v>0</v>
      </c>
      <c r="L800" s="2">
        <v>0</v>
      </c>
      <c r="M800">
        <v>0</v>
      </c>
      <c r="N800">
        <v>0</v>
      </c>
      <c r="O800" s="2">
        <v>0</v>
      </c>
      <c r="P800" s="2">
        <v>0</v>
      </c>
      <c r="Q800">
        <v>0</v>
      </c>
      <c r="R800" s="2">
        <v>0</v>
      </c>
      <c r="S800" s="2">
        <v>0</v>
      </c>
      <c r="T800" t="s">
        <v>485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idden="1" x14ac:dyDescent="0.25">
      <c r="A801" t="s">
        <v>20</v>
      </c>
      <c r="B801" t="s">
        <v>47</v>
      </c>
      <c r="C801" t="s">
        <v>22</v>
      </c>
      <c r="D801" s="1">
        <v>45860</v>
      </c>
      <c r="E801" s="1">
        <v>45860</v>
      </c>
      <c r="F801" s="2">
        <v>88</v>
      </c>
      <c r="G801" s="3" t="s">
        <v>129</v>
      </c>
      <c r="H801">
        <v>0</v>
      </c>
      <c r="I801" s="2">
        <v>0</v>
      </c>
      <c r="J801" s="2">
        <v>0</v>
      </c>
      <c r="K801" s="2">
        <v>0</v>
      </c>
      <c r="L801" s="2">
        <v>0</v>
      </c>
      <c r="M801">
        <v>0</v>
      </c>
      <c r="N801">
        <v>0</v>
      </c>
      <c r="O801" s="2">
        <v>0</v>
      </c>
      <c r="P801" s="2">
        <v>0</v>
      </c>
      <c r="Q801">
        <v>0</v>
      </c>
      <c r="R801" s="2">
        <v>0</v>
      </c>
      <c r="S801" s="2">
        <v>0</v>
      </c>
      <c r="T801" t="s">
        <v>446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idden="1" x14ac:dyDescent="0.25">
      <c r="A802" t="s">
        <v>47</v>
      </c>
      <c r="B802" t="s">
        <v>52</v>
      </c>
      <c r="C802" t="s">
        <v>212</v>
      </c>
      <c r="D802" s="1">
        <v>45860</v>
      </c>
      <c r="E802" s="1">
        <v>45860</v>
      </c>
      <c r="F802" s="2">
        <v>0</v>
      </c>
      <c r="G802" s="3" t="s">
        <v>572</v>
      </c>
      <c r="H802">
        <v>0</v>
      </c>
      <c r="I802" s="2">
        <v>0</v>
      </c>
      <c r="J802" s="2">
        <v>0</v>
      </c>
      <c r="K802" s="2">
        <v>0</v>
      </c>
      <c r="L802" s="2">
        <v>0</v>
      </c>
      <c r="M802">
        <v>0</v>
      </c>
      <c r="N802">
        <v>0</v>
      </c>
      <c r="O802" s="2">
        <v>0</v>
      </c>
      <c r="P802" s="2">
        <v>0</v>
      </c>
      <c r="Q802">
        <v>0</v>
      </c>
      <c r="R802" s="2">
        <v>0</v>
      </c>
      <c r="S802" s="2">
        <v>0</v>
      </c>
      <c r="T802" t="s">
        <v>377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</row>
    <row r="803" spans="1:28" hidden="1" x14ac:dyDescent="0.25">
      <c r="A803" t="s">
        <v>56</v>
      </c>
      <c r="B803" t="s">
        <v>47</v>
      </c>
      <c r="C803" t="s">
        <v>64</v>
      </c>
      <c r="D803" s="1">
        <v>45861</v>
      </c>
      <c r="E803" s="1">
        <v>45861</v>
      </c>
      <c r="F803" s="2">
        <v>33</v>
      </c>
      <c r="G803" s="3" t="s">
        <v>23</v>
      </c>
      <c r="H803">
        <v>0</v>
      </c>
      <c r="I803" s="2">
        <v>0</v>
      </c>
      <c r="J803" s="2">
        <v>0</v>
      </c>
      <c r="K803" s="2">
        <v>0</v>
      </c>
      <c r="L803" s="2">
        <v>0</v>
      </c>
      <c r="M803">
        <v>0</v>
      </c>
      <c r="N803">
        <v>0</v>
      </c>
      <c r="O803" s="2">
        <v>0</v>
      </c>
      <c r="P803" s="2">
        <v>0</v>
      </c>
      <c r="Q803">
        <v>0</v>
      </c>
      <c r="R803" s="2">
        <v>0</v>
      </c>
      <c r="S803" s="2">
        <v>0</v>
      </c>
      <c r="T803" t="s">
        <v>490</v>
      </c>
      <c r="U803" s="2">
        <v>0</v>
      </c>
      <c r="V803" s="2">
        <v>11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</row>
    <row r="804" spans="1:28" hidden="1" x14ac:dyDescent="0.25">
      <c r="A804" t="s">
        <v>53</v>
      </c>
      <c r="B804" t="s">
        <v>47</v>
      </c>
      <c r="C804" t="s">
        <v>54</v>
      </c>
      <c r="D804" s="1">
        <v>45861</v>
      </c>
      <c r="E804" s="1">
        <v>45861</v>
      </c>
      <c r="F804" s="2">
        <v>54</v>
      </c>
      <c r="G804" s="3" t="s">
        <v>23</v>
      </c>
      <c r="H804">
        <v>30</v>
      </c>
      <c r="I804" s="2">
        <v>0</v>
      </c>
      <c r="J804" s="2">
        <v>0</v>
      </c>
      <c r="K804" s="2">
        <v>1</v>
      </c>
      <c r="L804" s="2">
        <v>0</v>
      </c>
      <c r="M804">
        <v>0</v>
      </c>
      <c r="N804">
        <v>0</v>
      </c>
      <c r="O804" s="2">
        <v>0</v>
      </c>
      <c r="P804" s="2">
        <v>0</v>
      </c>
      <c r="Q804">
        <v>0</v>
      </c>
      <c r="R804" s="2">
        <v>0</v>
      </c>
      <c r="S804" s="2">
        <v>0</v>
      </c>
      <c r="T804" t="s">
        <v>491</v>
      </c>
      <c r="U804" s="2">
        <v>0</v>
      </c>
      <c r="V804" s="2">
        <v>2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</row>
    <row r="805" spans="1:28" hidden="1" x14ac:dyDescent="0.25">
      <c r="A805" t="s">
        <v>47</v>
      </c>
      <c r="B805" t="s">
        <v>38</v>
      </c>
      <c r="C805" t="s">
        <v>54</v>
      </c>
      <c r="D805" s="1">
        <v>45861</v>
      </c>
      <c r="E805" s="1">
        <v>45861</v>
      </c>
      <c r="F805" s="2">
        <v>54</v>
      </c>
      <c r="G805" s="3" t="s">
        <v>23</v>
      </c>
      <c r="H805">
        <v>30</v>
      </c>
      <c r="I805" s="2">
        <v>0</v>
      </c>
      <c r="J805" s="2">
        <v>0</v>
      </c>
      <c r="K805" s="2">
        <v>1</v>
      </c>
      <c r="L805" s="2">
        <v>0</v>
      </c>
      <c r="M805">
        <v>0</v>
      </c>
      <c r="N805">
        <v>0</v>
      </c>
      <c r="O805" s="2">
        <v>0</v>
      </c>
      <c r="P805" s="2">
        <v>0</v>
      </c>
      <c r="Q805">
        <v>0</v>
      </c>
      <c r="R805" s="2">
        <v>0</v>
      </c>
      <c r="S805" s="2">
        <v>0</v>
      </c>
      <c r="T805" t="s">
        <v>491</v>
      </c>
      <c r="U805" s="2">
        <v>0</v>
      </c>
      <c r="V805" s="2">
        <v>13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idden="1" x14ac:dyDescent="0.25">
      <c r="A806" t="s">
        <v>25</v>
      </c>
      <c r="B806" t="s">
        <v>21</v>
      </c>
      <c r="C806" t="s">
        <v>27</v>
      </c>
      <c r="D806" s="1">
        <v>45861</v>
      </c>
      <c r="E806" s="1">
        <v>45861</v>
      </c>
      <c r="F806" s="2">
        <v>33</v>
      </c>
      <c r="G806" s="3" t="s">
        <v>23</v>
      </c>
      <c r="H806">
        <v>31</v>
      </c>
      <c r="I806" s="2">
        <v>0</v>
      </c>
      <c r="J806" s="2">
        <v>0</v>
      </c>
      <c r="K806" s="2">
        <v>0</v>
      </c>
      <c r="L806" s="2">
        <v>1</v>
      </c>
      <c r="M806">
        <v>0</v>
      </c>
      <c r="N806">
        <v>0</v>
      </c>
      <c r="O806" s="2">
        <v>0</v>
      </c>
      <c r="P806" s="2">
        <v>0</v>
      </c>
      <c r="Q806">
        <v>0</v>
      </c>
      <c r="R806" s="2">
        <v>0</v>
      </c>
      <c r="S806" s="2">
        <v>0</v>
      </c>
      <c r="T806" t="s">
        <v>492</v>
      </c>
      <c r="U806" s="2">
        <v>0</v>
      </c>
      <c r="V806" s="2">
        <v>11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idden="1" x14ac:dyDescent="0.25">
      <c r="A807" t="s">
        <v>33</v>
      </c>
      <c r="B807" t="s">
        <v>57</v>
      </c>
      <c r="C807" t="s">
        <v>35</v>
      </c>
      <c r="D807" s="1">
        <v>45861</v>
      </c>
      <c r="E807" s="1">
        <v>45861</v>
      </c>
      <c r="F807" s="2">
        <v>28</v>
      </c>
      <c r="G807" s="3" t="s">
        <v>23</v>
      </c>
      <c r="H807">
        <v>30</v>
      </c>
      <c r="I807" s="2">
        <v>0</v>
      </c>
      <c r="J807" s="2">
        <v>0</v>
      </c>
      <c r="K807" s="2">
        <v>1</v>
      </c>
      <c r="L807" s="2">
        <v>0</v>
      </c>
      <c r="M807">
        <v>0</v>
      </c>
      <c r="N807">
        <v>0</v>
      </c>
      <c r="O807" s="2">
        <v>0</v>
      </c>
      <c r="P807" s="2">
        <v>0</v>
      </c>
      <c r="Q807">
        <v>0</v>
      </c>
      <c r="R807" s="2">
        <v>0</v>
      </c>
      <c r="S807" s="2">
        <v>0</v>
      </c>
      <c r="T807" t="s">
        <v>493</v>
      </c>
      <c r="U807" s="2">
        <v>0</v>
      </c>
      <c r="V807" s="2">
        <v>10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idden="1" x14ac:dyDescent="0.25">
      <c r="A808" t="s">
        <v>37</v>
      </c>
      <c r="B808" t="s">
        <v>26</v>
      </c>
      <c r="C808" t="s">
        <v>39</v>
      </c>
      <c r="D808" s="1">
        <v>45861</v>
      </c>
      <c r="E808" s="1">
        <v>45861</v>
      </c>
      <c r="F808" s="2">
        <v>21</v>
      </c>
      <c r="G808" s="3" t="s">
        <v>23</v>
      </c>
      <c r="H808">
        <v>40</v>
      </c>
      <c r="I808" s="2">
        <v>0</v>
      </c>
      <c r="J808" s="2">
        <v>0</v>
      </c>
      <c r="K808" s="2">
        <v>1</v>
      </c>
      <c r="L808" s="2">
        <v>0</v>
      </c>
      <c r="M808">
        <v>0</v>
      </c>
      <c r="N808">
        <v>0</v>
      </c>
      <c r="O808" s="2">
        <v>0</v>
      </c>
      <c r="P808" s="2">
        <v>0</v>
      </c>
      <c r="Q808">
        <v>0</v>
      </c>
      <c r="R808" s="2">
        <v>0</v>
      </c>
      <c r="S808" s="2">
        <v>0</v>
      </c>
      <c r="T808" t="s">
        <v>494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</row>
    <row r="809" spans="1:28" hidden="1" x14ac:dyDescent="0.25">
      <c r="A809" t="s">
        <v>29</v>
      </c>
      <c r="B809" t="s">
        <v>30</v>
      </c>
      <c r="C809" t="s">
        <v>64</v>
      </c>
      <c r="D809" s="1">
        <v>45861</v>
      </c>
      <c r="E809" s="1">
        <v>45861</v>
      </c>
      <c r="F809" s="2">
        <v>25</v>
      </c>
      <c r="G809" s="3" t="s">
        <v>48</v>
      </c>
      <c r="H809">
        <v>0</v>
      </c>
      <c r="I809" s="2">
        <v>0</v>
      </c>
      <c r="J809" s="2">
        <v>0</v>
      </c>
      <c r="K809" s="2">
        <v>0</v>
      </c>
      <c r="L809" s="2">
        <v>0</v>
      </c>
      <c r="M809">
        <v>0</v>
      </c>
      <c r="N809">
        <v>0</v>
      </c>
      <c r="O809" s="2">
        <v>0</v>
      </c>
      <c r="P809" s="2">
        <v>0</v>
      </c>
      <c r="Q809">
        <v>0</v>
      </c>
      <c r="R809" s="2">
        <v>0</v>
      </c>
      <c r="S809" s="2">
        <v>0</v>
      </c>
      <c r="T809" t="s">
        <v>485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idden="1" x14ac:dyDescent="0.25">
      <c r="A810" t="s">
        <v>20</v>
      </c>
      <c r="B810" t="s">
        <v>47</v>
      </c>
      <c r="C810" t="s">
        <v>22</v>
      </c>
      <c r="D810" s="1">
        <v>45861</v>
      </c>
      <c r="E810" s="1">
        <v>45861</v>
      </c>
      <c r="F810" s="2">
        <v>88</v>
      </c>
      <c r="G810" s="3" t="s">
        <v>129</v>
      </c>
      <c r="H810">
        <v>0</v>
      </c>
      <c r="I810" s="2">
        <v>0</v>
      </c>
      <c r="J810" s="2">
        <v>0</v>
      </c>
      <c r="K810" s="2">
        <v>0</v>
      </c>
      <c r="L810" s="2">
        <v>0</v>
      </c>
      <c r="M810">
        <v>0</v>
      </c>
      <c r="N810">
        <v>0</v>
      </c>
      <c r="O810" s="2">
        <v>0</v>
      </c>
      <c r="P810" s="2">
        <v>0</v>
      </c>
      <c r="Q810">
        <v>0</v>
      </c>
      <c r="R810" s="2">
        <v>0</v>
      </c>
      <c r="S810" s="2">
        <v>0</v>
      </c>
      <c r="T810" t="s">
        <v>446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idden="1" x14ac:dyDescent="0.25">
      <c r="A811" t="s">
        <v>47</v>
      </c>
      <c r="B811" t="s">
        <v>52</v>
      </c>
      <c r="C811" t="s">
        <v>212</v>
      </c>
      <c r="D811" s="1">
        <v>45861</v>
      </c>
      <c r="E811" s="1">
        <v>45861</v>
      </c>
      <c r="F811" s="2">
        <v>0</v>
      </c>
      <c r="G811" s="3" t="s">
        <v>572</v>
      </c>
      <c r="H811">
        <v>0</v>
      </c>
      <c r="I811" s="2">
        <v>0</v>
      </c>
      <c r="J811" s="2">
        <v>0</v>
      </c>
      <c r="K811" s="2">
        <v>0</v>
      </c>
      <c r="L811" s="2">
        <v>0</v>
      </c>
      <c r="M811">
        <v>0</v>
      </c>
      <c r="N811">
        <v>0</v>
      </c>
      <c r="O811" s="2">
        <v>0</v>
      </c>
      <c r="P811" s="2">
        <v>0</v>
      </c>
      <c r="Q811">
        <v>0</v>
      </c>
      <c r="R811" s="2">
        <v>0</v>
      </c>
      <c r="S811" s="2">
        <v>0</v>
      </c>
      <c r="T811" t="s">
        <v>377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idden="1" x14ac:dyDescent="0.25">
      <c r="A812" t="s">
        <v>53</v>
      </c>
      <c r="B812" t="s">
        <v>38</v>
      </c>
      <c r="C812" t="s">
        <v>54</v>
      </c>
      <c r="D812" s="1">
        <v>45862</v>
      </c>
      <c r="E812" s="1">
        <v>45862</v>
      </c>
      <c r="F812" s="2">
        <v>68</v>
      </c>
      <c r="G812" s="3" t="s">
        <v>23</v>
      </c>
      <c r="H812">
        <v>23</v>
      </c>
      <c r="I812" s="2">
        <v>0</v>
      </c>
      <c r="J812" s="2">
        <v>0</v>
      </c>
      <c r="K812" s="2">
        <v>0</v>
      </c>
      <c r="L812" s="2">
        <v>1</v>
      </c>
      <c r="M812">
        <v>0</v>
      </c>
      <c r="N812">
        <v>0</v>
      </c>
      <c r="O812" s="2">
        <v>0</v>
      </c>
      <c r="P812" s="2">
        <v>0</v>
      </c>
      <c r="Q812">
        <v>0</v>
      </c>
      <c r="R812" s="2">
        <v>0</v>
      </c>
      <c r="S812" s="2">
        <v>0</v>
      </c>
      <c r="T812" t="s">
        <v>495</v>
      </c>
      <c r="U812" s="2">
        <v>0</v>
      </c>
      <c r="V812" s="2">
        <v>11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</row>
    <row r="813" spans="1:28" hidden="1" x14ac:dyDescent="0.25">
      <c r="A813" t="s">
        <v>25</v>
      </c>
      <c r="B813" t="s">
        <v>21</v>
      </c>
      <c r="C813" t="s">
        <v>27</v>
      </c>
      <c r="D813" s="1">
        <v>45862</v>
      </c>
      <c r="E813" s="1">
        <v>45862</v>
      </c>
      <c r="F813" s="2">
        <v>40</v>
      </c>
      <c r="G813" s="3" t="s">
        <v>23</v>
      </c>
      <c r="H813">
        <v>36</v>
      </c>
      <c r="I813" s="2">
        <v>0</v>
      </c>
      <c r="J813" s="2">
        <v>0</v>
      </c>
      <c r="K813" s="2">
        <v>1</v>
      </c>
      <c r="L813" s="2">
        <v>0</v>
      </c>
      <c r="M813">
        <v>0</v>
      </c>
      <c r="N813">
        <v>0</v>
      </c>
      <c r="O813" s="2">
        <v>0</v>
      </c>
      <c r="P813" s="2">
        <v>0</v>
      </c>
      <c r="Q813">
        <v>0</v>
      </c>
      <c r="R813" s="2">
        <v>0</v>
      </c>
      <c r="S813" s="2">
        <v>0</v>
      </c>
      <c r="T813" t="s">
        <v>496</v>
      </c>
      <c r="U813" s="2">
        <v>0</v>
      </c>
      <c r="V813" s="2">
        <v>10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idden="1" x14ac:dyDescent="0.25">
      <c r="A814" t="s">
        <v>29</v>
      </c>
      <c r="B814" t="s">
        <v>30</v>
      </c>
      <c r="C814" t="s">
        <v>31</v>
      </c>
      <c r="D814" s="1">
        <v>45862</v>
      </c>
      <c r="E814" s="1">
        <v>45862</v>
      </c>
      <c r="F814" s="2">
        <v>25</v>
      </c>
      <c r="G814" s="3" t="s">
        <v>23</v>
      </c>
      <c r="H814">
        <v>30</v>
      </c>
      <c r="I814" s="2">
        <v>0</v>
      </c>
      <c r="J814" s="2">
        <v>0</v>
      </c>
      <c r="K814" s="2">
        <v>1</v>
      </c>
      <c r="L814" s="2">
        <v>0</v>
      </c>
      <c r="M814">
        <v>0</v>
      </c>
      <c r="N814">
        <v>0</v>
      </c>
      <c r="O814" s="2">
        <v>0</v>
      </c>
      <c r="P814" s="2">
        <v>0</v>
      </c>
      <c r="Q814">
        <v>1</v>
      </c>
      <c r="R814" s="2">
        <v>0</v>
      </c>
      <c r="S814" s="2">
        <v>0</v>
      </c>
      <c r="T814" t="s">
        <v>497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</row>
    <row r="815" spans="1:28" hidden="1" x14ac:dyDescent="0.25">
      <c r="A815" t="s">
        <v>33</v>
      </c>
      <c r="B815" t="s">
        <v>57</v>
      </c>
      <c r="C815" t="s">
        <v>35</v>
      </c>
      <c r="D815" s="1">
        <v>45862</v>
      </c>
      <c r="E815" s="1">
        <v>45862</v>
      </c>
      <c r="F815" s="2">
        <v>25</v>
      </c>
      <c r="G815" s="3" t="s">
        <v>23</v>
      </c>
      <c r="H815">
        <v>9</v>
      </c>
      <c r="I815" s="2">
        <v>0</v>
      </c>
      <c r="J815" s="2">
        <v>0</v>
      </c>
      <c r="K815" s="2">
        <v>0</v>
      </c>
      <c r="L815" s="2">
        <v>0</v>
      </c>
      <c r="M815">
        <v>0</v>
      </c>
      <c r="N815">
        <v>0</v>
      </c>
      <c r="O815" s="2">
        <v>0</v>
      </c>
      <c r="P815" s="2">
        <v>0</v>
      </c>
      <c r="Q815">
        <v>0</v>
      </c>
      <c r="R815" s="2">
        <v>0</v>
      </c>
      <c r="S815" s="2">
        <v>0</v>
      </c>
      <c r="T815" t="s">
        <v>498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idden="1" x14ac:dyDescent="0.25">
      <c r="A816" t="s">
        <v>37</v>
      </c>
      <c r="B816" t="s">
        <v>47</v>
      </c>
      <c r="C816" t="s">
        <v>39</v>
      </c>
      <c r="D816" s="1">
        <v>45862</v>
      </c>
      <c r="E816" s="1">
        <v>45862</v>
      </c>
      <c r="F816" s="2">
        <v>16</v>
      </c>
      <c r="G816" s="3" t="s">
        <v>23</v>
      </c>
      <c r="H816">
        <v>27</v>
      </c>
      <c r="I816" s="2">
        <v>0</v>
      </c>
      <c r="J816" s="2">
        <v>0</v>
      </c>
      <c r="K816" s="2">
        <v>1</v>
      </c>
      <c r="L816" s="2">
        <v>0</v>
      </c>
      <c r="M816">
        <v>0</v>
      </c>
      <c r="N816">
        <v>0</v>
      </c>
      <c r="O816" s="2">
        <v>0</v>
      </c>
      <c r="P816" s="2">
        <v>0</v>
      </c>
      <c r="Q816">
        <v>0</v>
      </c>
      <c r="R816" s="2">
        <v>0</v>
      </c>
      <c r="S816" s="2">
        <v>0</v>
      </c>
      <c r="T816" t="s">
        <v>499</v>
      </c>
      <c r="U816" s="2">
        <v>0</v>
      </c>
      <c r="V816" s="2">
        <v>11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idden="1" x14ac:dyDescent="0.25">
      <c r="A817" t="s">
        <v>56</v>
      </c>
      <c r="B817" t="s">
        <v>47</v>
      </c>
      <c r="C817" t="s">
        <v>39</v>
      </c>
      <c r="D817" s="1">
        <v>45862</v>
      </c>
      <c r="E817" s="1">
        <v>45862</v>
      </c>
      <c r="F817" s="2">
        <v>16</v>
      </c>
      <c r="G817" s="3" t="s">
        <v>23</v>
      </c>
      <c r="H817">
        <v>27</v>
      </c>
      <c r="I817" s="2">
        <v>0</v>
      </c>
      <c r="J817" s="2">
        <v>0</v>
      </c>
      <c r="K817" s="2">
        <v>1</v>
      </c>
      <c r="L817" s="2">
        <v>0</v>
      </c>
      <c r="M817">
        <v>0</v>
      </c>
      <c r="N817">
        <v>0</v>
      </c>
      <c r="O817" s="2">
        <v>0</v>
      </c>
      <c r="P817" s="2">
        <v>0</v>
      </c>
      <c r="Q817">
        <v>0</v>
      </c>
      <c r="R817" s="2">
        <v>0</v>
      </c>
      <c r="S817" s="2">
        <v>0</v>
      </c>
      <c r="T817" t="s">
        <v>499</v>
      </c>
      <c r="U817" s="2">
        <v>0</v>
      </c>
      <c r="V817" s="2">
        <v>11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idden="1" x14ac:dyDescent="0.25">
      <c r="A818" t="s">
        <v>47</v>
      </c>
      <c r="B818" t="s">
        <v>26</v>
      </c>
      <c r="C818" t="s">
        <v>64</v>
      </c>
      <c r="D818" s="1">
        <v>45862</v>
      </c>
      <c r="E818" s="1">
        <v>45862</v>
      </c>
      <c r="F818" s="2">
        <v>25</v>
      </c>
      <c r="G818" s="3" t="s">
        <v>572</v>
      </c>
      <c r="H818">
        <v>0</v>
      </c>
      <c r="I818" s="2">
        <v>0</v>
      </c>
      <c r="J818" s="2">
        <v>0</v>
      </c>
      <c r="K818" s="2">
        <v>0</v>
      </c>
      <c r="L818" s="2">
        <v>0</v>
      </c>
      <c r="M818">
        <v>0</v>
      </c>
      <c r="N818">
        <v>0</v>
      </c>
      <c r="O818" s="2">
        <v>0</v>
      </c>
      <c r="P818" s="2">
        <v>0</v>
      </c>
      <c r="Q818">
        <v>0</v>
      </c>
      <c r="R818" s="2">
        <v>0</v>
      </c>
      <c r="S818" s="2">
        <v>0</v>
      </c>
      <c r="T818" t="s">
        <v>485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idden="1" x14ac:dyDescent="0.25">
      <c r="A819" t="s">
        <v>20</v>
      </c>
      <c r="B819" t="s">
        <v>47</v>
      </c>
      <c r="C819" t="s">
        <v>22</v>
      </c>
      <c r="D819" s="1">
        <v>45862</v>
      </c>
      <c r="E819" s="1">
        <v>45862</v>
      </c>
      <c r="F819" s="2">
        <v>88</v>
      </c>
      <c r="G819" s="3" t="s">
        <v>129</v>
      </c>
      <c r="H819">
        <v>0</v>
      </c>
      <c r="I819" s="2">
        <v>0</v>
      </c>
      <c r="J819" s="2">
        <v>0</v>
      </c>
      <c r="K819" s="2">
        <v>0</v>
      </c>
      <c r="L819" s="2">
        <v>0</v>
      </c>
      <c r="M819">
        <v>0</v>
      </c>
      <c r="N819">
        <v>0</v>
      </c>
      <c r="O819" s="2">
        <v>0</v>
      </c>
      <c r="P819" s="2">
        <v>0</v>
      </c>
      <c r="Q819">
        <v>0</v>
      </c>
      <c r="R819" s="2">
        <v>0</v>
      </c>
      <c r="S819" s="2">
        <v>0</v>
      </c>
      <c r="T819" t="s">
        <v>446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idden="1" x14ac:dyDescent="0.25">
      <c r="A820" t="s">
        <v>47</v>
      </c>
      <c r="B820" t="s">
        <v>52</v>
      </c>
      <c r="C820" t="s">
        <v>212</v>
      </c>
      <c r="D820" s="1">
        <v>45862</v>
      </c>
      <c r="E820" s="1">
        <v>45862</v>
      </c>
      <c r="F820" s="2">
        <v>0</v>
      </c>
      <c r="G820" s="3" t="s">
        <v>572</v>
      </c>
      <c r="H820">
        <v>0</v>
      </c>
      <c r="I820" s="2">
        <v>0</v>
      </c>
      <c r="J820" s="2">
        <v>0</v>
      </c>
      <c r="K820" s="2">
        <v>0</v>
      </c>
      <c r="L820" s="2">
        <v>0</v>
      </c>
      <c r="M820">
        <v>0</v>
      </c>
      <c r="N820">
        <v>0</v>
      </c>
      <c r="O820" s="2">
        <v>0</v>
      </c>
      <c r="P820" s="2">
        <v>0</v>
      </c>
      <c r="Q820">
        <v>0</v>
      </c>
      <c r="R820" s="2">
        <v>0</v>
      </c>
      <c r="S820" s="2">
        <v>0</v>
      </c>
      <c r="T820" t="s">
        <v>377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idden="1" x14ac:dyDescent="0.25">
      <c r="A821" t="s">
        <v>56</v>
      </c>
      <c r="B821" t="s">
        <v>26</v>
      </c>
      <c r="C821" t="s">
        <v>64</v>
      </c>
      <c r="D821" s="1">
        <v>45863</v>
      </c>
      <c r="E821" s="1">
        <v>45863</v>
      </c>
      <c r="F821" s="2">
        <v>53</v>
      </c>
      <c r="G821" s="3" t="s">
        <v>23</v>
      </c>
      <c r="H821">
        <v>40</v>
      </c>
      <c r="I821" s="2">
        <v>0</v>
      </c>
      <c r="J821" s="2">
        <v>0</v>
      </c>
      <c r="K821" s="2">
        <v>0</v>
      </c>
      <c r="L821" s="2">
        <v>1</v>
      </c>
      <c r="M821">
        <v>0</v>
      </c>
      <c r="N821">
        <v>0</v>
      </c>
      <c r="O821" s="2">
        <v>0</v>
      </c>
      <c r="P821" s="2">
        <v>0</v>
      </c>
      <c r="Q821">
        <v>0</v>
      </c>
      <c r="R821" s="2">
        <v>0</v>
      </c>
      <c r="S821" s="2">
        <v>0</v>
      </c>
      <c r="T821" t="s">
        <v>500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idden="1" x14ac:dyDescent="0.25">
      <c r="A822" t="s">
        <v>25</v>
      </c>
      <c r="B822" t="s">
        <v>21</v>
      </c>
      <c r="C822" t="s">
        <v>27</v>
      </c>
      <c r="D822" s="1">
        <v>45863</v>
      </c>
      <c r="E822" s="1">
        <v>45863</v>
      </c>
      <c r="F822" s="2">
        <v>26</v>
      </c>
      <c r="G822" s="3" t="s">
        <v>23</v>
      </c>
      <c r="H822">
        <v>16</v>
      </c>
      <c r="I822" s="2">
        <v>0</v>
      </c>
      <c r="J822" s="2">
        <v>0</v>
      </c>
      <c r="K822" s="2">
        <v>1</v>
      </c>
      <c r="L822" s="2">
        <v>0</v>
      </c>
      <c r="M822">
        <v>0</v>
      </c>
      <c r="N822">
        <v>0</v>
      </c>
      <c r="O822" s="2">
        <v>0</v>
      </c>
      <c r="P822" s="2">
        <v>0</v>
      </c>
      <c r="Q822">
        <v>0</v>
      </c>
      <c r="R822" s="2">
        <v>0</v>
      </c>
      <c r="S822" s="2">
        <v>0</v>
      </c>
      <c r="T822" t="s">
        <v>501</v>
      </c>
      <c r="U822" s="2">
        <v>0</v>
      </c>
      <c r="V822" s="2">
        <v>20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idden="1" x14ac:dyDescent="0.25">
      <c r="A823" t="s">
        <v>29</v>
      </c>
      <c r="B823" t="s">
        <v>30</v>
      </c>
      <c r="C823" t="s">
        <v>31</v>
      </c>
      <c r="D823" s="1">
        <v>45863</v>
      </c>
      <c r="E823" s="1">
        <v>45863</v>
      </c>
      <c r="F823" s="2">
        <v>33</v>
      </c>
      <c r="G823" s="3" t="s">
        <v>23</v>
      </c>
      <c r="H823">
        <v>36</v>
      </c>
      <c r="I823" s="2">
        <v>0</v>
      </c>
      <c r="J823" s="2">
        <v>0</v>
      </c>
      <c r="K823" s="2">
        <v>1</v>
      </c>
      <c r="L823" s="2">
        <v>0</v>
      </c>
      <c r="M823">
        <v>1</v>
      </c>
      <c r="N823">
        <v>0</v>
      </c>
      <c r="O823" s="2">
        <v>0</v>
      </c>
      <c r="P823" s="2">
        <v>0</v>
      </c>
      <c r="Q823">
        <v>0</v>
      </c>
      <c r="R823" s="2">
        <v>0</v>
      </c>
      <c r="S823" s="2">
        <v>0</v>
      </c>
      <c r="T823" t="s">
        <v>502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idden="1" x14ac:dyDescent="0.25">
      <c r="A824" t="s">
        <v>33</v>
      </c>
      <c r="B824" t="s">
        <v>57</v>
      </c>
      <c r="C824" t="s">
        <v>35</v>
      </c>
      <c r="D824" s="1">
        <v>45863</v>
      </c>
      <c r="E824" s="1">
        <v>45863</v>
      </c>
      <c r="F824" s="2">
        <v>66</v>
      </c>
      <c r="G824" s="3" t="s">
        <v>23</v>
      </c>
      <c r="H824">
        <v>23</v>
      </c>
      <c r="I824" s="2">
        <v>0</v>
      </c>
      <c r="J824" s="2">
        <v>0</v>
      </c>
      <c r="K824" s="2">
        <v>1</v>
      </c>
      <c r="L824" s="2">
        <v>0</v>
      </c>
      <c r="M824">
        <v>1</v>
      </c>
      <c r="N824">
        <v>0</v>
      </c>
      <c r="O824" s="2">
        <v>0</v>
      </c>
      <c r="P824" s="2">
        <v>0</v>
      </c>
      <c r="Q824">
        <v>0</v>
      </c>
      <c r="R824" s="2">
        <v>0</v>
      </c>
      <c r="S824" s="2">
        <v>0</v>
      </c>
      <c r="T824" t="s">
        <v>503</v>
      </c>
      <c r="U824" s="2">
        <v>0</v>
      </c>
      <c r="V824" s="2">
        <v>4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idden="1" x14ac:dyDescent="0.25">
      <c r="A825" t="s">
        <v>37</v>
      </c>
      <c r="B825" t="s">
        <v>47</v>
      </c>
      <c r="C825" t="s">
        <v>64</v>
      </c>
      <c r="D825" s="1">
        <v>45863</v>
      </c>
      <c r="E825" s="1">
        <v>45863</v>
      </c>
      <c r="F825" s="2">
        <v>25</v>
      </c>
      <c r="G825" s="3" t="s">
        <v>572</v>
      </c>
      <c r="H825">
        <v>0</v>
      </c>
      <c r="I825" s="2">
        <v>0</v>
      </c>
      <c r="J825" s="2">
        <v>0</v>
      </c>
      <c r="K825" s="2">
        <v>0</v>
      </c>
      <c r="L825" s="2">
        <v>0</v>
      </c>
      <c r="M825">
        <v>0</v>
      </c>
      <c r="N825">
        <v>0</v>
      </c>
      <c r="O825" s="2">
        <v>0</v>
      </c>
      <c r="P825" s="2">
        <v>0</v>
      </c>
      <c r="Q825">
        <v>0</v>
      </c>
      <c r="R825" s="2">
        <v>0</v>
      </c>
      <c r="S825" s="2">
        <v>0</v>
      </c>
      <c r="T825" t="s">
        <v>485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idden="1" x14ac:dyDescent="0.25">
      <c r="A826" t="s">
        <v>20</v>
      </c>
      <c r="B826" t="s">
        <v>47</v>
      </c>
      <c r="C826" t="s">
        <v>22</v>
      </c>
      <c r="D826" s="1">
        <v>45863</v>
      </c>
      <c r="E826" s="1">
        <v>45863</v>
      </c>
      <c r="F826" s="2">
        <v>88</v>
      </c>
      <c r="G826" s="3" t="s">
        <v>129</v>
      </c>
      <c r="H826">
        <v>0</v>
      </c>
      <c r="I826" s="2">
        <v>0</v>
      </c>
      <c r="J826" s="2">
        <v>0</v>
      </c>
      <c r="K826" s="2">
        <v>0</v>
      </c>
      <c r="L826" s="2">
        <v>0</v>
      </c>
      <c r="M826">
        <v>0</v>
      </c>
      <c r="N826">
        <v>0</v>
      </c>
      <c r="O826" s="2">
        <v>0</v>
      </c>
      <c r="P826" s="2">
        <v>0</v>
      </c>
      <c r="Q826">
        <v>0</v>
      </c>
      <c r="R826" s="2">
        <v>0</v>
      </c>
      <c r="S826" s="2">
        <v>0</v>
      </c>
      <c r="T826" t="s">
        <v>446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idden="1" x14ac:dyDescent="0.25">
      <c r="A827" t="s">
        <v>53</v>
      </c>
      <c r="B827" t="s">
        <v>38</v>
      </c>
      <c r="C827" t="s">
        <v>212</v>
      </c>
      <c r="D827" s="1">
        <v>45863</v>
      </c>
      <c r="E827" s="1">
        <v>45863</v>
      </c>
      <c r="F827" s="2">
        <v>0</v>
      </c>
      <c r="G827" s="3" t="s">
        <v>48</v>
      </c>
      <c r="H827">
        <v>0</v>
      </c>
      <c r="I827" s="2">
        <v>0</v>
      </c>
      <c r="J827" s="2">
        <v>0</v>
      </c>
      <c r="K827" s="2">
        <v>0</v>
      </c>
      <c r="L827" s="2">
        <v>0</v>
      </c>
      <c r="M827">
        <v>0</v>
      </c>
      <c r="N827">
        <v>0</v>
      </c>
      <c r="O827" s="2">
        <v>0</v>
      </c>
      <c r="P827" s="2">
        <v>0</v>
      </c>
      <c r="Q827">
        <v>0</v>
      </c>
      <c r="R827" s="2">
        <v>0</v>
      </c>
      <c r="S827" s="2">
        <v>0</v>
      </c>
      <c r="T827" t="s">
        <v>377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idden="1" x14ac:dyDescent="0.25">
      <c r="A828" t="s">
        <v>47</v>
      </c>
      <c r="B828" t="s">
        <v>52</v>
      </c>
      <c r="C828" t="s">
        <v>212</v>
      </c>
      <c r="D828" s="1">
        <v>45863</v>
      </c>
      <c r="E828" s="1">
        <v>45863</v>
      </c>
      <c r="F828" s="2">
        <v>0</v>
      </c>
      <c r="G828" s="3" t="s">
        <v>572</v>
      </c>
      <c r="H828">
        <v>0</v>
      </c>
      <c r="I828" s="2">
        <v>0</v>
      </c>
      <c r="J828" s="2">
        <v>0</v>
      </c>
      <c r="K828" s="2">
        <v>0</v>
      </c>
      <c r="L828" s="2">
        <v>0</v>
      </c>
      <c r="M828">
        <v>0</v>
      </c>
      <c r="N828">
        <v>0</v>
      </c>
      <c r="O828" s="2">
        <v>0</v>
      </c>
      <c r="P828" s="2">
        <v>0</v>
      </c>
      <c r="Q828">
        <v>0</v>
      </c>
      <c r="R828" s="2">
        <v>0</v>
      </c>
      <c r="S828" s="2">
        <v>0</v>
      </c>
      <c r="T828" t="s">
        <v>377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</row>
    <row r="829" spans="1:28" hidden="1" x14ac:dyDescent="0.25">
      <c r="A829" t="s">
        <v>53</v>
      </c>
      <c r="B829" t="s">
        <v>38</v>
      </c>
      <c r="C829" t="s">
        <v>54</v>
      </c>
      <c r="D829" s="9">
        <v>45864</v>
      </c>
      <c r="E829" s="9">
        <v>45864</v>
      </c>
      <c r="F829" s="2">
        <v>52</v>
      </c>
      <c r="G829" s="3" t="s">
        <v>23</v>
      </c>
      <c r="H829">
        <v>0</v>
      </c>
      <c r="I829" s="2">
        <v>0</v>
      </c>
      <c r="J829" s="2">
        <v>0</v>
      </c>
      <c r="K829" s="2">
        <v>0</v>
      </c>
      <c r="L829" s="2">
        <v>0</v>
      </c>
      <c r="M829">
        <v>0</v>
      </c>
      <c r="N829">
        <v>0</v>
      </c>
      <c r="O829" s="2">
        <v>1</v>
      </c>
      <c r="P829" s="2">
        <v>0</v>
      </c>
      <c r="Q829">
        <v>2</v>
      </c>
      <c r="R829" s="2">
        <v>1</v>
      </c>
      <c r="S829" s="2">
        <v>0</v>
      </c>
      <c r="T829" t="s">
        <v>504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</row>
    <row r="830" spans="1:28" hidden="1" x14ac:dyDescent="0.25">
      <c r="A830" t="s">
        <v>25</v>
      </c>
      <c r="B830" t="s">
        <v>21</v>
      </c>
      <c r="C830" t="s">
        <v>27</v>
      </c>
      <c r="D830" s="9">
        <v>45864</v>
      </c>
      <c r="E830" s="9">
        <v>45864</v>
      </c>
      <c r="F830" s="2">
        <v>87</v>
      </c>
      <c r="G830" s="3" t="s">
        <v>23</v>
      </c>
      <c r="H830">
        <v>0</v>
      </c>
      <c r="I830" s="2">
        <v>0</v>
      </c>
      <c r="J830" s="2">
        <v>0</v>
      </c>
      <c r="K830" s="2">
        <v>0</v>
      </c>
      <c r="L830" s="2">
        <v>0</v>
      </c>
      <c r="M830">
        <v>0</v>
      </c>
      <c r="N830">
        <v>0</v>
      </c>
      <c r="O830" s="2">
        <v>0</v>
      </c>
      <c r="P830" s="2">
        <v>0</v>
      </c>
      <c r="Q830">
        <v>7</v>
      </c>
      <c r="R830" s="2">
        <v>1</v>
      </c>
      <c r="S830" s="2">
        <v>0</v>
      </c>
      <c r="T830" t="s">
        <v>505</v>
      </c>
      <c r="U830" s="2">
        <v>24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1</v>
      </c>
      <c r="AB830" s="2">
        <v>0</v>
      </c>
    </row>
    <row r="831" spans="1:28" hidden="1" x14ac:dyDescent="0.25">
      <c r="A831" t="s">
        <v>63</v>
      </c>
      <c r="B831" t="s">
        <v>284</v>
      </c>
      <c r="C831" t="s">
        <v>102</v>
      </c>
      <c r="D831" s="9">
        <v>45864</v>
      </c>
      <c r="E831" s="9">
        <v>45864</v>
      </c>
      <c r="F831" s="2">
        <v>41</v>
      </c>
      <c r="G831" s="3" t="s">
        <v>23</v>
      </c>
      <c r="H831">
        <v>0</v>
      </c>
      <c r="I831" s="2">
        <v>0</v>
      </c>
      <c r="J831" s="2">
        <v>0</v>
      </c>
      <c r="K831" s="2">
        <v>0</v>
      </c>
      <c r="L831" s="2">
        <v>0</v>
      </c>
      <c r="M831">
        <v>0</v>
      </c>
      <c r="N831">
        <v>0</v>
      </c>
      <c r="O831" s="2">
        <v>1</v>
      </c>
      <c r="P831" s="2">
        <v>0</v>
      </c>
      <c r="Q831">
        <v>2</v>
      </c>
      <c r="R831" s="2">
        <v>1</v>
      </c>
      <c r="S831" s="2">
        <v>0</v>
      </c>
      <c r="T831" t="s">
        <v>506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</row>
    <row r="832" spans="1:28" hidden="1" x14ac:dyDescent="0.25">
      <c r="A832" t="s">
        <v>29</v>
      </c>
      <c r="B832" t="s">
        <v>30</v>
      </c>
      <c r="C832" t="s">
        <v>31</v>
      </c>
      <c r="D832" s="9">
        <v>45864</v>
      </c>
      <c r="E832" s="9">
        <v>45864</v>
      </c>
      <c r="F832" s="2">
        <v>24</v>
      </c>
      <c r="G832" s="3" t="s">
        <v>23</v>
      </c>
      <c r="H832">
        <v>0</v>
      </c>
      <c r="I832" s="2">
        <v>0</v>
      </c>
      <c r="J832" s="2">
        <v>0</v>
      </c>
      <c r="K832" s="2">
        <v>0</v>
      </c>
      <c r="L832" s="2">
        <v>0</v>
      </c>
      <c r="M832">
        <v>0</v>
      </c>
      <c r="N832">
        <v>0</v>
      </c>
      <c r="O832" s="2">
        <v>1</v>
      </c>
      <c r="P832" s="2">
        <v>0</v>
      </c>
      <c r="Q832">
        <v>2</v>
      </c>
      <c r="R832" s="2">
        <v>1</v>
      </c>
      <c r="S832" s="2">
        <v>0</v>
      </c>
      <c r="T832" t="s">
        <v>507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idden="1" x14ac:dyDescent="0.25">
      <c r="A833" t="s">
        <v>37</v>
      </c>
      <c r="B833" t="s">
        <v>47</v>
      </c>
      <c r="C833" t="s">
        <v>64</v>
      </c>
      <c r="D833" s="9">
        <v>45864</v>
      </c>
      <c r="E833" s="9">
        <v>45864</v>
      </c>
      <c r="F833" s="2">
        <v>25</v>
      </c>
      <c r="G833" s="3" t="s">
        <v>378</v>
      </c>
      <c r="H833">
        <v>0</v>
      </c>
      <c r="I833" s="2">
        <v>0</v>
      </c>
      <c r="J833" s="2">
        <v>0</v>
      </c>
      <c r="K833" s="2">
        <v>0</v>
      </c>
      <c r="L833" s="2">
        <v>0</v>
      </c>
      <c r="M833">
        <v>0</v>
      </c>
      <c r="N833">
        <v>0</v>
      </c>
      <c r="O833" s="2">
        <v>0</v>
      </c>
      <c r="P833" s="2">
        <v>0</v>
      </c>
      <c r="Q833">
        <v>0</v>
      </c>
      <c r="R833" s="2">
        <v>0</v>
      </c>
      <c r="S833" s="2">
        <v>0</v>
      </c>
      <c r="T833" t="s">
        <v>485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idden="1" x14ac:dyDescent="0.25">
      <c r="A834" t="s">
        <v>56</v>
      </c>
      <c r="B834" t="s">
        <v>26</v>
      </c>
      <c r="C834" t="s">
        <v>64</v>
      </c>
      <c r="D834" s="9">
        <v>45864</v>
      </c>
      <c r="E834" s="9">
        <v>45864</v>
      </c>
      <c r="F834" s="2">
        <v>25</v>
      </c>
      <c r="G834" s="3" t="s">
        <v>378</v>
      </c>
      <c r="H834">
        <v>0</v>
      </c>
      <c r="I834" s="2">
        <v>0</v>
      </c>
      <c r="J834" s="2">
        <v>0</v>
      </c>
      <c r="K834" s="2">
        <v>0</v>
      </c>
      <c r="L834" s="2">
        <v>0</v>
      </c>
      <c r="M834">
        <v>0</v>
      </c>
      <c r="N834">
        <v>0</v>
      </c>
      <c r="O834" s="2">
        <v>0</v>
      </c>
      <c r="P834" s="2">
        <v>0</v>
      </c>
      <c r="Q834">
        <v>0</v>
      </c>
      <c r="R834" s="2">
        <v>0</v>
      </c>
      <c r="S834" s="2">
        <v>0</v>
      </c>
      <c r="T834" t="s">
        <v>485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idden="1" x14ac:dyDescent="0.25">
      <c r="A835" t="s">
        <v>33</v>
      </c>
      <c r="B835" t="s">
        <v>57</v>
      </c>
      <c r="C835" t="s">
        <v>64</v>
      </c>
      <c r="D835" s="9">
        <v>45864</v>
      </c>
      <c r="E835" s="9">
        <v>45864</v>
      </c>
      <c r="F835" s="2">
        <v>25</v>
      </c>
      <c r="G835" s="3" t="s">
        <v>378</v>
      </c>
      <c r="H835">
        <v>0</v>
      </c>
      <c r="I835" s="2">
        <v>0</v>
      </c>
      <c r="J835" s="2">
        <v>0</v>
      </c>
      <c r="K835" s="2">
        <v>0</v>
      </c>
      <c r="L835" s="2">
        <v>0</v>
      </c>
      <c r="M835">
        <v>0</v>
      </c>
      <c r="N835">
        <v>0</v>
      </c>
      <c r="O835" s="2">
        <v>0</v>
      </c>
      <c r="P835" s="2">
        <v>0</v>
      </c>
      <c r="Q835">
        <v>0</v>
      </c>
      <c r="R835" s="2">
        <v>0</v>
      </c>
      <c r="S835" s="2">
        <v>0</v>
      </c>
      <c r="T835" t="s">
        <v>485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idden="1" x14ac:dyDescent="0.25">
      <c r="A836" t="s">
        <v>47</v>
      </c>
      <c r="B836" t="s">
        <v>52</v>
      </c>
      <c r="C836" t="s">
        <v>64</v>
      </c>
      <c r="D836" s="9">
        <v>45864</v>
      </c>
      <c r="E836" s="9">
        <v>45864</v>
      </c>
      <c r="F836" s="2">
        <v>25</v>
      </c>
      <c r="G836" s="3" t="s">
        <v>378</v>
      </c>
      <c r="H836">
        <v>0</v>
      </c>
      <c r="I836" s="2">
        <v>0</v>
      </c>
      <c r="J836" s="2">
        <v>0</v>
      </c>
      <c r="K836" s="2">
        <v>0</v>
      </c>
      <c r="L836" s="2">
        <v>0</v>
      </c>
      <c r="M836">
        <v>0</v>
      </c>
      <c r="N836">
        <v>0</v>
      </c>
      <c r="O836" s="2">
        <v>0</v>
      </c>
      <c r="P836" s="2">
        <v>0</v>
      </c>
      <c r="Q836">
        <v>0</v>
      </c>
      <c r="R836" s="2">
        <v>0</v>
      </c>
      <c r="S836" s="2">
        <v>0</v>
      </c>
      <c r="T836" t="s">
        <v>485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idden="1" x14ac:dyDescent="0.25">
      <c r="A837" t="s">
        <v>20</v>
      </c>
      <c r="B837" t="s">
        <v>47</v>
      </c>
      <c r="C837" t="s">
        <v>64</v>
      </c>
      <c r="D837" s="9">
        <v>45864</v>
      </c>
      <c r="E837" s="9">
        <v>45864</v>
      </c>
      <c r="F837" s="2">
        <v>25</v>
      </c>
      <c r="G837" s="3" t="s">
        <v>129</v>
      </c>
      <c r="H837">
        <v>0</v>
      </c>
      <c r="I837" s="2">
        <v>0</v>
      </c>
      <c r="J837" s="2">
        <v>0</v>
      </c>
      <c r="K837" s="2">
        <v>0</v>
      </c>
      <c r="L837" s="2">
        <v>0</v>
      </c>
      <c r="M837">
        <v>0</v>
      </c>
      <c r="N837">
        <v>0</v>
      </c>
      <c r="O837" s="2">
        <v>0</v>
      </c>
      <c r="P837" s="2">
        <v>0</v>
      </c>
      <c r="Q837">
        <v>0</v>
      </c>
      <c r="R837" s="2">
        <v>0</v>
      </c>
      <c r="S837" s="2">
        <v>0</v>
      </c>
      <c r="T837" t="s">
        <v>485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</row>
    <row r="838" spans="1:28" hidden="1" x14ac:dyDescent="0.25">
      <c r="A838" t="s">
        <v>53</v>
      </c>
      <c r="B838" t="s">
        <v>38</v>
      </c>
      <c r="C838" t="s">
        <v>54</v>
      </c>
      <c r="D838" s="9">
        <v>45865</v>
      </c>
      <c r="E838" s="9">
        <v>45865</v>
      </c>
      <c r="F838" s="2">
        <v>51</v>
      </c>
      <c r="G838" s="3" t="s">
        <v>23</v>
      </c>
      <c r="H838">
        <v>0</v>
      </c>
      <c r="I838" s="2">
        <v>0</v>
      </c>
      <c r="J838" s="2">
        <v>0</v>
      </c>
      <c r="K838" s="2">
        <v>0</v>
      </c>
      <c r="L838" s="2">
        <v>0</v>
      </c>
      <c r="M838">
        <v>0</v>
      </c>
      <c r="N838">
        <v>0</v>
      </c>
      <c r="O838" s="2">
        <v>0</v>
      </c>
      <c r="P838" s="2">
        <v>0</v>
      </c>
      <c r="Q838">
        <v>7</v>
      </c>
      <c r="R838" s="2">
        <v>0</v>
      </c>
      <c r="S838" s="2">
        <v>1</v>
      </c>
      <c r="T838" t="s">
        <v>508</v>
      </c>
      <c r="U838" s="2">
        <v>5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1</v>
      </c>
    </row>
    <row r="839" spans="1:28" hidden="1" x14ac:dyDescent="0.25">
      <c r="A839" t="s">
        <v>25</v>
      </c>
      <c r="B839" t="s">
        <v>21</v>
      </c>
      <c r="C839" t="s">
        <v>27</v>
      </c>
      <c r="D839" s="9">
        <v>45865</v>
      </c>
      <c r="E839" s="9">
        <v>45865</v>
      </c>
      <c r="F839" s="2">
        <v>48</v>
      </c>
      <c r="G839" s="3" t="s">
        <v>23</v>
      </c>
      <c r="H839">
        <v>0</v>
      </c>
      <c r="I839" s="2">
        <v>0</v>
      </c>
      <c r="J839" s="2">
        <v>0</v>
      </c>
      <c r="K839" s="2">
        <v>0</v>
      </c>
      <c r="L839" s="2">
        <v>0</v>
      </c>
      <c r="M839">
        <v>0</v>
      </c>
      <c r="N839">
        <v>0</v>
      </c>
      <c r="O839" s="2">
        <v>0</v>
      </c>
      <c r="P839" s="2">
        <v>1</v>
      </c>
      <c r="Q839">
        <v>1</v>
      </c>
      <c r="R839" s="2">
        <v>0</v>
      </c>
      <c r="S839" s="2">
        <v>1</v>
      </c>
      <c r="T839" t="s">
        <v>509</v>
      </c>
      <c r="U839" s="2">
        <v>18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</row>
    <row r="840" spans="1:28" hidden="1" x14ac:dyDescent="0.25">
      <c r="A840" t="s">
        <v>63</v>
      </c>
      <c r="B840" t="s">
        <v>284</v>
      </c>
      <c r="C840" t="s">
        <v>102</v>
      </c>
      <c r="D840" s="9">
        <v>45865</v>
      </c>
      <c r="E840" s="9">
        <v>45865</v>
      </c>
      <c r="F840" s="2">
        <v>20</v>
      </c>
      <c r="G840" s="3" t="s">
        <v>23</v>
      </c>
      <c r="H840">
        <v>0</v>
      </c>
      <c r="I840" s="2">
        <v>0</v>
      </c>
      <c r="J840" s="2">
        <v>0</v>
      </c>
      <c r="K840" s="2">
        <v>0</v>
      </c>
      <c r="L840" s="2">
        <v>0</v>
      </c>
      <c r="M840">
        <v>0</v>
      </c>
      <c r="N840">
        <v>0</v>
      </c>
      <c r="O840" s="2">
        <v>0</v>
      </c>
      <c r="P840" s="2">
        <v>1</v>
      </c>
      <c r="Q840">
        <v>0</v>
      </c>
      <c r="R840" s="2">
        <v>0</v>
      </c>
      <c r="S840" s="2">
        <v>1</v>
      </c>
      <c r="T840" t="s">
        <v>510</v>
      </c>
      <c r="U840" s="2">
        <v>10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idden="1" x14ac:dyDescent="0.25">
      <c r="A841" t="s">
        <v>29</v>
      </c>
      <c r="B841" t="s">
        <v>30</v>
      </c>
      <c r="C841" t="s">
        <v>31</v>
      </c>
      <c r="D841" s="9">
        <v>45865</v>
      </c>
      <c r="E841" s="9">
        <v>45865</v>
      </c>
      <c r="F841" s="2">
        <v>16</v>
      </c>
      <c r="G841" s="3" t="s">
        <v>23</v>
      </c>
      <c r="H841">
        <v>0</v>
      </c>
      <c r="I841" s="2">
        <v>0</v>
      </c>
      <c r="J841" s="2">
        <v>0</v>
      </c>
      <c r="K841" s="2">
        <v>0</v>
      </c>
      <c r="L841" s="2">
        <v>0</v>
      </c>
      <c r="M841">
        <v>0</v>
      </c>
      <c r="N841">
        <v>0</v>
      </c>
      <c r="O841" s="2">
        <v>0</v>
      </c>
      <c r="P841" s="2">
        <v>1</v>
      </c>
      <c r="Q841">
        <v>0</v>
      </c>
      <c r="R841" s="2">
        <v>0</v>
      </c>
      <c r="S841" s="2">
        <v>1</v>
      </c>
      <c r="T841" t="s">
        <v>511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idden="1" x14ac:dyDescent="0.25">
      <c r="A842" t="s">
        <v>37</v>
      </c>
      <c r="B842" t="s">
        <v>47</v>
      </c>
      <c r="C842" t="s">
        <v>64</v>
      </c>
      <c r="D842" s="9">
        <v>45865</v>
      </c>
      <c r="E842" s="9">
        <v>45865</v>
      </c>
      <c r="F842" s="2">
        <v>25</v>
      </c>
      <c r="G842" s="3" t="s">
        <v>378</v>
      </c>
      <c r="H842">
        <v>0</v>
      </c>
      <c r="I842" s="2">
        <v>0</v>
      </c>
      <c r="J842" s="2">
        <v>0</v>
      </c>
      <c r="K842" s="2">
        <v>0</v>
      </c>
      <c r="L842" s="2">
        <v>0</v>
      </c>
      <c r="M842">
        <v>0</v>
      </c>
      <c r="N842">
        <v>0</v>
      </c>
      <c r="O842" s="2">
        <v>0</v>
      </c>
      <c r="P842" s="2">
        <v>0</v>
      </c>
      <c r="Q842">
        <v>0</v>
      </c>
      <c r="R842" s="2">
        <v>0</v>
      </c>
      <c r="S842" s="2">
        <v>0</v>
      </c>
      <c r="T842" t="s">
        <v>485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</row>
    <row r="843" spans="1:28" hidden="1" x14ac:dyDescent="0.25">
      <c r="A843" t="s">
        <v>56</v>
      </c>
      <c r="B843" t="s">
        <v>26</v>
      </c>
      <c r="C843" t="s">
        <v>64</v>
      </c>
      <c r="D843" s="9">
        <v>45865</v>
      </c>
      <c r="E843" s="9">
        <v>45865</v>
      </c>
      <c r="F843" s="2">
        <v>25</v>
      </c>
      <c r="G843" s="3" t="s">
        <v>378</v>
      </c>
      <c r="H843">
        <v>0</v>
      </c>
      <c r="I843" s="2">
        <v>0</v>
      </c>
      <c r="J843" s="2">
        <v>0</v>
      </c>
      <c r="K843" s="2">
        <v>0</v>
      </c>
      <c r="L843" s="2">
        <v>0</v>
      </c>
      <c r="M843">
        <v>0</v>
      </c>
      <c r="N843">
        <v>0</v>
      </c>
      <c r="O843" s="2">
        <v>0</v>
      </c>
      <c r="P843" s="2">
        <v>0</v>
      </c>
      <c r="Q843">
        <v>0</v>
      </c>
      <c r="R843" s="2">
        <v>0</v>
      </c>
      <c r="S843" s="2">
        <v>0</v>
      </c>
      <c r="T843" t="s">
        <v>485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idden="1" x14ac:dyDescent="0.25">
      <c r="A844" t="s">
        <v>33</v>
      </c>
      <c r="B844" t="s">
        <v>57</v>
      </c>
      <c r="C844" t="s">
        <v>64</v>
      </c>
      <c r="D844" s="9">
        <v>45865</v>
      </c>
      <c r="E844" s="9">
        <v>45865</v>
      </c>
      <c r="F844" s="2">
        <v>25</v>
      </c>
      <c r="G844" s="3" t="s">
        <v>378</v>
      </c>
      <c r="H844">
        <v>0</v>
      </c>
      <c r="I844" s="2">
        <v>0</v>
      </c>
      <c r="J844" s="2">
        <v>0</v>
      </c>
      <c r="K844" s="2">
        <v>0</v>
      </c>
      <c r="L844" s="2">
        <v>0</v>
      </c>
      <c r="M844">
        <v>0</v>
      </c>
      <c r="N844">
        <v>0</v>
      </c>
      <c r="O844" s="2">
        <v>0</v>
      </c>
      <c r="P844" s="2">
        <v>0</v>
      </c>
      <c r="Q844">
        <v>0</v>
      </c>
      <c r="R844" s="2">
        <v>0</v>
      </c>
      <c r="S844" s="2">
        <v>0</v>
      </c>
      <c r="T844" t="s">
        <v>485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</row>
    <row r="845" spans="1:28" hidden="1" x14ac:dyDescent="0.25">
      <c r="A845" t="s">
        <v>47</v>
      </c>
      <c r="B845" t="s">
        <v>52</v>
      </c>
      <c r="C845" t="s">
        <v>64</v>
      </c>
      <c r="D845" s="9">
        <v>45865</v>
      </c>
      <c r="E845" s="9">
        <v>45865</v>
      </c>
      <c r="F845" s="2">
        <v>25</v>
      </c>
      <c r="G845" s="3" t="s">
        <v>378</v>
      </c>
      <c r="H845">
        <v>0</v>
      </c>
      <c r="I845" s="2">
        <v>0</v>
      </c>
      <c r="J845" s="2">
        <v>0</v>
      </c>
      <c r="K845" s="2">
        <v>0</v>
      </c>
      <c r="L845" s="2">
        <v>0</v>
      </c>
      <c r="M845">
        <v>0</v>
      </c>
      <c r="N845">
        <v>0</v>
      </c>
      <c r="O845" s="2">
        <v>0</v>
      </c>
      <c r="P845" s="2">
        <v>0</v>
      </c>
      <c r="Q845">
        <v>0</v>
      </c>
      <c r="R845" s="2">
        <v>0</v>
      </c>
      <c r="S845" s="2">
        <v>0</v>
      </c>
      <c r="T845" t="s">
        <v>485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idden="1" x14ac:dyDescent="0.25">
      <c r="A846" t="s">
        <v>20</v>
      </c>
      <c r="B846" t="s">
        <v>47</v>
      </c>
      <c r="C846" t="s">
        <v>64</v>
      </c>
      <c r="D846" s="9">
        <v>45865</v>
      </c>
      <c r="E846" s="9">
        <v>45865</v>
      </c>
      <c r="F846" s="2">
        <v>25</v>
      </c>
      <c r="G846" s="3" t="s">
        <v>129</v>
      </c>
      <c r="H846">
        <v>0</v>
      </c>
      <c r="I846" s="2">
        <v>0</v>
      </c>
      <c r="J846" s="2">
        <v>0</v>
      </c>
      <c r="K846" s="2">
        <v>0</v>
      </c>
      <c r="L846" s="2">
        <v>0</v>
      </c>
      <c r="M846">
        <v>0</v>
      </c>
      <c r="N846">
        <v>0</v>
      </c>
      <c r="O846" s="2">
        <v>0</v>
      </c>
      <c r="P846" s="2">
        <v>0</v>
      </c>
      <c r="Q846">
        <v>0</v>
      </c>
      <c r="R846" s="2">
        <v>0</v>
      </c>
      <c r="S846" s="2">
        <v>0</v>
      </c>
      <c r="T846" t="s">
        <v>485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idden="1" x14ac:dyDescent="0.25">
      <c r="A847" t="s">
        <v>56</v>
      </c>
      <c r="B847" t="s">
        <v>47</v>
      </c>
      <c r="C847" t="s">
        <v>64</v>
      </c>
      <c r="D847" s="1">
        <v>45866</v>
      </c>
      <c r="E847" s="1">
        <v>45866</v>
      </c>
      <c r="F847" s="2">
        <v>21</v>
      </c>
      <c r="G847" s="3" t="s">
        <v>23</v>
      </c>
      <c r="H847">
        <v>0</v>
      </c>
      <c r="I847" s="2">
        <v>0</v>
      </c>
      <c r="J847" s="2">
        <v>0</v>
      </c>
      <c r="K847" s="2">
        <v>0</v>
      </c>
      <c r="L847" s="2">
        <v>0</v>
      </c>
      <c r="M847">
        <v>0</v>
      </c>
      <c r="N847">
        <v>0</v>
      </c>
      <c r="O847" s="2">
        <v>0</v>
      </c>
      <c r="P847" s="2">
        <v>0</v>
      </c>
      <c r="Q847">
        <v>0</v>
      </c>
      <c r="R847" s="2">
        <v>0</v>
      </c>
      <c r="S847" s="2">
        <v>0</v>
      </c>
      <c r="T847" t="s">
        <v>512</v>
      </c>
      <c r="U847" s="2">
        <v>0</v>
      </c>
      <c r="V847" s="2">
        <v>22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</row>
    <row r="848" spans="1:28" hidden="1" x14ac:dyDescent="0.25">
      <c r="A848" t="s">
        <v>53</v>
      </c>
      <c r="B848" t="s">
        <v>47</v>
      </c>
      <c r="C848" t="s">
        <v>64</v>
      </c>
      <c r="D848" s="1">
        <v>45866</v>
      </c>
      <c r="E848" s="1">
        <v>45866</v>
      </c>
      <c r="F848" s="2">
        <v>21</v>
      </c>
      <c r="G848" s="3" t="s">
        <v>23</v>
      </c>
      <c r="H848">
        <v>0</v>
      </c>
      <c r="I848" s="2">
        <v>0</v>
      </c>
      <c r="J848" s="2">
        <v>0</v>
      </c>
      <c r="K848" s="2">
        <v>0</v>
      </c>
      <c r="L848" s="2">
        <v>0</v>
      </c>
      <c r="M848">
        <v>0</v>
      </c>
      <c r="N848">
        <v>0</v>
      </c>
      <c r="O848" s="2">
        <v>0</v>
      </c>
      <c r="P848" s="2">
        <v>0</v>
      </c>
      <c r="Q848">
        <v>0</v>
      </c>
      <c r="R848" s="2">
        <v>0</v>
      </c>
      <c r="S848" s="2">
        <v>0</v>
      </c>
      <c r="T848" t="s">
        <v>512</v>
      </c>
      <c r="U848" s="2">
        <v>0</v>
      </c>
      <c r="V848" s="2">
        <v>22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idden="1" x14ac:dyDescent="0.25">
      <c r="A849" t="s">
        <v>20</v>
      </c>
      <c r="B849" t="s">
        <v>21</v>
      </c>
      <c r="C849" t="s">
        <v>22</v>
      </c>
      <c r="D849" s="1">
        <v>45866</v>
      </c>
      <c r="E849" s="1">
        <v>45866</v>
      </c>
      <c r="F849" s="2">
        <v>38</v>
      </c>
      <c r="G849" s="3" t="s">
        <v>23</v>
      </c>
      <c r="H849">
        <v>2</v>
      </c>
      <c r="I849" s="2">
        <v>0</v>
      </c>
      <c r="J849" s="2">
        <v>0</v>
      </c>
      <c r="K849" s="2">
        <v>0</v>
      </c>
      <c r="L849" s="2">
        <v>0</v>
      </c>
      <c r="M849">
        <v>0</v>
      </c>
      <c r="N849">
        <v>0</v>
      </c>
      <c r="O849" s="2">
        <v>0</v>
      </c>
      <c r="P849" s="2">
        <v>0</v>
      </c>
      <c r="Q849">
        <v>0</v>
      </c>
      <c r="R849" s="2">
        <v>0</v>
      </c>
      <c r="S849" s="2">
        <v>0</v>
      </c>
      <c r="T849" t="s">
        <v>513</v>
      </c>
      <c r="U849" s="2">
        <v>22</v>
      </c>
      <c r="V849" s="2">
        <v>22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idden="1" x14ac:dyDescent="0.25">
      <c r="A850" t="s">
        <v>25</v>
      </c>
      <c r="B850" t="s">
        <v>26</v>
      </c>
      <c r="C850" t="s">
        <v>27</v>
      </c>
      <c r="D850" s="1">
        <v>45866</v>
      </c>
      <c r="E850" s="1">
        <v>45866</v>
      </c>
      <c r="F850" s="2">
        <v>43</v>
      </c>
      <c r="G850" s="3" t="s">
        <v>23</v>
      </c>
      <c r="H850">
        <v>0</v>
      </c>
      <c r="I850" s="2">
        <v>0</v>
      </c>
      <c r="J850" s="2">
        <v>0</v>
      </c>
      <c r="K850" s="2">
        <v>0</v>
      </c>
      <c r="L850" s="2">
        <v>0</v>
      </c>
      <c r="M850">
        <v>0</v>
      </c>
      <c r="N850">
        <v>0</v>
      </c>
      <c r="O850" s="2">
        <v>0</v>
      </c>
      <c r="P850" s="2">
        <v>0</v>
      </c>
      <c r="Q850">
        <v>0</v>
      </c>
      <c r="R850" s="2">
        <v>0</v>
      </c>
      <c r="S850" s="2">
        <v>0</v>
      </c>
      <c r="T850" t="s">
        <v>514</v>
      </c>
      <c r="U850" s="2">
        <v>0</v>
      </c>
      <c r="V850" s="2">
        <v>40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</row>
    <row r="851" spans="1:28" hidden="1" x14ac:dyDescent="0.25">
      <c r="A851" t="s">
        <v>33</v>
      </c>
      <c r="B851" t="s">
        <v>57</v>
      </c>
      <c r="C851" t="s">
        <v>35</v>
      </c>
      <c r="D851" s="1">
        <v>45866</v>
      </c>
      <c r="E851" s="1">
        <v>45866</v>
      </c>
      <c r="F851" s="2">
        <v>31</v>
      </c>
      <c r="G851" s="3" t="s">
        <v>23</v>
      </c>
      <c r="H851">
        <v>0</v>
      </c>
      <c r="I851" s="2">
        <v>0</v>
      </c>
      <c r="J851" s="2">
        <v>0</v>
      </c>
      <c r="K851" s="2">
        <v>0</v>
      </c>
      <c r="L851" s="2">
        <v>0</v>
      </c>
      <c r="M851">
        <v>0</v>
      </c>
      <c r="N851">
        <v>0</v>
      </c>
      <c r="O851" s="2">
        <v>0</v>
      </c>
      <c r="P851" s="2">
        <v>0</v>
      </c>
      <c r="Q851">
        <v>0</v>
      </c>
      <c r="R851" s="2">
        <v>0</v>
      </c>
      <c r="S851" s="2">
        <v>0</v>
      </c>
      <c r="T851" t="s">
        <v>515</v>
      </c>
      <c r="U851" s="2">
        <v>0</v>
      </c>
      <c r="V851" s="2">
        <v>24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</row>
    <row r="852" spans="1:28" hidden="1" x14ac:dyDescent="0.25">
      <c r="A852" t="s">
        <v>37</v>
      </c>
      <c r="B852" t="s">
        <v>38</v>
      </c>
      <c r="C852" t="s">
        <v>39</v>
      </c>
      <c r="D852" s="1">
        <v>45866</v>
      </c>
      <c r="E852" s="1">
        <v>45866</v>
      </c>
      <c r="F852" s="2">
        <v>21</v>
      </c>
      <c r="G852" s="3" t="s">
        <v>23</v>
      </c>
      <c r="H852">
        <v>0</v>
      </c>
      <c r="I852" s="2">
        <v>0</v>
      </c>
      <c r="J852" s="2">
        <v>0</v>
      </c>
      <c r="K852" s="2">
        <v>0</v>
      </c>
      <c r="L852" s="2">
        <v>0</v>
      </c>
      <c r="M852">
        <v>0</v>
      </c>
      <c r="N852">
        <v>0</v>
      </c>
      <c r="O852" s="2">
        <v>0</v>
      </c>
      <c r="P852" s="2">
        <v>0</v>
      </c>
      <c r="Q852">
        <v>0</v>
      </c>
      <c r="R852" s="2">
        <v>0</v>
      </c>
      <c r="S852" s="2">
        <v>0</v>
      </c>
      <c r="T852" t="s">
        <v>516</v>
      </c>
      <c r="U852" s="2">
        <v>0</v>
      </c>
      <c r="V852" s="2">
        <v>22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idden="1" x14ac:dyDescent="0.25">
      <c r="A853" t="s">
        <v>29</v>
      </c>
      <c r="B853" t="s">
        <v>30</v>
      </c>
      <c r="C853" t="s">
        <v>39</v>
      </c>
      <c r="D853" s="1">
        <v>45866</v>
      </c>
      <c r="E853" s="1">
        <v>45866</v>
      </c>
      <c r="F853" s="2">
        <v>21</v>
      </c>
      <c r="G853" s="3" t="s">
        <v>23</v>
      </c>
      <c r="H853">
        <v>0</v>
      </c>
      <c r="I853" s="2">
        <v>0</v>
      </c>
      <c r="J853" s="2">
        <v>0</v>
      </c>
      <c r="K853" s="2">
        <v>0</v>
      </c>
      <c r="L853" s="2">
        <v>0</v>
      </c>
      <c r="M853">
        <v>0</v>
      </c>
      <c r="N853">
        <v>0</v>
      </c>
      <c r="O853" s="2">
        <v>0</v>
      </c>
      <c r="P853" s="2">
        <v>0</v>
      </c>
      <c r="Q853">
        <v>0</v>
      </c>
      <c r="R853" s="2">
        <v>0</v>
      </c>
      <c r="S853" s="2">
        <v>0</v>
      </c>
      <c r="T853" t="s">
        <v>516</v>
      </c>
      <c r="U853" s="2">
        <v>17</v>
      </c>
      <c r="V853" s="2">
        <f>13+4</f>
        <v>17</v>
      </c>
      <c r="W853" s="2">
        <v>3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</row>
    <row r="854" spans="1:28" hidden="1" x14ac:dyDescent="0.25">
      <c r="A854" t="s">
        <v>47</v>
      </c>
      <c r="B854" t="s">
        <v>52</v>
      </c>
      <c r="C854" t="s">
        <v>212</v>
      </c>
      <c r="D854" s="1">
        <v>45866</v>
      </c>
      <c r="E854" s="1">
        <v>45866</v>
      </c>
      <c r="F854" s="2">
        <v>0</v>
      </c>
      <c r="G854" s="3" t="s">
        <v>572</v>
      </c>
      <c r="H854">
        <v>0</v>
      </c>
      <c r="I854" s="2">
        <v>0</v>
      </c>
      <c r="J854" s="2">
        <v>0</v>
      </c>
      <c r="K854" s="2">
        <v>0</v>
      </c>
      <c r="L854" s="2">
        <v>0</v>
      </c>
      <c r="M854">
        <v>0</v>
      </c>
      <c r="N854">
        <v>0</v>
      </c>
      <c r="O854" s="2">
        <v>0</v>
      </c>
      <c r="P854" s="2">
        <v>0</v>
      </c>
      <c r="Q854">
        <v>0</v>
      </c>
      <c r="R854" s="2">
        <v>0</v>
      </c>
      <c r="S854" s="2">
        <v>0</v>
      </c>
      <c r="T854" t="s">
        <v>377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</row>
    <row r="855" spans="1:28" hidden="1" x14ac:dyDescent="0.25">
      <c r="A855" t="s">
        <v>56</v>
      </c>
      <c r="B855" t="s">
        <v>47</v>
      </c>
      <c r="C855" t="s">
        <v>64</v>
      </c>
      <c r="D855" s="1">
        <v>45867</v>
      </c>
      <c r="E855" s="1">
        <v>45867</v>
      </c>
      <c r="F855" s="2">
        <v>17</v>
      </c>
      <c r="G855" s="3" t="s">
        <v>23</v>
      </c>
      <c r="H855">
        <v>16</v>
      </c>
      <c r="I855" s="2">
        <v>0</v>
      </c>
      <c r="J855" s="2">
        <v>0</v>
      </c>
      <c r="K855" s="2">
        <v>1</v>
      </c>
      <c r="L855" s="2">
        <v>0</v>
      </c>
      <c r="M855">
        <v>0</v>
      </c>
      <c r="N855">
        <v>0</v>
      </c>
      <c r="O855" s="2">
        <v>0</v>
      </c>
      <c r="P855" s="2">
        <v>0</v>
      </c>
      <c r="Q855">
        <v>0</v>
      </c>
      <c r="R855" s="2">
        <v>0</v>
      </c>
      <c r="S855" s="2">
        <v>0</v>
      </c>
      <c r="T855" t="s">
        <v>517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idden="1" x14ac:dyDescent="0.25">
      <c r="A856" t="s">
        <v>20</v>
      </c>
      <c r="B856" t="s">
        <v>21</v>
      </c>
      <c r="C856" t="s">
        <v>22</v>
      </c>
      <c r="D856" s="1">
        <v>45867</v>
      </c>
      <c r="E856" s="1">
        <v>45867</v>
      </c>
      <c r="F856" s="2">
        <v>32</v>
      </c>
      <c r="G856" s="3" t="s">
        <v>23</v>
      </c>
      <c r="H856">
        <v>38</v>
      </c>
      <c r="I856" s="2">
        <v>0</v>
      </c>
      <c r="J856" s="2">
        <v>0</v>
      </c>
      <c r="K856" s="2">
        <v>1</v>
      </c>
      <c r="L856" s="2">
        <v>0</v>
      </c>
      <c r="M856">
        <v>0</v>
      </c>
      <c r="N856">
        <v>0</v>
      </c>
      <c r="O856" s="2">
        <v>0</v>
      </c>
      <c r="P856" s="2">
        <v>0</v>
      </c>
      <c r="Q856">
        <v>0</v>
      </c>
      <c r="R856" s="2">
        <v>0</v>
      </c>
      <c r="S856" s="2">
        <v>0</v>
      </c>
      <c r="T856" t="s">
        <v>518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idden="1" x14ac:dyDescent="0.25">
      <c r="A857" t="s">
        <v>53</v>
      </c>
      <c r="B857" t="s">
        <v>47</v>
      </c>
      <c r="C857" t="s">
        <v>22</v>
      </c>
      <c r="D857" s="1">
        <v>45867</v>
      </c>
      <c r="E857" s="1">
        <v>45867</v>
      </c>
      <c r="F857" s="2">
        <v>32</v>
      </c>
      <c r="G857" s="3" t="s">
        <v>23</v>
      </c>
      <c r="H857">
        <v>20</v>
      </c>
      <c r="I857" s="2">
        <v>0</v>
      </c>
      <c r="J857" s="2">
        <v>0</v>
      </c>
      <c r="K857" s="2">
        <v>1</v>
      </c>
      <c r="L857" s="2">
        <v>0</v>
      </c>
      <c r="M857">
        <v>0</v>
      </c>
      <c r="N857">
        <v>0</v>
      </c>
      <c r="O857" s="2">
        <v>0</v>
      </c>
      <c r="P857" s="2">
        <v>0</v>
      </c>
      <c r="Q857">
        <v>0</v>
      </c>
      <c r="R857" s="2">
        <v>0</v>
      </c>
      <c r="S857" s="2">
        <v>0</v>
      </c>
      <c r="T857" t="s">
        <v>518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</row>
    <row r="858" spans="1:28" hidden="1" x14ac:dyDescent="0.25">
      <c r="A858" t="s">
        <v>37</v>
      </c>
      <c r="B858" t="s">
        <v>47</v>
      </c>
      <c r="C858" t="s">
        <v>22</v>
      </c>
      <c r="D858" s="1">
        <v>45867</v>
      </c>
      <c r="E858" s="1">
        <v>45867</v>
      </c>
      <c r="F858" s="2">
        <v>32</v>
      </c>
      <c r="G858" s="3" t="s">
        <v>23</v>
      </c>
      <c r="H858">
        <v>20</v>
      </c>
      <c r="I858" s="2">
        <v>0</v>
      </c>
      <c r="J858" s="2">
        <v>0</v>
      </c>
      <c r="K858" s="2">
        <v>1</v>
      </c>
      <c r="L858" s="2">
        <v>0</v>
      </c>
      <c r="M858">
        <v>0</v>
      </c>
      <c r="N858">
        <v>0</v>
      </c>
      <c r="O858" s="2">
        <v>0</v>
      </c>
      <c r="P858" s="2">
        <v>0</v>
      </c>
      <c r="Q858">
        <v>0</v>
      </c>
      <c r="R858" s="2">
        <v>0</v>
      </c>
      <c r="S858" s="2">
        <v>0</v>
      </c>
      <c r="T858" t="s">
        <v>518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</row>
    <row r="859" spans="1:28" hidden="1" x14ac:dyDescent="0.25">
      <c r="A859" t="s">
        <v>33</v>
      </c>
      <c r="B859" t="s">
        <v>57</v>
      </c>
      <c r="C859" t="s">
        <v>35</v>
      </c>
      <c r="D859" s="1">
        <v>45867</v>
      </c>
      <c r="E859" s="1">
        <v>45867</v>
      </c>
      <c r="F859" s="2">
        <v>40</v>
      </c>
      <c r="G859" s="3" t="s">
        <v>23</v>
      </c>
      <c r="H859">
        <v>22</v>
      </c>
      <c r="I859" s="2">
        <v>0</v>
      </c>
      <c r="J859" s="2">
        <v>0</v>
      </c>
      <c r="K859" s="2">
        <v>0</v>
      </c>
      <c r="L859" s="2">
        <v>1</v>
      </c>
      <c r="M859">
        <v>0</v>
      </c>
      <c r="N859">
        <v>0</v>
      </c>
      <c r="O859" s="2">
        <v>0</v>
      </c>
      <c r="P859" s="2">
        <v>0</v>
      </c>
      <c r="Q859">
        <v>0</v>
      </c>
      <c r="R859" s="2">
        <v>0</v>
      </c>
      <c r="S859" s="2">
        <v>0</v>
      </c>
      <c r="T859" t="s">
        <v>519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idden="1" x14ac:dyDescent="0.25">
      <c r="A860" t="s">
        <v>29</v>
      </c>
      <c r="B860" t="s">
        <v>47</v>
      </c>
      <c r="C860" t="s">
        <v>31</v>
      </c>
      <c r="D860" s="1">
        <v>45867</v>
      </c>
      <c r="E860" s="1">
        <v>45867</v>
      </c>
      <c r="F860" s="2">
        <v>20</v>
      </c>
      <c r="G860" s="3" t="s">
        <v>23</v>
      </c>
      <c r="H860">
        <v>12</v>
      </c>
      <c r="I860" s="2">
        <v>0</v>
      </c>
      <c r="J860" s="2">
        <v>0</v>
      </c>
      <c r="K860" s="2">
        <v>0</v>
      </c>
      <c r="L860" s="2">
        <v>0</v>
      </c>
      <c r="M860">
        <v>0</v>
      </c>
      <c r="N860">
        <v>0</v>
      </c>
      <c r="O860" s="2">
        <v>0</v>
      </c>
      <c r="P860" s="2">
        <v>0</v>
      </c>
      <c r="Q860">
        <v>0</v>
      </c>
      <c r="R860" s="2">
        <v>0</v>
      </c>
      <c r="S860" s="2">
        <v>0</v>
      </c>
      <c r="T860" t="s">
        <v>520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</row>
    <row r="861" spans="1:28" hidden="1" x14ac:dyDescent="0.25">
      <c r="A861" t="s">
        <v>47</v>
      </c>
      <c r="B861" t="s">
        <v>30</v>
      </c>
      <c r="C861" t="s">
        <v>64</v>
      </c>
      <c r="D861" s="1">
        <v>45867</v>
      </c>
      <c r="E861" s="1">
        <v>45867</v>
      </c>
      <c r="F861" s="2">
        <v>17</v>
      </c>
      <c r="G861" s="3" t="s">
        <v>23</v>
      </c>
      <c r="H861">
        <f>16+12</f>
        <v>28</v>
      </c>
      <c r="I861" s="2">
        <v>0</v>
      </c>
      <c r="J861" s="2">
        <v>0</v>
      </c>
      <c r="K861" s="2">
        <v>1</v>
      </c>
      <c r="L861" s="2">
        <v>0</v>
      </c>
      <c r="M861">
        <v>0</v>
      </c>
      <c r="N861">
        <v>0</v>
      </c>
      <c r="O861" s="2">
        <v>0</v>
      </c>
      <c r="P861" s="2">
        <v>0</v>
      </c>
      <c r="Q861">
        <v>0</v>
      </c>
      <c r="R861" s="2">
        <v>0</v>
      </c>
      <c r="S861" s="2">
        <v>0</v>
      </c>
      <c r="T861" t="s">
        <v>517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idden="1" x14ac:dyDescent="0.25">
      <c r="A862" t="s">
        <v>25</v>
      </c>
      <c r="B862" t="s">
        <v>26</v>
      </c>
      <c r="C862" t="s">
        <v>212</v>
      </c>
      <c r="D862" s="1">
        <v>45867</v>
      </c>
      <c r="E862" s="1">
        <v>45867</v>
      </c>
      <c r="F862" s="2">
        <v>0</v>
      </c>
      <c r="G862" s="3" t="s">
        <v>48</v>
      </c>
      <c r="H862">
        <v>0</v>
      </c>
      <c r="I862" s="2">
        <v>0</v>
      </c>
      <c r="J862" s="2">
        <v>0</v>
      </c>
      <c r="K862" s="2">
        <v>0</v>
      </c>
      <c r="L862" s="2">
        <v>0</v>
      </c>
      <c r="M862">
        <v>0</v>
      </c>
      <c r="N862">
        <v>0</v>
      </c>
      <c r="O862" s="2">
        <v>0</v>
      </c>
      <c r="P862" s="2">
        <v>0</v>
      </c>
      <c r="Q862">
        <v>0</v>
      </c>
      <c r="R862" s="2">
        <v>0</v>
      </c>
      <c r="S862" s="2">
        <v>0</v>
      </c>
      <c r="T862" t="s">
        <v>377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</row>
    <row r="863" spans="1:28" hidden="1" x14ac:dyDescent="0.25">
      <c r="A863" t="s">
        <v>47</v>
      </c>
      <c r="B863" t="s">
        <v>38</v>
      </c>
      <c r="C863" t="s">
        <v>212</v>
      </c>
      <c r="D863" s="1">
        <v>45867</v>
      </c>
      <c r="E863" s="1">
        <v>45867</v>
      </c>
      <c r="F863" s="2">
        <v>0</v>
      </c>
      <c r="G863" s="3" t="s">
        <v>48</v>
      </c>
      <c r="H863">
        <v>0</v>
      </c>
      <c r="I863" s="2">
        <v>0</v>
      </c>
      <c r="J863" s="2">
        <v>0</v>
      </c>
      <c r="K863" s="2">
        <v>0</v>
      </c>
      <c r="L863" s="2">
        <v>0</v>
      </c>
      <c r="M863">
        <v>0</v>
      </c>
      <c r="N863">
        <v>0</v>
      </c>
      <c r="O863" s="2">
        <v>0</v>
      </c>
      <c r="P863" s="2">
        <v>0</v>
      </c>
      <c r="Q863">
        <v>0</v>
      </c>
      <c r="R863" s="2">
        <v>0</v>
      </c>
      <c r="S863" s="2">
        <v>0</v>
      </c>
      <c r="T863" t="s">
        <v>377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</row>
    <row r="864" spans="1:28" hidden="1" x14ac:dyDescent="0.25">
      <c r="A864" t="s">
        <v>47</v>
      </c>
      <c r="B864" t="s">
        <v>52</v>
      </c>
      <c r="C864" t="s">
        <v>212</v>
      </c>
      <c r="D864" s="1">
        <v>45867</v>
      </c>
      <c r="E864" s="1">
        <v>45867</v>
      </c>
      <c r="F864" s="2">
        <v>0</v>
      </c>
      <c r="G864" s="3" t="s">
        <v>572</v>
      </c>
      <c r="H864">
        <v>0</v>
      </c>
      <c r="I864" s="2">
        <v>0</v>
      </c>
      <c r="J864" s="2">
        <v>0</v>
      </c>
      <c r="K864" s="2">
        <v>0</v>
      </c>
      <c r="L864" s="2">
        <v>0</v>
      </c>
      <c r="M864">
        <v>0</v>
      </c>
      <c r="N864">
        <v>0</v>
      </c>
      <c r="O864" s="2">
        <v>0</v>
      </c>
      <c r="P864" s="2">
        <v>0</v>
      </c>
      <c r="Q864">
        <v>0</v>
      </c>
      <c r="R864" s="2">
        <v>0</v>
      </c>
      <c r="S864" s="2">
        <v>0</v>
      </c>
      <c r="T864" t="s">
        <v>377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idden="1" x14ac:dyDescent="0.25">
      <c r="A865" t="s">
        <v>53</v>
      </c>
      <c r="B865" t="s">
        <v>21</v>
      </c>
      <c r="C865" t="s">
        <v>54</v>
      </c>
      <c r="D865" s="1">
        <v>45868</v>
      </c>
      <c r="E865" s="1">
        <v>45868</v>
      </c>
      <c r="F865" s="2">
        <v>25</v>
      </c>
      <c r="G865" s="3" t="s">
        <v>23</v>
      </c>
      <c r="H865">
        <v>7</v>
      </c>
      <c r="I865" s="2">
        <v>0</v>
      </c>
      <c r="J865" s="2">
        <v>0</v>
      </c>
      <c r="K865" s="2">
        <v>0</v>
      </c>
      <c r="L865" s="2">
        <v>0</v>
      </c>
      <c r="M865">
        <v>1</v>
      </c>
      <c r="N865">
        <v>0</v>
      </c>
      <c r="O865" s="2">
        <v>0</v>
      </c>
      <c r="P865" s="2">
        <v>0</v>
      </c>
      <c r="Q865">
        <v>0</v>
      </c>
      <c r="R865" s="2">
        <v>0</v>
      </c>
      <c r="S865" s="2">
        <v>0</v>
      </c>
      <c r="T865" t="s">
        <v>521</v>
      </c>
      <c r="U865" s="2">
        <v>0</v>
      </c>
      <c r="V865" s="2">
        <v>2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idden="1" x14ac:dyDescent="0.25">
      <c r="A866" t="s">
        <v>29</v>
      </c>
      <c r="B866" t="s">
        <v>30</v>
      </c>
      <c r="C866" t="s">
        <v>31</v>
      </c>
      <c r="D866" s="1">
        <v>45868</v>
      </c>
      <c r="E866" s="1">
        <v>45868</v>
      </c>
      <c r="F866" s="2">
        <v>19</v>
      </c>
      <c r="G866" s="3" t="s">
        <v>23</v>
      </c>
      <c r="H866">
        <v>30</v>
      </c>
      <c r="I866" s="2">
        <v>0</v>
      </c>
      <c r="J866" s="2">
        <v>0</v>
      </c>
      <c r="K866" s="2">
        <v>0</v>
      </c>
      <c r="L866" s="2">
        <v>1</v>
      </c>
      <c r="M866">
        <v>0</v>
      </c>
      <c r="N866">
        <v>0</v>
      </c>
      <c r="O866" s="2">
        <v>0</v>
      </c>
      <c r="P866" s="2">
        <v>0</v>
      </c>
      <c r="Q866">
        <v>0</v>
      </c>
      <c r="R866" s="2">
        <v>0</v>
      </c>
      <c r="S866" s="2">
        <v>0</v>
      </c>
      <c r="T866" t="s">
        <v>522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idden="1" x14ac:dyDescent="0.25">
      <c r="A867" t="s">
        <v>25</v>
      </c>
      <c r="B867" t="s">
        <v>26</v>
      </c>
      <c r="C867" t="s">
        <v>35</v>
      </c>
      <c r="D867" s="1">
        <v>45868</v>
      </c>
      <c r="E867" s="1">
        <v>45868</v>
      </c>
      <c r="F867" s="2">
        <v>41</v>
      </c>
      <c r="G867" s="3" t="s">
        <v>23</v>
      </c>
      <c r="H867">
        <f>28+9</f>
        <v>37</v>
      </c>
      <c r="I867" s="2">
        <v>0</v>
      </c>
      <c r="J867" s="2">
        <v>0</v>
      </c>
      <c r="K867" s="2">
        <v>1</v>
      </c>
      <c r="L867" s="2">
        <v>0</v>
      </c>
      <c r="M867">
        <v>0</v>
      </c>
      <c r="N867">
        <v>0</v>
      </c>
      <c r="O867" s="2">
        <v>0</v>
      </c>
      <c r="P867" s="2">
        <v>0</v>
      </c>
      <c r="Q867">
        <v>0</v>
      </c>
      <c r="R867" s="2">
        <v>0</v>
      </c>
      <c r="S867" s="2">
        <v>0</v>
      </c>
      <c r="T867" t="s">
        <v>523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</row>
    <row r="868" spans="1:28" hidden="1" x14ac:dyDescent="0.25">
      <c r="A868" t="s">
        <v>33</v>
      </c>
      <c r="B868" t="s">
        <v>57</v>
      </c>
      <c r="C868" t="s">
        <v>35</v>
      </c>
      <c r="D868" s="1">
        <v>45868</v>
      </c>
      <c r="E868" s="1">
        <v>45868</v>
      </c>
      <c r="F868" s="2">
        <v>41</v>
      </c>
      <c r="G868" s="3" t="s">
        <v>23</v>
      </c>
      <c r="H868">
        <v>28</v>
      </c>
      <c r="I868" s="2">
        <v>0</v>
      </c>
      <c r="J868" s="2">
        <v>0</v>
      </c>
      <c r="K868" s="2">
        <v>1</v>
      </c>
      <c r="L868" s="2">
        <v>0</v>
      </c>
      <c r="M868">
        <v>0</v>
      </c>
      <c r="N868">
        <v>0</v>
      </c>
      <c r="O868" s="2">
        <v>0</v>
      </c>
      <c r="P868" s="2">
        <v>0</v>
      </c>
      <c r="Q868">
        <v>0</v>
      </c>
      <c r="R868" s="2">
        <v>0</v>
      </c>
      <c r="S868" s="2">
        <v>0</v>
      </c>
      <c r="T868" t="s">
        <v>523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idden="1" x14ac:dyDescent="0.25">
      <c r="A869" t="s">
        <v>20</v>
      </c>
      <c r="B869" t="s">
        <v>38</v>
      </c>
      <c r="C869" t="s">
        <v>35</v>
      </c>
      <c r="D869" s="1">
        <v>45868</v>
      </c>
      <c r="E869" s="1">
        <v>45868</v>
      </c>
      <c r="F869" s="2">
        <v>41</v>
      </c>
      <c r="G869" s="3" t="s">
        <v>23</v>
      </c>
      <c r="H869">
        <v>28</v>
      </c>
      <c r="I869" s="2">
        <v>0</v>
      </c>
      <c r="J869" s="2">
        <v>0</v>
      </c>
      <c r="K869" s="2">
        <v>1</v>
      </c>
      <c r="L869" s="2">
        <v>0</v>
      </c>
      <c r="M869">
        <v>0</v>
      </c>
      <c r="N869">
        <v>0</v>
      </c>
      <c r="O869" s="2">
        <v>0</v>
      </c>
      <c r="P869" s="2">
        <v>0</v>
      </c>
      <c r="Q869">
        <v>0</v>
      </c>
      <c r="R869" s="2">
        <v>0</v>
      </c>
      <c r="S869" s="2">
        <v>0</v>
      </c>
      <c r="T869" t="s">
        <v>523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</row>
    <row r="870" spans="1:28" hidden="1" x14ac:dyDescent="0.25">
      <c r="A870" t="s">
        <v>37</v>
      </c>
      <c r="B870" t="s">
        <v>47</v>
      </c>
      <c r="C870" t="s">
        <v>212</v>
      </c>
      <c r="D870" s="1">
        <v>45868</v>
      </c>
      <c r="E870" s="1">
        <v>45868</v>
      </c>
      <c r="F870" s="2">
        <v>0</v>
      </c>
      <c r="G870" s="3" t="s">
        <v>48</v>
      </c>
      <c r="H870">
        <v>0</v>
      </c>
      <c r="I870" s="2">
        <v>0</v>
      </c>
      <c r="J870" s="2">
        <v>0</v>
      </c>
      <c r="K870" s="2">
        <v>0</v>
      </c>
      <c r="L870" s="2">
        <v>0</v>
      </c>
      <c r="M870">
        <v>0</v>
      </c>
      <c r="N870">
        <v>0</v>
      </c>
      <c r="O870" s="2">
        <v>0</v>
      </c>
      <c r="P870" s="2">
        <v>0</v>
      </c>
      <c r="Q870">
        <v>0</v>
      </c>
      <c r="R870" s="2">
        <v>0</v>
      </c>
      <c r="S870" s="2">
        <v>0</v>
      </c>
      <c r="T870" t="s">
        <v>377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</row>
    <row r="871" spans="1:28" hidden="1" x14ac:dyDescent="0.25">
      <c r="A871" t="s">
        <v>56</v>
      </c>
      <c r="B871" t="s">
        <v>47</v>
      </c>
      <c r="C871" t="s">
        <v>212</v>
      </c>
      <c r="D871" s="1">
        <v>45868</v>
      </c>
      <c r="E871" s="1">
        <v>45868</v>
      </c>
      <c r="F871" s="2">
        <v>0</v>
      </c>
      <c r="G871" s="3" t="s">
        <v>48</v>
      </c>
      <c r="H871">
        <v>0</v>
      </c>
      <c r="I871" s="2">
        <v>0</v>
      </c>
      <c r="J871" s="2">
        <v>0</v>
      </c>
      <c r="K871" s="2">
        <v>0</v>
      </c>
      <c r="L871" s="2">
        <v>0</v>
      </c>
      <c r="M871">
        <v>0</v>
      </c>
      <c r="N871">
        <v>0</v>
      </c>
      <c r="O871" s="2">
        <v>0</v>
      </c>
      <c r="P871" s="2">
        <v>0</v>
      </c>
      <c r="Q871">
        <v>0</v>
      </c>
      <c r="R871" s="2">
        <v>0</v>
      </c>
      <c r="S871" s="2">
        <v>0</v>
      </c>
      <c r="T871" t="s">
        <v>377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</row>
    <row r="872" spans="1:28" hidden="1" x14ac:dyDescent="0.25">
      <c r="A872" t="s">
        <v>47</v>
      </c>
      <c r="B872" t="s">
        <v>52</v>
      </c>
      <c r="C872" t="s">
        <v>212</v>
      </c>
      <c r="D872" s="1">
        <v>45868</v>
      </c>
      <c r="E872" s="1">
        <v>45868</v>
      </c>
      <c r="F872" s="2">
        <v>0</v>
      </c>
      <c r="G872" s="3" t="s">
        <v>572</v>
      </c>
      <c r="H872">
        <v>0</v>
      </c>
      <c r="I872" s="2">
        <v>0</v>
      </c>
      <c r="J872" s="2">
        <v>0</v>
      </c>
      <c r="K872" s="2">
        <v>0</v>
      </c>
      <c r="L872" s="2">
        <v>0</v>
      </c>
      <c r="M872">
        <v>0</v>
      </c>
      <c r="N872">
        <v>0</v>
      </c>
      <c r="O872" s="2">
        <v>0</v>
      </c>
      <c r="P872" s="2">
        <v>0</v>
      </c>
      <c r="Q872">
        <v>0</v>
      </c>
      <c r="R872" s="2">
        <v>0</v>
      </c>
      <c r="S872" s="2">
        <v>0</v>
      </c>
      <c r="T872" t="s">
        <v>377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</row>
    <row r="873" spans="1:28" hidden="1" x14ac:dyDescent="0.25">
      <c r="A873" t="s">
        <v>56</v>
      </c>
      <c r="B873" t="s">
        <v>30</v>
      </c>
      <c r="C873" t="s">
        <v>64</v>
      </c>
      <c r="D873" s="1">
        <v>45869</v>
      </c>
      <c r="E873" s="1">
        <v>45869</v>
      </c>
      <c r="F873" s="2">
        <v>18</v>
      </c>
      <c r="G873" s="3" t="s">
        <v>23</v>
      </c>
      <c r="H873">
        <v>42</v>
      </c>
      <c r="I873" s="2">
        <v>0</v>
      </c>
      <c r="J873" s="2">
        <v>0</v>
      </c>
      <c r="K873" s="2">
        <v>1</v>
      </c>
      <c r="L873" s="2">
        <v>0</v>
      </c>
      <c r="M873">
        <v>0</v>
      </c>
      <c r="N873">
        <v>0</v>
      </c>
      <c r="O873" s="2">
        <v>0</v>
      </c>
      <c r="P873" s="2">
        <v>0</v>
      </c>
      <c r="Q873">
        <v>0</v>
      </c>
      <c r="R873" s="2">
        <v>0</v>
      </c>
      <c r="S873" s="2">
        <v>0</v>
      </c>
      <c r="T873" t="s">
        <v>524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</row>
    <row r="874" spans="1:28" hidden="1" x14ac:dyDescent="0.25">
      <c r="A874" t="s">
        <v>25</v>
      </c>
      <c r="B874" t="s">
        <v>26</v>
      </c>
      <c r="C874" t="s">
        <v>27</v>
      </c>
      <c r="D874" s="1">
        <v>45869</v>
      </c>
      <c r="E874" s="1">
        <v>45869</v>
      </c>
      <c r="F874" s="2">
        <v>22</v>
      </c>
      <c r="G874" s="3" t="s">
        <v>23</v>
      </c>
      <c r="H874">
        <v>30</v>
      </c>
      <c r="I874" s="2">
        <v>0</v>
      </c>
      <c r="J874" s="2">
        <v>0</v>
      </c>
      <c r="K874" s="2">
        <v>1</v>
      </c>
      <c r="L874" s="2">
        <v>0</v>
      </c>
      <c r="M874">
        <v>0</v>
      </c>
      <c r="N874">
        <v>0</v>
      </c>
      <c r="O874" s="2">
        <v>0</v>
      </c>
      <c r="P874" s="2">
        <v>0</v>
      </c>
      <c r="Q874">
        <v>0</v>
      </c>
      <c r="R874" s="2">
        <v>0</v>
      </c>
      <c r="S874" s="2">
        <v>0</v>
      </c>
      <c r="T874" t="s">
        <v>525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idden="1" x14ac:dyDescent="0.25">
      <c r="A875" t="s">
        <v>33</v>
      </c>
      <c r="B875" t="s">
        <v>57</v>
      </c>
      <c r="C875" t="s">
        <v>35</v>
      </c>
      <c r="D875" s="1">
        <v>45869</v>
      </c>
      <c r="E875" s="1">
        <v>45869</v>
      </c>
      <c r="F875" s="2">
        <v>36</v>
      </c>
      <c r="G875" s="3" t="s">
        <v>23</v>
      </c>
      <c r="H875">
        <v>22</v>
      </c>
      <c r="I875" s="2">
        <v>0</v>
      </c>
      <c r="J875" s="2">
        <v>0</v>
      </c>
      <c r="K875" s="2">
        <v>0</v>
      </c>
      <c r="L875" s="2">
        <v>1</v>
      </c>
      <c r="M875">
        <v>0</v>
      </c>
      <c r="N875">
        <v>0</v>
      </c>
      <c r="O875" s="2">
        <v>0</v>
      </c>
      <c r="P875" s="2">
        <v>0</v>
      </c>
      <c r="Q875">
        <v>0</v>
      </c>
      <c r="R875" s="2">
        <v>0</v>
      </c>
      <c r="S875" s="2">
        <v>0</v>
      </c>
      <c r="T875" t="s">
        <v>526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idden="1" x14ac:dyDescent="0.25">
      <c r="A876" t="s">
        <v>37</v>
      </c>
      <c r="B876" t="s">
        <v>38</v>
      </c>
      <c r="C876" t="s">
        <v>39</v>
      </c>
      <c r="D876" s="1">
        <v>45869</v>
      </c>
      <c r="E876" s="1">
        <v>45869</v>
      </c>
      <c r="F876" s="2">
        <v>23</v>
      </c>
      <c r="G876" s="3" t="s">
        <v>23</v>
      </c>
      <c r="H876">
        <v>28</v>
      </c>
      <c r="I876" s="2">
        <v>0</v>
      </c>
      <c r="J876" s="2">
        <v>0</v>
      </c>
      <c r="K876" s="2">
        <v>1</v>
      </c>
      <c r="L876" s="2">
        <v>0</v>
      </c>
      <c r="M876">
        <v>1</v>
      </c>
      <c r="N876">
        <v>0</v>
      </c>
      <c r="O876" s="2">
        <v>0</v>
      </c>
      <c r="P876" s="2">
        <v>0</v>
      </c>
      <c r="Q876">
        <v>0</v>
      </c>
      <c r="R876" s="2">
        <v>0</v>
      </c>
      <c r="S876" s="2">
        <v>0</v>
      </c>
      <c r="T876" t="s">
        <v>527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</row>
    <row r="877" spans="1:28" hidden="1" x14ac:dyDescent="0.25">
      <c r="A877" t="s">
        <v>53</v>
      </c>
      <c r="B877" t="s">
        <v>47</v>
      </c>
      <c r="C877" t="s">
        <v>212</v>
      </c>
      <c r="D877" s="1">
        <v>45869</v>
      </c>
      <c r="E877" s="1">
        <v>45869</v>
      </c>
      <c r="F877" s="2">
        <v>0</v>
      </c>
      <c r="G877" s="3" t="s">
        <v>572</v>
      </c>
      <c r="H877">
        <v>0</v>
      </c>
      <c r="I877" s="2">
        <v>0</v>
      </c>
      <c r="J877" s="2">
        <v>0</v>
      </c>
      <c r="K877" s="2">
        <v>0</v>
      </c>
      <c r="L877" s="2">
        <v>0</v>
      </c>
      <c r="M877">
        <v>0</v>
      </c>
      <c r="N877">
        <v>0</v>
      </c>
      <c r="O877" s="2">
        <v>0</v>
      </c>
      <c r="P877" s="2">
        <v>0</v>
      </c>
      <c r="Q877">
        <v>0</v>
      </c>
      <c r="R877" s="2">
        <v>0</v>
      </c>
      <c r="S877" s="2">
        <v>0</v>
      </c>
      <c r="T877" t="s">
        <v>377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idden="1" x14ac:dyDescent="0.25">
      <c r="A878" t="s">
        <v>29</v>
      </c>
      <c r="B878" t="s">
        <v>47</v>
      </c>
      <c r="C878" t="s">
        <v>212</v>
      </c>
      <c r="D878" s="1">
        <v>45869</v>
      </c>
      <c r="E878" s="1">
        <v>45869</v>
      </c>
      <c r="F878" s="2">
        <v>0</v>
      </c>
      <c r="G878" s="3" t="s">
        <v>572</v>
      </c>
      <c r="H878">
        <v>0</v>
      </c>
      <c r="I878" s="2">
        <v>0</v>
      </c>
      <c r="J878" s="2">
        <v>0</v>
      </c>
      <c r="K878" s="2">
        <v>0</v>
      </c>
      <c r="L878" s="2">
        <v>0</v>
      </c>
      <c r="M878">
        <v>0</v>
      </c>
      <c r="N878">
        <v>0</v>
      </c>
      <c r="O878" s="2">
        <v>0</v>
      </c>
      <c r="P878" s="2">
        <v>0</v>
      </c>
      <c r="Q878">
        <v>0</v>
      </c>
      <c r="R878" s="2">
        <v>0</v>
      </c>
      <c r="S878" s="2">
        <v>0</v>
      </c>
      <c r="T878" t="s">
        <v>377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idden="1" x14ac:dyDescent="0.25">
      <c r="A879" t="s">
        <v>20</v>
      </c>
      <c r="B879" t="s">
        <v>21</v>
      </c>
      <c r="C879" t="s">
        <v>212</v>
      </c>
      <c r="D879" s="1">
        <v>45869</v>
      </c>
      <c r="E879" s="1">
        <v>45869</v>
      </c>
      <c r="F879" s="2">
        <v>0</v>
      </c>
      <c r="G879" s="3" t="s">
        <v>572</v>
      </c>
      <c r="H879">
        <v>0</v>
      </c>
      <c r="I879" s="2">
        <v>0</v>
      </c>
      <c r="J879" s="2">
        <v>0</v>
      </c>
      <c r="K879" s="2">
        <v>0</v>
      </c>
      <c r="L879" s="2">
        <v>0</v>
      </c>
      <c r="M879">
        <v>0</v>
      </c>
      <c r="N879">
        <v>0</v>
      </c>
      <c r="O879" s="2">
        <v>0</v>
      </c>
      <c r="P879" s="2">
        <v>0</v>
      </c>
      <c r="Q879">
        <v>0</v>
      </c>
      <c r="R879" s="2">
        <v>0</v>
      </c>
      <c r="S879" s="2">
        <v>0</v>
      </c>
      <c r="T879" t="s">
        <v>377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idden="1" x14ac:dyDescent="0.25">
      <c r="A880" t="s">
        <v>47</v>
      </c>
      <c r="B880" t="s">
        <v>52</v>
      </c>
      <c r="C880" t="s">
        <v>212</v>
      </c>
      <c r="D880" s="1">
        <v>45869</v>
      </c>
      <c r="E880" s="1">
        <v>45869</v>
      </c>
      <c r="F880" s="2">
        <v>0</v>
      </c>
      <c r="G880" s="3" t="s">
        <v>572</v>
      </c>
      <c r="H880">
        <v>0</v>
      </c>
      <c r="I880" s="2">
        <v>0</v>
      </c>
      <c r="J880" s="2">
        <v>0</v>
      </c>
      <c r="K880" s="2">
        <v>0</v>
      </c>
      <c r="L880" s="2">
        <v>0</v>
      </c>
      <c r="M880">
        <v>0</v>
      </c>
      <c r="N880">
        <v>0</v>
      </c>
      <c r="O880" s="2">
        <v>0</v>
      </c>
      <c r="P880" s="2">
        <v>0</v>
      </c>
      <c r="Q880">
        <v>0</v>
      </c>
      <c r="R880" s="2">
        <v>0</v>
      </c>
      <c r="S880" s="2">
        <v>0</v>
      </c>
      <c r="T880" t="s">
        <v>377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idden="1" x14ac:dyDescent="0.25">
      <c r="A881" t="s">
        <v>56</v>
      </c>
      <c r="B881" t="s">
        <v>30</v>
      </c>
      <c r="C881" t="s">
        <v>64</v>
      </c>
      <c r="D881" s="1">
        <v>45870</v>
      </c>
      <c r="E881" s="1">
        <v>45870</v>
      </c>
      <c r="F881" s="2">
        <v>32</v>
      </c>
      <c r="G881" s="3" t="s">
        <v>23</v>
      </c>
      <c r="H881">
        <v>32</v>
      </c>
      <c r="I881" s="2">
        <v>0</v>
      </c>
      <c r="J881" s="2">
        <v>0</v>
      </c>
      <c r="K881" s="2">
        <v>1</v>
      </c>
      <c r="L881" s="2">
        <v>0</v>
      </c>
      <c r="M881">
        <v>1</v>
      </c>
      <c r="N881">
        <v>0</v>
      </c>
      <c r="O881" s="2">
        <v>0</v>
      </c>
      <c r="P881" s="2">
        <v>0</v>
      </c>
      <c r="Q881">
        <v>0</v>
      </c>
      <c r="R881" s="2">
        <v>0</v>
      </c>
      <c r="S881" s="2">
        <v>0</v>
      </c>
      <c r="T881" t="s">
        <v>528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</row>
    <row r="882" spans="1:28" hidden="1" x14ac:dyDescent="0.25">
      <c r="A882" t="s">
        <v>53</v>
      </c>
      <c r="B882" t="s">
        <v>47</v>
      </c>
      <c r="C882" t="s">
        <v>54</v>
      </c>
      <c r="D882" s="1">
        <v>45870</v>
      </c>
      <c r="E882" s="1">
        <v>45870</v>
      </c>
      <c r="F882" s="2">
        <v>122</v>
      </c>
      <c r="G882" s="3" t="s">
        <v>23</v>
      </c>
      <c r="H882">
        <v>35</v>
      </c>
      <c r="I882" s="2">
        <v>0</v>
      </c>
      <c r="J882" s="2">
        <v>0</v>
      </c>
      <c r="K882" s="2">
        <v>0</v>
      </c>
      <c r="L882" s="2">
        <v>1</v>
      </c>
      <c r="M882">
        <v>0</v>
      </c>
      <c r="N882">
        <v>0</v>
      </c>
      <c r="O882" s="2">
        <v>0</v>
      </c>
      <c r="P882" s="2">
        <v>0</v>
      </c>
      <c r="Q882">
        <v>0</v>
      </c>
      <c r="R882" s="2">
        <v>0</v>
      </c>
      <c r="S882" s="2">
        <v>0</v>
      </c>
      <c r="T882" t="s">
        <v>529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</row>
    <row r="883" spans="1:28" hidden="1" x14ac:dyDescent="0.25">
      <c r="A883" t="s">
        <v>29</v>
      </c>
      <c r="B883" t="s">
        <v>47</v>
      </c>
      <c r="C883" t="s">
        <v>54</v>
      </c>
      <c r="D883" s="1">
        <v>45870</v>
      </c>
      <c r="E883" s="1">
        <v>45870</v>
      </c>
      <c r="F883" s="2">
        <v>122</v>
      </c>
      <c r="G883" s="3" t="s">
        <v>23</v>
      </c>
      <c r="H883">
        <v>35</v>
      </c>
      <c r="I883" s="2">
        <v>0</v>
      </c>
      <c r="J883" s="2">
        <v>0</v>
      </c>
      <c r="K883" s="2">
        <v>0</v>
      </c>
      <c r="L883" s="2">
        <v>1</v>
      </c>
      <c r="M883">
        <v>0</v>
      </c>
      <c r="N883">
        <v>0</v>
      </c>
      <c r="O883" s="2">
        <v>0</v>
      </c>
      <c r="P883" s="2">
        <v>0</v>
      </c>
      <c r="Q883">
        <v>0</v>
      </c>
      <c r="R883" s="2">
        <v>0</v>
      </c>
      <c r="S883" s="2">
        <v>0</v>
      </c>
      <c r="T883" t="s">
        <v>529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</row>
    <row r="884" spans="1:28" hidden="1" x14ac:dyDescent="0.25">
      <c r="A884" t="s">
        <v>25</v>
      </c>
      <c r="B884" t="s">
        <v>26</v>
      </c>
      <c r="C884" t="s">
        <v>27</v>
      </c>
      <c r="D884" s="1">
        <v>45870</v>
      </c>
      <c r="E884" s="1">
        <v>45870</v>
      </c>
      <c r="F884" s="2">
        <v>19</v>
      </c>
      <c r="G884" s="3" t="s">
        <v>23</v>
      </c>
      <c r="H884">
        <v>28</v>
      </c>
      <c r="I884" s="2">
        <v>0</v>
      </c>
      <c r="J884" s="2">
        <v>0</v>
      </c>
      <c r="K884" s="2">
        <v>1</v>
      </c>
      <c r="L884" s="2">
        <v>0</v>
      </c>
      <c r="M884">
        <v>0</v>
      </c>
      <c r="N884">
        <v>0</v>
      </c>
      <c r="O884" s="2">
        <v>0</v>
      </c>
      <c r="P884" s="2">
        <v>0</v>
      </c>
      <c r="Q884">
        <v>0</v>
      </c>
      <c r="R884" s="2">
        <v>0</v>
      </c>
      <c r="S884" s="2">
        <v>0</v>
      </c>
      <c r="T884" t="s">
        <v>530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</row>
    <row r="885" spans="1:28" hidden="1" x14ac:dyDescent="0.25">
      <c r="A885" t="s">
        <v>37</v>
      </c>
      <c r="B885" t="s">
        <v>38</v>
      </c>
      <c r="C885" t="s">
        <v>39</v>
      </c>
      <c r="D885" s="1">
        <v>45870</v>
      </c>
      <c r="E885" s="1">
        <v>45870</v>
      </c>
      <c r="F885" s="2">
        <v>19</v>
      </c>
      <c r="G885" s="3" t="s">
        <v>23</v>
      </c>
      <c r="H885">
        <v>20</v>
      </c>
      <c r="I885" s="2">
        <v>0</v>
      </c>
      <c r="J885" s="2">
        <v>0</v>
      </c>
      <c r="K885" s="2">
        <v>1</v>
      </c>
      <c r="L885" s="2">
        <v>0</v>
      </c>
      <c r="M885">
        <v>0</v>
      </c>
      <c r="N885">
        <v>0</v>
      </c>
      <c r="O885" s="2">
        <v>0</v>
      </c>
      <c r="P885" s="2">
        <v>0</v>
      </c>
      <c r="Q885">
        <v>0</v>
      </c>
      <c r="R885" s="2">
        <v>0</v>
      </c>
      <c r="S885" s="2">
        <v>0</v>
      </c>
      <c r="T885" t="s">
        <v>531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</row>
    <row r="886" spans="1:28" hidden="1" x14ac:dyDescent="0.25">
      <c r="A886" t="s">
        <v>33</v>
      </c>
      <c r="B886" t="s">
        <v>57</v>
      </c>
      <c r="C886" t="s">
        <v>212</v>
      </c>
      <c r="D886" s="1">
        <v>45870</v>
      </c>
      <c r="E886" s="1">
        <v>45870</v>
      </c>
      <c r="F886" s="2">
        <v>0</v>
      </c>
      <c r="G886" s="3" t="s">
        <v>48</v>
      </c>
      <c r="H886">
        <v>0</v>
      </c>
      <c r="I886" s="2">
        <v>0</v>
      </c>
      <c r="J886" s="2">
        <v>0</v>
      </c>
      <c r="K886" s="2">
        <v>0</v>
      </c>
      <c r="L886" s="2">
        <v>0</v>
      </c>
      <c r="M886">
        <v>0</v>
      </c>
      <c r="N886">
        <v>0</v>
      </c>
      <c r="O886" s="2">
        <v>0</v>
      </c>
      <c r="P886" s="2">
        <v>0</v>
      </c>
      <c r="Q886">
        <v>0</v>
      </c>
      <c r="R886" s="2">
        <v>0</v>
      </c>
      <c r="S886" s="2">
        <v>0</v>
      </c>
      <c r="T886" t="s">
        <v>377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idden="1" x14ac:dyDescent="0.25">
      <c r="A887" t="s">
        <v>20</v>
      </c>
      <c r="B887" t="s">
        <v>21</v>
      </c>
      <c r="C887" t="s">
        <v>212</v>
      </c>
      <c r="D887" s="1">
        <v>45870</v>
      </c>
      <c r="E887" s="1">
        <v>45870</v>
      </c>
      <c r="F887" s="2">
        <v>0</v>
      </c>
      <c r="G887" s="3" t="s">
        <v>572</v>
      </c>
      <c r="H887">
        <v>0</v>
      </c>
      <c r="I887" s="2">
        <v>0</v>
      </c>
      <c r="J887" s="2">
        <v>0</v>
      </c>
      <c r="K887" s="2">
        <v>0</v>
      </c>
      <c r="L887" s="2">
        <v>0</v>
      </c>
      <c r="M887">
        <v>0</v>
      </c>
      <c r="N887">
        <v>0</v>
      </c>
      <c r="O887" s="2">
        <v>0</v>
      </c>
      <c r="P887" s="2">
        <v>0</v>
      </c>
      <c r="Q887">
        <v>0</v>
      </c>
      <c r="R887" s="2">
        <v>0</v>
      </c>
      <c r="S887" s="2">
        <v>0</v>
      </c>
      <c r="T887" t="s">
        <v>377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</row>
    <row r="888" spans="1:28" hidden="1" x14ac:dyDescent="0.25">
      <c r="A888" t="s">
        <v>47</v>
      </c>
      <c r="B888" t="s">
        <v>52</v>
      </c>
      <c r="C888" t="s">
        <v>212</v>
      </c>
      <c r="D888" s="1">
        <v>45870</v>
      </c>
      <c r="E888" s="1">
        <v>45870</v>
      </c>
      <c r="F888" s="2">
        <v>0</v>
      </c>
      <c r="G888" s="3" t="s">
        <v>572</v>
      </c>
      <c r="H888">
        <v>0</v>
      </c>
      <c r="I888" s="2">
        <v>0</v>
      </c>
      <c r="J888" s="2">
        <v>0</v>
      </c>
      <c r="K888" s="2">
        <v>0</v>
      </c>
      <c r="L888" s="2">
        <v>0</v>
      </c>
      <c r="M888">
        <v>0</v>
      </c>
      <c r="N888">
        <v>0</v>
      </c>
      <c r="O888" s="2">
        <v>0</v>
      </c>
      <c r="P888" s="2">
        <v>0</v>
      </c>
      <c r="Q888">
        <v>0</v>
      </c>
      <c r="R888" s="2">
        <v>0</v>
      </c>
      <c r="S888" s="2">
        <v>0</v>
      </c>
      <c r="T888" t="s">
        <v>377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idden="1" x14ac:dyDescent="0.25">
      <c r="A889" t="s">
        <v>56</v>
      </c>
      <c r="B889" t="s">
        <v>30</v>
      </c>
      <c r="C889" t="s">
        <v>64</v>
      </c>
      <c r="D889" s="9">
        <v>45871</v>
      </c>
      <c r="E889" s="9">
        <v>45871</v>
      </c>
      <c r="F889" s="2">
        <v>25</v>
      </c>
      <c r="G889" s="3" t="s">
        <v>23</v>
      </c>
      <c r="H889">
        <v>0</v>
      </c>
      <c r="I889" s="2">
        <v>0</v>
      </c>
      <c r="J889" s="2">
        <v>0</v>
      </c>
      <c r="K889" s="2">
        <v>0</v>
      </c>
      <c r="L889" s="2">
        <v>0</v>
      </c>
      <c r="M889">
        <v>0</v>
      </c>
      <c r="N889">
        <v>0</v>
      </c>
      <c r="O889" s="2">
        <v>0</v>
      </c>
      <c r="P889" s="2">
        <v>0</v>
      </c>
      <c r="Q889">
        <v>8</v>
      </c>
      <c r="R889" s="2">
        <v>1</v>
      </c>
      <c r="S889" s="2">
        <v>0</v>
      </c>
      <c r="T889" t="s">
        <v>532</v>
      </c>
      <c r="U889" s="2">
        <v>23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1</v>
      </c>
      <c r="AB889" s="2">
        <v>0</v>
      </c>
    </row>
    <row r="890" spans="1:28" hidden="1" x14ac:dyDescent="0.25">
      <c r="A890" t="s">
        <v>25</v>
      </c>
      <c r="B890" t="s">
        <v>26</v>
      </c>
      <c r="C890" t="s">
        <v>27</v>
      </c>
      <c r="D890" s="9">
        <v>45871</v>
      </c>
      <c r="E890" s="9">
        <v>45871</v>
      </c>
      <c r="F890" s="2">
        <v>32</v>
      </c>
      <c r="G890" s="3" t="s">
        <v>23</v>
      </c>
      <c r="H890">
        <v>0</v>
      </c>
      <c r="I890" s="2">
        <v>0</v>
      </c>
      <c r="J890" s="2">
        <v>0</v>
      </c>
      <c r="K890" s="2">
        <v>0</v>
      </c>
      <c r="L890" s="2">
        <v>0</v>
      </c>
      <c r="M890">
        <v>0</v>
      </c>
      <c r="N890">
        <v>0</v>
      </c>
      <c r="O890" s="2">
        <v>1</v>
      </c>
      <c r="P890" s="2">
        <v>0</v>
      </c>
      <c r="Q890">
        <v>4</v>
      </c>
      <c r="R890" s="2">
        <v>1</v>
      </c>
      <c r="S890" s="2">
        <v>0</v>
      </c>
      <c r="T890" t="s">
        <v>533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</row>
    <row r="891" spans="1:28" hidden="1" x14ac:dyDescent="0.25">
      <c r="A891" t="s">
        <v>33</v>
      </c>
      <c r="B891" t="s">
        <v>57</v>
      </c>
      <c r="C891" t="s">
        <v>35</v>
      </c>
      <c r="D891" s="9">
        <v>45871</v>
      </c>
      <c r="E891" s="9">
        <v>45871</v>
      </c>
      <c r="F891" s="2">
        <v>48</v>
      </c>
      <c r="G891" s="3" t="s">
        <v>23</v>
      </c>
      <c r="H891">
        <v>0</v>
      </c>
      <c r="I891" s="2">
        <v>0</v>
      </c>
      <c r="J891" s="2">
        <v>0</v>
      </c>
      <c r="K891" s="2">
        <v>0</v>
      </c>
      <c r="L891" s="2">
        <v>0</v>
      </c>
      <c r="M891">
        <v>0</v>
      </c>
      <c r="N891">
        <v>0</v>
      </c>
      <c r="O891" s="2">
        <v>1</v>
      </c>
      <c r="P891" s="2">
        <v>0</v>
      </c>
      <c r="Q891">
        <v>4</v>
      </c>
      <c r="R891" s="2">
        <v>1</v>
      </c>
      <c r="S891" s="2">
        <v>0</v>
      </c>
      <c r="T891" t="s">
        <v>534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</row>
    <row r="892" spans="1:28" hidden="1" x14ac:dyDescent="0.25">
      <c r="A892" t="s">
        <v>37</v>
      </c>
      <c r="B892" t="s">
        <v>38</v>
      </c>
      <c r="C892" t="s">
        <v>39</v>
      </c>
      <c r="D892" s="9">
        <v>45871</v>
      </c>
      <c r="E892" s="9">
        <v>45871</v>
      </c>
      <c r="F892" s="2">
        <v>24</v>
      </c>
      <c r="G892" s="3" t="s">
        <v>23</v>
      </c>
      <c r="H892">
        <v>0</v>
      </c>
      <c r="I892" s="2">
        <v>0</v>
      </c>
      <c r="J892" s="2">
        <v>0</v>
      </c>
      <c r="K892" s="2">
        <v>0</v>
      </c>
      <c r="L892" s="2">
        <v>0</v>
      </c>
      <c r="M892">
        <v>0</v>
      </c>
      <c r="N892">
        <v>0</v>
      </c>
      <c r="O892" s="2">
        <v>1</v>
      </c>
      <c r="P892" s="2">
        <v>0</v>
      </c>
      <c r="Q892">
        <v>6</v>
      </c>
      <c r="R892" s="2">
        <v>1</v>
      </c>
      <c r="S892" s="2">
        <v>0</v>
      </c>
      <c r="T892" t="s">
        <v>535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</row>
    <row r="893" spans="1:28" hidden="1" x14ac:dyDescent="0.25">
      <c r="A893" t="s">
        <v>53</v>
      </c>
      <c r="B893" t="s">
        <v>47</v>
      </c>
      <c r="C893" t="s">
        <v>54</v>
      </c>
      <c r="D893" s="9">
        <v>45871</v>
      </c>
      <c r="E893" s="9">
        <v>45871</v>
      </c>
      <c r="F893" s="2">
        <v>52</v>
      </c>
      <c r="G893" s="3" t="s">
        <v>378</v>
      </c>
      <c r="H893">
        <v>0</v>
      </c>
      <c r="I893" s="2">
        <v>0</v>
      </c>
      <c r="J893" s="2">
        <v>0</v>
      </c>
      <c r="K893" s="2">
        <v>0</v>
      </c>
      <c r="L893" s="2">
        <v>0</v>
      </c>
      <c r="M893">
        <v>0</v>
      </c>
      <c r="N893">
        <v>0</v>
      </c>
      <c r="O893" s="2">
        <v>0</v>
      </c>
      <c r="P893" s="2">
        <v>0</v>
      </c>
      <c r="Q893">
        <v>0</v>
      </c>
      <c r="R893" s="2">
        <v>0</v>
      </c>
      <c r="S893" s="2">
        <v>0</v>
      </c>
      <c r="T893" t="s">
        <v>485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idden="1" x14ac:dyDescent="0.25">
      <c r="A894" t="s">
        <v>20</v>
      </c>
      <c r="B894" t="s">
        <v>21</v>
      </c>
      <c r="C894" t="s">
        <v>27</v>
      </c>
      <c r="D894" s="9">
        <v>45871</v>
      </c>
      <c r="E894" s="9">
        <v>45871</v>
      </c>
      <c r="F894" s="2">
        <v>87</v>
      </c>
      <c r="G894" s="3" t="s">
        <v>378</v>
      </c>
      <c r="H894">
        <v>0</v>
      </c>
      <c r="I894" s="2">
        <v>0</v>
      </c>
      <c r="J894" s="2">
        <v>0</v>
      </c>
      <c r="K894" s="2">
        <v>0</v>
      </c>
      <c r="L894" s="2">
        <v>0</v>
      </c>
      <c r="M894">
        <v>0</v>
      </c>
      <c r="N894">
        <v>0</v>
      </c>
      <c r="O894" s="2">
        <v>0</v>
      </c>
      <c r="P894" s="2">
        <v>0</v>
      </c>
      <c r="Q894">
        <v>0</v>
      </c>
      <c r="R894" s="2">
        <v>0</v>
      </c>
      <c r="S894" s="2">
        <v>0</v>
      </c>
      <c r="T894" t="s">
        <v>485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idden="1" x14ac:dyDescent="0.25">
      <c r="A895" t="s">
        <v>29</v>
      </c>
      <c r="B895" t="s">
        <v>47</v>
      </c>
      <c r="C895" t="s">
        <v>31</v>
      </c>
      <c r="D895" s="9">
        <v>45871</v>
      </c>
      <c r="E895" s="9">
        <v>45871</v>
      </c>
      <c r="F895" s="2">
        <v>24</v>
      </c>
      <c r="G895" s="3" t="s">
        <v>378</v>
      </c>
      <c r="H895">
        <v>0</v>
      </c>
      <c r="I895" s="2">
        <v>0</v>
      </c>
      <c r="J895" s="2">
        <v>0</v>
      </c>
      <c r="K895" s="2">
        <v>0</v>
      </c>
      <c r="L895" s="2">
        <v>0</v>
      </c>
      <c r="M895">
        <v>0</v>
      </c>
      <c r="N895">
        <v>0</v>
      </c>
      <c r="O895" s="2">
        <v>0</v>
      </c>
      <c r="P895" s="2">
        <v>0</v>
      </c>
      <c r="Q895">
        <v>0</v>
      </c>
      <c r="R895" s="2">
        <v>0</v>
      </c>
      <c r="S895" s="2">
        <v>0</v>
      </c>
      <c r="T895" t="s">
        <v>485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idden="1" x14ac:dyDescent="0.25">
      <c r="A896" t="s">
        <v>47</v>
      </c>
      <c r="B896" t="s">
        <v>52</v>
      </c>
      <c r="C896" t="s">
        <v>64</v>
      </c>
      <c r="D896" s="9">
        <v>45871</v>
      </c>
      <c r="E896" s="9">
        <v>45871</v>
      </c>
      <c r="F896" s="2">
        <v>25</v>
      </c>
      <c r="G896" s="3" t="s">
        <v>378</v>
      </c>
      <c r="H896">
        <v>0</v>
      </c>
      <c r="I896" s="2">
        <v>0</v>
      </c>
      <c r="J896" s="2">
        <v>0</v>
      </c>
      <c r="K896" s="2">
        <v>0</v>
      </c>
      <c r="L896" s="2">
        <v>0</v>
      </c>
      <c r="M896">
        <v>0</v>
      </c>
      <c r="N896">
        <v>0</v>
      </c>
      <c r="O896" s="2">
        <v>0</v>
      </c>
      <c r="P896" s="2">
        <v>0</v>
      </c>
      <c r="Q896">
        <v>0</v>
      </c>
      <c r="R896" s="2">
        <v>0</v>
      </c>
      <c r="S896" s="2">
        <v>0</v>
      </c>
      <c r="T896" t="s">
        <v>485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idden="1" x14ac:dyDescent="0.25">
      <c r="A897" t="s">
        <v>56</v>
      </c>
      <c r="B897" t="s">
        <v>30</v>
      </c>
      <c r="C897" t="s">
        <v>64</v>
      </c>
      <c r="D897" s="9">
        <v>45872</v>
      </c>
      <c r="E897" s="9">
        <v>45872</v>
      </c>
      <c r="F897" s="2">
        <v>51</v>
      </c>
      <c r="G897" s="3" t="s">
        <v>23</v>
      </c>
      <c r="H897">
        <v>0</v>
      </c>
      <c r="I897" s="2">
        <v>0</v>
      </c>
      <c r="J897" s="2">
        <v>0</v>
      </c>
      <c r="K897" s="2">
        <v>0</v>
      </c>
      <c r="L897" s="2">
        <v>0</v>
      </c>
      <c r="M897">
        <v>0</v>
      </c>
      <c r="N897">
        <v>0</v>
      </c>
      <c r="O897" s="2">
        <v>0</v>
      </c>
      <c r="P897" s="2">
        <v>1</v>
      </c>
      <c r="Q897">
        <v>5</v>
      </c>
      <c r="R897" s="2">
        <v>0</v>
      </c>
      <c r="S897" s="2">
        <v>1</v>
      </c>
      <c r="T897" t="s">
        <v>536</v>
      </c>
      <c r="U897" s="2">
        <v>16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idden="1" x14ac:dyDescent="0.25">
      <c r="A898" t="s">
        <v>25</v>
      </c>
      <c r="B898" t="s">
        <v>26</v>
      </c>
      <c r="C898" t="s">
        <v>27</v>
      </c>
      <c r="D898" s="9">
        <v>45872</v>
      </c>
      <c r="E898" s="9">
        <v>45872</v>
      </c>
      <c r="F898" s="2">
        <v>30</v>
      </c>
      <c r="G898" s="3" t="s">
        <v>23</v>
      </c>
      <c r="H898">
        <v>0</v>
      </c>
      <c r="I898" s="2">
        <v>0</v>
      </c>
      <c r="J898" s="2">
        <v>0</v>
      </c>
      <c r="K898" s="2">
        <v>0</v>
      </c>
      <c r="L898" s="2">
        <v>0</v>
      </c>
      <c r="M898">
        <v>0</v>
      </c>
      <c r="N898">
        <v>0</v>
      </c>
      <c r="O898" s="2">
        <v>0</v>
      </c>
      <c r="P898" s="2">
        <v>1</v>
      </c>
      <c r="Q898">
        <v>3</v>
      </c>
      <c r="R898" s="2">
        <v>0</v>
      </c>
      <c r="S898" s="2">
        <v>1</v>
      </c>
      <c r="T898" t="s">
        <v>537</v>
      </c>
      <c r="U898" s="2">
        <v>15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</row>
    <row r="899" spans="1:28" hidden="1" x14ac:dyDescent="0.25">
      <c r="A899" t="s">
        <v>33</v>
      </c>
      <c r="B899" t="s">
        <v>57</v>
      </c>
      <c r="C899" t="s">
        <v>35</v>
      </c>
      <c r="D899" s="9">
        <v>45872</v>
      </c>
      <c r="E899" s="9">
        <v>45872</v>
      </c>
      <c r="F899" s="2">
        <v>54</v>
      </c>
      <c r="G899" s="3" t="s">
        <v>23</v>
      </c>
      <c r="H899">
        <v>0</v>
      </c>
      <c r="I899" s="2">
        <v>0</v>
      </c>
      <c r="J899" s="2">
        <v>0</v>
      </c>
      <c r="K899" s="2">
        <v>0</v>
      </c>
      <c r="L899" s="2">
        <v>0</v>
      </c>
      <c r="M899">
        <v>0</v>
      </c>
      <c r="N899">
        <v>0</v>
      </c>
      <c r="O899" s="2">
        <v>0</v>
      </c>
      <c r="P899" s="2">
        <v>0</v>
      </c>
      <c r="Q899">
        <v>7</v>
      </c>
      <c r="R899" s="2">
        <v>0</v>
      </c>
      <c r="S899" s="2">
        <v>1</v>
      </c>
      <c r="T899" t="s">
        <v>538</v>
      </c>
      <c r="U899" s="2">
        <v>10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1</v>
      </c>
    </row>
    <row r="900" spans="1:28" hidden="1" x14ac:dyDescent="0.25">
      <c r="A900" t="s">
        <v>37</v>
      </c>
      <c r="B900" t="s">
        <v>38</v>
      </c>
      <c r="C900" t="s">
        <v>39</v>
      </c>
      <c r="D900" s="9">
        <v>45872</v>
      </c>
      <c r="E900" s="9">
        <v>45872</v>
      </c>
      <c r="F900" s="2">
        <v>29</v>
      </c>
      <c r="G900" s="3" t="s">
        <v>23</v>
      </c>
      <c r="H900">
        <v>0</v>
      </c>
      <c r="I900" s="2">
        <v>0</v>
      </c>
      <c r="J900" s="2">
        <v>0</v>
      </c>
      <c r="K900" s="2">
        <v>0</v>
      </c>
      <c r="L900" s="2">
        <v>0</v>
      </c>
      <c r="M900">
        <v>0</v>
      </c>
      <c r="N900">
        <v>0</v>
      </c>
      <c r="O900" s="2">
        <v>0</v>
      </c>
      <c r="P900" s="2">
        <v>1</v>
      </c>
      <c r="Q900">
        <v>3</v>
      </c>
      <c r="R900" s="2">
        <v>0</v>
      </c>
      <c r="S900" s="2">
        <v>1</v>
      </c>
      <c r="T900" t="s">
        <v>539</v>
      </c>
      <c r="U900" s="2">
        <v>2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</row>
    <row r="901" spans="1:28" hidden="1" x14ac:dyDescent="0.25">
      <c r="A901" t="s">
        <v>53</v>
      </c>
      <c r="B901" t="s">
        <v>47</v>
      </c>
      <c r="C901" t="s">
        <v>54</v>
      </c>
      <c r="D901" s="9">
        <v>45872</v>
      </c>
      <c r="E901" s="9">
        <v>45872</v>
      </c>
      <c r="F901" s="2">
        <v>52</v>
      </c>
      <c r="G901" s="3" t="s">
        <v>378</v>
      </c>
      <c r="H901">
        <v>0</v>
      </c>
      <c r="I901" s="2">
        <v>0</v>
      </c>
      <c r="J901" s="2">
        <v>0</v>
      </c>
      <c r="K901" s="2">
        <v>0</v>
      </c>
      <c r="L901" s="2">
        <v>0</v>
      </c>
      <c r="M901">
        <v>0</v>
      </c>
      <c r="N901">
        <v>0</v>
      </c>
      <c r="O901" s="2">
        <v>0</v>
      </c>
      <c r="P901" s="2">
        <v>0</v>
      </c>
      <c r="Q901">
        <v>0</v>
      </c>
      <c r="R901" s="2">
        <v>0</v>
      </c>
      <c r="S901" s="2">
        <v>0</v>
      </c>
      <c r="T901" t="s">
        <v>485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idden="1" x14ac:dyDescent="0.25">
      <c r="A902" t="s">
        <v>20</v>
      </c>
      <c r="B902" t="s">
        <v>21</v>
      </c>
      <c r="C902" t="s">
        <v>27</v>
      </c>
      <c r="D902" s="9">
        <v>45872</v>
      </c>
      <c r="E902" s="9">
        <v>45872</v>
      </c>
      <c r="F902" s="2">
        <v>87</v>
      </c>
      <c r="G902" s="3" t="s">
        <v>378</v>
      </c>
      <c r="H902">
        <v>0</v>
      </c>
      <c r="I902" s="2">
        <v>0</v>
      </c>
      <c r="J902" s="2">
        <v>0</v>
      </c>
      <c r="K902" s="2">
        <v>0</v>
      </c>
      <c r="L902" s="2">
        <v>0</v>
      </c>
      <c r="M902">
        <v>0</v>
      </c>
      <c r="N902">
        <v>0</v>
      </c>
      <c r="O902" s="2">
        <v>0</v>
      </c>
      <c r="P902" s="2">
        <v>0</v>
      </c>
      <c r="Q902">
        <v>0</v>
      </c>
      <c r="R902" s="2">
        <v>0</v>
      </c>
      <c r="S902" s="2">
        <v>0</v>
      </c>
      <c r="T902" t="s">
        <v>485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idden="1" x14ac:dyDescent="0.25">
      <c r="A903" t="s">
        <v>29</v>
      </c>
      <c r="B903" t="s">
        <v>47</v>
      </c>
      <c r="C903" t="s">
        <v>31</v>
      </c>
      <c r="D903" s="9">
        <v>45872</v>
      </c>
      <c r="E903" s="9">
        <v>45872</v>
      </c>
      <c r="F903" s="2">
        <v>24</v>
      </c>
      <c r="G903" s="3" t="s">
        <v>378</v>
      </c>
      <c r="H903">
        <v>0</v>
      </c>
      <c r="I903" s="2">
        <v>0</v>
      </c>
      <c r="J903" s="2">
        <v>0</v>
      </c>
      <c r="K903" s="2">
        <v>0</v>
      </c>
      <c r="L903" s="2">
        <v>0</v>
      </c>
      <c r="M903">
        <v>0</v>
      </c>
      <c r="N903">
        <v>0</v>
      </c>
      <c r="O903" s="2">
        <v>0</v>
      </c>
      <c r="P903" s="2">
        <v>0</v>
      </c>
      <c r="Q903">
        <v>0</v>
      </c>
      <c r="R903" s="2">
        <v>0</v>
      </c>
      <c r="S903" s="2">
        <v>0</v>
      </c>
      <c r="T903" t="s">
        <v>485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</row>
    <row r="904" spans="1:28" hidden="1" x14ac:dyDescent="0.25">
      <c r="A904" t="s">
        <v>47</v>
      </c>
      <c r="B904" t="s">
        <v>52</v>
      </c>
      <c r="C904" t="s">
        <v>64</v>
      </c>
      <c r="D904" s="9">
        <v>45872</v>
      </c>
      <c r="E904" s="9">
        <v>45872</v>
      </c>
      <c r="F904" s="2">
        <v>25</v>
      </c>
      <c r="G904" s="3" t="s">
        <v>378</v>
      </c>
      <c r="H904">
        <v>0</v>
      </c>
      <c r="I904" s="2">
        <v>0</v>
      </c>
      <c r="J904" s="2">
        <v>0</v>
      </c>
      <c r="K904" s="2">
        <v>0</v>
      </c>
      <c r="L904" s="2">
        <v>0</v>
      </c>
      <c r="M904">
        <v>0</v>
      </c>
      <c r="N904">
        <v>0</v>
      </c>
      <c r="O904" s="2">
        <v>0</v>
      </c>
      <c r="P904" s="2">
        <v>0</v>
      </c>
      <c r="Q904">
        <v>0</v>
      </c>
      <c r="R904" s="2">
        <v>0</v>
      </c>
      <c r="S904" s="2">
        <v>0</v>
      </c>
      <c r="T904" t="s">
        <v>485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idden="1" x14ac:dyDescent="0.25">
      <c r="A905" t="s">
        <v>20</v>
      </c>
      <c r="B905" t="s">
        <v>21</v>
      </c>
      <c r="C905" t="s">
        <v>64</v>
      </c>
      <c r="D905" s="1">
        <v>45873</v>
      </c>
      <c r="E905" s="1">
        <v>45873</v>
      </c>
      <c r="F905" s="2">
        <v>29</v>
      </c>
      <c r="G905" s="3" t="s">
        <v>23</v>
      </c>
      <c r="H905">
        <v>2</v>
      </c>
      <c r="I905" s="2">
        <v>0</v>
      </c>
      <c r="J905" s="2">
        <v>0</v>
      </c>
      <c r="K905" s="2">
        <v>0</v>
      </c>
      <c r="L905" s="2">
        <v>0</v>
      </c>
      <c r="M905">
        <v>0</v>
      </c>
      <c r="N905">
        <v>0</v>
      </c>
      <c r="O905" s="2">
        <v>0</v>
      </c>
      <c r="P905" s="2">
        <v>0</v>
      </c>
      <c r="Q905">
        <v>0</v>
      </c>
      <c r="R905" s="2">
        <v>0</v>
      </c>
      <c r="S905" s="2">
        <v>0</v>
      </c>
      <c r="T905" t="s">
        <v>540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idden="1" x14ac:dyDescent="0.25">
      <c r="A906" t="s">
        <v>56</v>
      </c>
      <c r="B906" t="s">
        <v>47</v>
      </c>
      <c r="C906" t="s">
        <v>39</v>
      </c>
      <c r="D906" s="1">
        <v>45873</v>
      </c>
      <c r="E906" s="1">
        <v>45873</v>
      </c>
      <c r="F906" s="2">
        <v>16</v>
      </c>
      <c r="G906" s="3" t="s">
        <v>23</v>
      </c>
      <c r="H906">
        <v>9</v>
      </c>
      <c r="I906" s="2">
        <v>0</v>
      </c>
      <c r="J906" s="2">
        <v>0</v>
      </c>
      <c r="K906" s="2">
        <v>0</v>
      </c>
      <c r="L906" s="2">
        <v>0</v>
      </c>
      <c r="M906">
        <v>0</v>
      </c>
      <c r="N906">
        <v>0</v>
      </c>
      <c r="O906" s="2">
        <v>0</v>
      </c>
      <c r="P906" s="2">
        <v>0</v>
      </c>
      <c r="Q906">
        <v>0</v>
      </c>
      <c r="R906" s="2">
        <v>0</v>
      </c>
      <c r="S906" s="2">
        <v>0</v>
      </c>
      <c r="T906" t="s">
        <v>541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idden="1" x14ac:dyDescent="0.25">
      <c r="A907" t="s">
        <v>37</v>
      </c>
      <c r="B907" t="s">
        <v>47</v>
      </c>
      <c r="C907" t="s">
        <v>39</v>
      </c>
      <c r="D907" s="1">
        <v>45873</v>
      </c>
      <c r="E907" s="1">
        <v>45873</v>
      </c>
      <c r="F907" s="2">
        <v>22</v>
      </c>
      <c r="G907" s="3" t="s">
        <v>23</v>
      </c>
      <c r="H907">
        <v>9</v>
      </c>
      <c r="I907" s="2">
        <v>0</v>
      </c>
      <c r="J907" s="2">
        <v>0</v>
      </c>
      <c r="K907" s="2">
        <v>0</v>
      </c>
      <c r="L907" s="2">
        <v>0</v>
      </c>
      <c r="M907">
        <v>0</v>
      </c>
      <c r="N907">
        <v>0</v>
      </c>
      <c r="O907" s="2">
        <v>0</v>
      </c>
      <c r="P907" s="2">
        <v>0</v>
      </c>
      <c r="Q907">
        <v>0</v>
      </c>
      <c r="R907" s="2">
        <v>0</v>
      </c>
      <c r="S907" s="2">
        <v>0</v>
      </c>
      <c r="T907" t="s">
        <v>542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idden="1" x14ac:dyDescent="0.25">
      <c r="A908" t="s">
        <v>25</v>
      </c>
      <c r="B908" t="s">
        <v>26</v>
      </c>
      <c r="C908" t="s">
        <v>39</v>
      </c>
      <c r="D908" s="1">
        <v>45873</v>
      </c>
      <c r="E908" s="1">
        <v>45873</v>
      </c>
      <c r="F908" s="2">
        <v>22</v>
      </c>
      <c r="G908" s="3" t="s">
        <v>572</v>
      </c>
      <c r="H908">
        <v>0</v>
      </c>
      <c r="I908" s="2">
        <v>0</v>
      </c>
      <c r="J908" s="2">
        <v>0</v>
      </c>
      <c r="K908" s="2">
        <v>0</v>
      </c>
      <c r="L908" s="2">
        <v>0</v>
      </c>
      <c r="M908">
        <v>0</v>
      </c>
      <c r="N908">
        <v>0</v>
      </c>
      <c r="O908" s="2">
        <v>0</v>
      </c>
      <c r="P908" s="2">
        <v>0</v>
      </c>
      <c r="Q908">
        <v>0</v>
      </c>
      <c r="R908" s="2">
        <v>0</v>
      </c>
      <c r="S908" s="2">
        <v>0</v>
      </c>
      <c r="T908" t="s">
        <v>542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idden="1" x14ac:dyDescent="0.25">
      <c r="A909" t="s">
        <v>33</v>
      </c>
      <c r="B909" t="s">
        <v>57</v>
      </c>
      <c r="C909" t="s">
        <v>212</v>
      </c>
      <c r="D909" s="1">
        <v>45873</v>
      </c>
      <c r="E909" s="1">
        <v>45873</v>
      </c>
      <c r="F909" s="2">
        <v>0</v>
      </c>
      <c r="G909" s="3" t="s">
        <v>572</v>
      </c>
      <c r="H909">
        <v>0</v>
      </c>
      <c r="I909" s="2">
        <v>0</v>
      </c>
      <c r="J909" s="2">
        <v>0</v>
      </c>
      <c r="K909" s="2">
        <v>0</v>
      </c>
      <c r="L909" s="2">
        <v>0</v>
      </c>
      <c r="M909">
        <v>0</v>
      </c>
      <c r="N909">
        <v>0</v>
      </c>
      <c r="O909" s="2">
        <v>0</v>
      </c>
      <c r="P909" s="2">
        <v>0</v>
      </c>
      <c r="Q909">
        <v>0</v>
      </c>
      <c r="R909" s="2">
        <v>0</v>
      </c>
      <c r="S909" s="2">
        <v>0</v>
      </c>
      <c r="T909" t="s">
        <v>377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idden="1" x14ac:dyDescent="0.25">
      <c r="A910" t="s">
        <v>29</v>
      </c>
      <c r="B910" t="s">
        <v>47</v>
      </c>
      <c r="C910" t="s">
        <v>212</v>
      </c>
      <c r="D910" s="1">
        <v>45873</v>
      </c>
      <c r="E910" s="1">
        <v>45873</v>
      </c>
      <c r="F910" s="2">
        <v>0</v>
      </c>
      <c r="G910" s="3" t="s">
        <v>572</v>
      </c>
      <c r="H910">
        <v>0</v>
      </c>
      <c r="I910" s="2">
        <v>0</v>
      </c>
      <c r="J910" s="2">
        <v>0</v>
      </c>
      <c r="K910" s="2">
        <v>0</v>
      </c>
      <c r="L910" s="2">
        <v>0</v>
      </c>
      <c r="M910">
        <v>0</v>
      </c>
      <c r="N910">
        <v>0</v>
      </c>
      <c r="O910" s="2">
        <v>0</v>
      </c>
      <c r="P910" s="2">
        <v>0</v>
      </c>
      <c r="Q910">
        <v>0</v>
      </c>
      <c r="R910" s="2">
        <v>0</v>
      </c>
      <c r="S910" s="2">
        <v>0</v>
      </c>
      <c r="T910" t="s">
        <v>377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idden="1" x14ac:dyDescent="0.25">
      <c r="A911" t="s">
        <v>53</v>
      </c>
      <c r="B911" t="s">
        <v>38</v>
      </c>
      <c r="C911" t="s">
        <v>212</v>
      </c>
      <c r="D911" s="1">
        <v>45873</v>
      </c>
      <c r="E911" s="1">
        <v>45873</v>
      </c>
      <c r="F911" s="2">
        <v>0</v>
      </c>
      <c r="G911" s="3" t="s">
        <v>572</v>
      </c>
      <c r="H911">
        <v>0</v>
      </c>
      <c r="I911" s="2">
        <v>0</v>
      </c>
      <c r="J911" s="2">
        <v>0</v>
      </c>
      <c r="K911" s="2">
        <v>0</v>
      </c>
      <c r="L911" s="2">
        <v>0</v>
      </c>
      <c r="M911">
        <v>0</v>
      </c>
      <c r="N911">
        <v>0</v>
      </c>
      <c r="O911" s="2">
        <v>0</v>
      </c>
      <c r="P911" s="2">
        <v>0</v>
      </c>
      <c r="Q911">
        <v>0</v>
      </c>
      <c r="R911" s="2">
        <v>0</v>
      </c>
      <c r="S911" s="2">
        <v>0</v>
      </c>
      <c r="T911" t="s">
        <v>377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</row>
    <row r="912" spans="1:28" hidden="1" x14ac:dyDescent="0.25">
      <c r="A912" t="s">
        <v>47</v>
      </c>
      <c r="B912" t="s">
        <v>30</v>
      </c>
      <c r="C912" t="s">
        <v>212</v>
      </c>
      <c r="D912" s="1">
        <v>45873</v>
      </c>
      <c r="E912" s="1">
        <v>45873</v>
      </c>
      <c r="F912" s="2">
        <v>0</v>
      </c>
      <c r="G912" s="3" t="s">
        <v>48</v>
      </c>
      <c r="H912">
        <v>0</v>
      </c>
      <c r="I912" s="2">
        <v>0</v>
      </c>
      <c r="J912" s="2">
        <v>0</v>
      </c>
      <c r="K912" s="2">
        <v>0</v>
      </c>
      <c r="L912" s="2">
        <v>0</v>
      </c>
      <c r="M912">
        <v>0</v>
      </c>
      <c r="N912">
        <v>0</v>
      </c>
      <c r="O912" s="2">
        <v>0</v>
      </c>
      <c r="P912" s="2">
        <v>0</v>
      </c>
      <c r="Q912">
        <v>0</v>
      </c>
      <c r="R912" s="2">
        <v>0</v>
      </c>
      <c r="S912" s="2">
        <v>0</v>
      </c>
      <c r="T912" t="s">
        <v>377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</row>
    <row r="913" spans="1:28" hidden="1" x14ac:dyDescent="0.25">
      <c r="A913" t="s">
        <v>47</v>
      </c>
      <c r="B913" t="s">
        <v>52</v>
      </c>
      <c r="C913" t="s">
        <v>212</v>
      </c>
      <c r="D913" s="1">
        <v>45873</v>
      </c>
      <c r="E913" s="1">
        <v>45873</v>
      </c>
      <c r="F913" s="2">
        <v>0</v>
      </c>
      <c r="G913" s="3" t="s">
        <v>572</v>
      </c>
      <c r="H913">
        <v>0</v>
      </c>
      <c r="I913" s="2">
        <v>0</v>
      </c>
      <c r="J913" s="2">
        <v>0</v>
      </c>
      <c r="K913" s="2">
        <v>0</v>
      </c>
      <c r="L913" s="2">
        <v>0</v>
      </c>
      <c r="M913">
        <v>0</v>
      </c>
      <c r="N913">
        <v>0</v>
      </c>
      <c r="O913" s="2">
        <v>0</v>
      </c>
      <c r="P913" s="2">
        <v>0</v>
      </c>
      <c r="Q913">
        <v>0</v>
      </c>
      <c r="R913" s="2">
        <v>0</v>
      </c>
      <c r="S913" s="2">
        <v>0</v>
      </c>
      <c r="T913" t="s">
        <v>377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idden="1" x14ac:dyDescent="0.25">
      <c r="A914" t="s">
        <v>20</v>
      </c>
      <c r="B914" t="s">
        <v>21</v>
      </c>
      <c r="C914" t="s">
        <v>22</v>
      </c>
      <c r="D914" s="1">
        <v>45874</v>
      </c>
      <c r="E914" s="1">
        <v>45874</v>
      </c>
      <c r="F914" s="2">
        <v>78</v>
      </c>
      <c r="G914" s="3" t="s">
        <v>23</v>
      </c>
      <c r="H914">
        <v>22</v>
      </c>
      <c r="I914" s="2">
        <v>0</v>
      </c>
      <c r="J914" s="2">
        <v>0</v>
      </c>
      <c r="K914" s="2">
        <v>0</v>
      </c>
      <c r="L914" s="2">
        <v>1</v>
      </c>
      <c r="M914">
        <v>0</v>
      </c>
      <c r="N914">
        <v>0</v>
      </c>
      <c r="O914" s="2">
        <v>0</v>
      </c>
      <c r="P914" s="2">
        <v>0</v>
      </c>
      <c r="Q914">
        <v>0</v>
      </c>
      <c r="R914" s="2">
        <v>0</v>
      </c>
      <c r="S914" s="2">
        <v>0</v>
      </c>
      <c r="T914" t="s">
        <v>543</v>
      </c>
      <c r="U914" s="2">
        <v>0</v>
      </c>
      <c r="V914" s="2">
        <v>1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</row>
    <row r="915" spans="1:28" hidden="1" x14ac:dyDescent="0.25">
      <c r="A915" t="s">
        <v>25</v>
      </c>
      <c r="B915" t="s">
        <v>26</v>
      </c>
      <c r="C915" t="s">
        <v>27</v>
      </c>
      <c r="D915" s="1">
        <v>45874</v>
      </c>
      <c r="E915" s="1">
        <v>45874</v>
      </c>
      <c r="F915" s="2">
        <v>36</v>
      </c>
      <c r="G915" s="3" t="s">
        <v>23</v>
      </c>
      <c r="H915">
        <v>20</v>
      </c>
      <c r="I915" s="2">
        <v>0</v>
      </c>
      <c r="J915" s="2">
        <v>0</v>
      </c>
      <c r="K915" s="2">
        <v>1</v>
      </c>
      <c r="L915" s="2">
        <v>0</v>
      </c>
      <c r="M915">
        <v>0</v>
      </c>
      <c r="N915">
        <v>0</v>
      </c>
      <c r="O915" s="2">
        <v>0</v>
      </c>
      <c r="P915" s="2">
        <v>0</v>
      </c>
      <c r="Q915">
        <v>0</v>
      </c>
      <c r="R915" s="2">
        <v>0</v>
      </c>
      <c r="S915" s="2">
        <v>0</v>
      </c>
      <c r="T915" t="s">
        <v>544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</row>
    <row r="916" spans="1:28" hidden="1" x14ac:dyDescent="0.25">
      <c r="A916" t="s">
        <v>33</v>
      </c>
      <c r="B916" t="s">
        <v>57</v>
      </c>
      <c r="C916" t="s">
        <v>35</v>
      </c>
      <c r="D916" s="1">
        <v>45874</v>
      </c>
      <c r="E916" s="1">
        <v>45874</v>
      </c>
      <c r="F916" s="2">
        <v>28</v>
      </c>
      <c r="G916" s="3" t="s">
        <v>23</v>
      </c>
      <c r="H916">
        <v>14</v>
      </c>
      <c r="I916" s="2">
        <v>0</v>
      </c>
      <c r="J916" s="2">
        <v>0</v>
      </c>
      <c r="K916" s="2">
        <v>0</v>
      </c>
      <c r="L916" s="2">
        <v>0</v>
      </c>
      <c r="M916">
        <v>0</v>
      </c>
      <c r="N916">
        <v>0</v>
      </c>
      <c r="O916" s="2">
        <v>0</v>
      </c>
      <c r="P916" s="2">
        <v>0</v>
      </c>
      <c r="Q916">
        <v>0</v>
      </c>
      <c r="R916" s="2">
        <v>0</v>
      </c>
      <c r="S916" s="2">
        <v>0</v>
      </c>
      <c r="T916" t="s">
        <v>545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</row>
    <row r="917" spans="1:28" hidden="1" x14ac:dyDescent="0.25">
      <c r="A917" t="s">
        <v>37</v>
      </c>
      <c r="B917" t="s">
        <v>38</v>
      </c>
      <c r="C917" t="s">
        <v>39</v>
      </c>
      <c r="D917" s="1">
        <v>45874</v>
      </c>
      <c r="E917" s="1">
        <v>45874</v>
      </c>
      <c r="F917" s="2">
        <v>16</v>
      </c>
      <c r="G917" s="3" t="s">
        <v>23</v>
      </c>
      <c r="H917">
        <v>31</v>
      </c>
      <c r="I917" s="2">
        <v>0</v>
      </c>
      <c r="J917" s="2">
        <v>0</v>
      </c>
      <c r="K917" s="2">
        <v>1</v>
      </c>
      <c r="L917" s="2">
        <v>0</v>
      </c>
      <c r="M917">
        <v>0</v>
      </c>
      <c r="N917">
        <v>0</v>
      </c>
      <c r="O917" s="2">
        <v>0</v>
      </c>
      <c r="P917" s="2">
        <v>0</v>
      </c>
      <c r="Q917">
        <v>0</v>
      </c>
      <c r="R917" s="2">
        <v>0</v>
      </c>
      <c r="S917" s="2">
        <v>0</v>
      </c>
      <c r="T917" t="s">
        <v>546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idden="1" x14ac:dyDescent="0.25">
      <c r="A918" t="s">
        <v>29</v>
      </c>
      <c r="B918" t="s">
        <v>30</v>
      </c>
      <c r="C918" t="s">
        <v>39</v>
      </c>
      <c r="D918" s="1">
        <v>45874</v>
      </c>
      <c r="E918" s="1">
        <v>45874</v>
      </c>
      <c r="F918" s="2">
        <v>16</v>
      </c>
      <c r="G918" s="3" t="s">
        <v>23</v>
      </c>
      <c r="H918">
        <v>16</v>
      </c>
      <c r="I918" s="2">
        <v>0</v>
      </c>
      <c r="J918" s="2">
        <v>0</v>
      </c>
      <c r="K918" s="2">
        <v>1</v>
      </c>
      <c r="L918" s="2">
        <v>0</v>
      </c>
      <c r="M918">
        <v>0</v>
      </c>
      <c r="N918">
        <v>0</v>
      </c>
      <c r="O918" s="2">
        <v>0</v>
      </c>
      <c r="P918" s="2">
        <v>0</v>
      </c>
      <c r="Q918">
        <v>0</v>
      </c>
      <c r="R918" s="2">
        <v>0</v>
      </c>
      <c r="S918" s="2">
        <v>0</v>
      </c>
      <c r="T918" t="s">
        <v>546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</row>
    <row r="919" spans="1:28" hidden="1" x14ac:dyDescent="0.25">
      <c r="A919" t="s">
        <v>53</v>
      </c>
      <c r="B919" t="s">
        <v>47</v>
      </c>
      <c r="C919" t="s">
        <v>212</v>
      </c>
      <c r="D919" s="1">
        <v>45874</v>
      </c>
      <c r="E919" s="1">
        <v>45874</v>
      </c>
      <c r="F919" s="2">
        <v>0</v>
      </c>
      <c r="G919" s="3" t="s">
        <v>48</v>
      </c>
      <c r="H919">
        <v>0</v>
      </c>
      <c r="I919" s="2">
        <v>0</v>
      </c>
      <c r="J919" s="2">
        <v>0</v>
      </c>
      <c r="K919" s="2">
        <v>0</v>
      </c>
      <c r="L919" s="2">
        <v>0</v>
      </c>
      <c r="M919">
        <v>0</v>
      </c>
      <c r="N919">
        <v>0</v>
      </c>
      <c r="O919" s="2">
        <v>0</v>
      </c>
      <c r="P919" s="2">
        <v>0</v>
      </c>
      <c r="Q919">
        <v>0</v>
      </c>
      <c r="R919" s="2">
        <v>0</v>
      </c>
      <c r="S919" s="2">
        <v>0</v>
      </c>
      <c r="T919" t="s">
        <v>377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</row>
    <row r="920" spans="1:28" hidden="1" x14ac:dyDescent="0.25">
      <c r="A920" t="s">
        <v>56</v>
      </c>
      <c r="B920" t="s">
        <v>47</v>
      </c>
      <c r="C920" t="s">
        <v>212</v>
      </c>
      <c r="D920" s="1">
        <v>45874</v>
      </c>
      <c r="E920" s="1">
        <v>45874</v>
      </c>
      <c r="F920" s="2">
        <v>0</v>
      </c>
      <c r="G920" s="3" t="s">
        <v>572</v>
      </c>
      <c r="H920">
        <v>0</v>
      </c>
      <c r="I920" s="2">
        <v>0</v>
      </c>
      <c r="J920" s="2">
        <v>0</v>
      </c>
      <c r="K920" s="2">
        <v>0</v>
      </c>
      <c r="L920" s="2">
        <v>0</v>
      </c>
      <c r="M920">
        <v>0</v>
      </c>
      <c r="N920">
        <v>0</v>
      </c>
      <c r="O920" s="2">
        <v>0</v>
      </c>
      <c r="P920" s="2">
        <v>0</v>
      </c>
      <c r="Q920">
        <v>0</v>
      </c>
      <c r="R920" s="2">
        <v>0</v>
      </c>
      <c r="S920" s="2">
        <v>0</v>
      </c>
      <c r="T920" t="s">
        <v>377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</row>
    <row r="921" spans="1:28" hidden="1" x14ac:dyDescent="0.25">
      <c r="A921" t="s">
        <v>47</v>
      </c>
      <c r="B921" t="s">
        <v>52</v>
      </c>
      <c r="C921" t="s">
        <v>212</v>
      </c>
      <c r="D921" s="1">
        <v>45874</v>
      </c>
      <c r="E921" s="1">
        <v>45874</v>
      </c>
      <c r="F921" s="2">
        <v>0</v>
      </c>
      <c r="G921" s="3" t="s">
        <v>572</v>
      </c>
      <c r="H921">
        <v>0</v>
      </c>
      <c r="I921" s="2">
        <v>0</v>
      </c>
      <c r="J921" s="2">
        <v>0</v>
      </c>
      <c r="K921" s="2">
        <v>0</v>
      </c>
      <c r="L921" s="2">
        <v>0</v>
      </c>
      <c r="M921">
        <v>0</v>
      </c>
      <c r="N921">
        <v>0</v>
      </c>
      <c r="O921" s="2">
        <v>0</v>
      </c>
      <c r="P921" s="2">
        <v>0</v>
      </c>
      <c r="Q921">
        <v>0</v>
      </c>
      <c r="R921" s="2">
        <v>0</v>
      </c>
      <c r="S921" s="2">
        <v>0</v>
      </c>
      <c r="T921" t="s">
        <v>377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</row>
    <row r="922" spans="1:28" hidden="1" x14ac:dyDescent="0.25">
      <c r="A922" t="s">
        <v>29</v>
      </c>
      <c r="B922" t="s">
        <v>30</v>
      </c>
      <c r="C922" t="s">
        <v>64</v>
      </c>
      <c r="D922" s="1">
        <v>45875</v>
      </c>
      <c r="E922" s="1">
        <v>45875</v>
      </c>
      <c r="F922" s="2">
        <v>23</v>
      </c>
      <c r="G922" s="3" t="s">
        <v>23</v>
      </c>
      <c r="H922">
        <v>30</v>
      </c>
      <c r="I922" s="2">
        <v>0</v>
      </c>
      <c r="J922" s="2">
        <v>0</v>
      </c>
      <c r="K922" s="2">
        <v>0</v>
      </c>
      <c r="L922" s="2">
        <v>1</v>
      </c>
      <c r="M922">
        <v>0</v>
      </c>
      <c r="N922">
        <v>0</v>
      </c>
      <c r="O922" s="2">
        <v>0</v>
      </c>
      <c r="P922" s="2">
        <v>0</v>
      </c>
      <c r="Q922">
        <v>0</v>
      </c>
      <c r="R922" s="2">
        <v>0</v>
      </c>
      <c r="S922" s="2">
        <v>0</v>
      </c>
      <c r="T922" t="s">
        <v>547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idden="1" x14ac:dyDescent="0.25">
      <c r="A923" t="s">
        <v>53</v>
      </c>
      <c r="B923" t="s">
        <v>47</v>
      </c>
      <c r="C923" t="s">
        <v>54</v>
      </c>
      <c r="D923" s="1">
        <v>45875</v>
      </c>
      <c r="E923" s="1">
        <v>45875</v>
      </c>
      <c r="F923" s="2">
        <v>45</v>
      </c>
      <c r="G923" s="3" t="s">
        <v>23</v>
      </c>
      <c r="H923">
        <v>41</v>
      </c>
      <c r="I923" s="2">
        <v>0</v>
      </c>
      <c r="J923" s="2">
        <v>0</v>
      </c>
      <c r="K923" s="2">
        <v>1</v>
      </c>
      <c r="L923" s="2">
        <v>0</v>
      </c>
      <c r="M923">
        <v>2</v>
      </c>
      <c r="N923">
        <v>0</v>
      </c>
      <c r="O923" s="2">
        <v>0</v>
      </c>
      <c r="P923" s="2">
        <v>0</v>
      </c>
      <c r="Q923">
        <v>0</v>
      </c>
      <c r="R923" s="2">
        <v>0</v>
      </c>
      <c r="S923" s="2">
        <v>0</v>
      </c>
      <c r="T923" t="s">
        <v>548</v>
      </c>
      <c r="U923" s="2">
        <v>0</v>
      </c>
      <c r="V923" s="2">
        <v>0</v>
      </c>
      <c r="W923" s="2">
        <v>1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idden="1" x14ac:dyDescent="0.25">
      <c r="A924" t="s">
        <v>56</v>
      </c>
      <c r="B924" t="s">
        <v>47</v>
      </c>
      <c r="C924" t="s">
        <v>54</v>
      </c>
      <c r="D924" s="1">
        <v>45875</v>
      </c>
      <c r="E924" s="1">
        <v>45875</v>
      </c>
      <c r="F924" s="2">
        <v>45</v>
      </c>
      <c r="G924" s="3" t="s">
        <v>23</v>
      </c>
      <c r="H924">
        <v>41</v>
      </c>
      <c r="I924" s="2">
        <v>0</v>
      </c>
      <c r="J924" s="2">
        <v>0</v>
      </c>
      <c r="K924" s="2">
        <v>1</v>
      </c>
      <c r="L924" s="2">
        <v>0</v>
      </c>
      <c r="M924">
        <v>2</v>
      </c>
      <c r="N924">
        <v>0</v>
      </c>
      <c r="O924" s="2">
        <v>0</v>
      </c>
      <c r="P924" s="2">
        <v>0</v>
      </c>
      <c r="Q924">
        <v>0</v>
      </c>
      <c r="R924" s="2">
        <v>0</v>
      </c>
      <c r="S924" s="2">
        <v>0</v>
      </c>
      <c r="T924" t="s">
        <v>548</v>
      </c>
      <c r="U924" s="2">
        <v>0</v>
      </c>
      <c r="V924" s="2">
        <v>0</v>
      </c>
      <c r="W924" s="2">
        <v>1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idden="1" x14ac:dyDescent="0.25">
      <c r="A925" t="s">
        <v>25</v>
      </c>
      <c r="B925" t="s">
        <v>26</v>
      </c>
      <c r="C925" t="s">
        <v>27</v>
      </c>
      <c r="D925" s="1">
        <v>45875</v>
      </c>
      <c r="E925" s="1">
        <v>45875</v>
      </c>
      <c r="F925" s="2">
        <v>27</v>
      </c>
      <c r="G925" s="3" t="s">
        <v>23</v>
      </c>
      <c r="H925">
        <v>4</v>
      </c>
      <c r="I925" s="2">
        <v>0</v>
      </c>
      <c r="J925" s="2">
        <v>0</v>
      </c>
      <c r="K925" s="2">
        <v>0</v>
      </c>
      <c r="L925" s="2">
        <v>0</v>
      </c>
      <c r="M925">
        <v>0</v>
      </c>
      <c r="N925">
        <v>0</v>
      </c>
      <c r="O925" s="2">
        <v>0</v>
      </c>
      <c r="P925" s="2">
        <v>0</v>
      </c>
      <c r="Q925">
        <v>0</v>
      </c>
      <c r="R925" s="2">
        <v>0</v>
      </c>
      <c r="S925" s="2">
        <v>0</v>
      </c>
      <c r="T925" t="s">
        <v>549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</row>
    <row r="926" spans="1:28" hidden="1" x14ac:dyDescent="0.25">
      <c r="A926" t="s">
        <v>33</v>
      </c>
      <c r="B926" t="s">
        <v>57</v>
      </c>
      <c r="C926" t="s">
        <v>35</v>
      </c>
      <c r="D926" s="1">
        <v>45875</v>
      </c>
      <c r="E926" s="1">
        <v>45875</v>
      </c>
      <c r="F926" s="2">
        <v>32</v>
      </c>
      <c r="G926" s="3" t="s">
        <v>23</v>
      </c>
      <c r="H926">
        <v>33</v>
      </c>
      <c r="I926" s="2">
        <v>0</v>
      </c>
      <c r="J926" s="2">
        <v>0</v>
      </c>
      <c r="K926" s="2">
        <v>1</v>
      </c>
      <c r="L926" s="2">
        <v>0</v>
      </c>
      <c r="M926">
        <v>0</v>
      </c>
      <c r="N926">
        <v>0</v>
      </c>
      <c r="O926" s="2">
        <v>0</v>
      </c>
      <c r="P926" s="2">
        <v>0</v>
      </c>
      <c r="Q926">
        <v>0</v>
      </c>
      <c r="R926" s="2">
        <v>0</v>
      </c>
      <c r="S926" s="2">
        <v>0</v>
      </c>
      <c r="T926" t="s">
        <v>550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idden="1" x14ac:dyDescent="0.25">
      <c r="A927" t="s">
        <v>37</v>
      </c>
      <c r="B927" t="s">
        <v>38</v>
      </c>
      <c r="C927" t="s">
        <v>35</v>
      </c>
      <c r="D927" s="1">
        <v>45875</v>
      </c>
      <c r="E927" s="1">
        <v>45875</v>
      </c>
      <c r="F927" s="2">
        <v>32</v>
      </c>
      <c r="G927" s="3" t="s">
        <v>23</v>
      </c>
      <c r="H927">
        <v>28</v>
      </c>
      <c r="I927" s="2">
        <v>0</v>
      </c>
      <c r="J927" s="2">
        <v>0</v>
      </c>
      <c r="K927" s="2">
        <v>1</v>
      </c>
      <c r="L927" s="2">
        <v>0</v>
      </c>
      <c r="M927">
        <v>0</v>
      </c>
      <c r="N927">
        <v>0</v>
      </c>
      <c r="O927" s="2">
        <v>0</v>
      </c>
      <c r="P927" s="2">
        <v>0</v>
      </c>
      <c r="Q927">
        <v>0</v>
      </c>
      <c r="R927" s="2">
        <v>0</v>
      </c>
      <c r="S927" s="2">
        <v>0</v>
      </c>
      <c r="T927" t="s">
        <v>550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idden="1" x14ac:dyDescent="0.25">
      <c r="A928" t="s">
        <v>20</v>
      </c>
      <c r="B928" t="s">
        <v>21</v>
      </c>
      <c r="C928" t="s">
        <v>212</v>
      </c>
      <c r="D928" s="1">
        <v>45875</v>
      </c>
      <c r="E928" s="1">
        <v>45875</v>
      </c>
      <c r="F928" s="2">
        <v>0</v>
      </c>
      <c r="G928" s="3" t="s">
        <v>48</v>
      </c>
      <c r="H928">
        <v>0</v>
      </c>
      <c r="I928" s="2">
        <v>0</v>
      </c>
      <c r="J928" s="2">
        <v>0</v>
      </c>
      <c r="K928" s="2">
        <v>0</v>
      </c>
      <c r="L928" s="2">
        <v>0</v>
      </c>
      <c r="M928">
        <v>0</v>
      </c>
      <c r="N928">
        <v>0</v>
      </c>
      <c r="O928" s="2">
        <v>0</v>
      </c>
      <c r="P928" s="2">
        <v>0</v>
      </c>
      <c r="Q928">
        <v>0</v>
      </c>
      <c r="R928" s="2">
        <v>0</v>
      </c>
      <c r="S928" s="2">
        <v>0</v>
      </c>
      <c r="T928" t="s">
        <v>377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</row>
    <row r="929" spans="1:28" hidden="1" x14ac:dyDescent="0.25">
      <c r="A929" t="s">
        <v>47</v>
      </c>
      <c r="B929" t="s">
        <v>52</v>
      </c>
      <c r="C929" t="s">
        <v>212</v>
      </c>
      <c r="D929" s="1">
        <v>45875</v>
      </c>
      <c r="E929" s="1">
        <v>45875</v>
      </c>
      <c r="F929" s="2">
        <v>0</v>
      </c>
      <c r="G929" s="3" t="s">
        <v>572</v>
      </c>
      <c r="H929">
        <v>0</v>
      </c>
      <c r="I929" s="2">
        <v>0</v>
      </c>
      <c r="J929" s="2">
        <v>0</v>
      </c>
      <c r="K929" s="2">
        <v>0</v>
      </c>
      <c r="L929" s="2">
        <v>0</v>
      </c>
      <c r="M929">
        <v>0</v>
      </c>
      <c r="N929">
        <v>0</v>
      </c>
      <c r="O929" s="2">
        <v>0</v>
      </c>
      <c r="P929" s="2">
        <v>0</v>
      </c>
      <c r="Q929">
        <v>0</v>
      </c>
      <c r="R929" s="2">
        <v>0</v>
      </c>
      <c r="S929" s="2">
        <v>0</v>
      </c>
      <c r="T929" t="s">
        <v>377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idden="1" x14ac:dyDescent="0.25">
      <c r="A930" t="s">
        <v>29</v>
      </c>
      <c r="B930" t="s">
        <v>30</v>
      </c>
      <c r="C930" t="s">
        <v>64</v>
      </c>
      <c r="D930" s="1">
        <v>45876</v>
      </c>
      <c r="E930" s="1">
        <v>45876</v>
      </c>
      <c r="F930" s="2">
        <v>38</v>
      </c>
      <c r="G930" s="3" t="s">
        <v>23</v>
      </c>
      <c r="H930">
        <v>38</v>
      </c>
      <c r="I930" s="2">
        <v>0</v>
      </c>
      <c r="J930" s="2">
        <v>0</v>
      </c>
      <c r="K930" s="2">
        <v>1</v>
      </c>
      <c r="L930" s="2">
        <v>0</v>
      </c>
      <c r="M930">
        <v>0</v>
      </c>
      <c r="N930">
        <v>0</v>
      </c>
      <c r="O930" s="2">
        <v>0</v>
      </c>
      <c r="P930" s="2">
        <v>0</v>
      </c>
      <c r="Q930">
        <v>0</v>
      </c>
      <c r="R930" s="2">
        <v>0</v>
      </c>
      <c r="S930" s="2">
        <v>0</v>
      </c>
      <c r="T930" t="s">
        <v>551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</row>
    <row r="931" spans="1:28" hidden="1" x14ac:dyDescent="0.25">
      <c r="A931" t="s">
        <v>53</v>
      </c>
      <c r="B931" t="s">
        <v>47</v>
      </c>
      <c r="C931" t="s">
        <v>54</v>
      </c>
      <c r="D931" s="1">
        <v>45876</v>
      </c>
      <c r="E931" s="1">
        <v>45876</v>
      </c>
      <c r="F931" s="2">
        <v>21</v>
      </c>
      <c r="G931" s="3" t="s">
        <v>23</v>
      </c>
      <c r="H931">
        <v>30</v>
      </c>
      <c r="I931" s="2">
        <v>0</v>
      </c>
      <c r="J931" s="2">
        <v>0</v>
      </c>
      <c r="K931" s="2">
        <v>1</v>
      </c>
      <c r="L931" s="2">
        <v>0</v>
      </c>
      <c r="M931">
        <v>0</v>
      </c>
      <c r="N931">
        <v>0</v>
      </c>
      <c r="O931" s="2">
        <v>0</v>
      </c>
      <c r="P931" s="2">
        <v>0</v>
      </c>
      <c r="Q931">
        <v>0</v>
      </c>
      <c r="R931" s="2">
        <v>0</v>
      </c>
      <c r="S931" s="2">
        <v>0</v>
      </c>
      <c r="T931" t="s">
        <v>552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idden="1" x14ac:dyDescent="0.25">
      <c r="A932" t="s">
        <v>56</v>
      </c>
      <c r="B932" t="s">
        <v>47</v>
      </c>
      <c r="C932" t="s">
        <v>54</v>
      </c>
      <c r="D932" s="1">
        <v>45876</v>
      </c>
      <c r="E932" s="1">
        <v>45876</v>
      </c>
      <c r="F932" s="2">
        <v>21</v>
      </c>
      <c r="G932" s="3" t="s">
        <v>23</v>
      </c>
      <c r="H932">
        <v>30</v>
      </c>
      <c r="I932" s="2">
        <v>0</v>
      </c>
      <c r="J932" s="2">
        <v>0</v>
      </c>
      <c r="K932" s="2">
        <v>1</v>
      </c>
      <c r="L932" s="2">
        <v>0</v>
      </c>
      <c r="M932">
        <v>0</v>
      </c>
      <c r="N932">
        <v>0</v>
      </c>
      <c r="O932" s="2">
        <v>0</v>
      </c>
      <c r="P932" s="2">
        <v>0</v>
      </c>
      <c r="Q932">
        <v>0</v>
      </c>
      <c r="R932" s="2">
        <v>0</v>
      </c>
      <c r="S932" s="2">
        <v>0</v>
      </c>
      <c r="T932" t="s">
        <v>552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</row>
    <row r="933" spans="1:28" hidden="1" x14ac:dyDescent="0.25">
      <c r="A933" t="s">
        <v>20</v>
      </c>
      <c r="B933" t="s">
        <v>21</v>
      </c>
      <c r="C933" t="s">
        <v>22</v>
      </c>
      <c r="D933" s="1">
        <v>45876</v>
      </c>
      <c r="E933" s="1">
        <v>45876</v>
      </c>
      <c r="F933" s="2">
        <v>76</v>
      </c>
      <c r="G933" s="3" t="s">
        <v>23</v>
      </c>
      <c r="H933">
        <v>27</v>
      </c>
      <c r="I933" s="2">
        <v>0</v>
      </c>
      <c r="J933" s="2">
        <v>0</v>
      </c>
      <c r="K933" s="2">
        <v>0</v>
      </c>
      <c r="L933" s="2">
        <v>1</v>
      </c>
      <c r="M933">
        <v>0</v>
      </c>
      <c r="N933">
        <v>0</v>
      </c>
      <c r="O933" s="2">
        <v>0</v>
      </c>
      <c r="P933" s="2">
        <v>0</v>
      </c>
      <c r="Q933">
        <v>0</v>
      </c>
      <c r="R933" s="2">
        <v>0</v>
      </c>
      <c r="S933" s="2">
        <v>0</v>
      </c>
      <c r="T933" t="s">
        <v>553</v>
      </c>
      <c r="U933" s="2">
        <v>0</v>
      </c>
      <c r="V933" s="2">
        <v>1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</row>
    <row r="934" spans="1:28" hidden="1" x14ac:dyDescent="0.25">
      <c r="A934" t="s">
        <v>25</v>
      </c>
      <c r="B934" t="s">
        <v>26</v>
      </c>
      <c r="C934" t="s">
        <v>27</v>
      </c>
      <c r="D934" s="1">
        <v>45876</v>
      </c>
      <c r="E934" s="1">
        <v>45876</v>
      </c>
      <c r="F934" s="2">
        <v>35</v>
      </c>
      <c r="G934" s="3" t="s">
        <v>23</v>
      </c>
      <c r="H934">
        <v>24</v>
      </c>
      <c r="I934" s="2">
        <v>0</v>
      </c>
      <c r="J934" s="2">
        <v>0</v>
      </c>
      <c r="K934" s="2">
        <v>1</v>
      </c>
      <c r="L934" s="2">
        <v>0</v>
      </c>
      <c r="M934">
        <v>0</v>
      </c>
      <c r="N934">
        <v>0</v>
      </c>
      <c r="O934" s="2">
        <v>0</v>
      </c>
      <c r="P934" s="2">
        <v>0</v>
      </c>
      <c r="Q934">
        <v>0</v>
      </c>
      <c r="R934" s="2">
        <v>0</v>
      </c>
      <c r="S934" s="2">
        <v>0</v>
      </c>
      <c r="T934" t="s">
        <v>554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idden="1" x14ac:dyDescent="0.25">
      <c r="A935" t="s">
        <v>47</v>
      </c>
      <c r="B935" t="s">
        <v>38</v>
      </c>
      <c r="C935" t="s">
        <v>27</v>
      </c>
      <c r="D935" s="1">
        <v>45876</v>
      </c>
      <c r="E935" s="1">
        <v>45876</v>
      </c>
      <c r="F935" s="2">
        <v>35</v>
      </c>
      <c r="G935" s="3" t="s">
        <v>23</v>
      </c>
      <c r="H935">
        <v>12</v>
      </c>
      <c r="I935" s="2">
        <v>0</v>
      </c>
      <c r="J935" s="2">
        <v>0</v>
      </c>
      <c r="K935" s="2">
        <v>1</v>
      </c>
      <c r="L935" s="2">
        <v>0</v>
      </c>
      <c r="M935">
        <v>0</v>
      </c>
      <c r="N935">
        <v>0</v>
      </c>
      <c r="O935" s="2">
        <v>0</v>
      </c>
      <c r="P935" s="2">
        <v>0</v>
      </c>
      <c r="Q935">
        <v>0</v>
      </c>
      <c r="R935" s="2">
        <v>0</v>
      </c>
      <c r="S935" s="2">
        <v>0</v>
      </c>
      <c r="T935" t="s">
        <v>554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idden="1" x14ac:dyDescent="0.25">
      <c r="A936" t="s">
        <v>33</v>
      </c>
      <c r="B936" t="s">
        <v>57</v>
      </c>
      <c r="C936" t="s">
        <v>35</v>
      </c>
      <c r="D936" s="1">
        <v>45876</v>
      </c>
      <c r="E936" s="1">
        <v>45876</v>
      </c>
      <c r="F936" s="2">
        <v>31</v>
      </c>
      <c r="G936" s="3" t="s">
        <v>23</v>
      </c>
      <c r="H936">
        <v>10</v>
      </c>
      <c r="I936" s="2">
        <v>0</v>
      </c>
      <c r="J936" s="2">
        <v>0</v>
      </c>
      <c r="K936" s="2">
        <v>0</v>
      </c>
      <c r="L936" s="2">
        <v>0</v>
      </c>
      <c r="M936">
        <v>1</v>
      </c>
      <c r="N936">
        <v>0</v>
      </c>
      <c r="O936" s="2">
        <v>0</v>
      </c>
      <c r="P936" s="2">
        <v>0</v>
      </c>
      <c r="Q936">
        <v>0</v>
      </c>
      <c r="R936" s="2">
        <v>0</v>
      </c>
      <c r="S936" s="2">
        <v>0</v>
      </c>
      <c r="T936" t="s">
        <v>555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idden="1" x14ac:dyDescent="0.25">
      <c r="A937" t="s">
        <v>37</v>
      </c>
      <c r="B937" t="s">
        <v>47</v>
      </c>
      <c r="C937" t="s">
        <v>35</v>
      </c>
      <c r="D937" s="1">
        <v>45876</v>
      </c>
      <c r="E937" s="1">
        <v>45876</v>
      </c>
      <c r="F937" s="2">
        <v>31</v>
      </c>
      <c r="G937" s="3" t="s">
        <v>23</v>
      </c>
      <c r="H937">
        <v>10</v>
      </c>
      <c r="I937" s="2">
        <v>0</v>
      </c>
      <c r="J937" s="2">
        <v>0</v>
      </c>
      <c r="K937" s="2">
        <v>0</v>
      </c>
      <c r="L937" s="2">
        <v>0</v>
      </c>
      <c r="M937">
        <v>0</v>
      </c>
      <c r="N937">
        <v>0</v>
      </c>
      <c r="O937" s="2">
        <v>0</v>
      </c>
      <c r="P937" s="2">
        <v>0</v>
      </c>
      <c r="Q937">
        <v>0</v>
      </c>
      <c r="R937" s="2">
        <v>0</v>
      </c>
      <c r="S937" s="2">
        <v>0</v>
      </c>
      <c r="T937" t="s">
        <v>555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idden="1" x14ac:dyDescent="0.25">
      <c r="A938" t="s">
        <v>47</v>
      </c>
      <c r="B938" t="s">
        <v>52</v>
      </c>
      <c r="C938" t="s">
        <v>212</v>
      </c>
      <c r="D938" s="1">
        <v>45876</v>
      </c>
      <c r="E938" s="1">
        <v>45876</v>
      </c>
      <c r="F938" s="2">
        <v>0</v>
      </c>
      <c r="G938" s="3" t="s">
        <v>572</v>
      </c>
      <c r="H938">
        <v>0</v>
      </c>
      <c r="I938" s="2">
        <v>0</v>
      </c>
      <c r="J938" s="2">
        <v>0</v>
      </c>
      <c r="K938" s="2">
        <v>0</v>
      </c>
      <c r="L938" s="2">
        <v>0</v>
      </c>
      <c r="M938">
        <v>0</v>
      </c>
      <c r="N938">
        <v>0</v>
      </c>
      <c r="O938" s="2">
        <v>0</v>
      </c>
      <c r="P938" s="2">
        <v>0</v>
      </c>
      <c r="Q938">
        <v>0</v>
      </c>
      <c r="R938" s="2">
        <v>0</v>
      </c>
      <c r="S938" s="2">
        <v>0</v>
      </c>
      <c r="T938" t="s">
        <v>377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idden="1" x14ac:dyDescent="0.25">
      <c r="A939" t="s">
        <v>53</v>
      </c>
      <c r="B939" t="s">
        <v>47</v>
      </c>
      <c r="C939" t="s">
        <v>54</v>
      </c>
      <c r="D939" s="1">
        <v>45877</v>
      </c>
      <c r="E939" s="1">
        <v>45877</v>
      </c>
      <c r="F939" s="2">
        <v>108</v>
      </c>
      <c r="G939" s="3" t="s">
        <v>23</v>
      </c>
      <c r="H939">
        <v>28</v>
      </c>
      <c r="I939" s="2">
        <v>0</v>
      </c>
      <c r="J939" s="2">
        <v>0</v>
      </c>
      <c r="K939" s="2">
        <v>1</v>
      </c>
      <c r="L939" s="2">
        <v>0</v>
      </c>
      <c r="M939">
        <v>0</v>
      </c>
      <c r="N939">
        <v>0</v>
      </c>
      <c r="O939" s="2">
        <v>0</v>
      </c>
      <c r="P939" s="2">
        <v>0</v>
      </c>
      <c r="Q939">
        <v>0</v>
      </c>
      <c r="R939" s="2">
        <v>0</v>
      </c>
      <c r="S939" s="2">
        <v>0</v>
      </c>
      <c r="T939" t="s">
        <v>556</v>
      </c>
      <c r="U939" s="2">
        <v>0</v>
      </c>
      <c r="V939" s="2">
        <v>18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idden="1" x14ac:dyDescent="0.25">
      <c r="A940" t="s">
        <v>56</v>
      </c>
      <c r="B940" t="s">
        <v>47</v>
      </c>
      <c r="C940" t="s">
        <v>54</v>
      </c>
      <c r="D940" s="1">
        <v>45877</v>
      </c>
      <c r="E940" s="1">
        <v>45877</v>
      </c>
      <c r="F940" s="2">
        <v>108</v>
      </c>
      <c r="G940" s="3" t="s">
        <v>23</v>
      </c>
      <c r="H940">
        <v>28</v>
      </c>
      <c r="I940" s="2">
        <v>0</v>
      </c>
      <c r="J940" s="2">
        <v>0</v>
      </c>
      <c r="K940" s="2">
        <v>1</v>
      </c>
      <c r="L940" s="2">
        <v>0</v>
      </c>
      <c r="M940">
        <v>0</v>
      </c>
      <c r="N940">
        <v>0</v>
      </c>
      <c r="O940" s="2">
        <v>0</v>
      </c>
      <c r="P940" s="2">
        <v>0</v>
      </c>
      <c r="Q940">
        <v>0</v>
      </c>
      <c r="R940" s="2">
        <v>0</v>
      </c>
      <c r="S940" s="2">
        <v>0</v>
      </c>
      <c r="T940" t="s">
        <v>556</v>
      </c>
      <c r="U940" s="2">
        <v>0</v>
      </c>
      <c r="V940" s="2">
        <v>18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idden="1" x14ac:dyDescent="0.25">
      <c r="A941" t="s">
        <v>20</v>
      </c>
      <c r="B941" t="s">
        <v>21</v>
      </c>
      <c r="C941" t="s">
        <v>22</v>
      </c>
      <c r="D941" s="1">
        <v>45877</v>
      </c>
      <c r="E941" s="1">
        <v>45877</v>
      </c>
      <c r="F941" s="2">
        <v>20</v>
      </c>
      <c r="G941" s="3" t="s">
        <v>23</v>
      </c>
      <c r="H941">
        <v>28</v>
      </c>
      <c r="I941" s="2">
        <v>0</v>
      </c>
      <c r="J941" s="2">
        <v>0</v>
      </c>
      <c r="K941" s="2">
        <v>0</v>
      </c>
      <c r="L941" s="2">
        <v>1</v>
      </c>
      <c r="M941">
        <v>0</v>
      </c>
      <c r="N941">
        <v>0</v>
      </c>
      <c r="O941" s="2">
        <v>0</v>
      </c>
      <c r="P941" s="2">
        <v>0</v>
      </c>
      <c r="Q941">
        <v>0</v>
      </c>
      <c r="R941" s="2">
        <v>0</v>
      </c>
      <c r="S941" s="2">
        <v>0</v>
      </c>
      <c r="T941" t="s">
        <v>557</v>
      </c>
      <c r="U941" s="2">
        <v>0</v>
      </c>
      <c r="V941" s="2">
        <v>22</v>
      </c>
      <c r="W941" s="2">
        <v>8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</row>
    <row r="942" spans="1:28" hidden="1" x14ac:dyDescent="0.25">
      <c r="A942" t="s">
        <v>25</v>
      </c>
      <c r="B942" t="s">
        <v>26</v>
      </c>
      <c r="C942" t="s">
        <v>27</v>
      </c>
      <c r="D942" s="1">
        <v>45877</v>
      </c>
      <c r="E942" s="1">
        <v>45877</v>
      </c>
      <c r="F942" s="2">
        <v>31</v>
      </c>
      <c r="G942" s="3" t="s">
        <v>23</v>
      </c>
      <c r="H942">
        <v>0</v>
      </c>
      <c r="I942" s="2">
        <v>0</v>
      </c>
      <c r="J942" s="2">
        <v>0</v>
      </c>
      <c r="K942" s="2">
        <v>0</v>
      </c>
      <c r="L942" s="2">
        <v>0</v>
      </c>
      <c r="M942">
        <v>0</v>
      </c>
      <c r="N942">
        <v>0</v>
      </c>
      <c r="O942" s="2">
        <v>0</v>
      </c>
      <c r="P942" s="2">
        <v>0</v>
      </c>
      <c r="Q942">
        <v>0</v>
      </c>
      <c r="R942" s="2">
        <v>0</v>
      </c>
      <c r="S942" s="2">
        <v>0</v>
      </c>
      <c r="T942" t="s">
        <v>558</v>
      </c>
      <c r="U942" s="2">
        <v>0</v>
      </c>
      <c r="V942" s="2">
        <v>20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idden="1" x14ac:dyDescent="0.25">
      <c r="A943" t="s">
        <v>33</v>
      </c>
      <c r="B943" t="s">
        <v>57</v>
      </c>
      <c r="C943" t="s">
        <v>35</v>
      </c>
      <c r="D943" s="1">
        <v>45877</v>
      </c>
      <c r="E943" s="1">
        <v>45877</v>
      </c>
      <c r="F943" s="2">
        <v>90</v>
      </c>
      <c r="G943" s="3" t="s">
        <v>23</v>
      </c>
      <c r="H943">
        <v>28</v>
      </c>
      <c r="I943" s="2">
        <v>0</v>
      </c>
      <c r="J943" s="2">
        <v>0</v>
      </c>
      <c r="K943" s="2">
        <v>1</v>
      </c>
      <c r="L943" s="2">
        <v>0</v>
      </c>
      <c r="M943">
        <v>0</v>
      </c>
      <c r="N943">
        <v>0</v>
      </c>
      <c r="O943" s="2">
        <v>0</v>
      </c>
      <c r="P943" s="2">
        <v>0</v>
      </c>
      <c r="Q943">
        <v>0</v>
      </c>
      <c r="R943" s="2">
        <v>0</v>
      </c>
      <c r="S943" s="2">
        <v>0</v>
      </c>
      <c r="T943" t="s">
        <v>559</v>
      </c>
      <c r="U943" s="2">
        <v>0</v>
      </c>
      <c r="V943" s="2">
        <v>22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</row>
    <row r="944" spans="1:28" hidden="1" x14ac:dyDescent="0.25">
      <c r="A944" t="s">
        <v>37</v>
      </c>
      <c r="B944" t="s">
        <v>38</v>
      </c>
      <c r="C944" t="s">
        <v>39</v>
      </c>
      <c r="D944" s="1">
        <v>45877</v>
      </c>
      <c r="E944" s="1">
        <v>45877</v>
      </c>
      <c r="F944" s="2">
        <v>17</v>
      </c>
      <c r="G944" s="3" t="s">
        <v>23</v>
      </c>
      <c r="H944">
        <v>16</v>
      </c>
      <c r="I944" s="2">
        <v>0</v>
      </c>
      <c r="J944" s="2">
        <v>0</v>
      </c>
      <c r="K944" s="2">
        <v>1</v>
      </c>
      <c r="L944" s="2">
        <v>0</v>
      </c>
      <c r="M944">
        <v>0</v>
      </c>
      <c r="N944">
        <v>0</v>
      </c>
      <c r="O944" s="2">
        <v>0</v>
      </c>
      <c r="P944" s="2">
        <v>0</v>
      </c>
      <c r="Q944">
        <v>0</v>
      </c>
      <c r="R944" s="2">
        <v>0</v>
      </c>
      <c r="S944" s="2">
        <v>0</v>
      </c>
      <c r="T944" t="s">
        <v>560</v>
      </c>
      <c r="U944" s="2">
        <v>0</v>
      </c>
      <c r="V944" s="2">
        <v>22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</row>
    <row r="945" spans="1:28" hidden="1" x14ac:dyDescent="0.25">
      <c r="A945" t="s">
        <v>29</v>
      </c>
      <c r="B945" t="s">
        <v>30</v>
      </c>
      <c r="C945" t="s">
        <v>39</v>
      </c>
      <c r="D945" s="1">
        <v>45877</v>
      </c>
      <c r="E945" s="1">
        <v>45877</v>
      </c>
      <c r="F945" s="2">
        <v>17</v>
      </c>
      <c r="G945" s="3" t="s">
        <v>48</v>
      </c>
      <c r="H945">
        <v>0</v>
      </c>
      <c r="I945" s="2">
        <v>0</v>
      </c>
      <c r="J945" s="2">
        <v>0</v>
      </c>
      <c r="K945" s="2">
        <v>0</v>
      </c>
      <c r="L945" s="2">
        <v>0</v>
      </c>
      <c r="M945">
        <v>0</v>
      </c>
      <c r="N945">
        <v>0</v>
      </c>
      <c r="O945" s="2">
        <v>0</v>
      </c>
      <c r="P945" s="2">
        <v>0</v>
      </c>
      <c r="Q945">
        <v>0</v>
      </c>
      <c r="R945" s="2">
        <v>0</v>
      </c>
      <c r="S945" s="2">
        <v>0</v>
      </c>
      <c r="T945" t="s">
        <v>560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</row>
    <row r="946" spans="1:28" hidden="1" x14ac:dyDescent="0.25">
      <c r="A946" t="s">
        <v>47</v>
      </c>
      <c r="B946" t="s">
        <v>52</v>
      </c>
      <c r="C946" t="s">
        <v>212</v>
      </c>
      <c r="D946" s="1">
        <v>45877</v>
      </c>
      <c r="E946" s="1">
        <v>45877</v>
      </c>
      <c r="F946" s="2">
        <v>0</v>
      </c>
      <c r="G946" s="3" t="s">
        <v>572</v>
      </c>
      <c r="H946">
        <v>0</v>
      </c>
      <c r="I946" s="2">
        <v>0</v>
      </c>
      <c r="J946" s="2">
        <v>0</v>
      </c>
      <c r="K946" s="2">
        <v>0</v>
      </c>
      <c r="L946" s="2">
        <v>0</v>
      </c>
      <c r="M946">
        <v>0</v>
      </c>
      <c r="N946">
        <v>0</v>
      </c>
      <c r="O946" s="2">
        <v>0</v>
      </c>
      <c r="P946" s="2">
        <v>0</v>
      </c>
      <c r="Q946">
        <v>0</v>
      </c>
      <c r="R946" s="2">
        <v>0</v>
      </c>
      <c r="S946" s="2">
        <v>0</v>
      </c>
      <c r="T946" t="s">
        <v>377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</row>
    <row r="947" spans="1:28" hidden="1" x14ac:dyDescent="0.25">
      <c r="A947" t="s">
        <v>20</v>
      </c>
      <c r="B947" t="s">
        <v>21</v>
      </c>
      <c r="C947" t="s">
        <v>22</v>
      </c>
      <c r="D947" s="9">
        <v>45878</v>
      </c>
      <c r="E947" s="9">
        <v>45878</v>
      </c>
      <c r="F947" s="2">
        <v>66</v>
      </c>
      <c r="G947" s="3" t="s">
        <v>23</v>
      </c>
      <c r="H947">
        <v>0</v>
      </c>
      <c r="I947" s="2">
        <v>0</v>
      </c>
      <c r="J947" s="2">
        <v>0</v>
      </c>
      <c r="K947" s="2">
        <v>0</v>
      </c>
      <c r="L947" s="2">
        <v>0</v>
      </c>
      <c r="M947">
        <v>0</v>
      </c>
      <c r="N947">
        <v>0</v>
      </c>
      <c r="O947" s="2">
        <v>1</v>
      </c>
      <c r="P947" s="2">
        <v>0</v>
      </c>
      <c r="Q947">
        <v>0</v>
      </c>
      <c r="R947" s="2">
        <v>1</v>
      </c>
      <c r="S947" s="2">
        <v>0</v>
      </c>
      <c r="T947" t="s">
        <v>561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idden="1" x14ac:dyDescent="0.25">
      <c r="A948" t="s">
        <v>29</v>
      </c>
      <c r="B948" t="s">
        <v>30</v>
      </c>
      <c r="C948" t="s">
        <v>31</v>
      </c>
      <c r="D948" s="9">
        <v>45878</v>
      </c>
      <c r="E948" s="9">
        <v>45878</v>
      </c>
      <c r="F948" s="2">
        <v>34</v>
      </c>
      <c r="G948" s="3" t="s">
        <v>23</v>
      </c>
      <c r="H948">
        <v>0</v>
      </c>
      <c r="I948" s="2">
        <v>0</v>
      </c>
      <c r="J948" s="2">
        <v>0</v>
      </c>
      <c r="K948" s="2">
        <v>0</v>
      </c>
      <c r="L948" s="2">
        <v>0</v>
      </c>
      <c r="M948">
        <v>0</v>
      </c>
      <c r="N948">
        <v>0</v>
      </c>
      <c r="O948" s="2">
        <v>1</v>
      </c>
      <c r="P948" s="2">
        <v>0</v>
      </c>
      <c r="Q948">
        <v>9</v>
      </c>
      <c r="R948" s="2">
        <v>1</v>
      </c>
      <c r="S948" s="2">
        <v>0</v>
      </c>
      <c r="T948" t="s">
        <v>562</v>
      </c>
      <c r="U948" s="2">
        <v>22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1</v>
      </c>
      <c r="AB948" s="2">
        <v>0</v>
      </c>
    </row>
    <row r="949" spans="1:28" hidden="1" x14ac:dyDescent="0.25">
      <c r="A949" t="s">
        <v>53</v>
      </c>
      <c r="B949" t="s">
        <v>47</v>
      </c>
      <c r="C949" t="s">
        <v>31</v>
      </c>
      <c r="D949" s="9">
        <v>45878</v>
      </c>
      <c r="E949" s="9">
        <v>45878</v>
      </c>
      <c r="F949" s="2">
        <v>34</v>
      </c>
      <c r="G949" s="3" t="s">
        <v>23</v>
      </c>
      <c r="H949">
        <v>0</v>
      </c>
      <c r="I949" s="2">
        <v>0</v>
      </c>
      <c r="J949" s="2">
        <v>0</v>
      </c>
      <c r="K949" s="2">
        <v>0</v>
      </c>
      <c r="L949" s="2">
        <v>0</v>
      </c>
      <c r="M949">
        <v>0</v>
      </c>
      <c r="N949">
        <v>0</v>
      </c>
      <c r="O949" s="2">
        <v>1</v>
      </c>
      <c r="P949" s="2">
        <v>0</v>
      </c>
      <c r="Q949">
        <v>0</v>
      </c>
      <c r="R949" s="2">
        <v>1</v>
      </c>
      <c r="S949" s="2">
        <v>0</v>
      </c>
      <c r="T949" t="s">
        <v>562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idden="1" x14ac:dyDescent="0.25">
      <c r="A950" t="s">
        <v>63</v>
      </c>
      <c r="B950" t="s">
        <v>47</v>
      </c>
      <c r="C950" t="s">
        <v>31</v>
      </c>
      <c r="D950" s="9">
        <v>45878</v>
      </c>
      <c r="E950" s="9">
        <v>45878</v>
      </c>
      <c r="F950" s="2">
        <v>34</v>
      </c>
      <c r="G950" s="3" t="s">
        <v>23</v>
      </c>
      <c r="H950">
        <v>0</v>
      </c>
      <c r="I950" s="2">
        <v>0</v>
      </c>
      <c r="J950" s="2">
        <v>0</v>
      </c>
      <c r="K950" s="2">
        <v>0</v>
      </c>
      <c r="L950" s="2">
        <v>0</v>
      </c>
      <c r="M950">
        <v>0</v>
      </c>
      <c r="N950">
        <v>0</v>
      </c>
      <c r="O950" s="2">
        <v>1</v>
      </c>
      <c r="P950" s="2">
        <v>0</v>
      </c>
      <c r="Q950">
        <v>0</v>
      </c>
      <c r="R950" s="2">
        <v>1</v>
      </c>
      <c r="S950" s="2">
        <v>0</v>
      </c>
      <c r="T950" t="s">
        <v>562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idden="1" x14ac:dyDescent="0.25">
      <c r="A951" t="s">
        <v>193</v>
      </c>
      <c r="B951" t="s">
        <v>563</v>
      </c>
      <c r="C951" t="s">
        <v>31</v>
      </c>
      <c r="D951" s="9">
        <v>45878</v>
      </c>
      <c r="E951" s="9">
        <v>45878</v>
      </c>
      <c r="F951" s="2">
        <v>34</v>
      </c>
      <c r="G951" s="3" t="s">
        <v>23</v>
      </c>
      <c r="H951">
        <v>0</v>
      </c>
      <c r="I951" s="2">
        <v>0</v>
      </c>
      <c r="J951" s="2">
        <v>0</v>
      </c>
      <c r="K951" s="2">
        <v>0</v>
      </c>
      <c r="L951" s="2">
        <v>0</v>
      </c>
      <c r="M951">
        <v>0</v>
      </c>
      <c r="N951">
        <v>0</v>
      </c>
      <c r="O951" s="2">
        <v>1</v>
      </c>
      <c r="P951" s="2">
        <v>0</v>
      </c>
      <c r="Q951">
        <v>0</v>
      </c>
      <c r="R951" s="2">
        <v>1</v>
      </c>
      <c r="S951" s="2">
        <v>0</v>
      </c>
      <c r="T951" t="s">
        <v>562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</row>
    <row r="952" spans="1:28" hidden="1" x14ac:dyDescent="0.25">
      <c r="A952" t="s">
        <v>37</v>
      </c>
      <c r="B952" t="s">
        <v>38</v>
      </c>
      <c r="C952" t="s">
        <v>64</v>
      </c>
      <c r="D952" s="9">
        <v>45878</v>
      </c>
      <c r="E952" s="9">
        <v>45878</v>
      </c>
      <c r="F952" s="2">
        <v>25</v>
      </c>
      <c r="G952" s="3" t="s">
        <v>378</v>
      </c>
      <c r="H952">
        <v>0</v>
      </c>
      <c r="I952" s="2">
        <v>0</v>
      </c>
      <c r="J952" s="2">
        <v>0</v>
      </c>
      <c r="K952" s="2">
        <v>0</v>
      </c>
      <c r="L952" s="2">
        <v>0</v>
      </c>
      <c r="M952">
        <v>0</v>
      </c>
      <c r="N952">
        <v>0</v>
      </c>
      <c r="O952" s="2">
        <v>0</v>
      </c>
      <c r="P952" s="2">
        <v>0</v>
      </c>
      <c r="Q952">
        <v>0</v>
      </c>
      <c r="R952" s="2">
        <v>0</v>
      </c>
      <c r="S952" s="2">
        <v>0</v>
      </c>
      <c r="T952" t="s">
        <v>485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idden="1" x14ac:dyDescent="0.25">
      <c r="A953" t="s">
        <v>56</v>
      </c>
      <c r="B953" t="s">
        <v>47</v>
      </c>
      <c r="C953" t="s">
        <v>64</v>
      </c>
      <c r="D953" s="9">
        <v>45878</v>
      </c>
      <c r="E953" s="9">
        <v>45878</v>
      </c>
      <c r="F953" s="2">
        <v>25</v>
      </c>
      <c r="G953" s="3" t="s">
        <v>378</v>
      </c>
      <c r="H953">
        <v>0</v>
      </c>
      <c r="I953" s="2">
        <v>0</v>
      </c>
      <c r="J953" s="2">
        <v>0</v>
      </c>
      <c r="K953" s="2">
        <v>0</v>
      </c>
      <c r="L953" s="2">
        <v>0</v>
      </c>
      <c r="M953">
        <v>0</v>
      </c>
      <c r="N953">
        <v>0</v>
      </c>
      <c r="O953" s="2">
        <v>0</v>
      </c>
      <c r="P953" s="2">
        <v>0</v>
      </c>
      <c r="Q953">
        <v>0</v>
      </c>
      <c r="R953" s="2">
        <v>0</v>
      </c>
      <c r="S953" s="2">
        <v>0</v>
      </c>
      <c r="T953" t="s">
        <v>485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</row>
    <row r="954" spans="1:28" hidden="1" x14ac:dyDescent="0.25">
      <c r="A954" t="s">
        <v>25</v>
      </c>
      <c r="B954" t="s">
        <v>26</v>
      </c>
      <c r="C954" t="s">
        <v>64</v>
      </c>
      <c r="D954" s="9">
        <v>45878</v>
      </c>
      <c r="E954" s="9">
        <v>45878</v>
      </c>
      <c r="F954" s="2">
        <v>25</v>
      </c>
      <c r="G954" s="3" t="s">
        <v>378</v>
      </c>
      <c r="H954">
        <v>0</v>
      </c>
      <c r="I954" s="2">
        <v>0</v>
      </c>
      <c r="J954" s="2">
        <v>0</v>
      </c>
      <c r="K954" s="2">
        <v>0</v>
      </c>
      <c r="L954" s="2">
        <v>0</v>
      </c>
      <c r="M954">
        <v>0</v>
      </c>
      <c r="N954">
        <v>0</v>
      </c>
      <c r="O954" s="2">
        <v>0</v>
      </c>
      <c r="P954" s="2">
        <v>0</v>
      </c>
      <c r="Q954">
        <v>0</v>
      </c>
      <c r="R954" s="2">
        <v>0</v>
      </c>
      <c r="S954" s="2">
        <v>0</v>
      </c>
      <c r="T954" t="s">
        <v>485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idden="1" x14ac:dyDescent="0.25">
      <c r="A955" t="s">
        <v>33</v>
      </c>
      <c r="B955" t="s">
        <v>57</v>
      </c>
      <c r="C955" t="s">
        <v>64</v>
      </c>
      <c r="D955" s="9">
        <v>45878</v>
      </c>
      <c r="E955" s="9">
        <v>45878</v>
      </c>
      <c r="F955" s="2">
        <v>25</v>
      </c>
      <c r="G955" s="3" t="s">
        <v>378</v>
      </c>
      <c r="H955">
        <v>0</v>
      </c>
      <c r="I955" s="2">
        <v>0</v>
      </c>
      <c r="J955" s="2">
        <v>0</v>
      </c>
      <c r="K955" s="2">
        <v>0</v>
      </c>
      <c r="L955" s="2">
        <v>0</v>
      </c>
      <c r="M955">
        <v>0</v>
      </c>
      <c r="N955">
        <v>0</v>
      </c>
      <c r="O955" s="2">
        <v>0</v>
      </c>
      <c r="P955" s="2">
        <v>0</v>
      </c>
      <c r="Q955">
        <v>0</v>
      </c>
      <c r="R955" s="2">
        <v>0</v>
      </c>
      <c r="S955" s="2">
        <v>0</v>
      </c>
      <c r="T955" t="s">
        <v>485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</row>
    <row r="956" spans="1:28" hidden="1" x14ac:dyDescent="0.25">
      <c r="A956" t="s">
        <v>47</v>
      </c>
      <c r="B956" t="s">
        <v>52</v>
      </c>
      <c r="C956" t="s">
        <v>64</v>
      </c>
      <c r="D956" s="9">
        <v>45878</v>
      </c>
      <c r="E956" s="9">
        <v>45878</v>
      </c>
      <c r="F956" s="2">
        <v>25</v>
      </c>
      <c r="G956" s="3" t="s">
        <v>378</v>
      </c>
      <c r="H956">
        <v>0</v>
      </c>
      <c r="I956" s="2">
        <v>0</v>
      </c>
      <c r="J956" s="2">
        <v>0</v>
      </c>
      <c r="K956" s="2">
        <v>0</v>
      </c>
      <c r="L956" s="2">
        <v>0</v>
      </c>
      <c r="M956">
        <v>0</v>
      </c>
      <c r="N956">
        <v>0</v>
      </c>
      <c r="O956" s="2">
        <v>0</v>
      </c>
      <c r="P956" s="2">
        <v>0</v>
      </c>
      <c r="Q956">
        <v>0</v>
      </c>
      <c r="R956" s="2">
        <v>0</v>
      </c>
      <c r="S956" s="2">
        <v>0</v>
      </c>
      <c r="T956" t="s">
        <v>485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idden="1" x14ac:dyDescent="0.25">
      <c r="A957" t="s">
        <v>53</v>
      </c>
      <c r="B957" t="s">
        <v>47</v>
      </c>
      <c r="C957" t="s">
        <v>54</v>
      </c>
      <c r="D957" s="9">
        <v>45879</v>
      </c>
      <c r="E957" s="9">
        <v>45879</v>
      </c>
      <c r="F957" s="2">
        <v>57</v>
      </c>
      <c r="G957" s="3" t="s">
        <v>23</v>
      </c>
      <c r="H957">
        <v>0</v>
      </c>
      <c r="I957" s="2">
        <v>0</v>
      </c>
      <c r="J957" s="2">
        <v>0</v>
      </c>
      <c r="K957" s="2">
        <v>0</v>
      </c>
      <c r="L957" s="2">
        <v>0</v>
      </c>
      <c r="M957">
        <v>1</v>
      </c>
      <c r="N957">
        <v>0</v>
      </c>
      <c r="O957" s="2">
        <v>0</v>
      </c>
      <c r="P957" s="2">
        <v>1</v>
      </c>
      <c r="Q957">
        <v>3</v>
      </c>
      <c r="R957" s="2">
        <v>0</v>
      </c>
      <c r="S957" s="2">
        <v>1</v>
      </c>
      <c r="T957" t="s">
        <v>564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</row>
    <row r="958" spans="1:28" hidden="1" x14ac:dyDescent="0.25">
      <c r="A958" t="s">
        <v>63</v>
      </c>
      <c r="B958" t="s">
        <v>47</v>
      </c>
      <c r="C958" t="s">
        <v>54</v>
      </c>
      <c r="D958" s="9">
        <v>45879</v>
      </c>
      <c r="E958" s="9">
        <v>45879</v>
      </c>
      <c r="F958" s="2">
        <v>57</v>
      </c>
      <c r="G958" s="3" t="s">
        <v>23</v>
      </c>
      <c r="H958">
        <v>0</v>
      </c>
      <c r="I958" s="2">
        <v>0</v>
      </c>
      <c r="J958" s="2">
        <v>0</v>
      </c>
      <c r="K958" s="2">
        <v>0</v>
      </c>
      <c r="L958" s="2">
        <v>0</v>
      </c>
      <c r="M958">
        <v>1</v>
      </c>
      <c r="N958">
        <v>0</v>
      </c>
      <c r="O958" s="2">
        <v>0</v>
      </c>
      <c r="P958" s="2">
        <v>1</v>
      </c>
      <c r="Q958">
        <v>3</v>
      </c>
      <c r="R958" s="2">
        <v>0</v>
      </c>
      <c r="S958" s="2">
        <v>1</v>
      </c>
      <c r="T958" t="s">
        <v>564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</row>
    <row r="959" spans="1:28" hidden="1" x14ac:dyDescent="0.25">
      <c r="A959" t="s">
        <v>29</v>
      </c>
      <c r="B959" t="s">
        <v>30</v>
      </c>
      <c r="C959" t="s">
        <v>31</v>
      </c>
      <c r="D959" s="9">
        <v>45879</v>
      </c>
      <c r="E959" s="9">
        <v>45879</v>
      </c>
      <c r="F959" s="2">
        <v>28</v>
      </c>
      <c r="G959" s="3" t="s">
        <v>23</v>
      </c>
      <c r="H959">
        <v>0</v>
      </c>
      <c r="I959" s="2">
        <v>0</v>
      </c>
      <c r="J959" s="2">
        <v>0</v>
      </c>
      <c r="K959" s="2">
        <v>0</v>
      </c>
      <c r="L959" s="2">
        <v>0</v>
      </c>
      <c r="M959">
        <v>0</v>
      </c>
      <c r="N959">
        <v>0</v>
      </c>
      <c r="O959" s="2">
        <v>0</v>
      </c>
      <c r="P959" s="2">
        <v>1</v>
      </c>
      <c r="Q959">
        <v>5</v>
      </c>
      <c r="R959" s="2">
        <v>0</v>
      </c>
      <c r="S959" s="2">
        <v>1</v>
      </c>
      <c r="T959" t="s">
        <v>565</v>
      </c>
      <c r="U959" s="2">
        <v>16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</row>
    <row r="960" spans="1:28" hidden="1" x14ac:dyDescent="0.25">
      <c r="A960" t="s">
        <v>193</v>
      </c>
      <c r="B960" t="s">
        <v>563</v>
      </c>
      <c r="C960" t="s">
        <v>31</v>
      </c>
      <c r="D960" s="9">
        <v>45879</v>
      </c>
      <c r="E960" s="9">
        <v>45879</v>
      </c>
      <c r="F960" s="2">
        <v>34</v>
      </c>
      <c r="G960" s="3" t="s">
        <v>23</v>
      </c>
      <c r="H960">
        <v>0</v>
      </c>
      <c r="I960" s="2">
        <v>0</v>
      </c>
      <c r="J960" s="2">
        <v>0</v>
      </c>
      <c r="K960" s="2">
        <v>0</v>
      </c>
      <c r="L960" s="2">
        <v>0</v>
      </c>
      <c r="M960">
        <v>0</v>
      </c>
      <c r="N960">
        <v>0</v>
      </c>
      <c r="O960" s="2">
        <v>0</v>
      </c>
      <c r="P960" s="2">
        <v>1</v>
      </c>
      <c r="Q960">
        <v>1</v>
      </c>
      <c r="R960" s="2">
        <v>0</v>
      </c>
      <c r="S960" s="2">
        <v>1</v>
      </c>
      <c r="T960" t="s">
        <v>562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</row>
    <row r="961" spans="1:28" hidden="1" x14ac:dyDescent="0.25">
      <c r="A961" t="s">
        <v>20</v>
      </c>
      <c r="B961" t="s">
        <v>21</v>
      </c>
      <c r="C961" t="s">
        <v>22</v>
      </c>
      <c r="D961" s="9">
        <v>45879</v>
      </c>
      <c r="E961" s="9">
        <v>45879</v>
      </c>
      <c r="F961" s="2">
        <v>66</v>
      </c>
      <c r="G961" s="3" t="s">
        <v>23</v>
      </c>
      <c r="H961">
        <v>0</v>
      </c>
      <c r="I961" s="2">
        <v>0</v>
      </c>
      <c r="J961" s="2">
        <v>0</v>
      </c>
      <c r="K961" s="2">
        <v>0</v>
      </c>
      <c r="L961" s="2">
        <v>0</v>
      </c>
      <c r="M961">
        <v>0</v>
      </c>
      <c r="N961">
        <v>0</v>
      </c>
      <c r="O961" s="2">
        <v>0</v>
      </c>
      <c r="P961" s="2">
        <v>0</v>
      </c>
      <c r="Q961">
        <v>8</v>
      </c>
      <c r="R961" s="2">
        <v>0</v>
      </c>
      <c r="S961" s="2">
        <v>1</v>
      </c>
      <c r="T961" t="s">
        <v>561</v>
      </c>
      <c r="U961" s="2">
        <v>10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1</v>
      </c>
    </row>
    <row r="962" spans="1:28" hidden="1" x14ac:dyDescent="0.25">
      <c r="A962" t="s">
        <v>37</v>
      </c>
      <c r="B962" t="s">
        <v>38</v>
      </c>
      <c r="C962" t="s">
        <v>64</v>
      </c>
      <c r="D962" s="9">
        <v>45879</v>
      </c>
      <c r="E962" s="9">
        <v>45879</v>
      </c>
      <c r="F962" s="2">
        <v>25</v>
      </c>
      <c r="G962" s="3" t="s">
        <v>378</v>
      </c>
      <c r="H962">
        <v>0</v>
      </c>
      <c r="I962" s="2">
        <v>0</v>
      </c>
      <c r="J962" s="2">
        <v>0</v>
      </c>
      <c r="K962" s="2">
        <v>0</v>
      </c>
      <c r="L962" s="2">
        <v>0</v>
      </c>
      <c r="M962">
        <v>0</v>
      </c>
      <c r="N962">
        <v>0</v>
      </c>
      <c r="O962" s="2">
        <v>0</v>
      </c>
      <c r="P962" s="2">
        <v>0</v>
      </c>
      <c r="Q962">
        <v>0</v>
      </c>
      <c r="R962" s="2">
        <v>0</v>
      </c>
      <c r="S962" s="2">
        <v>0</v>
      </c>
      <c r="T962" t="s">
        <v>485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idden="1" x14ac:dyDescent="0.25">
      <c r="A963" t="s">
        <v>56</v>
      </c>
      <c r="B963" t="s">
        <v>47</v>
      </c>
      <c r="C963" t="s">
        <v>64</v>
      </c>
      <c r="D963" s="9">
        <v>45879</v>
      </c>
      <c r="E963" s="9">
        <v>45879</v>
      </c>
      <c r="F963" s="2">
        <v>25</v>
      </c>
      <c r="G963" s="3" t="s">
        <v>378</v>
      </c>
      <c r="H963">
        <v>0</v>
      </c>
      <c r="I963" s="2">
        <v>0</v>
      </c>
      <c r="J963" s="2">
        <v>0</v>
      </c>
      <c r="K963" s="2">
        <v>0</v>
      </c>
      <c r="L963" s="2">
        <v>0</v>
      </c>
      <c r="M963">
        <v>0</v>
      </c>
      <c r="N963">
        <v>0</v>
      </c>
      <c r="O963" s="2">
        <v>0</v>
      </c>
      <c r="P963" s="2">
        <v>0</v>
      </c>
      <c r="Q963">
        <v>0</v>
      </c>
      <c r="R963" s="2">
        <v>0</v>
      </c>
      <c r="S963" s="2">
        <v>0</v>
      </c>
      <c r="T963" t="s">
        <v>485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idden="1" x14ac:dyDescent="0.25">
      <c r="A964" t="s">
        <v>25</v>
      </c>
      <c r="B964" t="s">
        <v>26</v>
      </c>
      <c r="C964" t="s">
        <v>64</v>
      </c>
      <c r="D964" s="9">
        <v>45879</v>
      </c>
      <c r="E964" s="9">
        <v>45879</v>
      </c>
      <c r="F964" s="2">
        <v>25</v>
      </c>
      <c r="G964" s="3" t="s">
        <v>378</v>
      </c>
      <c r="H964">
        <v>0</v>
      </c>
      <c r="I964" s="2">
        <v>0</v>
      </c>
      <c r="J964" s="2">
        <v>0</v>
      </c>
      <c r="K964" s="2">
        <v>0</v>
      </c>
      <c r="L964" s="2">
        <v>0</v>
      </c>
      <c r="M964">
        <v>0</v>
      </c>
      <c r="N964">
        <v>0</v>
      </c>
      <c r="O964" s="2">
        <v>0</v>
      </c>
      <c r="P964" s="2">
        <v>0</v>
      </c>
      <c r="Q964">
        <v>0</v>
      </c>
      <c r="R964" s="2">
        <v>0</v>
      </c>
      <c r="S964" s="2">
        <v>0</v>
      </c>
      <c r="T964" t="s">
        <v>485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</row>
    <row r="965" spans="1:28" hidden="1" x14ac:dyDescent="0.25">
      <c r="A965" t="s">
        <v>33</v>
      </c>
      <c r="B965" t="s">
        <v>57</v>
      </c>
      <c r="C965" t="s">
        <v>64</v>
      </c>
      <c r="D965" s="9">
        <v>45879</v>
      </c>
      <c r="E965" s="9">
        <v>45879</v>
      </c>
      <c r="F965" s="2">
        <v>25</v>
      </c>
      <c r="G965" s="3" t="s">
        <v>378</v>
      </c>
      <c r="H965">
        <v>0</v>
      </c>
      <c r="I965" s="2">
        <v>0</v>
      </c>
      <c r="J965" s="2">
        <v>0</v>
      </c>
      <c r="K965" s="2">
        <v>0</v>
      </c>
      <c r="L965" s="2">
        <v>0</v>
      </c>
      <c r="M965">
        <v>0</v>
      </c>
      <c r="N965">
        <v>0</v>
      </c>
      <c r="O965" s="2">
        <v>0</v>
      </c>
      <c r="P965" s="2">
        <v>0</v>
      </c>
      <c r="Q965">
        <v>0</v>
      </c>
      <c r="R965" s="2">
        <v>0</v>
      </c>
      <c r="S965" s="2">
        <v>0</v>
      </c>
      <c r="T965" t="s">
        <v>485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</row>
    <row r="966" spans="1:28" hidden="1" x14ac:dyDescent="0.25">
      <c r="A966" t="s">
        <v>47</v>
      </c>
      <c r="B966" t="s">
        <v>52</v>
      </c>
      <c r="C966" t="s">
        <v>64</v>
      </c>
      <c r="D966" s="9">
        <v>45879</v>
      </c>
      <c r="E966" s="9">
        <v>45879</v>
      </c>
      <c r="F966" s="2">
        <v>25</v>
      </c>
      <c r="G966" s="3" t="s">
        <v>378</v>
      </c>
      <c r="H966">
        <v>0</v>
      </c>
      <c r="I966" s="2">
        <v>0</v>
      </c>
      <c r="J966" s="2">
        <v>0</v>
      </c>
      <c r="K966" s="2">
        <v>0</v>
      </c>
      <c r="L966" s="2">
        <v>0</v>
      </c>
      <c r="M966">
        <v>0</v>
      </c>
      <c r="N966">
        <v>0</v>
      </c>
      <c r="O966" s="2">
        <v>0</v>
      </c>
      <c r="P966" s="2">
        <v>0</v>
      </c>
      <c r="Q966">
        <v>0</v>
      </c>
      <c r="R966" s="2">
        <v>0</v>
      </c>
      <c r="S966" s="2">
        <v>0</v>
      </c>
      <c r="T966" t="s">
        <v>485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idden="1" x14ac:dyDescent="0.25">
      <c r="A967" t="s">
        <v>56</v>
      </c>
      <c r="B967" t="s">
        <v>38</v>
      </c>
      <c r="C967" t="s">
        <v>64</v>
      </c>
      <c r="D967" s="1">
        <v>45880</v>
      </c>
      <c r="E967" s="1">
        <v>45880</v>
      </c>
      <c r="F967" s="2">
        <v>24</v>
      </c>
      <c r="G967" s="3" t="s">
        <v>23</v>
      </c>
      <c r="H967">
        <v>20</v>
      </c>
      <c r="I967" s="2">
        <v>0</v>
      </c>
      <c r="J967" s="2">
        <v>0</v>
      </c>
      <c r="K967" s="2">
        <v>0</v>
      </c>
      <c r="L967" s="2">
        <v>0</v>
      </c>
      <c r="M967">
        <v>1</v>
      </c>
      <c r="N967">
        <v>0</v>
      </c>
      <c r="O967" s="2">
        <v>0</v>
      </c>
      <c r="P967" s="2">
        <v>0</v>
      </c>
      <c r="Q967">
        <v>0</v>
      </c>
      <c r="R967" s="2">
        <v>0</v>
      </c>
      <c r="S967" s="2">
        <v>0</v>
      </c>
      <c r="T967" t="s">
        <v>566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idden="1" x14ac:dyDescent="0.25">
      <c r="A968" t="s">
        <v>20</v>
      </c>
      <c r="B968" t="s">
        <v>21</v>
      </c>
      <c r="C968" t="s">
        <v>22</v>
      </c>
      <c r="D968" s="1">
        <v>45880</v>
      </c>
      <c r="E968" s="1">
        <v>45880</v>
      </c>
      <c r="F968" s="2">
        <v>82</v>
      </c>
      <c r="G968" s="3" t="s">
        <v>23</v>
      </c>
      <c r="H968">
        <v>20</v>
      </c>
      <c r="I968" s="2">
        <v>0</v>
      </c>
      <c r="J968" s="2">
        <v>0</v>
      </c>
      <c r="K968" s="2">
        <v>0</v>
      </c>
      <c r="L968" s="2">
        <v>0</v>
      </c>
      <c r="M968">
        <v>0</v>
      </c>
      <c r="N968">
        <v>1</v>
      </c>
      <c r="O968" s="2">
        <v>0</v>
      </c>
      <c r="P968" s="2">
        <v>0</v>
      </c>
      <c r="Q968">
        <v>0</v>
      </c>
      <c r="R968" s="2">
        <v>0</v>
      </c>
      <c r="S968" s="2">
        <v>0</v>
      </c>
      <c r="T968" t="s">
        <v>567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</row>
    <row r="969" spans="1:28" hidden="1" x14ac:dyDescent="0.25">
      <c r="A969" t="s">
        <v>568</v>
      </c>
      <c r="B969" t="s">
        <v>47</v>
      </c>
      <c r="C969" t="s">
        <v>22</v>
      </c>
      <c r="D969" s="1">
        <v>45880</v>
      </c>
      <c r="E969" s="1">
        <v>45880</v>
      </c>
      <c r="F969" s="2">
        <v>82</v>
      </c>
      <c r="G969" s="3" t="s">
        <v>23</v>
      </c>
      <c r="H969">
        <v>20</v>
      </c>
      <c r="I969" s="2">
        <v>0</v>
      </c>
      <c r="J969" s="2">
        <v>0</v>
      </c>
      <c r="K969" s="2">
        <v>0</v>
      </c>
      <c r="L969" s="2">
        <v>0</v>
      </c>
      <c r="M969">
        <v>0</v>
      </c>
      <c r="N969">
        <v>1</v>
      </c>
      <c r="O969" s="2">
        <v>0</v>
      </c>
      <c r="P969" s="2">
        <v>0</v>
      </c>
      <c r="Q969">
        <v>0</v>
      </c>
      <c r="R969" s="2">
        <v>0</v>
      </c>
      <c r="S969" s="2">
        <v>0</v>
      </c>
      <c r="T969" t="s">
        <v>567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</row>
    <row r="970" spans="1:28" hidden="1" x14ac:dyDescent="0.25">
      <c r="A970" t="s">
        <v>25</v>
      </c>
      <c r="B970" t="s">
        <v>26</v>
      </c>
      <c r="C970" t="s">
        <v>27</v>
      </c>
      <c r="D970" s="1">
        <v>45880</v>
      </c>
      <c r="E970" s="1">
        <v>45880</v>
      </c>
      <c r="F970" s="2">
        <v>23</v>
      </c>
      <c r="G970" s="3" t="s">
        <v>23</v>
      </c>
      <c r="H970">
        <v>8</v>
      </c>
      <c r="I970" s="2">
        <v>0</v>
      </c>
      <c r="J970" s="2">
        <v>0</v>
      </c>
      <c r="K970" s="2">
        <v>0</v>
      </c>
      <c r="L970" s="2">
        <v>0</v>
      </c>
      <c r="M970">
        <v>0</v>
      </c>
      <c r="N970">
        <v>1</v>
      </c>
      <c r="O970" s="2">
        <v>0</v>
      </c>
      <c r="P970" s="2">
        <v>0</v>
      </c>
      <c r="Q970">
        <v>0</v>
      </c>
      <c r="R970" s="2">
        <v>0</v>
      </c>
      <c r="S970" s="2">
        <v>0</v>
      </c>
      <c r="T970" t="s">
        <v>569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idden="1" x14ac:dyDescent="0.25">
      <c r="A971" t="s">
        <v>29</v>
      </c>
      <c r="B971" t="s">
        <v>30</v>
      </c>
      <c r="C971" t="s">
        <v>31</v>
      </c>
      <c r="D971" s="1">
        <v>45880</v>
      </c>
      <c r="E971" s="1">
        <v>45880</v>
      </c>
      <c r="F971" s="2">
        <v>24</v>
      </c>
      <c r="G971" s="3" t="s">
        <v>23</v>
      </c>
      <c r="H971">
        <v>7</v>
      </c>
      <c r="I971" s="2">
        <v>0</v>
      </c>
      <c r="J971" s="2">
        <v>0</v>
      </c>
      <c r="K971" s="2">
        <v>0</v>
      </c>
      <c r="L971" s="2">
        <v>0</v>
      </c>
      <c r="M971">
        <v>1</v>
      </c>
      <c r="N971">
        <v>0</v>
      </c>
      <c r="O971" s="2">
        <v>0</v>
      </c>
      <c r="P971" s="2">
        <v>0</v>
      </c>
      <c r="Q971">
        <v>0</v>
      </c>
      <c r="R971" s="2">
        <v>0</v>
      </c>
      <c r="S971" s="2">
        <v>0</v>
      </c>
      <c r="T971" t="s">
        <v>570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</row>
    <row r="972" spans="1:28" hidden="1" x14ac:dyDescent="0.25">
      <c r="A972" t="s">
        <v>33</v>
      </c>
      <c r="B972" t="s">
        <v>47</v>
      </c>
      <c r="C972" t="s">
        <v>35</v>
      </c>
      <c r="D972" s="1">
        <v>45880</v>
      </c>
      <c r="E972" s="1">
        <v>45880</v>
      </c>
      <c r="F972" s="2">
        <v>20</v>
      </c>
      <c r="G972" s="3" t="s">
        <v>23</v>
      </c>
      <c r="H972">
        <v>6</v>
      </c>
      <c r="I972" s="2">
        <v>0</v>
      </c>
      <c r="J972" s="2">
        <v>0</v>
      </c>
      <c r="K972" s="2">
        <v>0</v>
      </c>
      <c r="L972" s="2">
        <v>0</v>
      </c>
      <c r="M972">
        <v>0</v>
      </c>
      <c r="N972">
        <v>0</v>
      </c>
      <c r="O972" s="2">
        <v>0</v>
      </c>
      <c r="P972" s="2">
        <v>0</v>
      </c>
      <c r="Q972">
        <v>0</v>
      </c>
      <c r="R972" s="2">
        <v>0</v>
      </c>
      <c r="S972" s="2">
        <v>0</v>
      </c>
      <c r="T972" t="s">
        <v>571</v>
      </c>
      <c r="U972" s="2">
        <v>0</v>
      </c>
      <c r="V972" s="2">
        <v>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</row>
    <row r="973" spans="1:28" hidden="1" x14ac:dyDescent="0.25">
      <c r="A973" t="s">
        <v>53</v>
      </c>
      <c r="B973" t="s">
        <v>47</v>
      </c>
      <c r="C973" t="s">
        <v>35</v>
      </c>
      <c r="D973" s="1">
        <v>45880</v>
      </c>
      <c r="E973" s="1">
        <v>45880</v>
      </c>
      <c r="F973" s="2">
        <v>20</v>
      </c>
      <c r="G973" s="3" t="s">
        <v>23</v>
      </c>
      <c r="H973">
        <v>6</v>
      </c>
      <c r="I973" s="2">
        <v>0</v>
      </c>
      <c r="J973" s="2">
        <v>0</v>
      </c>
      <c r="K973" s="2">
        <v>0</v>
      </c>
      <c r="L973" s="2">
        <v>0</v>
      </c>
      <c r="M973">
        <v>0</v>
      </c>
      <c r="N973">
        <v>0</v>
      </c>
      <c r="O973" s="2">
        <v>0</v>
      </c>
      <c r="P973" s="2">
        <v>0</v>
      </c>
      <c r="Q973">
        <v>0</v>
      </c>
      <c r="R973" s="2">
        <v>0</v>
      </c>
      <c r="S973" s="2">
        <v>0</v>
      </c>
      <c r="T973" t="s">
        <v>571</v>
      </c>
      <c r="U973" s="2">
        <v>0</v>
      </c>
      <c r="V973" s="2">
        <v>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idden="1" x14ac:dyDescent="0.25">
      <c r="A974" t="s">
        <v>37</v>
      </c>
      <c r="B974" t="s">
        <v>47</v>
      </c>
      <c r="C974" t="s">
        <v>212</v>
      </c>
      <c r="D974" s="1">
        <v>45880</v>
      </c>
      <c r="E974" s="1">
        <v>45880</v>
      </c>
      <c r="F974" s="2">
        <v>0</v>
      </c>
      <c r="G974" s="3" t="s">
        <v>572</v>
      </c>
      <c r="H974">
        <v>0</v>
      </c>
      <c r="I974" s="2">
        <v>0</v>
      </c>
      <c r="J974" s="2">
        <v>0</v>
      </c>
      <c r="K974" s="2">
        <v>0</v>
      </c>
      <c r="L974" s="2">
        <v>0</v>
      </c>
      <c r="M974">
        <v>0</v>
      </c>
      <c r="N974">
        <v>0</v>
      </c>
      <c r="O974" s="2">
        <v>0</v>
      </c>
      <c r="P974" s="2">
        <v>0</v>
      </c>
      <c r="Q974">
        <v>0</v>
      </c>
      <c r="R974" s="2">
        <v>0</v>
      </c>
      <c r="S974" s="2">
        <v>0</v>
      </c>
      <c r="T974" t="s">
        <v>377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idden="1" x14ac:dyDescent="0.25">
      <c r="A975" t="s">
        <v>47</v>
      </c>
      <c r="B975" t="s">
        <v>57</v>
      </c>
      <c r="C975" t="s">
        <v>39</v>
      </c>
      <c r="D975" s="1">
        <v>45880</v>
      </c>
      <c r="E975" s="1">
        <v>45880</v>
      </c>
      <c r="F975" s="2">
        <v>17</v>
      </c>
      <c r="G975" s="3" t="s">
        <v>48</v>
      </c>
      <c r="H975">
        <v>0</v>
      </c>
      <c r="I975" s="2">
        <v>0</v>
      </c>
      <c r="J975" s="2">
        <v>0</v>
      </c>
      <c r="K975" s="2">
        <v>0</v>
      </c>
      <c r="L975" s="2">
        <v>0</v>
      </c>
      <c r="M975">
        <v>0</v>
      </c>
      <c r="N975">
        <v>0</v>
      </c>
      <c r="O975" s="2">
        <v>0</v>
      </c>
      <c r="P975" s="2">
        <v>0</v>
      </c>
      <c r="Q975">
        <v>0</v>
      </c>
      <c r="R975" s="2">
        <v>0</v>
      </c>
      <c r="S975" s="2">
        <v>0</v>
      </c>
      <c r="T975" t="s">
        <v>560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idden="1" x14ac:dyDescent="0.25">
      <c r="A976" t="s">
        <v>47</v>
      </c>
      <c r="B976" t="s">
        <v>52</v>
      </c>
      <c r="C976" t="s">
        <v>212</v>
      </c>
      <c r="D976" s="1">
        <v>45880</v>
      </c>
      <c r="E976" s="1">
        <v>45880</v>
      </c>
      <c r="F976" s="2">
        <v>0</v>
      </c>
      <c r="G976" s="3" t="s">
        <v>572</v>
      </c>
      <c r="H976">
        <v>0</v>
      </c>
      <c r="I976" s="2">
        <v>0</v>
      </c>
      <c r="J976" s="2">
        <v>0</v>
      </c>
      <c r="K976" s="2">
        <v>0</v>
      </c>
      <c r="L976" s="2">
        <v>0</v>
      </c>
      <c r="M976">
        <v>0</v>
      </c>
      <c r="N976">
        <v>0</v>
      </c>
      <c r="O976" s="2">
        <v>0</v>
      </c>
      <c r="P976" s="2">
        <v>0</v>
      </c>
      <c r="Q976">
        <v>0</v>
      </c>
      <c r="R976" s="2">
        <v>0</v>
      </c>
      <c r="S976" s="2">
        <v>0</v>
      </c>
      <c r="T976" t="s">
        <v>377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idden="1" x14ac:dyDescent="0.25">
      <c r="A977" t="s">
        <v>56</v>
      </c>
      <c r="B977" t="s">
        <v>47</v>
      </c>
      <c r="C977" t="s">
        <v>64</v>
      </c>
      <c r="D977" s="1">
        <v>45881</v>
      </c>
      <c r="E977" s="1">
        <v>45881</v>
      </c>
      <c r="F977" s="2">
        <v>86</v>
      </c>
      <c r="G977" s="3" t="s">
        <v>23</v>
      </c>
      <c r="H977">
        <v>25</v>
      </c>
      <c r="I977" s="2">
        <v>0</v>
      </c>
      <c r="J977" s="2">
        <v>0</v>
      </c>
      <c r="K977" s="2">
        <v>1</v>
      </c>
      <c r="L977" s="2">
        <v>0</v>
      </c>
      <c r="M977">
        <v>1</v>
      </c>
      <c r="N977">
        <v>0</v>
      </c>
      <c r="O977" s="2">
        <v>0</v>
      </c>
      <c r="P977" s="2">
        <v>0</v>
      </c>
      <c r="Q977">
        <v>0</v>
      </c>
      <c r="R977" s="2">
        <v>0</v>
      </c>
      <c r="S977" s="2">
        <v>0</v>
      </c>
      <c r="T977" t="s">
        <v>576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idden="1" x14ac:dyDescent="0.25">
      <c r="A978" t="s">
        <v>53</v>
      </c>
      <c r="B978" t="s">
        <v>47</v>
      </c>
      <c r="C978" t="s">
        <v>64</v>
      </c>
      <c r="D978" s="1">
        <v>45881</v>
      </c>
      <c r="E978" s="1">
        <v>45881</v>
      </c>
      <c r="F978" s="2">
        <v>86</v>
      </c>
      <c r="G978" s="3" t="s">
        <v>23</v>
      </c>
      <c r="H978">
        <v>25</v>
      </c>
      <c r="I978" s="2">
        <v>0</v>
      </c>
      <c r="J978" s="2">
        <v>0</v>
      </c>
      <c r="K978" s="2">
        <v>1</v>
      </c>
      <c r="L978" s="2">
        <v>0</v>
      </c>
      <c r="M978">
        <v>1</v>
      </c>
      <c r="N978">
        <v>0</v>
      </c>
      <c r="O978" s="2">
        <v>0</v>
      </c>
      <c r="P978" s="2">
        <v>0</v>
      </c>
      <c r="Q978">
        <v>0</v>
      </c>
      <c r="R978" s="2">
        <v>0</v>
      </c>
      <c r="S978" s="2">
        <v>0</v>
      </c>
      <c r="T978" t="s">
        <v>576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idden="1" x14ac:dyDescent="0.25">
      <c r="A979" t="s">
        <v>20</v>
      </c>
      <c r="B979" t="s">
        <v>21</v>
      </c>
      <c r="C979" t="s">
        <v>22</v>
      </c>
      <c r="D979" s="1">
        <v>45881</v>
      </c>
      <c r="E979" s="1">
        <v>45881</v>
      </c>
      <c r="F979" s="2">
        <v>39</v>
      </c>
      <c r="G979" s="3" t="s">
        <v>23</v>
      </c>
      <c r="H979">
        <v>16</v>
      </c>
      <c r="I979" s="2">
        <v>0</v>
      </c>
      <c r="J979" s="2">
        <v>0</v>
      </c>
      <c r="K979" s="2">
        <v>1</v>
      </c>
      <c r="L979" s="2">
        <v>0</v>
      </c>
      <c r="M979">
        <v>0</v>
      </c>
      <c r="N979">
        <v>0</v>
      </c>
      <c r="O979" s="2">
        <v>0</v>
      </c>
      <c r="P979" s="2">
        <v>0</v>
      </c>
      <c r="Q979">
        <v>0</v>
      </c>
      <c r="R979" s="2">
        <v>0</v>
      </c>
      <c r="S979" s="2">
        <v>0</v>
      </c>
      <c r="T979" t="s">
        <v>577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idden="1" x14ac:dyDescent="0.25">
      <c r="A980" t="s">
        <v>568</v>
      </c>
      <c r="B980" t="s">
        <v>47</v>
      </c>
      <c r="C980" t="s">
        <v>22</v>
      </c>
      <c r="D980" s="1">
        <v>45881</v>
      </c>
      <c r="E980" s="1">
        <v>45881</v>
      </c>
      <c r="F980" s="2">
        <v>39</v>
      </c>
      <c r="G980" s="3" t="s">
        <v>23</v>
      </c>
      <c r="H980">
        <v>16</v>
      </c>
      <c r="I980" s="2">
        <v>0</v>
      </c>
      <c r="J980" s="2">
        <v>0</v>
      </c>
      <c r="K980" s="2">
        <v>1</v>
      </c>
      <c r="L980" s="2">
        <v>0</v>
      </c>
      <c r="M980">
        <v>0</v>
      </c>
      <c r="N980">
        <v>0</v>
      </c>
      <c r="O980" s="2">
        <v>0</v>
      </c>
      <c r="P980" s="2">
        <v>0</v>
      </c>
      <c r="Q980">
        <v>0</v>
      </c>
      <c r="R980" s="2">
        <v>0</v>
      </c>
      <c r="S980" s="2">
        <v>0</v>
      </c>
      <c r="T980" t="s">
        <v>577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</row>
    <row r="981" spans="1:28" hidden="1" x14ac:dyDescent="0.25">
      <c r="A981" t="s">
        <v>29</v>
      </c>
      <c r="B981" t="s">
        <v>38</v>
      </c>
      <c r="C981" t="s">
        <v>31</v>
      </c>
      <c r="D981" s="1">
        <v>45881</v>
      </c>
      <c r="E981" s="1">
        <v>45881</v>
      </c>
      <c r="F981" s="2">
        <v>73</v>
      </c>
      <c r="G981" s="3" t="s">
        <v>23</v>
      </c>
      <c r="H981">
        <v>42</v>
      </c>
      <c r="I981" s="2">
        <v>0</v>
      </c>
      <c r="J981" s="2">
        <v>0</v>
      </c>
      <c r="K981" s="2">
        <v>0</v>
      </c>
      <c r="L981" s="2">
        <v>1</v>
      </c>
      <c r="M981">
        <v>0</v>
      </c>
      <c r="N981">
        <v>0</v>
      </c>
      <c r="O981" s="2">
        <v>0</v>
      </c>
      <c r="P981" s="2">
        <v>0</v>
      </c>
      <c r="Q981">
        <v>0</v>
      </c>
      <c r="R981" s="2">
        <v>0</v>
      </c>
      <c r="S981" s="2">
        <v>0</v>
      </c>
      <c r="T981" t="s">
        <v>578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</row>
    <row r="982" spans="1:28" hidden="1" x14ac:dyDescent="0.25">
      <c r="A982" t="s">
        <v>33</v>
      </c>
      <c r="B982" t="s">
        <v>57</v>
      </c>
      <c r="C982" t="s">
        <v>35</v>
      </c>
      <c r="D982" s="1">
        <v>45881</v>
      </c>
      <c r="E982" s="1">
        <v>45881</v>
      </c>
      <c r="F982" s="2">
        <v>44</v>
      </c>
      <c r="G982" s="3" t="s">
        <v>23</v>
      </c>
      <c r="H982">
        <v>28</v>
      </c>
      <c r="I982" s="2">
        <v>0</v>
      </c>
      <c r="J982" s="2">
        <v>0</v>
      </c>
      <c r="K982" s="2">
        <v>1</v>
      </c>
      <c r="L982" s="2">
        <v>0</v>
      </c>
      <c r="M982">
        <v>0</v>
      </c>
      <c r="N982">
        <v>0</v>
      </c>
      <c r="O982" s="2">
        <v>0</v>
      </c>
      <c r="P982" s="2">
        <v>0</v>
      </c>
      <c r="Q982">
        <v>0</v>
      </c>
      <c r="R982" s="2">
        <v>0</v>
      </c>
      <c r="S982" s="2">
        <v>0</v>
      </c>
      <c r="T982" t="s">
        <v>579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idden="1" x14ac:dyDescent="0.25">
      <c r="A983" t="s">
        <v>47</v>
      </c>
      <c r="B983" t="s">
        <v>30</v>
      </c>
      <c r="C983" t="s">
        <v>39</v>
      </c>
      <c r="D983" s="1">
        <v>45881</v>
      </c>
      <c r="E983" s="1">
        <v>45881</v>
      </c>
      <c r="F983" s="2">
        <v>17</v>
      </c>
      <c r="G983" s="3" t="s">
        <v>48</v>
      </c>
      <c r="H983">
        <v>0</v>
      </c>
      <c r="I983" s="2">
        <v>0</v>
      </c>
      <c r="J983" s="2">
        <v>0</v>
      </c>
      <c r="K983" s="2">
        <v>0</v>
      </c>
      <c r="L983" s="2">
        <v>0</v>
      </c>
      <c r="M983">
        <v>0</v>
      </c>
      <c r="N983">
        <v>0</v>
      </c>
      <c r="O983" s="2">
        <v>0</v>
      </c>
      <c r="P983" s="2">
        <v>0</v>
      </c>
      <c r="Q983">
        <v>0</v>
      </c>
      <c r="R983" s="2">
        <v>0</v>
      </c>
      <c r="S983" s="2">
        <v>0</v>
      </c>
      <c r="T983" t="s">
        <v>560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</row>
    <row r="984" spans="1:28" hidden="1" x14ac:dyDescent="0.25">
      <c r="A984" t="s">
        <v>25</v>
      </c>
      <c r="B984" t="s">
        <v>26</v>
      </c>
      <c r="C984" t="s">
        <v>39</v>
      </c>
      <c r="D984" s="1">
        <v>45881</v>
      </c>
      <c r="E984" s="1">
        <v>45881</v>
      </c>
      <c r="F984" s="2">
        <v>17</v>
      </c>
      <c r="G984" s="3" t="s">
        <v>48</v>
      </c>
      <c r="H984">
        <v>0</v>
      </c>
      <c r="I984" s="2">
        <v>0</v>
      </c>
      <c r="J984" s="2">
        <v>0</v>
      </c>
      <c r="K984" s="2">
        <v>0</v>
      </c>
      <c r="L984" s="2">
        <v>0</v>
      </c>
      <c r="M984">
        <v>0</v>
      </c>
      <c r="N984">
        <v>0</v>
      </c>
      <c r="O984" s="2">
        <v>0</v>
      </c>
      <c r="P984" s="2">
        <v>0</v>
      </c>
      <c r="Q984">
        <v>0</v>
      </c>
      <c r="R984" s="2">
        <v>0</v>
      </c>
      <c r="S984" s="2">
        <v>0</v>
      </c>
      <c r="T984" t="s">
        <v>560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idden="1" x14ac:dyDescent="0.25">
      <c r="A985" t="s">
        <v>37</v>
      </c>
      <c r="B985" t="s">
        <v>47</v>
      </c>
      <c r="C985" t="s">
        <v>39</v>
      </c>
      <c r="D985" s="1">
        <v>45881</v>
      </c>
      <c r="E985" s="1">
        <v>45881</v>
      </c>
      <c r="F985" s="2">
        <v>17</v>
      </c>
      <c r="G985" s="3" t="s">
        <v>48</v>
      </c>
      <c r="H985">
        <v>0</v>
      </c>
      <c r="I985" s="2">
        <v>0</v>
      </c>
      <c r="J985" s="2">
        <v>0</v>
      </c>
      <c r="K985" s="2">
        <v>0</v>
      </c>
      <c r="L985" s="2">
        <v>0</v>
      </c>
      <c r="M985">
        <v>0</v>
      </c>
      <c r="N985">
        <v>0</v>
      </c>
      <c r="O985" s="2">
        <v>0</v>
      </c>
      <c r="P985" s="2">
        <v>0</v>
      </c>
      <c r="Q985">
        <v>0</v>
      </c>
      <c r="R985" s="2">
        <v>0</v>
      </c>
      <c r="S985" s="2">
        <v>0</v>
      </c>
      <c r="T985" t="s">
        <v>560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idden="1" x14ac:dyDescent="0.25">
      <c r="A986" t="s">
        <v>47</v>
      </c>
      <c r="B986" t="s">
        <v>52</v>
      </c>
      <c r="C986" t="s">
        <v>212</v>
      </c>
      <c r="D986" s="1">
        <v>45881</v>
      </c>
      <c r="E986" s="1">
        <v>45881</v>
      </c>
      <c r="F986" s="2">
        <v>0</v>
      </c>
      <c r="G986" s="3" t="s">
        <v>572</v>
      </c>
      <c r="H986">
        <v>0</v>
      </c>
      <c r="I986" s="2">
        <v>0</v>
      </c>
      <c r="J986" s="2">
        <v>0</v>
      </c>
      <c r="K986" s="2">
        <v>0</v>
      </c>
      <c r="L986" s="2">
        <v>0</v>
      </c>
      <c r="M986">
        <v>0</v>
      </c>
      <c r="N986">
        <v>0</v>
      </c>
      <c r="O986" s="2">
        <v>0</v>
      </c>
      <c r="P986" s="2">
        <v>0</v>
      </c>
      <c r="Q986">
        <v>0</v>
      </c>
      <c r="R986" s="2">
        <v>0</v>
      </c>
      <c r="S986" s="2">
        <v>0</v>
      </c>
      <c r="T986" t="s">
        <v>377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</row>
    <row r="987" spans="1:28" hidden="1" x14ac:dyDescent="0.25">
      <c r="A987" t="s">
        <v>25</v>
      </c>
      <c r="B987" t="s">
        <v>26</v>
      </c>
      <c r="C987" t="s">
        <v>27</v>
      </c>
      <c r="D987" s="1">
        <v>45882</v>
      </c>
      <c r="E987" s="1">
        <v>45882</v>
      </c>
      <c r="F987" s="2">
        <v>23</v>
      </c>
      <c r="G987" s="3" t="s">
        <v>23</v>
      </c>
      <c r="H987">
        <v>30</v>
      </c>
      <c r="I987" s="2">
        <v>0</v>
      </c>
      <c r="J987" s="2">
        <v>0</v>
      </c>
      <c r="K987" s="2">
        <v>0</v>
      </c>
      <c r="L987" s="2">
        <v>1</v>
      </c>
      <c r="M987">
        <v>0</v>
      </c>
      <c r="N987">
        <v>0</v>
      </c>
      <c r="O987" s="2">
        <v>0</v>
      </c>
      <c r="P987" s="2">
        <v>0</v>
      </c>
      <c r="Q987">
        <v>0</v>
      </c>
      <c r="R987" s="2">
        <v>0</v>
      </c>
      <c r="S987" s="2">
        <v>0</v>
      </c>
      <c r="T987" t="s">
        <v>573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idden="1" x14ac:dyDescent="0.25">
      <c r="A988" t="s">
        <v>29</v>
      </c>
      <c r="B988" t="s">
        <v>30</v>
      </c>
      <c r="C988" t="s">
        <v>31</v>
      </c>
      <c r="D988" s="1">
        <v>45882</v>
      </c>
      <c r="E988" s="1">
        <v>45882</v>
      </c>
      <c r="F988" s="2">
        <v>15</v>
      </c>
      <c r="G988" s="3" t="s">
        <v>23</v>
      </c>
      <c r="H988">
        <v>28</v>
      </c>
      <c r="I988" s="2">
        <v>0</v>
      </c>
      <c r="J988" s="2">
        <v>0</v>
      </c>
      <c r="K988" s="2">
        <v>1</v>
      </c>
      <c r="L988" s="2">
        <v>0</v>
      </c>
      <c r="M988">
        <v>0</v>
      </c>
      <c r="N988">
        <v>0</v>
      </c>
      <c r="O988" s="2">
        <v>0</v>
      </c>
      <c r="P988" s="2">
        <v>0</v>
      </c>
      <c r="Q988">
        <v>0</v>
      </c>
      <c r="R988" s="2">
        <v>0</v>
      </c>
      <c r="S988" s="2">
        <v>0</v>
      </c>
      <c r="T988" t="s">
        <v>574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idden="1" x14ac:dyDescent="0.25">
      <c r="A989" t="s">
        <v>20</v>
      </c>
      <c r="B989" t="s">
        <v>21</v>
      </c>
      <c r="C989" t="s">
        <v>39</v>
      </c>
      <c r="D989" s="1">
        <v>45882</v>
      </c>
      <c r="E989" s="1">
        <v>45882</v>
      </c>
      <c r="F989" s="2">
        <v>16</v>
      </c>
      <c r="G989" s="3" t="s">
        <v>23</v>
      </c>
      <c r="H989">
        <v>28</v>
      </c>
      <c r="I989" s="2">
        <v>0</v>
      </c>
      <c r="J989" s="2">
        <v>0</v>
      </c>
      <c r="K989" s="2">
        <v>1</v>
      </c>
      <c r="L989" s="2">
        <v>0</v>
      </c>
      <c r="M989">
        <v>0</v>
      </c>
      <c r="N989">
        <v>0</v>
      </c>
      <c r="O989" s="2">
        <v>0</v>
      </c>
      <c r="P989" s="2">
        <v>0</v>
      </c>
      <c r="Q989">
        <v>0</v>
      </c>
      <c r="R989" s="2">
        <v>0</v>
      </c>
      <c r="S989" s="2">
        <v>0</v>
      </c>
      <c r="T989" t="s">
        <v>575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idden="1" x14ac:dyDescent="0.25">
      <c r="A990" t="s">
        <v>568</v>
      </c>
      <c r="B990" t="s">
        <v>47</v>
      </c>
      <c r="C990" t="s">
        <v>39</v>
      </c>
      <c r="D990" s="1">
        <v>45882</v>
      </c>
      <c r="E990" s="1">
        <v>45882</v>
      </c>
      <c r="F990" s="2">
        <v>16</v>
      </c>
      <c r="G990" s="3" t="s">
        <v>23</v>
      </c>
      <c r="H990">
        <v>28</v>
      </c>
      <c r="I990" s="2">
        <v>0</v>
      </c>
      <c r="J990" s="2">
        <v>0</v>
      </c>
      <c r="K990" s="2">
        <v>1</v>
      </c>
      <c r="L990" s="2">
        <v>0</v>
      </c>
      <c r="M990">
        <v>0</v>
      </c>
      <c r="N990">
        <v>0</v>
      </c>
      <c r="O990" s="2">
        <v>0</v>
      </c>
      <c r="P990" s="2">
        <v>0</v>
      </c>
      <c r="Q990">
        <v>0</v>
      </c>
      <c r="R990" s="2">
        <v>0</v>
      </c>
      <c r="S990" s="2">
        <v>0</v>
      </c>
      <c r="T990" t="s">
        <v>575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</row>
    <row r="991" spans="1:28" hidden="1" x14ac:dyDescent="0.25">
      <c r="A991" t="s">
        <v>37</v>
      </c>
      <c r="B991" t="s">
        <v>38</v>
      </c>
      <c r="C991" t="s">
        <v>39</v>
      </c>
      <c r="D991" s="1">
        <v>45882</v>
      </c>
      <c r="E991" s="1">
        <v>45882</v>
      </c>
      <c r="F991" s="2">
        <v>16</v>
      </c>
      <c r="G991" s="3" t="s">
        <v>23</v>
      </c>
      <c r="H991">
        <v>34</v>
      </c>
      <c r="I991" s="2">
        <v>0</v>
      </c>
      <c r="J991" s="2">
        <v>0</v>
      </c>
      <c r="K991" s="2">
        <v>1</v>
      </c>
      <c r="L991" s="2">
        <v>0</v>
      </c>
      <c r="M991">
        <v>0</v>
      </c>
      <c r="N991">
        <v>0</v>
      </c>
      <c r="O991" s="2">
        <v>0</v>
      </c>
      <c r="P991" s="2">
        <v>0</v>
      </c>
      <c r="Q991">
        <v>0</v>
      </c>
      <c r="R991" s="2">
        <v>0</v>
      </c>
      <c r="S991" s="2">
        <v>0</v>
      </c>
      <c r="T991" t="s">
        <v>575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idden="1" x14ac:dyDescent="0.25">
      <c r="A992" t="s">
        <v>33</v>
      </c>
      <c r="B992" t="s">
        <v>57</v>
      </c>
      <c r="C992" t="s">
        <v>39</v>
      </c>
      <c r="D992" s="1">
        <v>45882</v>
      </c>
      <c r="E992" s="1">
        <v>45882</v>
      </c>
      <c r="F992" s="2">
        <v>17</v>
      </c>
      <c r="G992" s="3" t="s">
        <v>48</v>
      </c>
      <c r="H992">
        <v>0</v>
      </c>
      <c r="I992" s="2">
        <v>0</v>
      </c>
      <c r="J992" s="2">
        <v>0</v>
      </c>
      <c r="K992" s="2">
        <v>0</v>
      </c>
      <c r="L992" s="2">
        <v>0</v>
      </c>
      <c r="M992">
        <v>0</v>
      </c>
      <c r="N992">
        <v>0</v>
      </c>
      <c r="O992" s="2">
        <v>0</v>
      </c>
      <c r="P992" s="2">
        <v>0</v>
      </c>
      <c r="Q992">
        <v>0</v>
      </c>
      <c r="R992" s="2">
        <v>0</v>
      </c>
      <c r="S992" s="2">
        <v>0</v>
      </c>
      <c r="T992" t="s">
        <v>560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idden="1" x14ac:dyDescent="0.25">
      <c r="A993" t="s">
        <v>56</v>
      </c>
      <c r="B993" t="s">
        <v>47</v>
      </c>
      <c r="C993" t="s">
        <v>39</v>
      </c>
      <c r="D993" s="1">
        <v>45882</v>
      </c>
      <c r="E993" s="1">
        <v>45882</v>
      </c>
      <c r="F993" s="2">
        <v>17</v>
      </c>
      <c r="G993" s="3" t="s">
        <v>48</v>
      </c>
      <c r="H993">
        <v>0</v>
      </c>
      <c r="I993" s="2">
        <v>0</v>
      </c>
      <c r="J993" s="2">
        <v>0</v>
      </c>
      <c r="K993" s="2">
        <v>0</v>
      </c>
      <c r="L993" s="2">
        <v>0</v>
      </c>
      <c r="M993">
        <v>0</v>
      </c>
      <c r="N993">
        <v>0</v>
      </c>
      <c r="O993" s="2">
        <v>0</v>
      </c>
      <c r="P993" s="2">
        <v>0</v>
      </c>
      <c r="Q993">
        <v>0</v>
      </c>
      <c r="R993" s="2">
        <v>0</v>
      </c>
      <c r="S993" s="2">
        <v>0</v>
      </c>
      <c r="T993" t="s">
        <v>560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idden="1" x14ac:dyDescent="0.25">
      <c r="A994" t="s">
        <v>53</v>
      </c>
      <c r="B994" t="s">
        <v>47</v>
      </c>
      <c r="C994" t="s">
        <v>212</v>
      </c>
      <c r="D994" s="1">
        <v>45882</v>
      </c>
      <c r="E994" s="1">
        <v>45882</v>
      </c>
      <c r="F994" s="2">
        <v>0</v>
      </c>
      <c r="G994" s="3" t="s">
        <v>572</v>
      </c>
      <c r="H994">
        <v>0</v>
      </c>
      <c r="I994" s="2">
        <v>0</v>
      </c>
      <c r="J994" s="2">
        <v>0</v>
      </c>
      <c r="K994" s="2">
        <v>0</v>
      </c>
      <c r="L994" s="2">
        <v>0</v>
      </c>
      <c r="M994">
        <v>0</v>
      </c>
      <c r="N994">
        <v>0</v>
      </c>
      <c r="O994" s="2">
        <v>0</v>
      </c>
      <c r="P994" s="2">
        <v>0</v>
      </c>
      <c r="Q994">
        <v>0</v>
      </c>
      <c r="R994" s="2">
        <v>0</v>
      </c>
      <c r="S994" s="2">
        <v>0</v>
      </c>
      <c r="T994" t="s">
        <v>377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idden="1" x14ac:dyDescent="0.25">
      <c r="A995" t="s">
        <v>47</v>
      </c>
      <c r="B995" t="s">
        <v>52</v>
      </c>
      <c r="C995" t="s">
        <v>212</v>
      </c>
      <c r="D995" s="1">
        <v>45882</v>
      </c>
      <c r="E995" s="1">
        <v>45882</v>
      </c>
      <c r="F995" s="2">
        <v>0</v>
      </c>
      <c r="G995" s="3" t="s">
        <v>572</v>
      </c>
      <c r="H995">
        <v>0</v>
      </c>
      <c r="I995" s="2">
        <v>0</v>
      </c>
      <c r="J995" s="2">
        <v>0</v>
      </c>
      <c r="K995" s="2">
        <v>0</v>
      </c>
      <c r="L995" s="2">
        <v>0</v>
      </c>
      <c r="M995">
        <v>0</v>
      </c>
      <c r="N995">
        <v>0</v>
      </c>
      <c r="O995" s="2">
        <v>0</v>
      </c>
      <c r="P995" s="2">
        <v>0</v>
      </c>
      <c r="Q995">
        <v>0</v>
      </c>
      <c r="R995" s="2">
        <v>0</v>
      </c>
      <c r="S995" s="2">
        <v>0</v>
      </c>
      <c r="T995" t="s">
        <v>377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</row>
    <row r="996" spans="1:28" hidden="1" x14ac:dyDescent="0.25">
      <c r="A996" t="s">
        <v>56</v>
      </c>
      <c r="B996" t="s">
        <v>47</v>
      </c>
      <c r="C996" t="s">
        <v>64</v>
      </c>
      <c r="D996" s="1">
        <v>45883</v>
      </c>
      <c r="E996" s="1">
        <v>45883</v>
      </c>
      <c r="F996" s="2">
        <v>17</v>
      </c>
      <c r="G996" s="3" t="s">
        <v>23</v>
      </c>
      <c r="H996">
        <v>24</v>
      </c>
      <c r="I996" s="2">
        <v>0</v>
      </c>
      <c r="J996" s="2">
        <v>0</v>
      </c>
      <c r="K996" s="2">
        <v>1</v>
      </c>
      <c r="L996" s="2">
        <v>0</v>
      </c>
      <c r="M996">
        <v>0</v>
      </c>
      <c r="N996">
        <v>0</v>
      </c>
      <c r="O996" s="2">
        <v>0</v>
      </c>
      <c r="P996" s="2">
        <v>0</v>
      </c>
      <c r="Q996">
        <v>0</v>
      </c>
      <c r="R996" s="2">
        <v>0</v>
      </c>
      <c r="S996" s="2">
        <v>0</v>
      </c>
      <c r="T996" t="s">
        <v>580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idden="1" x14ac:dyDescent="0.25">
      <c r="A997" t="s">
        <v>47</v>
      </c>
      <c r="B997" t="s">
        <v>30</v>
      </c>
      <c r="C997" t="s">
        <v>64</v>
      </c>
      <c r="D997" s="1">
        <v>45883</v>
      </c>
      <c r="E997" s="1">
        <v>45883</v>
      </c>
      <c r="F997" s="2">
        <v>17</v>
      </c>
      <c r="G997" s="3" t="s">
        <v>23</v>
      </c>
      <c r="H997">
        <v>24</v>
      </c>
      <c r="I997" s="2">
        <v>0</v>
      </c>
      <c r="J997" s="2">
        <v>0</v>
      </c>
      <c r="K997" s="2">
        <v>1</v>
      </c>
      <c r="L997" s="2">
        <v>0</v>
      </c>
      <c r="M997">
        <v>0</v>
      </c>
      <c r="N997">
        <v>0</v>
      </c>
      <c r="O997" s="2">
        <v>0</v>
      </c>
      <c r="P997" s="2">
        <v>0</v>
      </c>
      <c r="Q997">
        <v>0</v>
      </c>
      <c r="R997" s="2">
        <v>0</v>
      </c>
      <c r="S997" s="2">
        <v>0</v>
      </c>
      <c r="T997" t="s">
        <v>580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</row>
    <row r="998" spans="1:28" hidden="1" x14ac:dyDescent="0.25">
      <c r="A998" t="s">
        <v>20</v>
      </c>
      <c r="B998" t="s">
        <v>21</v>
      </c>
      <c r="C998" t="s">
        <v>22</v>
      </c>
      <c r="D998" s="1">
        <v>45883</v>
      </c>
      <c r="E998" s="1">
        <v>45883</v>
      </c>
      <c r="F998" s="2">
        <v>27</v>
      </c>
      <c r="G998" s="3" t="s">
        <v>23</v>
      </c>
      <c r="H998">
        <v>0</v>
      </c>
      <c r="I998" s="2">
        <v>0</v>
      </c>
      <c r="J998" s="2">
        <v>0</v>
      </c>
      <c r="K998" s="2">
        <v>0</v>
      </c>
      <c r="L998" s="2">
        <v>0</v>
      </c>
      <c r="M998">
        <v>0</v>
      </c>
      <c r="N998">
        <v>0</v>
      </c>
      <c r="O998" s="2">
        <v>0</v>
      </c>
      <c r="P998" s="2">
        <v>0</v>
      </c>
      <c r="Q998">
        <v>0</v>
      </c>
      <c r="R998" s="2">
        <v>0</v>
      </c>
      <c r="S998" s="2">
        <v>0</v>
      </c>
      <c r="T998" t="s">
        <v>581</v>
      </c>
      <c r="U998" s="2">
        <v>0</v>
      </c>
      <c r="V998" s="2">
        <v>12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idden="1" x14ac:dyDescent="0.25">
      <c r="A999" t="s">
        <v>25</v>
      </c>
      <c r="B999" t="s">
        <v>26</v>
      </c>
      <c r="C999" t="s">
        <v>27</v>
      </c>
      <c r="D999" s="1">
        <v>45883</v>
      </c>
      <c r="E999" s="1">
        <v>45883</v>
      </c>
      <c r="F999" s="2">
        <v>61</v>
      </c>
      <c r="G999" s="3" t="s">
        <v>23</v>
      </c>
      <c r="H999">
        <v>41</v>
      </c>
      <c r="I999" s="2">
        <v>0</v>
      </c>
      <c r="J999" s="2">
        <v>0</v>
      </c>
      <c r="K999" s="2">
        <v>1</v>
      </c>
      <c r="L999" s="2">
        <v>0</v>
      </c>
      <c r="M999">
        <v>0</v>
      </c>
      <c r="N999">
        <v>0</v>
      </c>
      <c r="O999" s="2">
        <v>0</v>
      </c>
      <c r="P999" s="2">
        <v>0</v>
      </c>
      <c r="Q999">
        <v>0</v>
      </c>
      <c r="R999" s="2">
        <v>0</v>
      </c>
      <c r="S999" s="2">
        <v>0</v>
      </c>
      <c r="T999" t="s">
        <v>582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</row>
    <row r="1000" spans="1:28" hidden="1" x14ac:dyDescent="0.25">
      <c r="A1000" t="s">
        <v>568</v>
      </c>
      <c r="B1000" t="s">
        <v>47</v>
      </c>
      <c r="C1000" t="s">
        <v>27</v>
      </c>
      <c r="D1000" s="1">
        <v>45883</v>
      </c>
      <c r="E1000" s="1">
        <v>45883</v>
      </c>
      <c r="F1000" s="2">
        <v>61</v>
      </c>
      <c r="G1000" s="3" t="s">
        <v>23</v>
      </c>
      <c r="H1000">
        <v>41</v>
      </c>
      <c r="I1000" s="2">
        <v>0</v>
      </c>
      <c r="J1000" s="2">
        <v>0</v>
      </c>
      <c r="K1000" s="2">
        <v>1</v>
      </c>
      <c r="L1000" s="2">
        <v>0</v>
      </c>
      <c r="M1000">
        <v>0</v>
      </c>
      <c r="N1000">
        <v>0</v>
      </c>
      <c r="O1000" s="2">
        <v>0</v>
      </c>
      <c r="P1000" s="2">
        <v>0</v>
      </c>
      <c r="Q1000">
        <v>0</v>
      </c>
      <c r="R1000" s="2">
        <v>0</v>
      </c>
      <c r="S1000" s="2">
        <v>0</v>
      </c>
      <c r="T1000" t="s">
        <v>582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</row>
    <row r="1001" spans="1:28" hidden="1" x14ac:dyDescent="0.25">
      <c r="A1001" t="s">
        <v>33</v>
      </c>
      <c r="B1001" t="s">
        <v>57</v>
      </c>
      <c r="C1001" t="s">
        <v>35</v>
      </c>
      <c r="D1001" s="1">
        <v>45883</v>
      </c>
      <c r="E1001" s="1">
        <v>45883</v>
      </c>
      <c r="F1001" s="2">
        <v>34</v>
      </c>
      <c r="G1001" s="3" t="s">
        <v>23</v>
      </c>
      <c r="H1001">
        <v>30</v>
      </c>
      <c r="I1001" s="2">
        <v>0</v>
      </c>
      <c r="J1001" s="2">
        <v>0</v>
      </c>
      <c r="K1001" s="2">
        <v>1</v>
      </c>
      <c r="L1001" s="2">
        <v>0</v>
      </c>
      <c r="M1001">
        <v>0</v>
      </c>
      <c r="N1001">
        <v>0</v>
      </c>
      <c r="O1001" s="2">
        <v>0</v>
      </c>
      <c r="P1001" s="2">
        <v>0</v>
      </c>
      <c r="Q1001">
        <v>0</v>
      </c>
      <c r="R1001" s="2">
        <v>0</v>
      </c>
      <c r="S1001" s="2">
        <v>0</v>
      </c>
      <c r="T1001" t="s">
        <v>583</v>
      </c>
      <c r="U1001" s="2">
        <v>0</v>
      </c>
      <c r="V1001" s="2">
        <v>12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</row>
    <row r="1002" spans="1:28" hidden="1" x14ac:dyDescent="0.25">
      <c r="A1002" t="s">
        <v>37</v>
      </c>
      <c r="B1002" t="s">
        <v>47</v>
      </c>
      <c r="C1002" t="s">
        <v>39</v>
      </c>
      <c r="D1002" s="1">
        <v>45883</v>
      </c>
      <c r="E1002" s="1">
        <v>45883</v>
      </c>
      <c r="F1002" s="2">
        <v>24</v>
      </c>
      <c r="G1002" s="3" t="s">
        <v>23</v>
      </c>
      <c r="H1002">
        <v>34</v>
      </c>
      <c r="I1002" s="2">
        <v>0</v>
      </c>
      <c r="J1002" s="2">
        <v>0</v>
      </c>
      <c r="K1002" s="2">
        <v>0</v>
      </c>
      <c r="L1002" s="2">
        <v>1</v>
      </c>
      <c r="M1002">
        <v>0</v>
      </c>
      <c r="N1002">
        <v>0</v>
      </c>
      <c r="O1002" s="2">
        <v>0</v>
      </c>
      <c r="P1002" s="2">
        <v>0</v>
      </c>
      <c r="Q1002">
        <v>0</v>
      </c>
      <c r="R1002" s="2">
        <v>0</v>
      </c>
      <c r="S1002" s="2">
        <v>0</v>
      </c>
      <c r="T1002" t="s">
        <v>584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idden="1" x14ac:dyDescent="0.25">
      <c r="A1003" t="s">
        <v>53</v>
      </c>
      <c r="B1003" t="s">
        <v>47</v>
      </c>
      <c r="C1003" t="s">
        <v>39</v>
      </c>
      <c r="D1003" s="1">
        <v>45883</v>
      </c>
      <c r="E1003" s="1">
        <v>45883</v>
      </c>
      <c r="F1003" s="2">
        <v>24</v>
      </c>
      <c r="G1003" s="3" t="s">
        <v>23</v>
      </c>
      <c r="H1003">
        <v>34</v>
      </c>
      <c r="I1003" s="2">
        <v>0</v>
      </c>
      <c r="J1003" s="2">
        <v>0</v>
      </c>
      <c r="K1003" s="2">
        <v>0</v>
      </c>
      <c r="L1003" s="2">
        <v>1</v>
      </c>
      <c r="M1003">
        <v>0</v>
      </c>
      <c r="N1003">
        <v>0</v>
      </c>
      <c r="O1003" s="2">
        <v>0</v>
      </c>
      <c r="P1003" s="2">
        <v>0</v>
      </c>
      <c r="Q1003">
        <v>0</v>
      </c>
      <c r="R1003" s="2">
        <v>0</v>
      </c>
      <c r="S1003" s="2">
        <v>0</v>
      </c>
      <c r="T1003" t="s">
        <v>584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</row>
    <row r="1004" spans="1:28" hidden="1" x14ac:dyDescent="0.25">
      <c r="A1004" t="s">
        <v>29</v>
      </c>
      <c r="B1004" t="s">
        <v>47</v>
      </c>
      <c r="C1004" t="s">
        <v>22</v>
      </c>
      <c r="D1004" s="1">
        <v>45883</v>
      </c>
      <c r="E1004" s="1">
        <v>45883</v>
      </c>
      <c r="F1004" s="2">
        <v>27</v>
      </c>
      <c r="G1004" s="3" t="s">
        <v>23</v>
      </c>
      <c r="H1004">
        <v>8</v>
      </c>
      <c r="I1004" s="2">
        <v>0</v>
      </c>
      <c r="J1004" s="2">
        <v>0</v>
      </c>
      <c r="K1004" s="2">
        <v>0</v>
      </c>
      <c r="L1004" s="2">
        <v>0</v>
      </c>
      <c r="M1004">
        <v>0</v>
      </c>
      <c r="N1004">
        <v>0</v>
      </c>
      <c r="O1004" s="2">
        <v>0</v>
      </c>
      <c r="P1004" s="2">
        <v>0</v>
      </c>
      <c r="Q1004">
        <v>0</v>
      </c>
      <c r="R1004" s="2">
        <v>0</v>
      </c>
      <c r="S1004" s="2">
        <v>0</v>
      </c>
      <c r="T1004" t="s">
        <v>581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idden="1" x14ac:dyDescent="0.25">
      <c r="A1005" t="s">
        <v>47</v>
      </c>
      <c r="B1005" t="s">
        <v>38</v>
      </c>
      <c r="C1005" t="s">
        <v>39</v>
      </c>
      <c r="D1005" s="1">
        <v>45883</v>
      </c>
      <c r="E1005" s="1">
        <v>45883</v>
      </c>
      <c r="F1005" s="2">
        <v>17</v>
      </c>
      <c r="G1005" s="3" t="s">
        <v>48</v>
      </c>
      <c r="H1005">
        <v>0</v>
      </c>
      <c r="I1005" s="2">
        <v>0</v>
      </c>
      <c r="J1005" s="2">
        <v>0</v>
      </c>
      <c r="K1005" s="2">
        <v>0</v>
      </c>
      <c r="L1005" s="2">
        <v>0</v>
      </c>
      <c r="M1005">
        <v>0</v>
      </c>
      <c r="N1005">
        <v>0</v>
      </c>
      <c r="O1005" s="2">
        <v>0</v>
      </c>
      <c r="P1005" s="2">
        <v>0</v>
      </c>
      <c r="Q1005">
        <v>0</v>
      </c>
      <c r="R1005" s="2">
        <v>0</v>
      </c>
      <c r="S1005" s="2">
        <v>0</v>
      </c>
      <c r="T1005" t="s">
        <v>560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</row>
    <row r="1006" spans="1:28" hidden="1" x14ac:dyDescent="0.25">
      <c r="A1006" t="s">
        <v>47</v>
      </c>
      <c r="B1006" t="s">
        <v>52</v>
      </c>
      <c r="C1006" t="s">
        <v>212</v>
      </c>
      <c r="D1006" s="1">
        <v>45883</v>
      </c>
      <c r="E1006" s="1">
        <v>45883</v>
      </c>
      <c r="F1006" s="2">
        <v>0</v>
      </c>
      <c r="G1006" s="3" t="s">
        <v>572</v>
      </c>
      <c r="H1006">
        <v>0</v>
      </c>
      <c r="I1006" s="2">
        <v>0</v>
      </c>
      <c r="J1006" s="2">
        <v>0</v>
      </c>
      <c r="K1006" s="2">
        <v>0</v>
      </c>
      <c r="L1006" s="2">
        <v>0</v>
      </c>
      <c r="M1006">
        <v>0</v>
      </c>
      <c r="N1006">
        <v>0</v>
      </c>
      <c r="O1006" s="2">
        <v>0</v>
      </c>
      <c r="P1006" s="2">
        <v>0</v>
      </c>
      <c r="Q1006">
        <v>0</v>
      </c>
      <c r="R1006" s="2">
        <v>0</v>
      </c>
      <c r="S1006" s="2">
        <v>0</v>
      </c>
      <c r="T1006" t="s">
        <v>377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</row>
    <row r="1007" spans="1:28" hidden="1" x14ac:dyDescent="0.25">
      <c r="A1007" t="s">
        <v>56</v>
      </c>
      <c r="B1007" t="s">
        <v>30</v>
      </c>
      <c r="C1007" t="s">
        <v>64</v>
      </c>
      <c r="D1007" s="9">
        <v>45884</v>
      </c>
      <c r="E1007" s="9">
        <v>45884</v>
      </c>
      <c r="F1007" s="2">
        <v>24</v>
      </c>
      <c r="G1007" s="3" t="s">
        <v>23</v>
      </c>
      <c r="H1007">
        <v>0</v>
      </c>
      <c r="I1007" s="2">
        <v>0</v>
      </c>
      <c r="J1007" s="2">
        <v>0</v>
      </c>
      <c r="K1007" s="2">
        <v>0</v>
      </c>
      <c r="L1007" s="2">
        <v>0</v>
      </c>
      <c r="M1007">
        <v>0</v>
      </c>
      <c r="N1007">
        <v>0</v>
      </c>
      <c r="O1007" s="2">
        <v>0</v>
      </c>
      <c r="P1007" s="2">
        <v>1</v>
      </c>
      <c r="Q1007">
        <v>0</v>
      </c>
      <c r="R1007" s="2">
        <v>0</v>
      </c>
      <c r="S1007" s="2">
        <v>1</v>
      </c>
      <c r="T1007" t="s">
        <v>585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</row>
    <row r="1008" spans="1:28" hidden="1" x14ac:dyDescent="0.25">
      <c r="A1008" t="s">
        <v>25</v>
      </c>
      <c r="B1008" t="s">
        <v>26</v>
      </c>
      <c r="C1008" t="s">
        <v>27</v>
      </c>
      <c r="D1008" s="9">
        <v>45884</v>
      </c>
      <c r="E1008" s="9">
        <v>45884</v>
      </c>
      <c r="F1008" s="2">
        <v>28</v>
      </c>
      <c r="G1008" s="3" t="s">
        <v>23</v>
      </c>
      <c r="H1008">
        <v>0</v>
      </c>
      <c r="I1008" s="2">
        <v>0</v>
      </c>
      <c r="J1008" s="2">
        <v>0</v>
      </c>
      <c r="K1008" s="2">
        <v>0</v>
      </c>
      <c r="L1008" s="2">
        <v>0</v>
      </c>
      <c r="M1008">
        <v>0</v>
      </c>
      <c r="N1008">
        <v>0</v>
      </c>
      <c r="O1008" s="2">
        <v>0</v>
      </c>
      <c r="P1008" s="2">
        <v>1</v>
      </c>
      <c r="Q1008">
        <v>0</v>
      </c>
      <c r="R1008" s="2">
        <v>0</v>
      </c>
      <c r="S1008" s="2">
        <v>1</v>
      </c>
      <c r="T1008" t="s">
        <v>586</v>
      </c>
      <c r="U1008" s="2">
        <v>8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</row>
    <row r="1009" spans="1:28" hidden="1" x14ac:dyDescent="0.25">
      <c r="A1009" t="s">
        <v>33</v>
      </c>
      <c r="B1009" t="s">
        <v>57</v>
      </c>
      <c r="C1009" t="s">
        <v>35</v>
      </c>
      <c r="D1009" s="9">
        <v>45884</v>
      </c>
      <c r="E1009" s="9">
        <v>45884</v>
      </c>
      <c r="F1009" s="2">
        <v>34</v>
      </c>
      <c r="G1009" s="3" t="s">
        <v>23</v>
      </c>
      <c r="H1009">
        <v>0</v>
      </c>
      <c r="I1009" s="2">
        <v>0</v>
      </c>
      <c r="J1009" s="2">
        <v>0</v>
      </c>
      <c r="K1009" s="2">
        <v>0</v>
      </c>
      <c r="L1009" s="2">
        <v>0</v>
      </c>
      <c r="M1009">
        <v>0</v>
      </c>
      <c r="N1009">
        <v>0</v>
      </c>
      <c r="O1009" s="2">
        <v>0</v>
      </c>
      <c r="P1009" s="2">
        <v>1</v>
      </c>
      <c r="Q1009">
        <v>1</v>
      </c>
      <c r="R1009" s="2">
        <v>0</v>
      </c>
      <c r="S1009" s="2">
        <v>1</v>
      </c>
      <c r="T1009" t="s">
        <v>587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</row>
    <row r="1010" spans="1:28" hidden="1" x14ac:dyDescent="0.25">
      <c r="A1010" t="s">
        <v>37</v>
      </c>
      <c r="B1010" t="s">
        <v>38</v>
      </c>
      <c r="C1010" t="s">
        <v>39</v>
      </c>
      <c r="D1010" s="9">
        <v>45884</v>
      </c>
      <c r="E1010" s="9">
        <v>45884</v>
      </c>
      <c r="F1010" s="2">
        <v>46</v>
      </c>
      <c r="G1010" s="3" t="s">
        <v>23</v>
      </c>
      <c r="H1010">
        <v>0</v>
      </c>
      <c r="I1010" s="2">
        <v>0</v>
      </c>
      <c r="J1010" s="2">
        <v>0</v>
      </c>
      <c r="K1010" s="2">
        <v>0</v>
      </c>
      <c r="L1010" s="2">
        <v>0</v>
      </c>
      <c r="M1010">
        <v>0</v>
      </c>
      <c r="N1010">
        <v>0</v>
      </c>
      <c r="O1010" s="2">
        <v>0</v>
      </c>
      <c r="P1010" s="2">
        <v>0</v>
      </c>
      <c r="Q1010">
        <v>0</v>
      </c>
      <c r="R1010" s="2">
        <v>0</v>
      </c>
      <c r="S1010" s="2">
        <v>1</v>
      </c>
      <c r="T1010" t="s">
        <v>588</v>
      </c>
      <c r="U1010" s="2">
        <v>5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1</v>
      </c>
    </row>
    <row r="1011" spans="1:28" hidden="1" x14ac:dyDescent="0.25">
      <c r="A1011" t="s">
        <v>20</v>
      </c>
      <c r="B1011" t="s">
        <v>21</v>
      </c>
      <c r="C1011" t="s">
        <v>22</v>
      </c>
      <c r="D1011" s="9">
        <v>45884</v>
      </c>
      <c r="E1011" s="9">
        <v>45884</v>
      </c>
      <c r="F1011" s="2">
        <v>27</v>
      </c>
      <c r="G1011" s="3" t="s">
        <v>378</v>
      </c>
      <c r="H1011">
        <v>0</v>
      </c>
      <c r="I1011" s="2">
        <v>0</v>
      </c>
      <c r="J1011" s="2">
        <v>0</v>
      </c>
      <c r="K1011" s="2">
        <v>0</v>
      </c>
      <c r="L1011" s="2">
        <v>0</v>
      </c>
      <c r="M1011">
        <v>0</v>
      </c>
      <c r="N1011">
        <v>0</v>
      </c>
      <c r="O1011" s="2">
        <v>0</v>
      </c>
      <c r="P1011" s="2">
        <v>0</v>
      </c>
      <c r="Q1011">
        <v>0</v>
      </c>
      <c r="R1011" s="2">
        <v>0</v>
      </c>
      <c r="S1011" s="2">
        <v>0</v>
      </c>
      <c r="T1011" t="s">
        <v>581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idden="1" x14ac:dyDescent="0.25">
      <c r="A1012" t="s">
        <v>568</v>
      </c>
      <c r="B1012" t="s">
        <v>47</v>
      </c>
      <c r="C1012" t="s">
        <v>27</v>
      </c>
      <c r="D1012" s="9">
        <v>45884</v>
      </c>
      <c r="E1012" s="9">
        <v>45884</v>
      </c>
      <c r="F1012" s="2">
        <v>61</v>
      </c>
      <c r="G1012" s="3" t="s">
        <v>378</v>
      </c>
      <c r="H1012">
        <v>0</v>
      </c>
      <c r="I1012" s="2">
        <v>0</v>
      </c>
      <c r="J1012" s="2">
        <v>0</v>
      </c>
      <c r="K1012" s="2">
        <v>0</v>
      </c>
      <c r="L1012" s="2">
        <v>0</v>
      </c>
      <c r="M1012">
        <v>0</v>
      </c>
      <c r="N1012">
        <v>0</v>
      </c>
      <c r="O1012" s="2">
        <v>0</v>
      </c>
      <c r="P1012" s="2">
        <v>0</v>
      </c>
      <c r="Q1012">
        <v>0</v>
      </c>
      <c r="R1012" s="2">
        <v>0</v>
      </c>
      <c r="S1012" s="2">
        <v>0</v>
      </c>
      <c r="T1012" t="s">
        <v>582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idden="1" x14ac:dyDescent="0.25">
      <c r="A1013" t="s">
        <v>53</v>
      </c>
      <c r="B1013" t="s">
        <v>47</v>
      </c>
      <c r="C1013" t="s">
        <v>39</v>
      </c>
      <c r="D1013" s="9">
        <v>45884</v>
      </c>
      <c r="E1013" s="9">
        <v>45884</v>
      </c>
      <c r="F1013" s="2">
        <v>24</v>
      </c>
      <c r="G1013" s="3" t="s">
        <v>378</v>
      </c>
      <c r="H1013">
        <v>0</v>
      </c>
      <c r="I1013" s="2">
        <v>0</v>
      </c>
      <c r="J1013" s="2">
        <v>0</v>
      </c>
      <c r="K1013" s="2">
        <v>0</v>
      </c>
      <c r="L1013" s="2">
        <v>0</v>
      </c>
      <c r="M1013">
        <v>0</v>
      </c>
      <c r="N1013">
        <v>0</v>
      </c>
      <c r="O1013" s="2">
        <v>0</v>
      </c>
      <c r="P1013" s="2">
        <v>0</v>
      </c>
      <c r="Q1013">
        <v>0</v>
      </c>
      <c r="R1013" s="2">
        <v>0</v>
      </c>
      <c r="S1013" s="2">
        <v>0</v>
      </c>
      <c r="T1013" t="s">
        <v>584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idden="1" x14ac:dyDescent="0.25">
      <c r="A1014" t="s">
        <v>29</v>
      </c>
      <c r="B1014" t="s">
        <v>47</v>
      </c>
      <c r="C1014" t="s">
        <v>22</v>
      </c>
      <c r="D1014" s="9">
        <v>45884</v>
      </c>
      <c r="E1014" s="9">
        <v>45884</v>
      </c>
      <c r="F1014" s="2">
        <v>27</v>
      </c>
      <c r="G1014" s="3" t="s">
        <v>378</v>
      </c>
      <c r="H1014">
        <v>0</v>
      </c>
      <c r="I1014" s="2">
        <v>0</v>
      </c>
      <c r="J1014" s="2">
        <v>0</v>
      </c>
      <c r="K1014" s="2">
        <v>0</v>
      </c>
      <c r="L1014" s="2">
        <v>0</v>
      </c>
      <c r="M1014">
        <v>0</v>
      </c>
      <c r="N1014">
        <v>0</v>
      </c>
      <c r="O1014" s="2">
        <v>0</v>
      </c>
      <c r="P1014" s="2">
        <v>0</v>
      </c>
      <c r="Q1014">
        <v>0</v>
      </c>
      <c r="R1014" s="2">
        <v>0</v>
      </c>
      <c r="S1014" s="2">
        <v>0</v>
      </c>
      <c r="T1014" t="s">
        <v>581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</row>
    <row r="1015" spans="1:28" hidden="1" x14ac:dyDescent="0.25">
      <c r="A1015" t="s">
        <v>47</v>
      </c>
      <c r="B1015" t="s">
        <v>52</v>
      </c>
      <c r="C1015" t="s">
        <v>212</v>
      </c>
      <c r="D1015" s="9">
        <v>45884</v>
      </c>
      <c r="E1015" s="9">
        <v>45884</v>
      </c>
      <c r="F1015" s="2">
        <v>0</v>
      </c>
      <c r="G1015" s="3" t="s">
        <v>378</v>
      </c>
      <c r="H1015">
        <v>0</v>
      </c>
      <c r="I1015" s="2">
        <v>0</v>
      </c>
      <c r="J1015" s="2">
        <v>0</v>
      </c>
      <c r="K1015" s="2">
        <v>0</v>
      </c>
      <c r="L1015" s="2">
        <v>0</v>
      </c>
      <c r="M1015">
        <v>0</v>
      </c>
      <c r="N1015">
        <v>0</v>
      </c>
      <c r="O1015" s="2">
        <v>0</v>
      </c>
      <c r="P1015" s="2">
        <v>0</v>
      </c>
      <c r="Q1015">
        <v>0</v>
      </c>
      <c r="R1015" s="2">
        <v>0</v>
      </c>
      <c r="S1015" s="2">
        <v>0</v>
      </c>
      <c r="T1015" t="s">
        <v>377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idden="1" x14ac:dyDescent="0.25">
      <c r="A1016" t="s">
        <v>56</v>
      </c>
      <c r="B1016" t="s">
        <v>30</v>
      </c>
      <c r="C1016" t="s">
        <v>64</v>
      </c>
      <c r="D1016" s="9">
        <v>45885</v>
      </c>
      <c r="E1016" s="9">
        <v>45885</v>
      </c>
      <c r="F1016" s="2">
        <v>30</v>
      </c>
      <c r="G1016" s="3" t="s">
        <v>23</v>
      </c>
      <c r="H1016">
        <v>0</v>
      </c>
      <c r="I1016" s="2">
        <v>0</v>
      </c>
      <c r="J1016" s="2">
        <v>0</v>
      </c>
      <c r="K1016" s="2">
        <v>0</v>
      </c>
      <c r="L1016" s="2">
        <v>0</v>
      </c>
      <c r="M1016">
        <v>0</v>
      </c>
      <c r="N1016">
        <v>0</v>
      </c>
      <c r="O1016" s="2">
        <v>1</v>
      </c>
      <c r="P1016" s="2">
        <v>0</v>
      </c>
      <c r="Q1016">
        <v>1</v>
      </c>
      <c r="R1016" s="2">
        <v>1</v>
      </c>
      <c r="S1016" s="2">
        <v>0</v>
      </c>
      <c r="T1016" t="s">
        <v>589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</row>
    <row r="1017" spans="1:28" hidden="1" x14ac:dyDescent="0.25">
      <c r="A1017" t="s">
        <v>25</v>
      </c>
      <c r="B1017" t="s">
        <v>26</v>
      </c>
      <c r="C1017" t="s">
        <v>27</v>
      </c>
      <c r="D1017" s="9">
        <v>45885</v>
      </c>
      <c r="E1017" s="9">
        <v>45885</v>
      </c>
      <c r="F1017" s="2">
        <v>27</v>
      </c>
      <c r="G1017" s="3" t="s">
        <v>23</v>
      </c>
      <c r="H1017">
        <v>0</v>
      </c>
      <c r="I1017" s="2">
        <v>0</v>
      </c>
      <c r="J1017" s="2">
        <v>0</v>
      </c>
      <c r="K1017" s="2">
        <v>0</v>
      </c>
      <c r="L1017" s="2">
        <v>0</v>
      </c>
      <c r="M1017">
        <v>0</v>
      </c>
      <c r="N1017">
        <v>0</v>
      </c>
      <c r="O1017" s="2">
        <v>1</v>
      </c>
      <c r="P1017" s="2">
        <v>0</v>
      </c>
      <c r="Q1017">
        <v>6</v>
      </c>
      <c r="R1017" s="2">
        <v>1</v>
      </c>
      <c r="S1017" s="2">
        <v>0</v>
      </c>
      <c r="T1017" t="s">
        <v>590</v>
      </c>
      <c r="U1017" s="2">
        <v>23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1</v>
      </c>
      <c r="AB1017" s="2">
        <v>0</v>
      </c>
    </row>
    <row r="1018" spans="1:28" hidden="1" x14ac:dyDescent="0.25">
      <c r="A1018" t="s">
        <v>33</v>
      </c>
      <c r="B1018" t="s">
        <v>57</v>
      </c>
      <c r="C1018" t="s">
        <v>35</v>
      </c>
      <c r="D1018" s="9">
        <v>45885</v>
      </c>
      <c r="E1018" s="9">
        <v>45885</v>
      </c>
      <c r="F1018" s="2">
        <v>59</v>
      </c>
      <c r="G1018" s="3" t="s">
        <v>23</v>
      </c>
      <c r="H1018">
        <v>0</v>
      </c>
      <c r="I1018" s="2">
        <v>0</v>
      </c>
      <c r="J1018" s="2">
        <v>0</v>
      </c>
      <c r="K1018" s="2">
        <v>0</v>
      </c>
      <c r="L1018" s="2">
        <v>0</v>
      </c>
      <c r="M1018">
        <v>0</v>
      </c>
      <c r="N1018">
        <v>0</v>
      </c>
      <c r="O1018" s="2">
        <v>1</v>
      </c>
      <c r="P1018" s="2">
        <v>0</v>
      </c>
      <c r="Q1018">
        <v>0</v>
      </c>
      <c r="R1018" s="2">
        <v>1</v>
      </c>
      <c r="S1018" s="2">
        <v>0</v>
      </c>
      <c r="T1018" t="s">
        <v>591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idden="1" x14ac:dyDescent="0.25">
      <c r="A1019" t="s">
        <v>37</v>
      </c>
      <c r="B1019" t="s">
        <v>38</v>
      </c>
      <c r="C1019" t="s">
        <v>39</v>
      </c>
      <c r="D1019" s="9">
        <v>45885</v>
      </c>
      <c r="E1019" s="9">
        <v>45885</v>
      </c>
      <c r="F1019" s="2">
        <v>29</v>
      </c>
      <c r="G1019" s="3" t="s">
        <v>23</v>
      </c>
      <c r="H1019">
        <v>0</v>
      </c>
      <c r="I1019" s="2">
        <v>0</v>
      </c>
      <c r="J1019" s="2">
        <v>0</v>
      </c>
      <c r="K1019" s="2">
        <v>0</v>
      </c>
      <c r="L1019" s="2">
        <v>0</v>
      </c>
      <c r="M1019">
        <v>0</v>
      </c>
      <c r="N1019">
        <v>0</v>
      </c>
      <c r="O1019" s="2">
        <v>1</v>
      </c>
      <c r="P1019" s="2">
        <v>0</v>
      </c>
      <c r="Q1019">
        <v>0</v>
      </c>
      <c r="R1019" s="2">
        <v>1</v>
      </c>
      <c r="S1019" s="2">
        <v>0</v>
      </c>
      <c r="T1019" t="s">
        <v>592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idden="1" x14ac:dyDescent="0.25">
      <c r="A1020" t="s">
        <v>20</v>
      </c>
      <c r="B1020" t="s">
        <v>21</v>
      </c>
      <c r="C1020" t="s">
        <v>22</v>
      </c>
      <c r="D1020" s="9">
        <v>45885</v>
      </c>
      <c r="E1020" s="9">
        <v>45885</v>
      </c>
      <c r="F1020" s="2">
        <v>27</v>
      </c>
      <c r="G1020" s="3" t="s">
        <v>378</v>
      </c>
      <c r="H1020">
        <v>0</v>
      </c>
      <c r="I1020" s="2">
        <v>0</v>
      </c>
      <c r="J1020" s="2">
        <v>0</v>
      </c>
      <c r="K1020" s="2">
        <v>0</v>
      </c>
      <c r="L1020" s="2">
        <v>0</v>
      </c>
      <c r="M1020">
        <v>0</v>
      </c>
      <c r="N1020">
        <v>0</v>
      </c>
      <c r="O1020" s="2">
        <v>0</v>
      </c>
      <c r="P1020" s="2">
        <v>0</v>
      </c>
      <c r="Q1020">
        <v>0</v>
      </c>
      <c r="R1020" s="2">
        <v>0</v>
      </c>
      <c r="S1020" s="2">
        <v>0</v>
      </c>
      <c r="T1020" t="s">
        <v>581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idden="1" x14ac:dyDescent="0.25">
      <c r="A1021" t="s">
        <v>568</v>
      </c>
      <c r="B1021" t="s">
        <v>47</v>
      </c>
      <c r="C1021" t="s">
        <v>27</v>
      </c>
      <c r="D1021" s="9">
        <v>45885</v>
      </c>
      <c r="E1021" s="9">
        <v>45885</v>
      </c>
      <c r="F1021" s="2">
        <v>61</v>
      </c>
      <c r="G1021" s="3" t="s">
        <v>378</v>
      </c>
      <c r="H1021">
        <v>0</v>
      </c>
      <c r="I1021" s="2">
        <v>0</v>
      </c>
      <c r="J1021" s="2">
        <v>0</v>
      </c>
      <c r="K1021" s="2">
        <v>0</v>
      </c>
      <c r="L1021" s="2">
        <v>0</v>
      </c>
      <c r="M1021">
        <v>0</v>
      </c>
      <c r="N1021">
        <v>0</v>
      </c>
      <c r="O1021" s="2">
        <v>0</v>
      </c>
      <c r="P1021" s="2">
        <v>0</v>
      </c>
      <c r="Q1021">
        <v>0</v>
      </c>
      <c r="R1021" s="2">
        <v>0</v>
      </c>
      <c r="S1021" s="2">
        <v>0</v>
      </c>
      <c r="T1021" t="s">
        <v>582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idden="1" x14ac:dyDescent="0.25">
      <c r="A1022" t="s">
        <v>53</v>
      </c>
      <c r="B1022" t="s">
        <v>47</v>
      </c>
      <c r="C1022" t="s">
        <v>39</v>
      </c>
      <c r="D1022" s="9">
        <v>45885</v>
      </c>
      <c r="E1022" s="9">
        <v>45885</v>
      </c>
      <c r="F1022" s="2">
        <v>24</v>
      </c>
      <c r="G1022" s="3" t="s">
        <v>378</v>
      </c>
      <c r="H1022">
        <v>0</v>
      </c>
      <c r="I1022" s="2">
        <v>0</v>
      </c>
      <c r="J1022" s="2">
        <v>0</v>
      </c>
      <c r="K1022" s="2">
        <v>0</v>
      </c>
      <c r="L1022" s="2">
        <v>0</v>
      </c>
      <c r="M1022">
        <v>0</v>
      </c>
      <c r="N1022">
        <v>0</v>
      </c>
      <c r="O1022" s="2">
        <v>0</v>
      </c>
      <c r="P1022" s="2">
        <v>0</v>
      </c>
      <c r="Q1022">
        <v>0</v>
      </c>
      <c r="R1022" s="2">
        <v>0</v>
      </c>
      <c r="S1022" s="2">
        <v>0</v>
      </c>
      <c r="T1022" t="s">
        <v>584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idden="1" x14ac:dyDescent="0.25">
      <c r="A1023" t="s">
        <v>29</v>
      </c>
      <c r="B1023" t="s">
        <v>47</v>
      </c>
      <c r="C1023" t="s">
        <v>22</v>
      </c>
      <c r="D1023" s="9">
        <v>45885</v>
      </c>
      <c r="E1023" s="9">
        <v>45885</v>
      </c>
      <c r="F1023" s="2">
        <v>27</v>
      </c>
      <c r="G1023" s="3" t="s">
        <v>378</v>
      </c>
      <c r="H1023">
        <v>0</v>
      </c>
      <c r="I1023" s="2">
        <v>0</v>
      </c>
      <c r="J1023" s="2">
        <v>0</v>
      </c>
      <c r="K1023" s="2">
        <v>0</v>
      </c>
      <c r="L1023" s="2">
        <v>0</v>
      </c>
      <c r="M1023">
        <v>0</v>
      </c>
      <c r="N1023">
        <v>0</v>
      </c>
      <c r="O1023" s="2">
        <v>0</v>
      </c>
      <c r="P1023" s="2">
        <v>0</v>
      </c>
      <c r="Q1023">
        <v>0</v>
      </c>
      <c r="R1023" s="2">
        <v>0</v>
      </c>
      <c r="S1023" s="2">
        <v>0</v>
      </c>
      <c r="T1023" t="s">
        <v>581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</row>
    <row r="1024" spans="1:28" hidden="1" x14ac:dyDescent="0.25">
      <c r="A1024" t="s">
        <v>47</v>
      </c>
      <c r="B1024" t="s">
        <v>52</v>
      </c>
      <c r="C1024" t="s">
        <v>212</v>
      </c>
      <c r="D1024" s="9">
        <v>45885</v>
      </c>
      <c r="E1024" s="9">
        <v>45885</v>
      </c>
      <c r="F1024" s="2">
        <v>0</v>
      </c>
      <c r="G1024" s="3" t="s">
        <v>378</v>
      </c>
      <c r="H1024">
        <v>0</v>
      </c>
      <c r="I1024" s="2">
        <v>0</v>
      </c>
      <c r="J1024" s="2">
        <v>0</v>
      </c>
      <c r="K1024" s="2">
        <v>0</v>
      </c>
      <c r="L1024" s="2">
        <v>0</v>
      </c>
      <c r="M1024">
        <v>0</v>
      </c>
      <c r="N1024">
        <v>0</v>
      </c>
      <c r="O1024" s="2">
        <v>0</v>
      </c>
      <c r="P1024" s="2">
        <v>0</v>
      </c>
      <c r="Q1024">
        <v>0</v>
      </c>
      <c r="R1024" s="2">
        <v>0</v>
      </c>
      <c r="S1024" s="2">
        <v>0</v>
      </c>
      <c r="T1024" t="s">
        <v>377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</row>
    <row r="1025" spans="1:28" hidden="1" x14ac:dyDescent="0.25">
      <c r="A1025" t="s">
        <v>56</v>
      </c>
      <c r="B1025" t="s">
        <v>30</v>
      </c>
      <c r="C1025" t="s">
        <v>64</v>
      </c>
      <c r="D1025" s="9">
        <v>45886</v>
      </c>
      <c r="E1025" s="9">
        <v>45886</v>
      </c>
      <c r="F1025" s="2">
        <v>24</v>
      </c>
      <c r="G1025" s="3" t="s">
        <v>23</v>
      </c>
      <c r="H1025">
        <v>0</v>
      </c>
      <c r="I1025" s="2">
        <v>0</v>
      </c>
      <c r="J1025" s="2">
        <v>0</v>
      </c>
      <c r="K1025" s="2">
        <v>0</v>
      </c>
      <c r="L1025" s="2">
        <v>0</v>
      </c>
      <c r="M1025">
        <v>0</v>
      </c>
      <c r="N1025">
        <v>0</v>
      </c>
      <c r="O1025" s="2">
        <v>0</v>
      </c>
      <c r="P1025" s="2">
        <v>1</v>
      </c>
      <c r="Q1025">
        <v>0</v>
      </c>
      <c r="R1025" s="2">
        <v>0</v>
      </c>
      <c r="S1025" s="2">
        <v>1</v>
      </c>
      <c r="T1025" t="s">
        <v>593</v>
      </c>
      <c r="U1025" s="2">
        <v>14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</row>
    <row r="1026" spans="1:28" hidden="1" x14ac:dyDescent="0.25">
      <c r="A1026" t="s">
        <v>25</v>
      </c>
      <c r="B1026" t="s">
        <v>26</v>
      </c>
      <c r="C1026" t="s">
        <v>27</v>
      </c>
      <c r="D1026" s="9">
        <v>45886</v>
      </c>
      <c r="E1026" s="9">
        <v>45886</v>
      </c>
      <c r="F1026" s="2">
        <v>24</v>
      </c>
      <c r="G1026" s="3" t="s">
        <v>23</v>
      </c>
      <c r="H1026">
        <v>0</v>
      </c>
      <c r="I1026" s="2">
        <v>0</v>
      </c>
      <c r="J1026" s="2">
        <v>0</v>
      </c>
      <c r="K1026" s="2">
        <v>0</v>
      </c>
      <c r="L1026" s="2">
        <v>0</v>
      </c>
      <c r="M1026">
        <v>0</v>
      </c>
      <c r="N1026">
        <v>0</v>
      </c>
      <c r="O1026" s="2">
        <v>0</v>
      </c>
      <c r="P1026" s="2">
        <v>1</v>
      </c>
      <c r="Q1026">
        <v>0</v>
      </c>
      <c r="R1026" s="2">
        <v>0</v>
      </c>
      <c r="S1026" s="2">
        <v>1</v>
      </c>
      <c r="T1026" t="s">
        <v>594</v>
      </c>
      <c r="U1026" s="2">
        <v>16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</row>
    <row r="1027" spans="1:28" hidden="1" x14ac:dyDescent="0.25">
      <c r="A1027" t="s">
        <v>33</v>
      </c>
      <c r="B1027" t="s">
        <v>57</v>
      </c>
      <c r="C1027" t="s">
        <v>35</v>
      </c>
      <c r="D1027" s="9">
        <v>45886</v>
      </c>
      <c r="E1027" s="9">
        <v>45886</v>
      </c>
      <c r="F1027" s="2">
        <v>67</v>
      </c>
      <c r="G1027" s="3" t="s">
        <v>23</v>
      </c>
      <c r="H1027">
        <v>0</v>
      </c>
      <c r="I1027" s="2">
        <v>0</v>
      </c>
      <c r="J1027" s="2">
        <v>0</v>
      </c>
      <c r="K1027" s="2">
        <v>0</v>
      </c>
      <c r="L1027" s="2">
        <v>0</v>
      </c>
      <c r="M1027">
        <v>0</v>
      </c>
      <c r="N1027">
        <v>0</v>
      </c>
      <c r="O1027" s="2">
        <v>0</v>
      </c>
      <c r="P1027" s="2">
        <v>1</v>
      </c>
      <c r="Q1027">
        <v>0</v>
      </c>
      <c r="R1027" s="2">
        <v>0</v>
      </c>
      <c r="S1027" s="2">
        <v>1</v>
      </c>
      <c r="T1027" t="s">
        <v>595</v>
      </c>
      <c r="U1027" s="2">
        <v>17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</row>
    <row r="1028" spans="1:28" hidden="1" x14ac:dyDescent="0.25">
      <c r="A1028" t="s">
        <v>37</v>
      </c>
      <c r="B1028" t="s">
        <v>38</v>
      </c>
      <c r="C1028" t="s">
        <v>39</v>
      </c>
      <c r="D1028" s="9">
        <v>45886</v>
      </c>
      <c r="E1028" s="9">
        <v>45886</v>
      </c>
      <c r="F1028" s="2">
        <v>23</v>
      </c>
      <c r="G1028" s="3" t="s">
        <v>23</v>
      </c>
      <c r="H1028">
        <v>0</v>
      </c>
      <c r="I1028" s="2">
        <v>0</v>
      </c>
      <c r="J1028" s="2">
        <v>0</v>
      </c>
      <c r="K1028" s="2">
        <v>0</v>
      </c>
      <c r="L1028" s="2">
        <v>0</v>
      </c>
      <c r="M1028">
        <v>0</v>
      </c>
      <c r="N1028">
        <v>0</v>
      </c>
      <c r="O1028" s="2">
        <v>0</v>
      </c>
      <c r="P1028" s="2">
        <v>0</v>
      </c>
      <c r="Q1028">
        <v>6</v>
      </c>
      <c r="R1028" s="2">
        <v>0</v>
      </c>
      <c r="S1028" s="2">
        <v>1</v>
      </c>
      <c r="T1028" t="s">
        <v>596</v>
      </c>
      <c r="U1028" s="2">
        <v>17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1</v>
      </c>
    </row>
    <row r="1029" spans="1:28" hidden="1" x14ac:dyDescent="0.25">
      <c r="A1029" t="s">
        <v>20</v>
      </c>
      <c r="B1029" t="s">
        <v>21</v>
      </c>
      <c r="C1029" t="s">
        <v>22</v>
      </c>
      <c r="D1029" s="9">
        <v>45886</v>
      </c>
      <c r="E1029" s="9">
        <v>45886</v>
      </c>
      <c r="F1029" s="2">
        <v>27</v>
      </c>
      <c r="G1029" s="3" t="s">
        <v>378</v>
      </c>
      <c r="H1029">
        <v>0</v>
      </c>
      <c r="I1029" s="2">
        <v>0</v>
      </c>
      <c r="J1029" s="2">
        <v>0</v>
      </c>
      <c r="K1029" s="2">
        <v>0</v>
      </c>
      <c r="L1029" s="2">
        <v>0</v>
      </c>
      <c r="M1029">
        <v>0</v>
      </c>
      <c r="N1029">
        <v>0</v>
      </c>
      <c r="O1029" s="2">
        <v>0</v>
      </c>
      <c r="P1029" s="2">
        <v>0</v>
      </c>
      <c r="Q1029">
        <v>0</v>
      </c>
      <c r="R1029" s="2">
        <v>0</v>
      </c>
      <c r="S1029" s="2">
        <v>0</v>
      </c>
      <c r="T1029" t="s">
        <v>581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</row>
    <row r="1030" spans="1:28" hidden="1" x14ac:dyDescent="0.25">
      <c r="A1030" t="s">
        <v>568</v>
      </c>
      <c r="B1030" t="s">
        <v>47</v>
      </c>
      <c r="C1030" t="s">
        <v>27</v>
      </c>
      <c r="D1030" s="9">
        <v>45886</v>
      </c>
      <c r="E1030" s="9">
        <v>45886</v>
      </c>
      <c r="F1030" s="2">
        <v>61</v>
      </c>
      <c r="G1030" s="3" t="s">
        <v>378</v>
      </c>
      <c r="H1030">
        <v>0</v>
      </c>
      <c r="I1030" s="2">
        <v>0</v>
      </c>
      <c r="J1030" s="2">
        <v>0</v>
      </c>
      <c r="K1030" s="2">
        <v>0</v>
      </c>
      <c r="L1030" s="2">
        <v>0</v>
      </c>
      <c r="M1030">
        <v>0</v>
      </c>
      <c r="N1030">
        <v>0</v>
      </c>
      <c r="O1030" s="2">
        <v>0</v>
      </c>
      <c r="P1030" s="2">
        <v>0</v>
      </c>
      <c r="Q1030">
        <v>0</v>
      </c>
      <c r="R1030" s="2">
        <v>0</v>
      </c>
      <c r="S1030" s="2">
        <v>0</v>
      </c>
      <c r="T1030" t="s">
        <v>582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</row>
    <row r="1031" spans="1:28" hidden="1" x14ac:dyDescent="0.25">
      <c r="A1031" t="s">
        <v>53</v>
      </c>
      <c r="B1031" t="s">
        <v>47</v>
      </c>
      <c r="C1031" t="s">
        <v>39</v>
      </c>
      <c r="D1031" s="9">
        <v>45886</v>
      </c>
      <c r="E1031" s="9">
        <v>45886</v>
      </c>
      <c r="F1031" s="2">
        <v>24</v>
      </c>
      <c r="G1031" s="3" t="s">
        <v>378</v>
      </c>
      <c r="H1031">
        <v>0</v>
      </c>
      <c r="I1031" s="2">
        <v>0</v>
      </c>
      <c r="J1031" s="2">
        <v>0</v>
      </c>
      <c r="K1031" s="2">
        <v>0</v>
      </c>
      <c r="L1031" s="2">
        <v>0</v>
      </c>
      <c r="M1031">
        <v>0</v>
      </c>
      <c r="N1031">
        <v>0</v>
      </c>
      <c r="O1031" s="2">
        <v>0</v>
      </c>
      <c r="P1031" s="2">
        <v>0</v>
      </c>
      <c r="Q1031">
        <v>0</v>
      </c>
      <c r="R1031" s="2">
        <v>0</v>
      </c>
      <c r="S1031" s="2">
        <v>0</v>
      </c>
      <c r="T1031" t="s">
        <v>584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</row>
    <row r="1032" spans="1:28" hidden="1" x14ac:dyDescent="0.25">
      <c r="A1032" t="s">
        <v>29</v>
      </c>
      <c r="B1032" t="s">
        <v>47</v>
      </c>
      <c r="C1032" t="s">
        <v>22</v>
      </c>
      <c r="D1032" s="9">
        <v>45886</v>
      </c>
      <c r="E1032" s="9">
        <v>45886</v>
      </c>
      <c r="F1032" s="2">
        <v>27</v>
      </c>
      <c r="G1032" s="3" t="s">
        <v>378</v>
      </c>
      <c r="H1032">
        <v>0</v>
      </c>
      <c r="I1032" s="2">
        <v>0</v>
      </c>
      <c r="J1032" s="2">
        <v>0</v>
      </c>
      <c r="K1032" s="2">
        <v>0</v>
      </c>
      <c r="L1032" s="2">
        <v>0</v>
      </c>
      <c r="M1032">
        <v>0</v>
      </c>
      <c r="N1032">
        <v>0</v>
      </c>
      <c r="O1032" s="2">
        <v>0</v>
      </c>
      <c r="P1032" s="2">
        <v>0</v>
      </c>
      <c r="Q1032">
        <v>0</v>
      </c>
      <c r="R1032" s="2">
        <v>0</v>
      </c>
      <c r="S1032" s="2">
        <v>0</v>
      </c>
      <c r="T1032" t="s">
        <v>581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idden="1" x14ac:dyDescent="0.25">
      <c r="A1033" t="s">
        <v>47</v>
      </c>
      <c r="B1033" t="s">
        <v>52</v>
      </c>
      <c r="C1033" t="s">
        <v>212</v>
      </c>
      <c r="D1033" s="9">
        <v>45886</v>
      </c>
      <c r="E1033" s="9">
        <v>45886</v>
      </c>
      <c r="F1033" s="2">
        <v>0</v>
      </c>
      <c r="G1033" s="3" t="s">
        <v>378</v>
      </c>
      <c r="H1033">
        <v>0</v>
      </c>
      <c r="I1033" s="2">
        <v>0</v>
      </c>
      <c r="J1033" s="2">
        <v>0</v>
      </c>
      <c r="K1033" s="2">
        <v>0</v>
      </c>
      <c r="L1033" s="2">
        <v>0</v>
      </c>
      <c r="M1033">
        <v>0</v>
      </c>
      <c r="N1033">
        <v>0</v>
      </c>
      <c r="O1033" s="2">
        <v>0</v>
      </c>
      <c r="P1033" s="2">
        <v>0</v>
      </c>
      <c r="Q1033">
        <v>0</v>
      </c>
      <c r="R1033" s="2">
        <v>0</v>
      </c>
      <c r="S1033" s="2">
        <v>0</v>
      </c>
      <c r="T1033" t="s">
        <v>377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idden="1" x14ac:dyDescent="0.25">
      <c r="A1034" t="s">
        <v>20</v>
      </c>
      <c r="B1034" t="s">
        <v>21</v>
      </c>
      <c r="C1034" t="s">
        <v>22</v>
      </c>
      <c r="D1034" s="1">
        <v>45887</v>
      </c>
      <c r="E1034" s="1">
        <v>45887</v>
      </c>
      <c r="F1034" s="2">
        <v>28</v>
      </c>
      <c r="G1034" s="3" t="s">
        <v>23</v>
      </c>
      <c r="H1034">
        <v>18</v>
      </c>
      <c r="I1034" s="2">
        <v>0</v>
      </c>
      <c r="J1034" s="2">
        <v>0</v>
      </c>
      <c r="K1034" s="2">
        <v>0</v>
      </c>
      <c r="L1034" s="2">
        <v>0</v>
      </c>
      <c r="M1034">
        <v>1</v>
      </c>
      <c r="N1034">
        <v>0</v>
      </c>
      <c r="O1034" s="2">
        <v>0</v>
      </c>
      <c r="P1034" s="2">
        <v>0</v>
      </c>
      <c r="Q1034">
        <v>0</v>
      </c>
      <c r="R1034" s="2">
        <v>0</v>
      </c>
      <c r="S1034" s="2">
        <v>0</v>
      </c>
      <c r="T1034" t="s">
        <v>597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idden="1" x14ac:dyDescent="0.25">
      <c r="A1035" t="s">
        <v>29</v>
      </c>
      <c r="B1035" t="s">
        <v>30</v>
      </c>
      <c r="C1035" t="s">
        <v>22</v>
      </c>
      <c r="D1035" s="1">
        <v>45887</v>
      </c>
      <c r="E1035" s="1">
        <v>45887</v>
      </c>
      <c r="F1035" s="2">
        <v>28</v>
      </c>
      <c r="G1035" s="3" t="s">
        <v>23</v>
      </c>
      <c r="H1035">
        <v>18</v>
      </c>
      <c r="I1035" s="2">
        <v>0</v>
      </c>
      <c r="J1035" s="2">
        <v>0</v>
      </c>
      <c r="K1035" s="2">
        <v>0</v>
      </c>
      <c r="L1035" s="2">
        <v>0</v>
      </c>
      <c r="M1035">
        <v>0</v>
      </c>
      <c r="N1035">
        <v>0</v>
      </c>
      <c r="O1035" s="2">
        <v>0</v>
      </c>
      <c r="P1035" s="2">
        <v>0</v>
      </c>
      <c r="Q1035">
        <v>0</v>
      </c>
      <c r="R1035" s="2">
        <v>0</v>
      </c>
      <c r="S1035" s="2">
        <v>0</v>
      </c>
      <c r="T1035" t="s">
        <v>597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</row>
    <row r="1036" spans="1:28" hidden="1" x14ac:dyDescent="0.25">
      <c r="A1036" t="s">
        <v>568</v>
      </c>
      <c r="B1036" t="s">
        <v>47</v>
      </c>
      <c r="C1036" t="s">
        <v>22</v>
      </c>
      <c r="D1036" s="1">
        <v>45887</v>
      </c>
      <c r="E1036" s="1">
        <v>45887</v>
      </c>
      <c r="F1036" s="2">
        <v>28</v>
      </c>
      <c r="G1036" s="3" t="s">
        <v>23</v>
      </c>
      <c r="H1036">
        <v>18</v>
      </c>
      <c r="I1036" s="2">
        <v>0</v>
      </c>
      <c r="J1036" s="2">
        <v>0</v>
      </c>
      <c r="K1036" s="2">
        <v>0</v>
      </c>
      <c r="L1036" s="2">
        <v>0</v>
      </c>
      <c r="M1036">
        <v>0</v>
      </c>
      <c r="N1036">
        <v>0</v>
      </c>
      <c r="O1036" s="2">
        <v>0</v>
      </c>
      <c r="P1036" s="2">
        <v>0</v>
      </c>
      <c r="Q1036">
        <v>0</v>
      </c>
      <c r="R1036" s="2">
        <v>0</v>
      </c>
      <c r="S1036" s="2">
        <v>0</v>
      </c>
      <c r="T1036" t="s">
        <v>597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</row>
    <row r="1037" spans="1:28" hidden="1" x14ac:dyDescent="0.25">
      <c r="A1037" t="s">
        <v>25</v>
      </c>
      <c r="B1037" t="s">
        <v>26</v>
      </c>
      <c r="C1037" t="s">
        <v>212</v>
      </c>
      <c r="D1037" s="1">
        <v>45887</v>
      </c>
      <c r="E1037" s="1">
        <v>45887</v>
      </c>
      <c r="F1037" s="2">
        <v>0</v>
      </c>
      <c r="G1037" s="3" t="s">
        <v>572</v>
      </c>
      <c r="H1037">
        <v>0</v>
      </c>
      <c r="I1037" s="2">
        <v>0</v>
      </c>
      <c r="J1037" s="2">
        <v>0</v>
      </c>
      <c r="K1037" s="2">
        <v>0</v>
      </c>
      <c r="L1037" s="2">
        <v>0</v>
      </c>
      <c r="M1037">
        <v>0</v>
      </c>
      <c r="N1037">
        <v>0</v>
      </c>
      <c r="O1037" s="2">
        <v>0</v>
      </c>
      <c r="P1037" s="2">
        <v>0</v>
      </c>
      <c r="Q1037">
        <v>0</v>
      </c>
      <c r="R1037" s="2">
        <v>0</v>
      </c>
      <c r="S1037" s="2">
        <v>0</v>
      </c>
      <c r="T1037" t="s">
        <v>377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</row>
    <row r="1038" spans="1:28" hidden="1" x14ac:dyDescent="0.25">
      <c r="A1038" t="s">
        <v>33</v>
      </c>
      <c r="B1038" t="s">
        <v>57</v>
      </c>
      <c r="C1038" t="s">
        <v>212</v>
      </c>
      <c r="D1038" s="1">
        <v>45887</v>
      </c>
      <c r="E1038" s="1">
        <v>45887</v>
      </c>
      <c r="F1038" s="2">
        <v>0</v>
      </c>
      <c r="G1038" s="3" t="s">
        <v>572</v>
      </c>
      <c r="H1038">
        <v>0</v>
      </c>
      <c r="I1038" s="2">
        <v>0</v>
      </c>
      <c r="J1038" s="2">
        <v>0</v>
      </c>
      <c r="K1038" s="2">
        <v>0</v>
      </c>
      <c r="L1038" s="2">
        <v>0</v>
      </c>
      <c r="M1038">
        <v>0</v>
      </c>
      <c r="N1038">
        <v>0</v>
      </c>
      <c r="O1038" s="2">
        <v>0</v>
      </c>
      <c r="P1038" s="2">
        <v>0</v>
      </c>
      <c r="Q1038">
        <v>0</v>
      </c>
      <c r="R1038" s="2">
        <v>0</v>
      </c>
      <c r="S1038" s="2">
        <v>0</v>
      </c>
      <c r="T1038" t="s">
        <v>377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idden="1" x14ac:dyDescent="0.25">
      <c r="A1039" t="s">
        <v>37</v>
      </c>
      <c r="B1039" t="s">
        <v>38</v>
      </c>
      <c r="C1039" t="s">
        <v>212</v>
      </c>
      <c r="D1039" s="1">
        <v>45887</v>
      </c>
      <c r="E1039" s="1">
        <v>45887</v>
      </c>
      <c r="F1039" s="2">
        <v>0</v>
      </c>
      <c r="G1039" s="3" t="s">
        <v>572</v>
      </c>
      <c r="H1039">
        <v>0</v>
      </c>
      <c r="I1039" s="2">
        <v>0</v>
      </c>
      <c r="J1039" s="2">
        <v>0</v>
      </c>
      <c r="K1039" s="2">
        <v>0</v>
      </c>
      <c r="L1039" s="2">
        <v>0</v>
      </c>
      <c r="M1039">
        <v>0</v>
      </c>
      <c r="N1039">
        <v>0</v>
      </c>
      <c r="O1039" s="2">
        <v>0</v>
      </c>
      <c r="P1039" s="2">
        <v>0</v>
      </c>
      <c r="Q1039">
        <v>0</v>
      </c>
      <c r="R1039" s="2">
        <v>0</v>
      </c>
      <c r="S1039" s="2">
        <v>0</v>
      </c>
      <c r="T1039" t="s">
        <v>377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</row>
    <row r="1040" spans="1:28" hidden="1" x14ac:dyDescent="0.25">
      <c r="A1040" t="s">
        <v>56</v>
      </c>
      <c r="B1040" t="s">
        <v>47</v>
      </c>
      <c r="C1040" t="s">
        <v>212</v>
      </c>
      <c r="D1040" s="1">
        <v>45887</v>
      </c>
      <c r="E1040" s="1">
        <v>45887</v>
      </c>
      <c r="F1040" s="2">
        <v>0</v>
      </c>
      <c r="G1040" s="3" t="s">
        <v>572</v>
      </c>
      <c r="H1040">
        <v>0</v>
      </c>
      <c r="I1040" s="2">
        <v>0</v>
      </c>
      <c r="J1040" s="2">
        <v>0</v>
      </c>
      <c r="K1040" s="2">
        <v>0</v>
      </c>
      <c r="L1040" s="2">
        <v>0</v>
      </c>
      <c r="M1040">
        <v>0</v>
      </c>
      <c r="N1040">
        <v>0</v>
      </c>
      <c r="O1040" s="2">
        <v>0</v>
      </c>
      <c r="P1040" s="2">
        <v>0</v>
      </c>
      <c r="Q1040">
        <v>0</v>
      </c>
      <c r="R1040" s="2">
        <v>0</v>
      </c>
      <c r="S1040" s="2">
        <v>0</v>
      </c>
      <c r="T1040" t="s">
        <v>377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</row>
    <row r="1041" spans="1:28" hidden="1" x14ac:dyDescent="0.25">
      <c r="A1041" t="s">
        <v>53</v>
      </c>
      <c r="B1041" t="s">
        <v>47</v>
      </c>
      <c r="C1041" t="s">
        <v>212</v>
      </c>
      <c r="D1041" s="1">
        <v>45887</v>
      </c>
      <c r="E1041" s="1">
        <v>45887</v>
      </c>
      <c r="F1041" s="2">
        <v>0</v>
      </c>
      <c r="G1041" s="3" t="s">
        <v>572</v>
      </c>
      <c r="H1041">
        <v>0</v>
      </c>
      <c r="I1041" s="2">
        <v>0</v>
      </c>
      <c r="J1041" s="2">
        <v>0</v>
      </c>
      <c r="K1041" s="2">
        <v>0</v>
      </c>
      <c r="L1041" s="2">
        <v>0</v>
      </c>
      <c r="M1041">
        <v>0</v>
      </c>
      <c r="N1041">
        <v>0</v>
      </c>
      <c r="O1041" s="2">
        <v>0</v>
      </c>
      <c r="P1041" s="2">
        <v>0</v>
      </c>
      <c r="Q1041">
        <v>0</v>
      </c>
      <c r="R1041" s="2">
        <v>0</v>
      </c>
      <c r="S1041" s="2">
        <v>0</v>
      </c>
      <c r="T1041" t="s">
        <v>377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idden="1" x14ac:dyDescent="0.25">
      <c r="A1042" t="s">
        <v>47</v>
      </c>
      <c r="B1042" t="s">
        <v>52</v>
      </c>
      <c r="C1042" t="s">
        <v>212</v>
      </c>
      <c r="D1042" s="1">
        <v>45887</v>
      </c>
      <c r="E1042" s="1">
        <v>45887</v>
      </c>
      <c r="F1042" s="2">
        <v>0</v>
      </c>
      <c r="G1042" s="3" t="s">
        <v>572</v>
      </c>
      <c r="H1042">
        <v>0</v>
      </c>
      <c r="I1042" s="2">
        <v>0</v>
      </c>
      <c r="J1042" s="2">
        <v>0</v>
      </c>
      <c r="K1042" s="2">
        <v>0</v>
      </c>
      <c r="L1042" s="2">
        <v>0</v>
      </c>
      <c r="M1042">
        <v>0</v>
      </c>
      <c r="N1042">
        <v>0</v>
      </c>
      <c r="O1042" s="2">
        <v>0</v>
      </c>
      <c r="P1042" s="2">
        <v>0</v>
      </c>
      <c r="Q1042">
        <v>0</v>
      </c>
      <c r="R1042" s="2">
        <v>0</v>
      </c>
      <c r="S1042" s="2">
        <v>0</v>
      </c>
      <c r="T1042" t="s">
        <v>377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</row>
    <row r="1043" spans="1:28" hidden="1" x14ac:dyDescent="0.25">
      <c r="A1043" t="s">
        <v>56</v>
      </c>
      <c r="B1043" t="s">
        <v>47</v>
      </c>
      <c r="C1043" t="s">
        <v>64</v>
      </c>
      <c r="D1043" s="1">
        <v>45888</v>
      </c>
      <c r="E1043" s="1">
        <v>45888</v>
      </c>
      <c r="F1043" s="2">
        <v>17</v>
      </c>
      <c r="G1043" s="3" t="s">
        <v>23</v>
      </c>
      <c r="H1043">
        <v>11</v>
      </c>
      <c r="I1043" s="2">
        <v>0</v>
      </c>
      <c r="J1043" s="2">
        <v>0</v>
      </c>
      <c r="K1043" s="2">
        <v>0</v>
      </c>
      <c r="L1043" s="2">
        <v>0</v>
      </c>
      <c r="M1043">
        <v>0</v>
      </c>
      <c r="N1043">
        <v>0</v>
      </c>
      <c r="O1043" s="2">
        <v>0</v>
      </c>
      <c r="P1043" s="2">
        <v>0</v>
      </c>
      <c r="Q1043">
        <v>0</v>
      </c>
      <c r="R1043" s="2">
        <v>0</v>
      </c>
      <c r="S1043" s="2">
        <v>0</v>
      </c>
      <c r="T1043" t="s">
        <v>598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</row>
    <row r="1044" spans="1:28" hidden="1" x14ac:dyDescent="0.25">
      <c r="A1044" t="s">
        <v>47</v>
      </c>
      <c r="B1044" t="s">
        <v>30</v>
      </c>
      <c r="C1044" t="s">
        <v>64</v>
      </c>
      <c r="D1044" s="1">
        <v>45888</v>
      </c>
      <c r="E1044" s="1">
        <v>45888</v>
      </c>
      <c r="F1044" s="2">
        <v>17</v>
      </c>
      <c r="G1044" s="3" t="s">
        <v>23</v>
      </c>
      <c r="H1044">
        <f>22+11</f>
        <v>33</v>
      </c>
      <c r="I1044" s="2">
        <v>0</v>
      </c>
      <c r="J1044" s="2">
        <v>0</v>
      </c>
      <c r="K1044" s="2">
        <v>0</v>
      </c>
      <c r="L1044" s="2">
        <v>1</v>
      </c>
      <c r="M1044">
        <v>0</v>
      </c>
      <c r="N1044">
        <v>0</v>
      </c>
      <c r="O1044" s="2">
        <v>0</v>
      </c>
      <c r="P1044" s="2">
        <v>0</v>
      </c>
      <c r="Q1044">
        <v>0</v>
      </c>
      <c r="R1044" s="2">
        <v>0</v>
      </c>
      <c r="S1044" s="2">
        <v>0</v>
      </c>
      <c r="T1044" t="s">
        <v>598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idden="1" x14ac:dyDescent="0.25">
      <c r="A1045" t="s">
        <v>20</v>
      </c>
      <c r="B1045" t="s">
        <v>21</v>
      </c>
      <c r="C1045" t="s">
        <v>22</v>
      </c>
      <c r="D1045" s="1">
        <v>45888</v>
      </c>
      <c r="E1045" s="1">
        <v>45888</v>
      </c>
      <c r="F1045" s="2">
        <v>22</v>
      </c>
      <c r="G1045" s="3" t="s">
        <v>23</v>
      </c>
      <c r="H1045">
        <v>28</v>
      </c>
      <c r="I1045" s="2">
        <v>0</v>
      </c>
      <c r="J1045" s="2">
        <v>0</v>
      </c>
      <c r="K1045" s="2">
        <v>1</v>
      </c>
      <c r="L1045" s="2">
        <v>0</v>
      </c>
      <c r="M1045">
        <v>0</v>
      </c>
      <c r="N1045">
        <v>0</v>
      </c>
      <c r="O1045" s="2">
        <v>0</v>
      </c>
      <c r="P1045" s="2">
        <v>0</v>
      </c>
      <c r="Q1045">
        <v>0</v>
      </c>
      <c r="R1045" s="2">
        <v>0</v>
      </c>
      <c r="S1045" s="2">
        <v>0</v>
      </c>
      <c r="T1045" t="s">
        <v>599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idden="1" x14ac:dyDescent="0.25">
      <c r="A1046" t="s">
        <v>25</v>
      </c>
      <c r="B1046" t="s">
        <v>26</v>
      </c>
      <c r="C1046" t="s">
        <v>27</v>
      </c>
      <c r="D1046" s="1">
        <v>45888</v>
      </c>
      <c r="E1046" s="1">
        <v>45888</v>
      </c>
      <c r="F1046" s="2">
        <v>33</v>
      </c>
      <c r="G1046" s="3" t="s">
        <v>23</v>
      </c>
      <c r="H1046">
        <f>16+20</f>
        <v>36</v>
      </c>
      <c r="I1046" s="2">
        <v>0</v>
      </c>
      <c r="J1046" s="2">
        <v>0</v>
      </c>
      <c r="K1046" s="2">
        <v>1</v>
      </c>
      <c r="L1046" s="2">
        <v>0</v>
      </c>
      <c r="M1046">
        <v>0</v>
      </c>
      <c r="N1046">
        <v>1</v>
      </c>
      <c r="O1046" s="2">
        <v>0</v>
      </c>
      <c r="P1046" s="2">
        <v>0</v>
      </c>
      <c r="Q1046">
        <v>0</v>
      </c>
      <c r="R1046" s="2">
        <v>0</v>
      </c>
      <c r="S1046" s="2">
        <v>0</v>
      </c>
      <c r="T1046" t="s">
        <v>600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</row>
    <row r="1047" spans="1:28" hidden="1" x14ac:dyDescent="0.25">
      <c r="A1047" t="s">
        <v>29</v>
      </c>
      <c r="B1047" t="s">
        <v>47</v>
      </c>
      <c r="C1047" t="s">
        <v>31</v>
      </c>
      <c r="D1047" s="1">
        <v>45888</v>
      </c>
      <c r="E1047" s="1">
        <v>45888</v>
      </c>
      <c r="F1047" s="2">
        <v>43</v>
      </c>
      <c r="G1047" s="3" t="s">
        <v>23</v>
      </c>
      <c r="H1047">
        <f>22+18</f>
        <v>40</v>
      </c>
      <c r="I1047" s="2">
        <v>0</v>
      </c>
      <c r="J1047" s="2">
        <v>0</v>
      </c>
      <c r="K1047" s="2">
        <v>0</v>
      </c>
      <c r="L1047" s="2">
        <v>1</v>
      </c>
      <c r="M1047">
        <v>0</v>
      </c>
      <c r="N1047">
        <v>0</v>
      </c>
      <c r="O1047" s="2">
        <v>0</v>
      </c>
      <c r="P1047" s="2">
        <v>0</v>
      </c>
      <c r="Q1047">
        <v>0</v>
      </c>
      <c r="R1047" s="2">
        <v>0</v>
      </c>
      <c r="S1047" s="2">
        <v>0</v>
      </c>
      <c r="T1047" t="s">
        <v>601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idden="1" x14ac:dyDescent="0.25">
      <c r="A1048" t="s">
        <v>33</v>
      </c>
      <c r="B1048" t="s">
        <v>57</v>
      </c>
      <c r="C1048" t="s">
        <v>35</v>
      </c>
      <c r="D1048" s="1">
        <v>45888</v>
      </c>
      <c r="E1048" s="1">
        <v>45888</v>
      </c>
      <c r="F1048" s="2">
        <v>43</v>
      </c>
      <c r="G1048" s="3" t="s">
        <v>23</v>
      </c>
      <c r="H1048">
        <v>3</v>
      </c>
      <c r="I1048" s="2">
        <v>0</v>
      </c>
      <c r="J1048" s="2">
        <v>0</v>
      </c>
      <c r="K1048" s="2">
        <v>0</v>
      </c>
      <c r="L1048" s="2">
        <v>0</v>
      </c>
      <c r="M1048">
        <v>0</v>
      </c>
      <c r="N1048">
        <v>0</v>
      </c>
      <c r="O1048" s="2">
        <v>0</v>
      </c>
      <c r="P1048" s="2">
        <v>0</v>
      </c>
      <c r="Q1048">
        <v>0</v>
      </c>
      <c r="R1048" s="2">
        <v>0</v>
      </c>
      <c r="S1048" s="2">
        <v>0</v>
      </c>
      <c r="T1048" t="s">
        <v>602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</row>
    <row r="1049" spans="1:28" hidden="1" x14ac:dyDescent="0.25">
      <c r="A1049" t="s">
        <v>37</v>
      </c>
      <c r="B1049" t="s">
        <v>38</v>
      </c>
      <c r="C1049" t="s">
        <v>39</v>
      </c>
      <c r="D1049" s="1">
        <v>45888</v>
      </c>
      <c r="E1049" s="1">
        <v>45888</v>
      </c>
      <c r="F1049" s="2">
        <v>422</v>
      </c>
      <c r="G1049" s="3" t="s">
        <v>23</v>
      </c>
      <c r="H1049">
        <v>34</v>
      </c>
      <c r="I1049" s="2">
        <v>0</v>
      </c>
      <c r="J1049" s="2">
        <v>0</v>
      </c>
      <c r="K1049" s="2">
        <v>1</v>
      </c>
      <c r="L1049" s="2">
        <v>0</v>
      </c>
      <c r="M1049">
        <v>0</v>
      </c>
      <c r="N1049">
        <v>0</v>
      </c>
      <c r="O1049" s="2">
        <v>0</v>
      </c>
      <c r="P1049" s="2">
        <v>0</v>
      </c>
      <c r="Q1049">
        <v>0</v>
      </c>
      <c r="R1049" s="2">
        <v>0</v>
      </c>
      <c r="S1049" s="2">
        <v>0</v>
      </c>
      <c r="T1049" t="s">
        <v>603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</row>
    <row r="1050" spans="1:28" hidden="1" x14ac:dyDescent="0.25">
      <c r="A1050" t="s">
        <v>53</v>
      </c>
      <c r="B1050" t="s">
        <v>47</v>
      </c>
      <c r="C1050" t="s">
        <v>212</v>
      </c>
      <c r="D1050" s="1">
        <v>45888</v>
      </c>
      <c r="E1050" s="1">
        <v>45888</v>
      </c>
      <c r="F1050" s="2">
        <v>0</v>
      </c>
      <c r="G1050" s="3" t="s">
        <v>48</v>
      </c>
      <c r="H1050">
        <v>0</v>
      </c>
      <c r="I1050" s="2">
        <v>0</v>
      </c>
      <c r="J1050" s="2">
        <v>0</v>
      </c>
      <c r="K1050" s="2">
        <v>0</v>
      </c>
      <c r="L1050" s="2">
        <v>0</v>
      </c>
      <c r="M1050">
        <v>0</v>
      </c>
      <c r="N1050">
        <v>0</v>
      </c>
      <c r="O1050" s="2">
        <v>0</v>
      </c>
      <c r="P1050" s="2">
        <v>0</v>
      </c>
      <c r="Q1050">
        <v>0</v>
      </c>
      <c r="R1050" s="2">
        <v>0</v>
      </c>
      <c r="S1050" s="2">
        <v>0</v>
      </c>
      <c r="T1050" t="s">
        <v>377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</row>
    <row r="1051" spans="1:28" hidden="1" x14ac:dyDescent="0.25">
      <c r="A1051" t="s">
        <v>568</v>
      </c>
      <c r="B1051" t="s">
        <v>47</v>
      </c>
      <c r="C1051" t="s">
        <v>212</v>
      </c>
      <c r="D1051" s="1">
        <v>45888</v>
      </c>
      <c r="E1051" s="1">
        <v>45888</v>
      </c>
      <c r="F1051" s="2">
        <v>0</v>
      </c>
      <c r="G1051" s="3" t="s">
        <v>48</v>
      </c>
      <c r="H1051">
        <v>0</v>
      </c>
      <c r="I1051" s="2">
        <v>0</v>
      </c>
      <c r="J1051" s="2">
        <v>0</v>
      </c>
      <c r="K1051" s="2">
        <v>0</v>
      </c>
      <c r="L1051" s="2">
        <v>0</v>
      </c>
      <c r="M1051">
        <v>0</v>
      </c>
      <c r="N1051">
        <v>0</v>
      </c>
      <c r="O1051" s="2">
        <v>0</v>
      </c>
      <c r="P1051" s="2">
        <v>0</v>
      </c>
      <c r="Q1051">
        <v>0</v>
      </c>
      <c r="R1051" s="2">
        <v>0</v>
      </c>
      <c r="S1051" s="2">
        <v>0</v>
      </c>
      <c r="T1051" t="s">
        <v>377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idden="1" x14ac:dyDescent="0.25">
      <c r="A1052" t="s">
        <v>47</v>
      </c>
      <c r="B1052" t="s">
        <v>52</v>
      </c>
      <c r="C1052" t="s">
        <v>212</v>
      </c>
      <c r="D1052" s="1">
        <v>45888</v>
      </c>
      <c r="E1052" s="1">
        <v>45888</v>
      </c>
      <c r="F1052" s="2">
        <v>0</v>
      </c>
      <c r="G1052" s="3" t="s">
        <v>572</v>
      </c>
      <c r="H1052">
        <v>0</v>
      </c>
      <c r="I1052" s="2">
        <v>0</v>
      </c>
      <c r="J1052" s="2">
        <v>0</v>
      </c>
      <c r="K1052" s="2">
        <v>0</v>
      </c>
      <c r="L1052" s="2">
        <v>0</v>
      </c>
      <c r="M1052">
        <v>0</v>
      </c>
      <c r="N1052">
        <v>0</v>
      </c>
      <c r="O1052" s="2">
        <v>0</v>
      </c>
      <c r="P1052" s="2">
        <v>0</v>
      </c>
      <c r="Q1052">
        <v>0</v>
      </c>
      <c r="R1052" s="2">
        <v>0</v>
      </c>
      <c r="S1052" s="2">
        <v>0</v>
      </c>
      <c r="T1052" t="s">
        <v>377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</row>
    <row r="1053" spans="1:28" hidden="1" x14ac:dyDescent="0.25">
      <c r="A1053" t="s">
        <v>56</v>
      </c>
      <c r="B1053" t="s">
        <v>38</v>
      </c>
      <c r="C1053" t="s">
        <v>64</v>
      </c>
      <c r="D1053" s="1">
        <v>45889</v>
      </c>
      <c r="E1053" s="1">
        <v>45889</v>
      </c>
      <c r="F1053" s="2">
        <v>45</v>
      </c>
      <c r="G1053" s="3" t="s">
        <v>23</v>
      </c>
      <c r="H1053">
        <v>36</v>
      </c>
      <c r="I1053" s="2">
        <v>0</v>
      </c>
      <c r="J1053" s="2">
        <v>0</v>
      </c>
      <c r="K1053" s="2">
        <v>1</v>
      </c>
      <c r="L1053" s="2">
        <v>0</v>
      </c>
      <c r="M1053">
        <v>1</v>
      </c>
      <c r="N1053">
        <v>0</v>
      </c>
      <c r="O1053" s="2">
        <v>0</v>
      </c>
      <c r="P1053" s="2">
        <v>0</v>
      </c>
      <c r="Q1053">
        <v>0</v>
      </c>
      <c r="R1053" s="2">
        <v>0</v>
      </c>
      <c r="S1053" s="2">
        <v>0</v>
      </c>
      <c r="T1053" t="s">
        <v>604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idden="1" x14ac:dyDescent="0.25">
      <c r="A1054" t="s">
        <v>53</v>
      </c>
      <c r="B1054" t="s">
        <v>47</v>
      </c>
      <c r="C1054" t="s">
        <v>54</v>
      </c>
      <c r="D1054" s="1">
        <v>45889</v>
      </c>
      <c r="E1054" s="1">
        <v>45889</v>
      </c>
      <c r="F1054" s="2">
        <v>49</v>
      </c>
      <c r="G1054" s="3" t="s">
        <v>23</v>
      </c>
      <c r="H1054">
        <v>30</v>
      </c>
      <c r="I1054" s="2">
        <v>0</v>
      </c>
      <c r="J1054" s="2">
        <v>0</v>
      </c>
      <c r="K1054" s="2">
        <v>0</v>
      </c>
      <c r="L1054" s="2">
        <v>1</v>
      </c>
      <c r="M1054">
        <v>0</v>
      </c>
      <c r="N1054">
        <v>0</v>
      </c>
      <c r="O1054" s="2">
        <v>0</v>
      </c>
      <c r="P1054" s="2">
        <v>0</v>
      </c>
      <c r="Q1054">
        <v>0</v>
      </c>
      <c r="R1054" s="2">
        <v>0</v>
      </c>
      <c r="S1054" s="2">
        <v>0</v>
      </c>
      <c r="T1054" t="s">
        <v>605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</row>
    <row r="1055" spans="1:28" hidden="1" x14ac:dyDescent="0.25">
      <c r="A1055" t="s">
        <v>568</v>
      </c>
      <c r="B1055" t="s">
        <v>47</v>
      </c>
      <c r="C1055" t="s">
        <v>54</v>
      </c>
      <c r="D1055" s="1">
        <v>45889</v>
      </c>
      <c r="E1055" s="1">
        <v>45889</v>
      </c>
      <c r="F1055" s="2">
        <v>49</v>
      </c>
      <c r="G1055" s="3" t="s">
        <v>23</v>
      </c>
      <c r="H1055">
        <v>30</v>
      </c>
      <c r="I1055" s="2">
        <v>0</v>
      </c>
      <c r="J1055" s="2">
        <v>0</v>
      </c>
      <c r="K1055" s="2">
        <v>0</v>
      </c>
      <c r="L1055" s="2">
        <v>1</v>
      </c>
      <c r="M1055">
        <v>0</v>
      </c>
      <c r="N1055">
        <v>0</v>
      </c>
      <c r="O1055" s="2">
        <v>0</v>
      </c>
      <c r="P1055" s="2">
        <v>0</v>
      </c>
      <c r="Q1055">
        <v>0</v>
      </c>
      <c r="R1055" s="2">
        <v>0</v>
      </c>
      <c r="S1055" s="2">
        <v>0</v>
      </c>
      <c r="T1055" t="s">
        <v>605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</row>
    <row r="1056" spans="1:28" hidden="1" x14ac:dyDescent="0.25">
      <c r="A1056" t="s">
        <v>25</v>
      </c>
      <c r="B1056" t="s">
        <v>26</v>
      </c>
      <c r="C1056" t="s">
        <v>27</v>
      </c>
      <c r="D1056" s="1">
        <v>45889</v>
      </c>
      <c r="E1056" s="1">
        <v>45889</v>
      </c>
      <c r="F1056" s="2">
        <v>92</v>
      </c>
      <c r="G1056" s="3" t="s">
        <v>23</v>
      </c>
      <c r="H1056">
        <v>37</v>
      </c>
      <c r="I1056" s="2">
        <v>0</v>
      </c>
      <c r="J1056" s="2">
        <v>0</v>
      </c>
      <c r="K1056" s="2">
        <v>1</v>
      </c>
      <c r="L1056" s="2">
        <v>0</v>
      </c>
      <c r="M1056">
        <v>0</v>
      </c>
      <c r="N1056">
        <v>0</v>
      </c>
      <c r="O1056" s="2">
        <v>0</v>
      </c>
      <c r="P1056" s="2">
        <v>0</v>
      </c>
      <c r="Q1056">
        <v>0</v>
      </c>
      <c r="R1056" s="2">
        <v>0</v>
      </c>
      <c r="S1056" s="2">
        <v>0</v>
      </c>
      <c r="T1056" t="s">
        <v>606</v>
      </c>
      <c r="U1056" s="2">
        <v>0</v>
      </c>
      <c r="V1056" s="2">
        <v>4</v>
      </c>
      <c r="W1056" s="2">
        <v>1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idden="1" x14ac:dyDescent="0.25">
      <c r="A1057" t="s">
        <v>33</v>
      </c>
      <c r="B1057" t="s">
        <v>57</v>
      </c>
      <c r="C1057" t="s">
        <v>35</v>
      </c>
      <c r="D1057" s="1">
        <v>45889</v>
      </c>
      <c r="E1057" s="1">
        <v>45889</v>
      </c>
      <c r="F1057" s="2">
        <v>44</v>
      </c>
      <c r="G1057" s="3" t="s">
        <v>23</v>
      </c>
      <c r="H1057">
        <v>28</v>
      </c>
      <c r="I1057" s="2">
        <v>0</v>
      </c>
      <c r="J1057" s="2">
        <v>0</v>
      </c>
      <c r="K1057" s="2">
        <v>1</v>
      </c>
      <c r="L1057" s="2">
        <v>0</v>
      </c>
      <c r="M1057">
        <v>0</v>
      </c>
      <c r="N1057">
        <v>0</v>
      </c>
      <c r="O1057" s="2">
        <v>0</v>
      </c>
      <c r="P1057" s="2">
        <v>0</v>
      </c>
      <c r="Q1057">
        <v>0</v>
      </c>
      <c r="R1057" s="2">
        <v>0</v>
      </c>
      <c r="S1057" s="2">
        <v>0</v>
      </c>
      <c r="T1057" t="s">
        <v>607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</row>
    <row r="1058" spans="1:28" hidden="1" x14ac:dyDescent="0.25">
      <c r="A1058" t="s">
        <v>37</v>
      </c>
      <c r="B1058" t="s">
        <v>47</v>
      </c>
      <c r="C1058" t="s">
        <v>35</v>
      </c>
      <c r="D1058" s="1">
        <v>45889</v>
      </c>
      <c r="E1058" s="1">
        <v>45889</v>
      </c>
      <c r="F1058" s="2">
        <v>44</v>
      </c>
      <c r="G1058" s="3" t="s">
        <v>572</v>
      </c>
      <c r="H1058">
        <v>0</v>
      </c>
      <c r="I1058" s="2">
        <v>0</v>
      </c>
      <c r="J1058" s="2">
        <v>0</v>
      </c>
      <c r="K1058" s="2">
        <v>0</v>
      </c>
      <c r="L1058" s="2">
        <v>0</v>
      </c>
      <c r="M1058">
        <v>0</v>
      </c>
      <c r="N1058">
        <v>0</v>
      </c>
      <c r="O1058" s="2">
        <v>0</v>
      </c>
      <c r="P1058" s="2">
        <v>0</v>
      </c>
      <c r="Q1058">
        <v>0</v>
      </c>
      <c r="R1058" s="2">
        <v>0</v>
      </c>
      <c r="S1058" s="2">
        <v>0</v>
      </c>
      <c r="T1058" t="s">
        <v>607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</row>
    <row r="1059" spans="1:28" hidden="1" x14ac:dyDescent="0.25">
      <c r="A1059" t="s">
        <v>29</v>
      </c>
      <c r="B1059" t="s">
        <v>30</v>
      </c>
      <c r="C1059" t="s">
        <v>212</v>
      </c>
      <c r="D1059" s="1">
        <v>45889</v>
      </c>
      <c r="E1059" s="1">
        <v>45889</v>
      </c>
      <c r="F1059" s="2">
        <v>0</v>
      </c>
      <c r="G1059" s="3" t="s">
        <v>48</v>
      </c>
      <c r="H1059">
        <v>0</v>
      </c>
      <c r="I1059" s="2">
        <v>0</v>
      </c>
      <c r="J1059" s="2">
        <v>0</v>
      </c>
      <c r="K1059" s="2">
        <v>0</v>
      </c>
      <c r="L1059" s="2">
        <v>0</v>
      </c>
      <c r="M1059">
        <v>0</v>
      </c>
      <c r="N1059">
        <v>0</v>
      </c>
      <c r="O1059" s="2">
        <v>0</v>
      </c>
      <c r="P1059" s="2">
        <v>0</v>
      </c>
      <c r="Q1059">
        <v>0</v>
      </c>
      <c r="R1059" s="2">
        <v>0</v>
      </c>
      <c r="S1059" s="2">
        <v>0</v>
      </c>
      <c r="T1059" t="s">
        <v>377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idden="1" x14ac:dyDescent="0.25">
      <c r="A1060" t="s">
        <v>20</v>
      </c>
      <c r="B1060" t="s">
        <v>21</v>
      </c>
      <c r="C1060" t="s">
        <v>212</v>
      </c>
      <c r="D1060" s="1">
        <v>45889</v>
      </c>
      <c r="E1060" s="1">
        <v>45889</v>
      </c>
      <c r="F1060" s="2">
        <v>0</v>
      </c>
      <c r="G1060" s="3" t="s">
        <v>48</v>
      </c>
      <c r="H1060">
        <v>0</v>
      </c>
      <c r="I1060" s="2">
        <v>0</v>
      </c>
      <c r="J1060" s="2">
        <v>0</v>
      </c>
      <c r="K1060" s="2">
        <v>0</v>
      </c>
      <c r="L1060" s="2">
        <v>0</v>
      </c>
      <c r="M1060">
        <v>0</v>
      </c>
      <c r="N1060">
        <v>0</v>
      </c>
      <c r="O1060" s="2">
        <v>0</v>
      </c>
      <c r="P1060" s="2">
        <v>0</v>
      </c>
      <c r="Q1060">
        <v>0</v>
      </c>
      <c r="R1060" s="2">
        <v>0</v>
      </c>
      <c r="S1060" s="2">
        <v>0</v>
      </c>
      <c r="T1060" t="s">
        <v>377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idden="1" x14ac:dyDescent="0.25">
      <c r="A1061" t="s">
        <v>47</v>
      </c>
      <c r="B1061" t="s">
        <v>52</v>
      </c>
      <c r="C1061" t="s">
        <v>212</v>
      </c>
      <c r="D1061" s="1">
        <v>45889</v>
      </c>
      <c r="E1061" s="1">
        <v>45889</v>
      </c>
      <c r="F1061" s="2">
        <v>0</v>
      </c>
      <c r="G1061" s="3" t="s">
        <v>572</v>
      </c>
      <c r="H1061">
        <v>0</v>
      </c>
      <c r="I1061" s="2">
        <v>0</v>
      </c>
      <c r="J1061" s="2">
        <v>0</v>
      </c>
      <c r="K1061" s="2">
        <v>0</v>
      </c>
      <c r="L1061" s="2">
        <v>0</v>
      </c>
      <c r="M1061">
        <v>0</v>
      </c>
      <c r="N1061">
        <v>0</v>
      </c>
      <c r="O1061" s="2">
        <v>0</v>
      </c>
      <c r="P1061" s="2">
        <v>0</v>
      </c>
      <c r="Q1061">
        <v>0</v>
      </c>
      <c r="R1061" s="2">
        <v>0</v>
      </c>
      <c r="S1061" s="2">
        <v>0</v>
      </c>
      <c r="T1061" t="s">
        <v>377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</row>
    <row r="1062" spans="1:28" hidden="1" x14ac:dyDescent="0.25">
      <c r="A1062" t="s">
        <v>53</v>
      </c>
      <c r="B1062" t="s">
        <v>47</v>
      </c>
      <c r="C1062" t="s">
        <v>54</v>
      </c>
      <c r="D1062" s="1">
        <v>45890</v>
      </c>
      <c r="E1062" s="1">
        <v>45890</v>
      </c>
      <c r="F1062" s="2">
        <v>41</v>
      </c>
      <c r="G1062" s="3" t="s">
        <v>23</v>
      </c>
      <c r="H1062">
        <v>37</v>
      </c>
      <c r="I1062" s="2">
        <v>0</v>
      </c>
      <c r="J1062" s="2">
        <v>0</v>
      </c>
      <c r="K1062" s="2">
        <v>1</v>
      </c>
      <c r="L1062" s="2">
        <v>0</v>
      </c>
      <c r="M1062">
        <v>0</v>
      </c>
      <c r="N1062">
        <v>0</v>
      </c>
      <c r="O1062" s="2">
        <v>0</v>
      </c>
      <c r="P1062" s="2">
        <v>0</v>
      </c>
      <c r="Q1062">
        <v>0</v>
      </c>
      <c r="R1062" s="2">
        <v>0</v>
      </c>
      <c r="S1062" s="2">
        <v>0</v>
      </c>
      <c r="T1062" t="s">
        <v>608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</row>
    <row r="1063" spans="1:28" hidden="1" x14ac:dyDescent="0.25">
      <c r="A1063" t="s">
        <v>568</v>
      </c>
      <c r="B1063" t="s">
        <v>47</v>
      </c>
      <c r="C1063" t="s">
        <v>54</v>
      </c>
      <c r="D1063" s="1">
        <v>45890</v>
      </c>
      <c r="E1063" s="1">
        <v>45890</v>
      </c>
      <c r="F1063" s="2">
        <v>41</v>
      </c>
      <c r="G1063" s="3" t="s">
        <v>23</v>
      </c>
      <c r="H1063">
        <v>37</v>
      </c>
      <c r="I1063" s="2">
        <v>0</v>
      </c>
      <c r="J1063" s="2">
        <v>0</v>
      </c>
      <c r="K1063" s="2">
        <v>1</v>
      </c>
      <c r="L1063" s="2">
        <v>0</v>
      </c>
      <c r="M1063">
        <v>0</v>
      </c>
      <c r="N1063">
        <v>0</v>
      </c>
      <c r="O1063" s="2">
        <v>0</v>
      </c>
      <c r="P1063" s="2">
        <v>0</v>
      </c>
      <c r="Q1063">
        <v>0</v>
      </c>
      <c r="R1063" s="2">
        <v>0</v>
      </c>
      <c r="S1063" s="2">
        <v>0</v>
      </c>
      <c r="T1063" t="s">
        <v>608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</row>
    <row r="1064" spans="1:28" hidden="1" x14ac:dyDescent="0.25">
      <c r="A1064" t="s">
        <v>20</v>
      </c>
      <c r="B1064" t="s">
        <v>21</v>
      </c>
      <c r="C1064" t="s">
        <v>22</v>
      </c>
      <c r="D1064" s="1">
        <v>45890</v>
      </c>
      <c r="E1064" s="1">
        <v>45890</v>
      </c>
      <c r="F1064" s="2">
        <v>25</v>
      </c>
      <c r="G1064" s="3" t="s">
        <v>23</v>
      </c>
      <c r="H1064">
        <v>33</v>
      </c>
      <c r="I1064" s="2">
        <v>0</v>
      </c>
      <c r="J1064" s="2">
        <v>0</v>
      </c>
      <c r="K1064" s="2">
        <v>1</v>
      </c>
      <c r="L1064" s="2">
        <v>0</v>
      </c>
      <c r="M1064">
        <v>0</v>
      </c>
      <c r="N1064">
        <v>0</v>
      </c>
      <c r="O1064" s="2">
        <v>0</v>
      </c>
      <c r="P1064" s="2">
        <v>0</v>
      </c>
      <c r="Q1064">
        <v>0</v>
      </c>
      <c r="R1064" s="2">
        <v>0</v>
      </c>
      <c r="S1064" s="2">
        <v>0</v>
      </c>
      <c r="T1064" t="s">
        <v>609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idden="1" x14ac:dyDescent="0.25">
      <c r="A1065" t="s">
        <v>29</v>
      </c>
      <c r="B1065" t="s">
        <v>47</v>
      </c>
      <c r="C1065" t="s">
        <v>22</v>
      </c>
      <c r="D1065" s="1">
        <v>45890</v>
      </c>
      <c r="E1065" s="1">
        <v>45890</v>
      </c>
      <c r="F1065" s="2">
        <v>25</v>
      </c>
      <c r="G1065" s="3" t="s">
        <v>23</v>
      </c>
      <c r="H1065">
        <v>22</v>
      </c>
      <c r="I1065" s="2">
        <v>0</v>
      </c>
      <c r="J1065" s="2">
        <v>0</v>
      </c>
      <c r="K1065" s="2">
        <v>0</v>
      </c>
      <c r="L1065" s="2">
        <v>1</v>
      </c>
      <c r="M1065">
        <v>0</v>
      </c>
      <c r="N1065">
        <v>0</v>
      </c>
      <c r="O1065" s="2">
        <v>0</v>
      </c>
      <c r="P1065" s="2">
        <v>0</v>
      </c>
      <c r="Q1065">
        <v>2</v>
      </c>
      <c r="R1065" s="2">
        <v>0</v>
      </c>
      <c r="S1065" s="2">
        <v>0</v>
      </c>
      <c r="T1065" t="s">
        <v>609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idden="1" x14ac:dyDescent="0.25">
      <c r="A1066" t="s">
        <v>47</v>
      </c>
      <c r="B1066" t="s">
        <v>30</v>
      </c>
      <c r="C1066" t="s">
        <v>22</v>
      </c>
      <c r="D1066" s="1">
        <v>45890</v>
      </c>
      <c r="E1066" s="1">
        <v>45890</v>
      </c>
      <c r="F1066" s="2">
        <v>25</v>
      </c>
      <c r="G1066" s="3" t="s">
        <v>23</v>
      </c>
      <c r="H1066">
        <f>22+3</f>
        <v>25</v>
      </c>
      <c r="I1066" s="2">
        <v>0</v>
      </c>
      <c r="J1066" s="2">
        <v>0</v>
      </c>
      <c r="K1066" s="2">
        <v>0</v>
      </c>
      <c r="L1066" s="2">
        <v>1</v>
      </c>
      <c r="M1066">
        <v>0</v>
      </c>
      <c r="N1066">
        <v>0</v>
      </c>
      <c r="O1066" s="2">
        <v>0</v>
      </c>
      <c r="P1066" s="2">
        <v>0</v>
      </c>
      <c r="Q1066">
        <v>0</v>
      </c>
      <c r="R1066" s="2">
        <v>0</v>
      </c>
      <c r="S1066" s="2">
        <v>0</v>
      </c>
      <c r="T1066" t="s">
        <v>609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</row>
    <row r="1067" spans="1:28" hidden="1" x14ac:dyDescent="0.25">
      <c r="A1067" t="s">
        <v>37</v>
      </c>
      <c r="B1067" t="s">
        <v>38</v>
      </c>
      <c r="C1067" t="s">
        <v>22</v>
      </c>
      <c r="D1067" s="1">
        <v>45890</v>
      </c>
      <c r="E1067" s="1">
        <v>45890</v>
      </c>
      <c r="F1067" s="2">
        <v>25</v>
      </c>
      <c r="G1067" s="3" t="s">
        <v>23</v>
      </c>
      <c r="H1067">
        <v>24</v>
      </c>
      <c r="I1067" s="2">
        <v>0</v>
      </c>
      <c r="J1067" s="2">
        <v>0</v>
      </c>
      <c r="K1067" s="2">
        <v>1</v>
      </c>
      <c r="L1067" s="2">
        <v>0</v>
      </c>
      <c r="M1067">
        <v>0</v>
      </c>
      <c r="N1067">
        <v>0</v>
      </c>
      <c r="O1067" s="2">
        <v>0</v>
      </c>
      <c r="P1067" s="2">
        <v>0</v>
      </c>
      <c r="Q1067">
        <v>0</v>
      </c>
      <c r="R1067" s="2">
        <v>0</v>
      </c>
      <c r="S1067" s="2">
        <v>0</v>
      </c>
      <c r="T1067" t="s">
        <v>609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</row>
    <row r="1068" spans="1:28" hidden="1" x14ac:dyDescent="0.25">
      <c r="A1068" t="s">
        <v>33</v>
      </c>
      <c r="B1068" t="s">
        <v>57</v>
      </c>
      <c r="C1068" t="s">
        <v>35</v>
      </c>
      <c r="D1068" s="1">
        <v>45890</v>
      </c>
      <c r="E1068" s="1">
        <v>45890</v>
      </c>
      <c r="F1068" s="2">
        <v>44</v>
      </c>
      <c r="G1068" s="3" t="s">
        <v>572</v>
      </c>
      <c r="H1068">
        <v>0</v>
      </c>
      <c r="I1068" s="2">
        <v>0</v>
      </c>
      <c r="J1068" s="2">
        <v>0</v>
      </c>
      <c r="K1068" s="2">
        <v>0</v>
      </c>
      <c r="L1068" s="2">
        <v>0</v>
      </c>
      <c r="M1068">
        <v>0</v>
      </c>
      <c r="N1068">
        <v>0</v>
      </c>
      <c r="O1068" s="2">
        <v>0</v>
      </c>
      <c r="P1068" s="2">
        <v>0</v>
      </c>
      <c r="Q1068">
        <v>0</v>
      </c>
      <c r="R1068" s="2">
        <v>0</v>
      </c>
      <c r="S1068" s="2">
        <v>0</v>
      </c>
      <c r="T1068" t="s">
        <v>607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idden="1" x14ac:dyDescent="0.25">
      <c r="A1069" t="s">
        <v>25</v>
      </c>
      <c r="B1069" t="s">
        <v>26</v>
      </c>
      <c r="C1069" t="s">
        <v>35</v>
      </c>
      <c r="D1069" s="1">
        <v>45890</v>
      </c>
      <c r="E1069" s="1">
        <v>45890</v>
      </c>
      <c r="F1069" s="2">
        <v>44</v>
      </c>
      <c r="G1069" s="3" t="s">
        <v>572</v>
      </c>
      <c r="H1069">
        <v>0</v>
      </c>
      <c r="I1069" s="2">
        <v>0</v>
      </c>
      <c r="J1069" s="2">
        <v>0</v>
      </c>
      <c r="K1069" s="2">
        <v>0</v>
      </c>
      <c r="L1069" s="2">
        <v>0</v>
      </c>
      <c r="M1069">
        <v>0</v>
      </c>
      <c r="N1069">
        <v>0</v>
      </c>
      <c r="O1069" s="2">
        <v>0</v>
      </c>
      <c r="P1069" s="2">
        <v>0</v>
      </c>
      <c r="Q1069">
        <v>0</v>
      </c>
      <c r="R1069" s="2">
        <v>0</v>
      </c>
      <c r="S1069" s="2">
        <v>0</v>
      </c>
      <c r="T1069" t="s">
        <v>607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</row>
    <row r="1070" spans="1:28" hidden="1" x14ac:dyDescent="0.25">
      <c r="A1070" t="s">
        <v>56</v>
      </c>
      <c r="B1070" t="s">
        <v>47</v>
      </c>
      <c r="C1070" t="s">
        <v>35</v>
      </c>
      <c r="D1070" s="1">
        <v>45890</v>
      </c>
      <c r="E1070" s="1">
        <v>45890</v>
      </c>
      <c r="F1070" s="2">
        <v>44</v>
      </c>
      <c r="G1070" s="3" t="s">
        <v>572</v>
      </c>
      <c r="H1070">
        <v>0</v>
      </c>
      <c r="I1070" s="2">
        <v>0</v>
      </c>
      <c r="J1070" s="2">
        <v>0</v>
      </c>
      <c r="K1070" s="2">
        <v>0</v>
      </c>
      <c r="L1070" s="2">
        <v>0</v>
      </c>
      <c r="M1070">
        <v>0</v>
      </c>
      <c r="N1070">
        <v>0</v>
      </c>
      <c r="O1070" s="2">
        <v>0</v>
      </c>
      <c r="P1070" s="2">
        <v>0</v>
      </c>
      <c r="Q1070">
        <v>0</v>
      </c>
      <c r="R1070" s="2">
        <v>0</v>
      </c>
      <c r="S1070" s="2">
        <v>0</v>
      </c>
      <c r="T1070" t="s">
        <v>607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idden="1" x14ac:dyDescent="0.25">
      <c r="A1071" t="s">
        <v>47</v>
      </c>
      <c r="B1071" t="s">
        <v>52</v>
      </c>
      <c r="C1071" t="s">
        <v>212</v>
      </c>
      <c r="D1071" s="1">
        <v>45890</v>
      </c>
      <c r="E1071" s="1">
        <v>45890</v>
      </c>
      <c r="F1071" s="2">
        <v>0</v>
      </c>
      <c r="G1071" s="3" t="s">
        <v>572</v>
      </c>
      <c r="H1071">
        <v>0</v>
      </c>
      <c r="I1071" s="2">
        <v>0</v>
      </c>
      <c r="J1071" s="2">
        <v>0</v>
      </c>
      <c r="K1071" s="2">
        <v>0</v>
      </c>
      <c r="L1071" s="2">
        <v>0</v>
      </c>
      <c r="M1071">
        <v>0</v>
      </c>
      <c r="N1071">
        <v>0</v>
      </c>
      <c r="O1071" s="2">
        <v>0</v>
      </c>
      <c r="P1071" s="2">
        <v>0</v>
      </c>
      <c r="Q1071">
        <v>0</v>
      </c>
      <c r="R1071" s="2">
        <v>0</v>
      </c>
      <c r="S1071" s="2">
        <v>0</v>
      </c>
      <c r="T1071" t="s">
        <v>377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idden="1" x14ac:dyDescent="0.25">
      <c r="A1072" t="s">
        <v>53</v>
      </c>
      <c r="B1072" t="s">
        <v>47</v>
      </c>
      <c r="C1072" t="s">
        <v>54</v>
      </c>
      <c r="D1072" s="1">
        <v>45891</v>
      </c>
      <c r="E1072" s="1">
        <v>45891</v>
      </c>
      <c r="F1072" s="2">
        <v>43</v>
      </c>
      <c r="G1072" s="3" t="s">
        <v>23</v>
      </c>
      <c r="H1072">
        <v>16</v>
      </c>
      <c r="I1072" s="2">
        <v>0</v>
      </c>
      <c r="J1072" s="2">
        <v>0</v>
      </c>
      <c r="K1072" s="2">
        <v>1</v>
      </c>
      <c r="L1072" s="2">
        <v>0</v>
      </c>
      <c r="M1072">
        <v>0</v>
      </c>
      <c r="N1072">
        <v>0</v>
      </c>
      <c r="O1072" s="2">
        <v>0</v>
      </c>
      <c r="P1072" s="2">
        <v>0</v>
      </c>
      <c r="Q1072">
        <v>0</v>
      </c>
      <c r="R1072" s="2">
        <v>0</v>
      </c>
      <c r="S1072" s="2">
        <v>0</v>
      </c>
      <c r="T1072" t="s">
        <v>610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idden="1" x14ac:dyDescent="0.25">
      <c r="A1073" t="s">
        <v>568</v>
      </c>
      <c r="B1073" t="s">
        <v>47</v>
      </c>
      <c r="C1073" t="s">
        <v>54</v>
      </c>
      <c r="D1073" s="1">
        <v>45891</v>
      </c>
      <c r="E1073" s="1">
        <v>45891</v>
      </c>
      <c r="F1073" s="2">
        <v>43</v>
      </c>
      <c r="G1073" s="3" t="s">
        <v>23</v>
      </c>
      <c r="H1073">
        <v>16</v>
      </c>
      <c r="I1073" s="2">
        <v>0</v>
      </c>
      <c r="J1073" s="2">
        <v>0</v>
      </c>
      <c r="K1073" s="2">
        <v>1</v>
      </c>
      <c r="L1073" s="2">
        <v>0</v>
      </c>
      <c r="M1073">
        <v>0</v>
      </c>
      <c r="N1073">
        <v>0</v>
      </c>
      <c r="O1073" s="2">
        <v>0</v>
      </c>
      <c r="P1073" s="2">
        <v>0</v>
      </c>
      <c r="Q1073">
        <v>0</v>
      </c>
      <c r="R1073" s="2">
        <v>0</v>
      </c>
      <c r="S1073" s="2">
        <v>0</v>
      </c>
      <c r="T1073" t="s">
        <v>610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</row>
    <row r="1074" spans="1:28" hidden="1" x14ac:dyDescent="0.25">
      <c r="A1074" t="s">
        <v>20</v>
      </c>
      <c r="B1074" t="s">
        <v>21</v>
      </c>
      <c r="C1074" t="s">
        <v>22</v>
      </c>
      <c r="D1074" s="1">
        <v>45891</v>
      </c>
      <c r="E1074" s="1">
        <v>45891</v>
      </c>
      <c r="F1074" s="2">
        <v>51</v>
      </c>
      <c r="G1074" s="3" t="s">
        <v>23</v>
      </c>
      <c r="H1074">
        <v>28</v>
      </c>
      <c r="I1074" s="2">
        <v>0</v>
      </c>
      <c r="J1074" s="2">
        <v>0</v>
      </c>
      <c r="K1074" s="2">
        <v>1</v>
      </c>
      <c r="L1074" s="2">
        <v>0</v>
      </c>
      <c r="M1074">
        <v>0</v>
      </c>
      <c r="N1074">
        <v>0</v>
      </c>
      <c r="O1074" s="2">
        <v>0</v>
      </c>
      <c r="P1074" s="2">
        <v>0</v>
      </c>
      <c r="Q1074">
        <v>0</v>
      </c>
      <c r="R1074" s="2">
        <v>0</v>
      </c>
      <c r="S1074" s="2">
        <v>0</v>
      </c>
      <c r="T1074" t="s">
        <v>611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</row>
    <row r="1075" spans="1:28" hidden="1" x14ac:dyDescent="0.25">
      <c r="A1075" t="s">
        <v>33</v>
      </c>
      <c r="B1075" t="s">
        <v>57</v>
      </c>
      <c r="C1075" t="s">
        <v>35</v>
      </c>
      <c r="D1075" s="1">
        <v>45891</v>
      </c>
      <c r="E1075" s="1">
        <v>45891</v>
      </c>
      <c r="F1075" s="2">
        <v>36</v>
      </c>
      <c r="G1075" s="3" t="s">
        <v>23</v>
      </c>
      <c r="H1075">
        <v>20</v>
      </c>
      <c r="I1075" s="2">
        <v>0</v>
      </c>
      <c r="J1075" s="2">
        <v>0</v>
      </c>
      <c r="K1075" s="2">
        <v>1</v>
      </c>
      <c r="L1075" s="2">
        <v>0</v>
      </c>
      <c r="M1075">
        <v>0</v>
      </c>
      <c r="N1075">
        <v>0</v>
      </c>
      <c r="O1075" s="2">
        <v>0</v>
      </c>
      <c r="P1075" s="2">
        <v>0</v>
      </c>
      <c r="Q1075">
        <v>0</v>
      </c>
      <c r="R1075" s="2">
        <v>0</v>
      </c>
      <c r="S1075" s="2">
        <v>0</v>
      </c>
      <c r="T1075" t="s">
        <v>612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</row>
    <row r="1076" spans="1:28" hidden="1" x14ac:dyDescent="0.25">
      <c r="A1076" t="s">
        <v>37</v>
      </c>
      <c r="B1076" t="s">
        <v>38</v>
      </c>
      <c r="C1076" t="s">
        <v>39</v>
      </c>
      <c r="D1076" s="1">
        <v>45891</v>
      </c>
      <c r="E1076" s="1">
        <v>45891</v>
      </c>
      <c r="F1076" s="2">
        <v>26</v>
      </c>
      <c r="G1076" s="3" t="s">
        <v>23</v>
      </c>
      <c r="H1076">
        <v>3</v>
      </c>
      <c r="I1076" s="2">
        <v>0</v>
      </c>
      <c r="J1076" s="2">
        <v>0</v>
      </c>
      <c r="K1076" s="2">
        <v>0</v>
      </c>
      <c r="L1076" s="2">
        <v>0</v>
      </c>
      <c r="M1076">
        <v>0</v>
      </c>
      <c r="N1076">
        <v>1</v>
      </c>
      <c r="O1076" s="2">
        <v>0</v>
      </c>
      <c r="P1076" s="2">
        <v>0</v>
      </c>
      <c r="Q1076">
        <v>0</v>
      </c>
      <c r="R1076" s="2">
        <v>0</v>
      </c>
      <c r="S1076" s="2">
        <v>0</v>
      </c>
      <c r="T1076" t="s">
        <v>613</v>
      </c>
      <c r="U1076" s="2">
        <v>0</v>
      </c>
      <c r="V1076" s="2">
        <v>10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</row>
    <row r="1077" spans="1:28" hidden="1" x14ac:dyDescent="0.25">
      <c r="A1077" t="s">
        <v>29</v>
      </c>
      <c r="B1077" t="s">
        <v>30</v>
      </c>
      <c r="C1077" t="s">
        <v>39</v>
      </c>
      <c r="D1077" s="1">
        <v>45891</v>
      </c>
      <c r="E1077" s="1">
        <v>45891</v>
      </c>
      <c r="F1077" s="2">
        <v>26</v>
      </c>
      <c r="G1077" s="3" t="s">
        <v>23</v>
      </c>
      <c r="H1077">
        <v>18</v>
      </c>
      <c r="I1077" s="2">
        <v>0</v>
      </c>
      <c r="J1077" s="2">
        <v>0</v>
      </c>
      <c r="K1077" s="2">
        <v>0</v>
      </c>
      <c r="L1077" s="2">
        <v>1</v>
      </c>
      <c r="M1077">
        <v>0</v>
      </c>
      <c r="N1077">
        <v>0</v>
      </c>
      <c r="O1077" s="2">
        <v>0</v>
      </c>
      <c r="P1077" s="2">
        <v>0</v>
      </c>
      <c r="Q1077">
        <v>0</v>
      </c>
      <c r="R1077" s="2">
        <v>0</v>
      </c>
      <c r="S1077" s="2">
        <v>0</v>
      </c>
      <c r="T1077" t="s">
        <v>613</v>
      </c>
      <c r="U1077" s="2">
        <v>0</v>
      </c>
      <c r="V1077" s="2">
        <v>1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idden="1" x14ac:dyDescent="0.25">
      <c r="A1078" t="s">
        <v>47</v>
      </c>
      <c r="B1078" t="s">
        <v>34</v>
      </c>
      <c r="C1078" t="s">
        <v>64</v>
      </c>
      <c r="D1078" s="1">
        <v>45891</v>
      </c>
      <c r="E1078" s="1">
        <v>45891</v>
      </c>
      <c r="F1078" s="2">
        <v>25</v>
      </c>
      <c r="G1078" s="3" t="s">
        <v>572</v>
      </c>
      <c r="H1078">
        <v>0</v>
      </c>
      <c r="I1078" s="2">
        <v>0</v>
      </c>
      <c r="J1078" s="2">
        <v>0</v>
      </c>
      <c r="K1078" s="2">
        <v>0</v>
      </c>
      <c r="L1078" s="2">
        <v>0</v>
      </c>
      <c r="M1078">
        <v>0</v>
      </c>
      <c r="N1078">
        <v>0</v>
      </c>
      <c r="O1078" s="2">
        <v>0</v>
      </c>
      <c r="P1078" s="2">
        <v>0</v>
      </c>
      <c r="Q1078">
        <v>0</v>
      </c>
      <c r="R1078" s="2">
        <v>0</v>
      </c>
      <c r="S1078" s="2">
        <v>0</v>
      </c>
      <c r="T1078" t="s">
        <v>485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idden="1" x14ac:dyDescent="0.25">
      <c r="A1079" t="s">
        <v>25</v>
      </c>
      <c r="B1079" t="s">
        <v>26</v>
      </c>
      <c r="C1079" t="s">
        <v>64</v>
      </c>
      <c r="D1079" s="1">
        <v>45891</v>
      </c>
      <c r="E1079" s="1">
        <v>45891</v>
      </c>
      <c r="F1079" s="2">
        <v>25</v>
      </c>
      <c r="G1079" s="3" t="s">
        <v>572</v>
      </c>
      <c r="H1079">
        <v>0</v>
      </c>
      <c r="I1079" s="2">
        <v>0</v>
      </c>
      <c r="J1079" s="2">
        <v>0</v>
      </c>
      <c r="K1079" s="2">
        <v>0</v>
      </c>
      <c r="L1079" s="2">
        <v>0</v>
      </c>
      <c r="M1079">
        <v>0</v>
      </c>
      <c r="N1079">
        <v>0</v>
      </c>
      <c r="O1079" s="2">
        <v>0</v>
      </c>
      <c r="P1079" s="2">
        <v>0</v>
      </c>
      <c r="Q1079">
        <v>0</v>
      </c>
      <c r="R1079" s="2">
        <v>0</v>
      </c>
      <c r="S1079" s="2">
        <v>0</v>
      </c>
      <c r="T1079" t="s">
        <v>485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idden="1" x14ac:dyDescent="0.25">
      <c r="A1080" t="s">
        <v>47</v>
      </c>
      <c r="B1080" t="s">
        <v>52</v>
      </c>
      <c r="C1080" t="s">
        <v>212</v>
      </c>
      <c r="D1080" s="1">
        <v>45891</v>
      </c>
      <c r="E1080" s="1">
        <v>45891</v>
      </c>
      <c r="F1080" s="2">
        <v>0</v>
      </c>
      <c r="G1080" s="3" t="s">
        <v>572</v>
      </c>
      <c r="H1080">
        <v>0</v>
      </c>
      <c r="I1080" s="2">
        <v>0</v>
      </c>
      <c r="J1080" s="2">
        <v>0</v>
      </c>
      <c r="K1080" s="2">
        <v>0</v>
      </c>
      <c r="L1080" s="2">
        <v>0</v>
      </c>
      <c r="M1080">
        <v>0</v>
      </c>
      <c r="N1080">
        <v>0</v>
      </c>
      <c r="O1080" s="2">
        <v>0</v>
      </c>
      <c r="P1080" s="2">
        <v>0</v>
      </c>
      <c r="Q1080">
        <v>0</v>
      </c>
      <c r="R1080" s="2">
        <v>0</v>
      </c>
      <c r="S1080" s="2">
        <v>0</v>
      </c>
      <c r="T1080" t="s">
        <v>377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</row>
    <row r="1081" spans="1:28" hidden="1" x14ac:dyDescent="0.25">
      <c r="A1081" t="s">
        <v>56</v>
      </c>
      <c r="B1081" t="s">
        <v>47</v>
      </c>
      <c r="C1081" t="s">
        <v>212</v>
      </c>
      <c r="D1081" s="1">
        <v>45891</v>
      </c>
      <c r="E1081" s="1">
        <v>45891</v>
      </c>
      <c r="F1081" s="2">
        <v>0</v>
      </c>
      <c r="G1081" s="3" t="s">
        <v>614</v>
      </c>
      <c r="H1081">
        <v>0</v>
      </c>
      <c r="I1081" s="2">
        <v>0</v>
      </c>
      <c r="J1081" s="2">
        <v>0</v>
      </c>
      <c r="K1081" s="2">
        <v>0</v>
      </c>
      <c r="L1081" s="2">
        <v>0</v>
      </c>
      <c r="M1081">
        <v>0</v>
      </c>
      <c r="N1081">
        <v>0</v>
      </c>
      <c r="O1081" s="2">
        <v>0</v>
      </c>
      <c r="P1081" s="2">
        <v>0</v>
      </c>
      <c r="Q1081">
        <v>0</v>
      </c>
      <c r="R1081" s="2">
        <v>0</v>
      </c>
      <c r="S1081" s="2">
        <v>0</v>
      </c>
      <c r="T1081" t="s">
        <v>377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idden="1" x14ac:dyDescent="0.25">
      <c r="A1082" t="s">
        <v>53</v>
      </c>
      <c r="B1082" t="s">
        <v>47</v>
      </c>
      <c r="C1082" t="s">
        <v>54</v>
      </c>
      <c r="D1082" s="9">
        <v>45892</v>
      </c>
      <c r="E1082" s="9">
        <v>45892</v>
      </c>
      <c r="F1082" s="2">
        <v>86</v>
      </c>
      <c r="G1082" s="3" t="s">
        <v>23</v>
      </c>
      <c r="H1082">
        <v>0</v>
      </c>
      <c r="I1082" s="2">
        <v>0</v>
      </c>
      <c r="J1082" s="2">
        <v>0</v>
      </c>
      <c r="K1082" s="2">
        <v>0</v>
      </c>
      <c r="L1082" s="2">
        <v>0</v>
      </c>
      <c r="M1082">
        <v>0</v>
      </c>
      <c r="N1082">
        <v>0</v>
      </c>
      <c r="O1082" s="2">
        <v>0</v>
      </c>
      <c r="P1082" s="2">
        <v>0</v>
      </c>
      <c r="Q1082">
        <v>6</v>
      </c>
      <c r="R1082" s="2">
        <v>1</v>
      </c>
      <c r="S1082" s="2">
        <v>0</v>
      </c>
      <c r="T1082" t="s">
        <v>615</v>
      </c>
      <c r="U1082" s="2">
        <v>23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1</v>
      </c>
      <c r="AB1082" s="2">
        <v>0</v>
      </c>
    </row>
    <row r="1083" spans="1:28" hidden="1" x14ac:dyDescent="0.25">
      <c r="A1083" t="s">
        <v>568</v>
      </c>
      <c r="B1083" t="s">
        <v>47</v>
      </c>
      <c r="C1083" t="s">
        <v>54</v>
      </c>
      <c r="D1083" s="9">
        <v>45892</v>
      </c>
      <c r="E1083" s="9">
        <v>45892</v>
      </c>
      <c r="F1083" s="2">
        <v>86</v>
      </c>
      <c r="G1083" s="3" t="s">
        <v>23</v>
      </c>
      <c r="H1083">
        <v>0</v>
      </c>
      <c r="I1083" s="2">
        <v>0</v>
      </c>
      <c r="J1083" s="2">
        <v>0</v>
      </c>
      <c r="K1083" s="2">
        <v>0</v>
      </c>
      <c r="L1083" s="2">
        <v>0</v>
      </c>
      <c r="M1083">
        <v>0</v>
      </c>
      <c r="N1083">
        <v>0</v>
      </c>
      <c r="O1083" s="2">
        <v>0</v>
      </c>
      <c r="P1083" s="2">
        <v>0</v>
      </c>
      <c r="Q1083">
        <v>6</v>
      </c>
      <c r="R1083" s="2">
        <v>1</v>
      </c>
      <c r="S1083" s="2">
        <v>0</v>
      </c>
      <c r="T1083" t="s">
        <v>615</v>
      </c>
      <c r="U1083" s="2">
        <v>23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1</v>
      </c>
      <c r="AB1083" s="2">
        <v>0</v>
      </c>
    </row>
    <row r="1084" spans="1:28" hidden="1" x14ac:dyDescent="0.25">
      <c r="A1084" t="s">
        <v>20</v>
      </c>
      <c r="B1084" t="s">
        <v>21</v>
      </c>
      <c r="C1084" t="s">
        <v>22</v>
      </c>
      <c r="D1084" s="9">
        <v>45892</v>
      </c>
      <c r="E1084" s="9">
        <v>45892</v>
      </c>
      <c r="F1084" s="2">
        <v>40</v>
      </c>
      <c r="G1084" s="3" t="s">
        <v>23</v>
      </c>
      <c r="H1084">
        <v>0</v>
      </c>
      <c r="I1084" s="2">
        <v>0</v>
      </c>
      <c r="J1084" s="2">
        <v>0</v>
      </c>
      <c r="K1084" s="2">
        <v>0</v>
      </c>
      <c r="L1084" s="2">
        <v>0</v>
      </c>
      <c r="M1084">
        <v>0</v>
      </c>
      <c r="N1084">
        <v>0</v>
      </c>
      <c r="O1084" s="2">
        <v>1</v>
      </c>
      <c r="P1084" s="2">
        <v>0</v>
      </c>
      <c r="Q1084">
        <v>1</v>
      </c>
      <c r="R1084" s="2">
        <v>1</v>
      </c>
      <c r="S1084" s="2">
        <v>0</v>
      </c>
      <c r="T1084" t="s">
        <v>616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</row>
    <row r="1085" spans="1:28" hidden="1" x14ac:dyDescent="0.25">
      <c r="A1085" t="s">
        <v>63</v>
      </c>
      <c r="B1085" t="s">
        <v>284</v>
      </c>
      <c r="C1085" t="s">
        <v>102</v>
      </c>
      <c r="D1085" s="9">
        <v>45892</v>
      </c>
      <c r="E1085" s="9">
        <v>45892</v>
      </c>
      <c r="F1085" s="2">
        <v>22</v>
      </c>
      <c r="G1085" s="3" t="s">
        <v>23</v>
      </c>
      <c r="H1085">
        <v>0</v>
      </c>
      <c r="I1085" s="2">
        <v>0</v>
      </c>
      <c r="J1085" s="2">
        <v>0</v>
      </c>
      <c r="K1085" s="2">
        <v>0</v>
      </c>
      <c r="L1085" s="2">
        <v>0</v>
      </c>
      <c r="M1085">
        <v>0</v>
      </c>
      <c r="N1085">
        <v>0</v>
      </c>
      <c r="O1085" s="2">
        <v>1</v>
      </c>
      <c r="P1085" s="2">
        <v>0</v>
      </c>
      <c r="Q1085">
        <v>0</v>
      </c>
      <c r="R1085" s="2">
        <v>1</v>
      </c>
      <c r="S1085" s="2">
        <v>0</v>
      </c>
      <c r="T1085" t="s">
        <v>617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</row>
    <row r="1086" spans="1:28" hidden="1" x14ac:dyDescent="0.25">
      <c r="A1086" t="s">
        <v>29</v>
      </c>
      <c r="B1086" t="s">
        <v>30</v>
      </c>
      <c r="C1086" t="s">
        <v>31</v>
      </c>
      <c r="D1086" s="9">
        <v>45892</v>
      </c>
      <c r="E1086" s="9">
        <v>45892</v>
      </c>
      <c r="F1086" s="2">
        <v>17</v>
      </c>
      <c r="G1086" s="3" t="s">
        <v>23</v>
      </c>
      <c r="H1086">
        <v>0</v>
      </c>
      <c r="I1086" s="2">
        <v>0</v>
      </c>
      <c r="J1086" s="2">
        <v>0</v>
      </c>
      <c r="K1086" s="2">
        <v>0</v>
      </c>
      <c r="L1086" s="2">
        <v>0</v>
      </c>
      <c r="M1086">
        <v>0</v>
      </c>
      <c r="N1086">
        <v>0</v>
      </c>
      <c r="O1086" s="2">
        <v>1</v>
      </c>
      <c r="P1086" s="2">
        <v>0</v>
      </c>
      <c r="Q1086">
        <v>1</v>
      </c>
      <c r="R1086" s="2">
        <v>1</v>
      </c>
      <c r="S1086" s="2">
        <v>0</v>
      </c>
      <c r="T1086" t="s">
        <v>618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</row>
    <row r="1087" spans="1:28" hidden="1" x14ac:dyDescent="0.25">
      <c r="A1087" t="s">
        <v>33</v>
      </c>
      <c r="B1087" t="s">
        <v>57</v>
      </c>
      <c r="C1087" t="s">
        <v>35</v>
      </c>
      <c r="D1087" s="9">
        <v>45892</v>
      </c>
      <c r="E1087" s="9">
        <v>45892</v>
      </c>
      <c r="F1087" s="2">
        <v>36</v>
      </c>
      <c r="G1087" s="3" t="s">
        <v>378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t="s">
        <v>612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</row>
    <row r="1088" spans="1:28" hidden="1" x14ac:dyDescent="0.25">
      <c r="A1088" t="s">
        <v>37</v>
      </c>
      <c r="B1088" t="s">
        <v>38</v>
      </c>
      <c r="C1088" t="s">
        <v>39</v>
      </c>
      <c r="D1088" s="9">
        <v>45892</v>
      </c>
      <c r="E1088" s="9">
        <v>45892</v>
      </c>
      <c r="F1088" s="2">
        <v>26</v>
      </c>
      <c r="G1088" s="3" t="s">
        <v>378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t="s">
        <v>613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</row>
    <row r="1089" spans="1:28" hidden="1" x14ac:dyDescent="0.25">
      <c r="A1089" t="s">
        <v>47</v>
      </c>
      <c r="B1089" t="s">
        <v>34</v>
      </c>
      <c r="C1089" t="s">
        <v>64</v>
      </c>
      <c r="D1089" s="9">
        <v>45892</v>
      </c>
      <c r="E1089" s="9">
        <v>45892</v>
      </c>
      <c r="F1089" s="2">
        <v>25</v>
      </c>
      <c r="G1089" s="3" t="s">
        <v>378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t="s">
        <v>485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idden="1" x14ac:dyDescent="0.25">
      <c r="A1090" t="s">
        <v>25</v>
      </c>
      <c r="B1090" t="s">
        <v>26</v>
      </c>
      <c r="C1090" t="s">
        <v>64</v>
      </c>
      <c r="D1090" s="9">
        <v>45892</v>
      </c>
      <c r="E1090" s="9">
        <v>45892</v>
      </c>
      <c r="F1090" s="2">
        <v>25</v>
      </c>
      <c r="G1090" s="3" t="s">
        <v>378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t="s">
        <v>485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idden="1" x14ac:dyDescent="0.25">
      <c r="A1091" t="s">
        <v>47</v>
      </c>
      <c r="B1091" t="s">
        <v>52</v>
      </c>
      <c r="C1091" t="s">
        <v>212</v>
      </c>
      <c r="D1091" s="9">
        <v>45892</v>
      </c>
      <c r="E1091" s="9">
        <v>45892</v>
      </c>
      <c r="F1091" s="2">
        <v>0</v>
      </c>
      <c r="G1091" s="3" t="s">
        <v>378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t="s">
        <v>377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idden="1" x14ac:dyDescent="0.25">
      <c r="A1092" t="s">
        <v>56</v>
      </c>
      <c r="B1092" t="s">
        <v>47</v>
      </c>
      <c r="C1092" t="s">
        <v>212</v>
      </c>
      <c r="D1092" s="9">
        <v>45892</v>
      </c>
      <c r="E1092" s="9">
        <v>45892</v>
      </c>
      <c r="F1092" s="2">
        <v>0</v>
      </c>
      <c r="G1092" s="3" t="s">
        <v>378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t="s">
        <v>377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</row>
    <row r="1093" spans="1:28" hidden="1" x14ac:dyDescent="0.25">
      <c r="A1093" t="s">
        <v>53</v>
      </c>
      <c r="B1093" t="s">
        <v>47</v>
      </c>
      <c r="C1093" t="s">
        <v>54</v>
      </c>
      <c r="D1093" s="9">
        <v>45893</v>
      </c>
      <c r="E1093" s="9">
        <v>45893</v>
      </c>
      <c r="F1093" s="2">
        <v>46</v>
      </c>
      <c r="G1093" s="3" t="s">
        <v>23</v>
      </c>
      <c r="H1093">
        <v>0</v>
      </c>
      <c r="I1093" s="2">
        <v>0</v>
      </c>
      <c r="J1093" s="2">
        <v>0</v>
      </c>
      <c r="K1093" s="2">
        <v>0</v>
      </c>
      <c r="L1093" s="2">
        <v>0</v>
      </c>
      <c r="M1093">
        <v>0</v>
      </c>
      <c r="N1093">
        <v>0</v>
      </c>
      <c r="O1093" s="2">
        <v>0</v>
      </c>
      <c r="P1093" s="2">
        <v>1</v>
      </c>
      <c r="Q1093">
        <v>1</v>
      </c>
      <c r="R1093" s="2">
        <v>0</v>
      </c>
      <c r="S1093" s="2">
        <v>1</v>
      </c>
      <c r="T1093" t="s">
        <v>619</v>
      </c>
      <c r="U1093" s="2">
        <v>16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</row>
    <row r="1094" spans="1:28" hidden="1" x14ac:dyDescent="0.25">
      <c r="A1094" t="s">
        <v>568</v>
      </c>
      <c r="B1094" t="s">
        <v>47</v>
      </c>
      <c r="C1094" t="s">
        <v>54</v>
      </c>
      <c r="D1094" s="9">
        <v>45893</v>
      </c>
      <c r="E1094" s="9">
        <v>45893</v>
      </c>
      <c r="F1094" s="2">
        <v>46</v>
      </c>
      <c r="G1094" s="3" t="s">
        <v>23</v>
      </c>
      <c r="H1094">
        <v>0</v>
      </c>
      <c r="I1094" s="2">
        <v>0</v>
      </c>
      <c r="J1094" s="2">
        <v>0</v>
      </c>
      <c r="K1094" s="2">
        <v>0</v>
      </c>
      <c r="L1094" s="2">
        <v>0</v>
      </c>
      <c r="M1094">
        <v>0</v>
      </c>
      <c r="N1094">
        <v>0</v>
      </c>
      <c r="O1094" s="2">
        <v>0</v>
      </c>
      <c r="P1094" s="2">
        <v>1</v>
      </c>
      <c r="Q1094">
        <v>0</v>
      </c>
      <c r="R1094" s="2">
        <v>0</v>
      </c>
      <c r="S1094" s="2">
        <v>1</v>
      </c>
      <c r="T1094" t="s">
        <v>619</v>
      </c>
      <c r="U1094" s="2">
        <v>16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</row>
    <row r="1095" spans="1:28" hidden="1" x14ac:dyDescent="0.25">
      <c r="A1095" t="s">
        <v>20</v>
      </c>
      <c r="B1095" t="s">
        <v>21</v>
      </c>
      <c r="C1095" t="s">
        <v>22</v>
      </c>
      <c r="D1095" s="9">
        <v>45893</v>
      </c>
      <c r="E1095" s="9">
        <v>45893</v>
      </c>
      <c r="F1095" s="2">
        <v>29</v>
      </c>
      <c r="G1095" s="3" t="s">
        <v>23</v>
      </c>
      <c r="H1095">
        <v>0</v>
      </c>
      <c r="I1095" s="2">
        <v>0</v>
      </c>
      <c r="J1095" s="2">
        <v>0</v>
      </c>
      <c r="K1095" s="2">
        <v>0</v>
      </c>
      <c r="L1095" s="2">
        <v>0</v>
      </c>
      <c r="M1095">
        <v>0</v>
      </c>
      <c r="N1095">
        <v>0</v>
      </c>
      <c r="O1095" s="2">
        <v>0</v>
      </c>
      <c r="P1095" s="2">
        <v>1</v>
      </c>
      <c r="Q1095">
        <v>1</v>
      </c>
      <c r="R1095" s="2">
        <v>0</v>
      </c>
      <c r="S1095" s="2">
        <v>1</v>
      </c>
      <c r="T1095" t="s">
        <v>620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</row>
    <row r="1096" spans="1:28" hidden="1" x14ac:dyDescent="0.25">
      <c r="A1096" t="s">
        <v>63</v>
      </c>
      <c r="B1096" t="s">
        <v>284</v>
      </c>
      <c r="C1096" t="s">
        <v>102</v>
      </c>
      <c r="D1096" s="9">
        <v>45893</v>
      </c>
      <c r="E1096" s="9">
        <v>45893</v>
      </c>
      <c r="F1096" s="2">
        <v>17</v>
      </c>
      <c r="G1096" s="3" t="s">
        <v>23</v>
      </c>
      <c r="H1096">
        <v>0</v>
      </c>
      <c r="I1096" s="2">
        <v>0</v>
      </c>
      <c r="J1096" s="2">
        <v>0</v>
      </c>
      <c r="K1096" s="2">
        <v>0</v>
      </c>
      <c r="L1096" s="2">
        <v>0</v>
      </c>
      <c r="M1096">
        <v>0</v>
      </c>
      <c r="N1096">
        <v>0</v>
      </c>
      <c r="O1096" s="2">
        <v>0</v>
      </c>
      <c r="P1096" s="2">
        <v>1</v>
      </c>
      <c r="Q1096">
        <v>0</v>
      </c>
      <c r="R1096" s="2">
        <v>0</v>
      </c>
      <c r="S1096" s="2">
        <v>1</v>
      </c>
      <c r="T1096" t="s">
        <v>621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</row>
    <row r="1097" spans="1:28" hidden="1" x14ac:dyDescent="0.25">
      <c r="A1097" t="s">
        <v>29</v>
      </c>
      <c r="B1097" t="s">
        <v>30</v>
      </c>
      <c r="C1097" t="s">
        <v>31</v>
      </c>
      <c r="D1097" s="9">
        <v>45893</v>
      </c>
      <c r="E1097" s="9">
        <v>45893</v>
      </c>
      <c r="F1097" s="2">
        <v>31</v>
      </c>
      <c r="G1097" s="3" t="s">
        <v>23</v>
      </c>
      <c r="H1097">
        <v>0</v>
      </c>
      <c r="I1097" s="2">
        <v>0</v>
      </c>
      <c r="J1097" s="2">
        <v>0</v>
      </c>
      <c r="K1097" s="2">
        <v>0</v>
      </c>
      <c r="L1097" s="2">
        <v>0</v>
      </c>
      <c r="M1097">
        <v>0</v>
      </c>
      <c r="N1097">
        <v>0</v>
      </c>
      <c r="O1097" s="2">
        <v>0</v>
      </c>
      <c r="P1097" s="2">
        <v>0</v>
      </c>
      <c r="Q1097">
        <v>8</v>
      </c>
      <c r="R1097" s="2">
        <v>0</v>
      </c>
      <c r="S1097" s="2">
        <v>1</v>
      </c>
      <c r="T1097" t="s">
        <v>622</v>
      </c>
      <c r="U1097" s="2">
        <v>16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1</v>
      </c>
    </row>
    <row r="1098" spans="1:28" hidden="1" x14ac:dyDescent="0.25">
      <c r="A1098" t="s">
        <v>33</v>
      </c>
      <c r="B1098" t="s">
        <v>57</v>
      </c>
      <c r="C1098" t="s">
        <v>35</v>
      </c>
      <c r="D1098" s="9">
        <v>45893</v>
      </c>
      <c r="E1098" s="9">
        <v>45893</v>
      </c>
      <c r="F1098" s="2">
        <v>36</v>
      </c>
      <c r="G1098" s="3" t="s">
        <v>378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t="s">
        <v>612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idden="1" x14ac:dyDescent="0.25">
      <c r="A1099" t="s">
        <v>47</v>
      </c>
      <c r="B1099" t="s">
        <v>38</v>
      </c>
      <c r="C1099" t="s">
        <v>39</v>
      </c>
      <c r="D1099" s="9">
        <v>45893</v>
      </c>
      <c r="E1099" s="9">
        <v>45893</v>
      </c>
      <c r="F1099" s="2">
        <v>26</v>
      </c>
      <c r="G1099" s="3" t="s">
        <v>378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t="s">
        <v>613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idden="1" x14ac:dyDescent="0.25">
      <c r="A1100" t="s">
        <v>37</v>
      </c>
      <c r="B1100" t="s">
        <v>26</v>
      </c>
      <c r="C1100" t="s">
        <v>39</v>
      </c>
      <c r="D1100" s="9">
        <v>45893</v>
      </c>
      <c r="E1100" s="9">
        <v>45893</v>
      </c>
      <c r="F1100" s="2">
        <v>26</v>
      </c>
      <c r="G1100" s="3" t="s">
        <v>23</v>
      </c>
      <c r="H1100" s="2">
        <v>10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1</v>
      </c>
      <c r="O1100" s="2">
        <v>0</v>
      </c>
      <c r="P1100" s="2">
        <v>1</v>
      </c>
      <c r="Q1100" s="2">
        <v>3</v>
      </c>
      <c r="R1100" s="2">
        <v>0</v>
      </c>
      <c r="S1100" s="2">
        <v>1</v>
      </c>
      <c r="T1100" t="s">
        <v>613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idden="1" x14ac:dyDescent="0.25">
      <c r="A1101" t="s">
        <v>47</v>
      </c>
      <c r="B1101" t="s">
        <v>34</v>
      </c>
      <c r="C1101" t="s">
        <v>64</v>
      </c>
      <c r="D1101" s="9">
        <v>45893</v>
      </c>
      <c r="E1101" s="9">
        <v>45893</v>
      </c>
      <c r="F1101" s="2">
        <v>25</v>
      </c>
      <c r="G1101" s="3" t="s">
        <v>378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t="s">
        <v>485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</row>
    <row r="1102" spans="1:28" hidden="1" x14ac:dyDescent="0.25">
      <c r="A1102" t="s">
        <v>25</v>
      </c>
      <c r="B1102" t="s">
        <v>47</v>
      </c>
      <c r="C1102" t="s">
        <v>64</v>
      </c>
      <c r="D1102" s="9">
        <v>45893</v>
      </c>
      <c r="E1102" s="9">
        <v>45893</v>
      </c>
      <c r="F1102" s="2">
        <v>25</v>
      </c>
      <c r="G1102" s="3" t="s">
        <v>378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t="s">
        <v>485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idden="1" x14ac:dyDescent="0.25">
      <c r="A1103" t="s">
        <v>47</v>
      </c>
      <c r="B1103" t="s">
        <v>52</v>
      </c>
      <c r="C1103" t="s">
        <v>212</v>
      </c>
      <c r="D1103" s="9">
        <v>45893</v>
      </c>
      <c r="E1103" s="9">
        <v>45893</v>
      </c>
      <c r="F1103" s="2">
        <v>0</v>
      </c>
      <c r="G1103" s="3" t="s">
        <v>378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t="s">
        <v>377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</row>
    <row r="1104" spans="1:28" hidden="1" x14ac:dyDescent="0.25">
      <c r="A1104" t="s">
        <v>56</v>
      </c>
      <c r="B1104" t="s">
        <v>47</v>
      </c>
      <c r="C1104" t="s">
        <v>212</v>
      </c>
      <c r="D1104" s="9">
        <v>45893</v>
      </c>
      <c r="E1104" s="9">
        <v>45893</v>
      </c>
      <c r="F1104" s="2">
        <v>0</v>
      </c>
      <c r="G1104" s="3" t="s">
        <v>378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t="s">
        <v>377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</row>
    <row r="1105" spans="1:28" hidden="1" x14ac:dyDescent="0.25">
      <c r="A1105" t="s">
        <v>56</v>
      </c>
      <c r="B1105" t="s">
        <v>47</v>
      </c>
      <c r="C1105" t="s">
        <v>64</v>
      </c>
      <c r="D1105" s="1">
        <v>45894</v>
      </c>
      <c r="E1105" s="1">
        <v>45894</v>
      </c>
      <c r="F1105" s="2">
        <v>25</v>
      </c>
      <c r="G1105" s="3" t="s">
        <v>23</v>
      </c>
      <c r="H1105">
        <v>0</v>
      </c>
      <c r="I1105" s="2">
        <v>0</v>
      </c>
      <c r="J1105" s="2">
        <v>0</v>
      </c>
      <c r="K1105" s="2">
        <v>0</v>
      </c>
      <c r="L1105" s="2">
        <v>0</v>
      </c>
      <c r="M1105">
        <v>0</v>
      </c>
      <c r="N1105">
        <v>0</v>
      </c>
      <c r="O1105" s="2">
        <v>0</v>
      </c>
      <c r="P1105" s="2">
        <v>0</v>
      </c>
      <c r="Q1105">
        <v>0</v>
      </c>
      <c r="R1105" s="2">
        <v>0</v>
      </c>
      <c r="S1105" s="2">
        <v>0</v>
      </c>
      <c r="T1105" t="s">
        <v>623</v>
      </c>
      <c r="U1105" s="2">
        <v>0</v>
      </c>
      <c r="V1105" s="2">
        <v>66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idden="1" x14ac:dyDescent="0.25">
      <c r="A1106" t="s">
        <v>568</v>
      </c>
      <c r="B1106" t="s">
        <v>47</v>
      </c>
      <c r="C1106" t="s">
        <v>64</v>
      </c>
      <c r="D1106" s="1">
        <v>45894</v>
      </c>
      <c r="E1106" s="1">
        <v>45894</v>
      </c>
      <c r="F1106" s="2">
        <v>25</v>
      </c>
      <c r="G1106" s="3" t="s">
        <v>23</v>
      </c>
      <c r="H1106">
        <v>0</v>
      </c>
      <c r="I1106" s="2">
        <v>0</v>
      </c>
      <c r="J1106" s="2">
        <v>0</v>
      </c>
      <c r="K1106" s="2">
        <v>0</v>
      </c>
      <c r="L1106" s="2">
        <v>0</v>
      </c>
      <c r="M1106">
        <v>0</v>
      </c>
      <c r="N1106">
        <v>0</v>
      </c>
      <c r="O1106" s="2">
        <v>0</v>
      </c>
      <c r="P1106" s="2">
        <v>0</v>
      </c>
      <c r="Q1106">
        <v>0</v>
      </c>
      <c r="R1106" s="2">
        <v>0</v>
      </c>
      <c r="S1106" s="2">
        <v>0</v>
      </c>
      <c r="T1106" t="s">
        <v>623</v>
      </c>
      <c r="U1106" s="2">
        <v>0</v>
      </c>
      <c r="V1106" s="2">
        <v>66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idden="1" x14ac:dyDescent="0.25">
      <c r="A1107" t="s">
        <v>20</v>
      </c>
      <c r="B1107" t="s">
        <v>21</v>
      </c>
      <c r="C1107" t="s">
        <v>22</v>
      </c>
      <c r="D1107" s="1">
        <v>45894</v>
      </c>
      <c r="E1107" s="1">
        <v>45894</v>
      </c>
      <c r="F1107" s="2">
        <v>48</v>
      </c>
      <c r="G1107" s="3" t="s">
        <v>23</v>
      </c>
      <c r="H1107">
        <v>64</v>
      </c>
      <c r="I1107" s="2">
        <v>0</v>
      </c>
      <c r="J1107" s="2">
        <v>0</v>
      </c>
      <c r="K1107" s="2">
        <v>0</v>
      </c>
      <c r="L1107" s="2">
        <v>0</v>
      </c>
      <c r="M1107">
        <v>0</v>
      </c>
      <c r="N1107">
        <v>0</v>
      </c>
      <c r="O1107" s="2">
        <v>0</v>
      </c>
      <c r="P1107" s="2">
        <v>0</v>
      </c>
      <c r="Q1107">
        <v>0</v>
      </c>
      <c r="R1107" s="2">
        <v>0</v>
      </c>
      <c r="S1107" s="2">
        <v>0</v>
      </c>
      <c r="T1107" t="s">
        <v>624</v>
      </c>
      <c r="U1107" s="2">
        <v>0</v>
      </c>
      <c r="V1107" s="2">
        <v>22</v>
      </c>
      <c r="W1107" s="2">
        <v>10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</row>
    <row r="1108" spans="1:28" hidden="1" x14ac:dyDescent="0.25">
      <c r="A1108" t="s">
        <v>25</v>
      </c>
      <c r="B1108" t="s">
        <v>26</v>
      </c>
      <c r="C1108" t="s">
        <v>27</v>
      </c>
      <c r="D1108" s="1">
        <v>45894</v>
      </c>
      <c r="E1108" s="1">
        <v>45894</v>
      </c>
      <c r="F1108" s="2">
        <v>25</v>
      </c>
      <c r="G1108" s="3" t="s">
        <v>23</v>
      </c>
      <c r="H1108">
        <v>0</v>
      </c>
      <c r="I1108" s="2">
        <v>0</v>
      </c>
      <c r="J1108" s="2">
        <v>0</v>
      </c>
      <c r="K1108" s="2">
        <v>0</v>
      </c>
      <c r="L1108" s="2">
        <v>0</v>
      </c>
      <c r="M1108">
        <v>0</v>
      </c>
      <c r="N1108">
        <v>0</v>
      </c>
      <c r="O1108" s="2">
        <v>0</v>
      </c>
      <c r="P1108" s="2">
        <v>0</v>
      </c>
      <c r="Q1108">
        <v>0</v>
      </c>
      <c r="R1108" s="2">
        <v>0</v>
      </c>
      <c r="S1108" s="2">
        <v>0</v>
      </c>
      <c r="T1108" t="s">
        <v>625</v>
      </c>
      <c r="U1108" s="2">
        <v>0</v>
      </c>
      <c r="V1108" s="2">
        <v>80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</row>
    <row r="1109" spans="1:28" hidden="1" x14ac:dyDescent="0.25">
      <c r="A1109" t="s">
        <v>29</v>
      </c>
      <c r="B1109" t="s">
        <v>30</v>
      </c>
      <c r="C1109" t="s">
        <v>31</v>
      </c>
      <c r="D1109" s="1">
        <v>45894</v>
      </c>
      <c r="E1109" s="1">
        <v>45894</v>
      </c>
      <c r="F1109" s="2">
        <v>24</v>
      </c>
      <c r="G1109" s="3" t="s">
        <v>23</v>
      </c>
      <c r="H1109">
        <v>2</v>
      </c>
      <c r="I1109" s="2">
        <v>0</v>
      </c>
      <c r="J1109" s="2">
        <v>0</v>
      </c>
      <c r="K1109" s="2">
        <v>0</v>
      </c>
      <c r="L1109" s="2">
        <v>0</v>
      </c>
      <c r="M1109">
        <v>0</v>
      </c>
      <c r="N1109">
        <v>0</v>
      </c>
      <c r="O1109" s="2">
        <v>0</v>
      </c>
      <c r="P1109" s="2">
        <v>0</v>
      </c>
      <c r="Q1109">
        <v>2</v>
      </c>
      <c r="R1109" s="2">
        <v>0</v>
      </c>
      <c r="S1109" s="2">
        <v>0</v>
      </c>
      <c r="T1109" t="s">
        <v>626</v>
      </c>
      <c r="U1109" s="2">
        <v>0</v>
      </c>
      <c r="V1109" s="2">
        <f>14+14+12+22</f>
        <v>62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</row>
    <row r="1110" spans="1:28" hidden="1" x14ac:dyDescent="0.25">
      <c r="A1110" t="s">
        <v>33</v>
      </c>
      <c r="B1110" t="s">
        <v>34</v>
      </c>
      <c r="C1110" t="s">
        <v>35</v>
      </c>
      <c r="D1110" s="1">
        <v>45894</v>
      </c>
      <c r="E1110" s="1">
        <v>45894</v>
      </c>
      <c r="F1110" s="2">
        <v>29</v>
      </c>
      <c r="G1110" s="3" t="s">
        <v>23</v>
      </c>
      <c r="H1110">
        <v>4</v>
      </c>
      <c r="I1110" s="2">
        <v>0</v>
      </c>
      <c r="J1110" s="2">
        <v>0</v>
      </c>
      <c r="K1110" s="2">
        <v>0</v>
      </c>
      <c r="L1110" s="2">
        <v>0</v>
      </c>
      <c r="M1110">
        <v>0</v>
      </c>
      <c r="N1110">
        <v>0</v>
      </c>
      <c r="O1110" s="2">
        <v>0</v>
      </c>
      <c r="P1110" s="2">
        <v>0</v>
      </c>
      <c r="Q1110">
        <v>0</v>
      </c>
      <c r="R1110" s="2">
        <v>0</v>
      </c>
      <c r="S1110" s="2">
        <v>0</v>
      </c>
      <c r="T1110" t="s">
        <v>627</v>
      </c>
      <c r="U1110" s="2">
        <v>0</v>
      </c>
      <c r="V1110" s="2">
        <f>29+14</f>
        <v>43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idden="1" x14ac:dyDescent="0.25">
      <c r="A1111" t="s">
        <v>37</v>
      </c>
      <c r="B1111" t="s">
        <v>57</v>
      </c>
      <c r="C1111" t="s">
        <v>39</v>
      </c>
      <c r="D1111" s="1">
        <v>45894</v>
      </c>
      <c r="E1111" s="1">
        <v>45894</v>
      </c>
      <c r="F1111" s="2">
        <v>25</v>
      </c>
      <c r="G1111" s="3" t="s">
        <v>23</v>
      </c>
      <c r="H1111">
        <v>2</v>
      </c>
      <c r="I1111" s="2">
        <v>0</v>
      </c>
      <c r="J1111" s="2">
        <v>0</v>
      </c>
      <c r="K1111" s="2">
        <v>0</v>
      </c>
      <c r="L1111" s="2">
        <v>0</v>
      </c>
      <c r="M1111">
        <v>1</v>
      </c>
      <c r="N1111">
        <v>0</v>
      </c>
      <c r="O1111" s="2">
        <v>0</v>
      </c>
      <c r="P1111" s="2">
        <v>0</v>
      </c>
      <c r="Q1111">
        <v>0</v>
      </c>
      <c r="R1111" s="2">
        <v>0</v>
      </c>
      <c r="S1111" s="2">
        <v>0</v>
      </c>
      <c r="T1111" t="s">
        <v>628</v>
      </c>
      <c r="U1111" s="2">
        <v>0</v>
      </c>
      <c r="V1111" s="2">
        <v>44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idden="1" x14ac:dyDescent="0.25">
      <c r="A1112" t="s">
        <v>53</v>
      </c>
      <c r="B1112" t="s">
        <v>38</v>
      </c>
      <c r="C1112" t="s">
        <v>39</v>
      </c>
      <c r="D1112" s="1">
        <v>45894</v>
      </c>
      <c r="E1112" s="1">
        <v>45894</v>
      </c>
      <c r="F1112" s="2">
        <v>25</v>
      </c>
      <c r="G1112" s="3" t="s">
        <v>23</v>
      </c>
      <c r="H1112">
        <v>8</v>
      </c>
      <c r="I1112" s="2">
        <v>0</v>
      </c>
      <c r="J1112" s="2">
        <v>0</v>
      </c>
      <c r="K1112" s="2">
        <v>0</v>
      </c>
      <c r="L1112" s="2">
        <v>0</v>
      </c>
      <c r="M1112">
        <v>0</v>
      </c>
      <c r="N1112">
        <v>0</v>
      </c>
      <c r="O1112" s="2">
        <v>0</v>
      </c>
      <c r="P1112" s="2">
        <v>0</v>
      </c>
      <c r="Q1112">
        <v>2</v>
      </c>
      <c r="R1112" s="2">
        <v>0</v>
      </c>
      <c r="S1112" s="2">
        <v>0</v>
      </c>
      <c r="T1112" t="s">
        <v>626</v>
      </c>
      <c r="U1112" s="2">
        <v>0</v>
      </c>
      <c r="V1112" s="2">
        <v>64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idden="1" x14ac:dyDescent="0.25">
      <c r="A1113" t="s">
        <v>47</v>
      </c>
      <c r="B1113" t="s">
        <v>52</v>
      </c>
      <c r="C1113" t="s">
        <v>212</v>
      </c>
      <c r="D1113" s="1">
        <v>45894</v>
      </c>
      <c r="E1113" s="1">
        <v>45894</v>
      </c>
      <c r="F1113" s="2">
        <v>0</v>
      </c>
      <c r="G1113" s="3" t="s">
        <v>572</v>
      </c>
      <c r="H1113">
        <v>0</v>
      </c>
      <c r="I1113" s="2">
        <v>0</v>
      </c>
      <c r="J1113" s="2">
        <v>0</v>
      </c>
      <c r="K1113" s="2">
        <v>0</v>
      </c>
      <c r="L1113" s="2">
        <v>0</v>
      </c>
      <c r="M1113">
        <v>0</v>
      </c>
      <c r="N1113">
        <v>0</v>
      </c>
      <c r="O1113" s="2">
        <v>0</v>
      </c>
      <c r="P1113" s="2">
        <v>0</v>
      </c>
      <c r="Q1113">
        <v>0</v>
      </c>
      <c r="R1113" s="2">
        <v>0</v>
      </c>
      <c r="S1113" s="2">
        <v>0</v>
      </c>
      <c r="T1113" t="s">
        <v>377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idden="1" x14ac:dyDescent="0.25">
      <c r="A1114" t="s">
        <v>56</v>
      </c>
      <c r="B1114" t="s">
        <v>38</v>
      </c>
      <c r="C1114" t="s">
        <v>64</v>
      </c>
      <c r="D1114" s="1">
        <v>45895</v>
      </c>
      <c r="E1114" s="1">
        <v>45895</v>
      </c>
      <c r="F1114" s="2">
        <v>46</v>
      </c>
      <c r="G1114" s="3" t="s">
        <v>23</v>
      </c>
      <c r="H1114">
        <v>22</v>
      </c>
      <c r="I1114" s="2">
        <v>0</v>
      </c>
      <c r="J1114" s="2">
        <v>0</v>
      </c>
      <c r="K1114" s="2">
        <v>0</v>
      </c>
      <c r="L1114" s="2">
        <v>1</v>
      </c>
      <c r="M1114">
        <v>0</v>
      </c>
      <c r="N1114">
        <v>0</v>
      </c>
      <c r="O1114" s="2">
        <v>0</v>
      </c>
      <c r="P1114" s="2">
        <v>0</v>
      </c>
      <c r="Q1114">
        <v>2</v>
      </c>
      <c r="R1114" s="2">
        <v>0</v>
      </c>
      <c r="S1114" s="2">
        <v>0</v>
      </c>
      <c r="T1114" t="s">
        <v>629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</row>
    <row r="1115" spans="1:28" hidden="1" x14ac:dyDescent="0.25">
      <c r="A1115" t="s">
        <v>20</v>
      </c>
      <c r="B1115" t="s">
        <v>21</v>
      </c>
      <c r="C1115" t="s">
        <v>22</v>
      </c>
      <c r="D1115" s="1">
        <v>45895</v>
      </c>
      <c r="E1115" s="1">
        <v>45895</v>
      </c>
      <c r="F1115" s="2">
        <v>52</v>
      </c>
      <c r="G1115" s="3" t="s">
        <v>23</v>
      </c>
      <c r="H1115">
        <v>16</v>
      </c>
      <c r="I1115" s="2">
        <v>0</v>
      </c>
      <c r="J1115" s="2">
        <v>0</v>
      </c>
      <c r="K1115" s="2">
        <v>1</v>
      </c>
      <c r="L1115" s="2">
        <v>0</v>
      </c>
      <c r="M1115">
        <v>0</v>
      </c>
      <c r="N1115">
        <v>0</v>
      </c>
      <c r="O1115" s="2">
        <v>0</v>
      </c>
      <c r="P1115" s="2">
        <v>0</v>
      </c>
      <c r="Q1115">
        <v>0</v>
      </c>
      <c r="R1115" s="2">
        <v>0</v>
      </c>
      <c r="S1115" s="2">
        <v>0</v>
      </c>
      <c r="T1115" t="s">
        <v>630</v>
      </c>
      <c r="U1115" s="2">
        <v>0</v>
      </c>
      <c r="V1115" s="2">
        <v>8</v>
      </c>
      <c r="W1115" s="2">
        <v>4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</row>
    <row r="1116" spans="1:28" hidden="1" x14ac:dyDescent="0.25">
      <c r="A1116" t="s">
        <v>25</v>
      </c>
      <c r="B1116" t="s">
        <v>26</v>
      </c>
      <c r="C1116" t="s">
        <v>27</v>
      </c>
      <c r="D1116" s="1">
        <v>45895</v>
      </c>
      <c r="E1116" s="1">
        <v>45895</v>
      </c>
      <c r="F1116" s="2">
        <v>38</v>
      </c>
      <c r="G1116" s="3" t="s">
        <v>23</v>
      </c>
      <c r="H1116">
        <v>33</v>
      </c>
      <c r="I1116" s="2">
        <v>0</v>
      </c>
      <c r="J1116" s="2">
        <v>0</v>
      </c>
      <c r="K1116" s="2">
        <v>1</v>
      </c>
      <c r="L1116" s="2">
        <v>0</v>
      </c>
      <c r="M1116">
        <v>1</v>
      </c>
      <c r="N1116">
        <v>0</v>
      </c>
      <c r="O1116" s="2">
        <v>0</v>
      </c>
      <c r="P1116" s="2">
        <v>0</v>
      </c>
      <c r="Q1116">
        <v>0</v>
      </c>
      <c r="R1116" s="2">
        <v>0</v>
      </c>
      <c r="S1116" s="2">
        <v>0</v>
      </c>
      <c r="T1116" t="s">
        <v>631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idden="1" x14ac:dyDescent="0.25">
      <c r="A1117" t="s">
        <v>29</v>
      </c>
      <c r="B1117" t="s">
        <v>30</v>
      </c>
      <c r="C1117" t="s">
        <v>31</v>
      </c>
      <c r="D1117" s="1">
        <v>45895</v>
      </c>
      <c r="E1117" s="1">
        <v>45895</v>
      </c>
      <c r="F1117" s="2">
        <v>19</v>
      </c>
      <c r="G1117" s="3" t="s">
        <v>23</v>
      </c>
      <c r="H1117">
        <v>51</v>
      </c>
      <c r="I1117" s="2">
        <v>0</v>
      </c>
      <c r="J1117" s="2">
        <v>0</v>
      </c>
      <c r="K1117" s="2">
        <v>1</v>
      </c>
      <c r="L1117" s="2">
        <v>0</v>
      </c>
      <c r="M1117">
        <v>0</v>
      </c>
      <c r="N1117">
        <v>0</v>
      </c>
      <c r="O1117" s="2">
        <v>0</v>
      </c>
      <c r="P1117" s="2">
        <v>0</v>
      </c>
      <c r="Q1117">
        <v>0</v>
      </c>
      <c r="R1117" s="2">
        <v>0</v>
      </c>
      <c r="S1117" s="2">
        <v>0</v>
      </c>
      <c r="T1117" t="s">
        <v>632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</row>
    <row r="1118" spans="1:28" hidden="1" x14ac:dyDescent="0.25">
      <c r="A1118" t="s">
        <v>53</v>
      </c>
      <c r="B1118" t="s">
        <v>47</v>
      </c>
      <c r="C1118" t="s">
        <v>212</v>
      </c>
      <c r="D1118" s="1">
        <v>45895</v>
      </c>
      <c r="E1118" s="1">
        <v>45895</v>
      </c>
      <c r="F1118" s="2">
        <v>0</v>
      </c>
      <c r="G1118" s="3" t="s">
        <v>23</v>
      </c>
      <c r="H1118">
        <v>0</v>
      </c>
      <c r="I1118" s="2">
        <v>0</v>
      </c>
      <c r="J1118" s="2">
        <v>0</v>
      </c>
      <c r="K1118" s="2">
        <v>0</v>
      </c>
      <c r="L1118" s="2">
        <v>0</v>
      </c>
      <c r="M1118">
        <v>0</v>
      </c>
      <c r="N1118">
        <v>0</v>
      </c>
      <c r="O1118" s="2">
        <v>0</v>
      </c>
      <c r="P1118" s="2">
        <v>0</v>
      </c>
      <c r="Q1118">
        <v>1</v>
      </c>
      <c r="R1118" s="2">
        <v>0</v>
      </c>
      <c r="S1118" s="2">
        <v>0</v>
      </c>
      <c r="T1118" t="s">
        <v>377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</row>
    <row r="1119" spans="1:28" hidden="1" x14ac:dyDescent="0.25">
      <c r="A1119" t="s">
        <v>37</v>
      </c>
      <c r="B1119" t="s">
        <v>57</v>
      </c>
      <c r="C1119" t="s">
        <v>31</v>
      </c>
      <c r="D1119" s="1">
        <v>45895</v>
      </c>
      <c r="E1119" s="1">
        <v>45895</v>
      </c>
      <c r="F1119" s="2">
        <v>19</v>
      </c>
      <c r="G1119" s="3" t="s">
        <v>48</v>
      </c>
      <c r="H1119">
        <v>0</v>
      </c>
      <c r="I1119" s="2">
        <v>0</v>
      </c>
      <c r="J1119" s="2">
        <v>0</v>
      </c>
      <c r="K1119" s="2">
        <v>0</v>
      </c>
      <c r="L1119" s="2">
        <v>0</v>
      </c>
      <c r="M1119">
        <v>0</v>
      </c>
      <c r="N1119">
        <v>0</v>
      </c>
      <c r="O1119" s="2">
        <v>0</v>
      </c>
      <c r="P1119" s="2">
        <v>0</v>
      </c>
      <c r="Q1119">
        <v>0</v>
      </c>
      <c r="R1119" s="2">
        <v>0</v>
      </c>
      <c r="S1119" s="2">
        <v>0</v>
      </c>
      <c r="T1119" t="s">
        <v>632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idden="1" x14ac:dyDescent="0.25">
      <c r="A1120" t="s">
        <v>33</v>
      </c>
      <c r="B1120" t="s">
        <v>34</v>
      </c>
      <c r="C1120" t="s">
        <v>31</v>
      </c>
      <c r="D1120" s="1">
        <v>45895</v>
      </c>
      <c r="E1120" s="1">
        <v>45895</v>
      </c>
      <c r="F1120" s="2">
        <v>19</v>
      </c>
      <c r="G1120" s="3" t="s">
        <v>48</v>
      </c>
      <c r="H1120">
        <v>0</v>
      </c>
      <c r="I1120" s="2">
        <v>0</v>
      </c>
      <c r="J1120" s="2">
        <v>0</v>
      </c>
      <c r="K1120" s="2">
        <v>0</v>
      </c>
      <c r="L1120" s="2">
        <v>0</v>
      </c>
      <c r="M1120">
        <v>0</v>
      </c>
      <c r="N1120">
        <v>0</v>
      </c>
      <c r="O1120" s="2">
        <v>0</v>
      </c>
      <c r="P1120" s="2">
        <v>0</v>
      </c>
      <c r="Q1120">
        <v>0</v>
      </c>
      <c r="R1120" s="2">
        <v>0</v>
      </c>
      <c r="S1120" s="2">
        <v>0</v>
      </c>
      <c r="T1120" t="s">
        <v>632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idden="1" x14ac:dyDescent="0.25">
      <c r="A1121" t="s">
        <v>568</v>
      </c>
      <c r="B1121" t="s">
        <v>47</v>
      </c>
      <c r="C1121" t="s">
        <v>31</v>
      </c>
      <c r="D1121" s="1">
        <v>45895</v>
      </c>
      <c r="E1121" s="1">
        <v>45895</v>
      </c>
      <c r="F1121" s="2">
        <v>19</v>
      </c>
      <c r="G1121" s="3" t="s">
        <v>48</v>
      </c>
      <c r="H1121">
        <v>0</v>
      </c>
      <c r="I1121" s="2">
        <v>0</v>
      </c>
      <c r="J1121" s="2">
        <v>0</v>
      </c>
      <c r="K1121" s="2">
        <v>0</v>
      </c>
      <c r="L1121" s="2">
        <v>0</v>
      </c>
      <c r="M1121">
        <v>0</v>
      </c>
      <c r="N1121">
        <v>0</v>
      </c>
      <c r="O1121" s="2">
        <v>0</v>
      </c>
      <c r="P1121" s="2">
        <v>0</v>
      </c>
      <c r="Q1121">
        <v>0</v>
      </c>
      <c r="R1121" s="2">
        <v>0</v>
      </c>
      <c r="S1121" s="2">
        <v>0</v>
      </c>
      <c r="T1121" t="s">
        <v>632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idden="1" x14ac:dyDescent="0.25">
      <c r="A1122" t="s">
        <v>47</v>
      </c>
      <c r="B1122" t="s">
        <v>52</v>
      </c>
      <c r="C1122" t="s">
        <v>212</v>
      </c>
      <c r="D1122" s="1">
        <v>45895</v>
      </c>
      <c r="E1122" s="1">
        <v>45895</v>
      </c>
      <c r="F1122" s="2">
        <v>0</v>
      </c>
      <c r="G1122" s="3" t="s">
        <v>572</v>
      </c>
      <c r="H1122">
        <v>0</v>
      </c>
      <c r="I1122" s="2">
        <v>0</v>
      </c>
      <c r="J1122" s="2">
        <v>0</v>
      </c>
      <c r="K1122" s="2">
        <v>0</v>
      </c>
      <c r="L1122" s="2">
        <v>0</v>
      </c>
      <c r="M1122">
        <v>0</v>
      </c>
      <c r="N1122">
        <v>0</v>
      </c>
      <c r="O1122" s="2">
        <v>0</v>
      </c>
      <c r="P1122" s="2">
        <v>0</v>
      </c>
      <c r="Q1122">
        <v>0</v>
      </c>
      <c r="R1122" s="2">
        <v>0</v>
      </c>
      <c r="S1122" s="2">
        <v>0</v>
      </c>
      <c r="T1122" t="s">
        <v>377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idden="1" x14ac:dyDescent="0.25">
      <c r="A1123" t="s">
        <v>56</v>
      </c>
      <c r="B1123" t="s">
        <v>47</v>
      </c>
      <c r="C1123" t="s">
        <v>64</v>
      </c>
      <c r="D1123" s="1">
        <v>45896</v>
      </c>
      <c r="E1123" s="1">
        <v>45896</v>
      </c>
      <c r="F1123" s="2">
        <v>34</v>
      </c>
      <c r="G1123" s="3" t="s">
        <v>23</v>
      </c>
      <c r="H1123">
        <v>28</v>
      </c>
      <c r="I1123" s="2">
        <v>0</v>
      </c>
      <c r="J1123" s="2">
        <v>0</v>
      </c>
      <c r="K1123" s="2">
        <v>1</v>
      </c>
      <c r="L1123" s="2">
        <v>0</v>
      </c>
      <c r="M1123">
        <v>0</v>
      </c>
      <c r="N1123">
        <v>0</v>
      </c>
      <c r="O1123" s="2">
        <v>0</v>
      </c>
      <c r="P1123" s="2">
        <v>0</v>
      </c>
      <c r="Q1123">
        <v>1</v>
      </c>
      <c r="R1123" s="2">
        <v>0</v>
      </c>
      <c r="S1123" s="2">
        <v>0</v>
      </c>
      <c r="T1123" t="s">
        <v>633</v>
      </c>
      <c r="U1123" s="2">
        <v>0</v>
      </c>
      <c r="V1123" s="2">
        <v>100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</row>
    <row r="1124" spans="1:28" hidden="1" x14ac:dyDescent="0.25">
      <c r="A1124" t="s">
        <v>568</v>
      </c>
      <c r="B1124" t="s">
        <v>47</v>
      </c>
      <c r="C1124" t="s">
        <v>64</v>
      </c>
      <c r="D1124" s="1">
        <v>45896</v>
      </c>
      <c r="E1124" s="1">
        <v>45896</v>
      </c>
      <c r="F1124" s="2">
        <v>34</v>
      </c>
      <c r="G1124" s="3" t="s">
        <v>23</v>
      </c>
      <c r="H1124">
        <v>28</v>
      </c>
      <c r="I1124" s="2">
        <v>0</v>
      </c>
      <c r="J1124" s="2">
        <v>0</v>
      </c>
      <c r="K1124" s="2">
        <v>1</v>
      </c>
      <c r="L1124" s="2">
        <v>0</v>
      </c>
      <c r="M1124">
        <v>0</v>
      </c>
      <c r="N1124">
        <v>0</v>
      </c>
      <c r="O1124" s="2">
        <v>0</v>
      </c>
      <c r="P1124" s="2">
        <v>0</v>
      </c>
      <c r="Q1124">
        <v>1</v>
      </c>
      <c r="R1124" s="2">
        <v>0</v>
      </c>
      <c r="S1124" s="2">
        <v>0</v>
      </c>
      <c r="T1124" t="s">
        <v>633</v>
      </c>
      <c r="U1124" s="2">
        <v>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idden="1" x14ac:dyDescent="0.25">
      <c r="A1125" t="s">
        <v>53</v>
      </c>
      <c r="B1125" t="s">
        <v>38</v>
      </c>
      <c r="C1125" t="s">
        <v>54</v>
      </c>
      <c r="D1125" s="1">
        <v>45896</v>
      </c>
      <c r="E1125" s="1">
        <v>45896</v>
      </c>
      <c r="F1125" s="2">
        <v>68</v>
      </c>
      <c r="G1125" s="3" t="s">
        <v>23</v>
      </c>
      <c r="H1125">
        <v>44</v>
      </c>
      <c r="I1125" s="2">
        <v>0</v>
      </c>
      <c r="J1125" s="2">
        <v>0</v>
      </c>
      <c r="K1125" s="2">
        <v>1</v>
      </c>
      <c r="L1125" s="2">
        <v>0</v>
      </c>
      <c r="M1125">
        <v>0</v>
      </c>
      <c r="N1125">
        <v>0</v>
      </c>
      <c r="O1125" s="2">
        <v>0</v>
      </c>
      <c r="P1125" s="2">
        <v>0</v>
      </c>
      <c r="Q1125">
        <v>0</v>
      </c>
      <c r="R1125" s="2">
        <v>0</v>
      </c>
      <c r="S1125" s="2">
        <v>0</v>
      </c>
      <c r="T1125" t="s">
        <v>634</v>
      </c>
      <c r="U1125" s="2">
        <v>0</v>
      </c>
      <c r="V1125" s="2">
        <v>6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idden="1" x14ac:dyDescent="0.25">
      <c r="A1126" t="s">
        <v>29</v>
      </c>
      <c r="B1126" t="s">
        <v>30</v>
      </c>
      <c r="C1126" t="s">
        <v>31</v>
      </c>
      <c r="D1126" s="1">
        <v>45896</v>
      </c>
      <c r="E1126" s="1">
        <v>45896</v>
      </c>
      <c r="F1126" s="2">
        <v>158</v>
      </c>
      <c r="G1126" s="3" t="s">
        <v>23</v>
      </c>
      <c r="H1126">
        <v>0</v>
      </c>
      <c r="I1126" s="2">
        <v>0</v>
      </c>
      <c r="J1126" s="2">
        <v>0</v>
      </c>
      <c r="K1126" s="2">
        <v>0</v>
      </c>
      <c r="L1126" s="2">
        <v>0</v>
      </c>
      <c r="M1126">
        <v>0</v>
      </c>
      <c r="N1126">
        <v>0</v>
      </c>
      <c r="O1126" s="2">
        <v>0</v>
      </c>
      <c r="P1126" s="2">
        <v>0</v>
      </c>
      <c r="Q1126">
        <v>1</v>
      </c>
      <c r="R1126" s="2">
        <v>0</v>
      </c>
      <c r="S1126" s="2">
        <v>0</v>
      </c>
      <c r="T1126" t="s">
        <v>635</v>
      </c>
      <c r="U1126" s="2">
        <v>0</v>
      </c>
      <c r="V1126" s="2">
        <v>100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idden="1" x14ac:dyDescent="0.25">
      <c r="A1127" t="s">
        <v>33</v>
      </c>
      <c r="B1127" t="s">
        <v>34</v>
      </c>
      <c r="C1127" t="s">
        <v>35</v>
      </c>
      <c r="D1127" s="1">
        <v>45896</v>
      </c>
      <c r="E1127" s="1">
        <v>45896</v>
      </c>
      <c r="F1127" s="2">
        <v>47</v>
      </c>
      <c r="G1127" s="3" t="s">
        <v>23</v>
      </c>
      <c r="H1127">
        <v>30</v>
      </c>
      <c r="I1127" s="2">
        <v>0</v>
      </c>
      <c r="J1127" s="2">
        <v>0</v>
      </c>
      <c r="K1127" s="2">
        <v>0</v>
      </c>
      <c r="L1127" s="2">
        <v>1</v>
      </c>
      <c r="M1127">
        <v>0</v>
      </c>
      <c r="N1127">
        <v>0</v>
      </c>
      <c r="O1127" s="2">
        <v>0</v>
      </c>
      <c r="P1127" s="2">
        <v>0</v>
      </c>
      <c r="Q1127">
        <v>0</v>
      </c>
      <c r="R1127" s="2">
        <v>0</v>
      </c>
      <c r="S1127" s="2">
        <v>0</v>
      </c>
      <c r="T1127" t="s">
        <v>636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idden="1" x14ac:dyDescent="0.25">
      <c r="A1128" t="s">
        <v>37</v>
      </c>
      <c r="B1128" t="s">
        <v>57</v>
      </c>
      <c r="C1128" t="s">
        <v>39</v>
      </c>
      <c r="D1128" s="1">
        <v>45896</v>
      </c>
      <c r="E1128" s="1">
        <v>45896</v>
      </c>
      <c r="F1128" s="2">
        <v>19</v>
      </c>
      <c r="G1128" s="3" t="s">
        <v>23</v>
      </c>
      <c r="H1128">
        <v>42</v>
      </c>
      <c r="I1128" s="2">
        <v>0</v>
      </c>
      <c r="J1128" s="2">
        <v>0</v>
      </c>
      <c r="K1128" s="2">
        <v>1</v>
      </c>
      <c r="L1128" s="2">
        <v>0</v>
      </c>
      <c r="M1128">
        <v>0</v>
      </c>
      <c r="N1128">
        <v>0</v>
      </c>
      <c r="O1128" s="2">
        <v>0</v>
      </c>
      <c r="P1128" s="2">
        <v>0</v>
      </c>
      <c r="Q1128">
        <v>1</v>
      </c>
      <c r="R1128" s="2">
        <v>0</v>
      </c>
      <c r="S1128" s="2">
        <v>0</v>
      </c>
      <c r="T1128" t="s">
        <v>637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</row>
    <row r="1129" spans="1:28" hidden="1" x14ac:dyDescent="0.25">
      <c r="A1129" t="s">
        <v>20</v>
      </c>
      <c r="B1129" t="s">
        <v>21</v>
      </c>
      <c r="C1129" t="s">
        <v>39</v>
      </c>
      <c r="D1129" s="1">
        <v>45896</v>
      </c>
      <c r="E1129" s="1">
        <v>45896</v>
      </c>
      <c r="F1129" s="2">
        <v>19</v>
      </c>
      <c r="G1129" s="3" t="s">
        <v>23</v>
      </c>
      <c r="H1129">
        <v>22</v>
      </c>
      <c r="I1129" s="2">
        <v>0</v>
      </c>
      <c r="J1129" s="2">
        <v>0</v>
      </c>
      <c r="K1129" s="2">
        <v>0</v>
      </c>
      <c r="L1129" s="2">
        <v>0</v>
      </c>
      <c r="M1129">
        <v>0</v>
      </c>
      <c r="N1129">
        <v>1</v>
      </c>
      <c r="O1129" s="2">
        <v>0</v>
      </c>
      <c r="P1129" s="2">
        <v>0</v>
      </c>
      <c r="Q1129">
        <v>0</v>
      </c>
      <c r="R1129" s="2">
        <v>0</v>
      </c>
      <c r="S1129" s="2">
        <v>0</v>
      </c>
      <c r="T1129" t="s">
        <v>637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idden="1" x14ac:dyDescent="0.25">
      <c r="A1130" t="s">
        <v>25</v>
      </c>
      <c r="B1130" t="s">
        <v>26</v>
      </c>
      <c r="C1130" t="s">
        <v>31</v>
      </c>
      <c r="D1130" s="1">
        <v>45896</v>
      </c>
      <c r="E1130" s="1">
        <v>45896</v>
      </c>
      <c r="F1130" s="2">
        <v>19</v>
      </c>
      <c r="G1130" s="3" t="s">
        <v>48</v>
      </c>
      <c r="H1130">
        <v>0</v>
      </c>
      <c r="I1130" s="2">
        <v>0</v>
      </c>
      <c r="J1130" s="2">
        <v>0</v>
      </c>
      <c r="K1130" s="2">
        <v>0</v>
      </c>
      <c r="L1130" s="2">
        <v>0</v>
      </c>
      <c r="M1130">
        <v>0</v>
      </c>
      <c r="N1130">
        <v>0</v>
      </c>
      <c r="O1130" s="2">
        <v>0</v>
      </c>
      <c r="P1130" s="2">
        <v>0</v>
      </c>
      <c r="Q1130">
        <v>0</v>
      </c>
      <c r="R1130" s="2">
        <v>0</v>
      </c>
      <c r="S1130" s="2">
        <v>0</v>
      </c>
      <c r="T1130" t="s">
        <v>632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idden="1" x14ac:dyDescent="0.25">
      <c r="A1131" t="s">
        <v>47</v>
      </c>
      <c r="B1131" t="s">
        <v>52</v>
      </c>
      <c r="C1131" t="s">
        <v>212</v>
      </c>
      <c r="D1131" s="1">
        <v>45896</v>
      </c>
      <c r="E1131" s="1">
        <v>45896</v>
      </c>
      <c r="F1131" s="2">
        <v>0</v>
      </c>
      <c r="G1131" s="3" t="s">
        <v>572</v>
      </c>
      <c r="H1131">
        <v>0</v>
      </c>
      <c r="I1131" s="2">
        <v>0</v>
      </c>
      <c r="J1131" s="2">
        <v>0</v>
      </c>
      <c r="K1131" s="2">
        <v>0</v>
      </c>
      <c r="L1131" s="2">
        <v>0</v>
      </c>
      <c r="M1131">
        <v>0</v>
      </c>
      <c r="N1131">
        <v>0</v>
      </c>
      <c r="O1131" s="2">
        <v>0</v>
      </c>
      <c r="P1131" s="2">
        <v>0</v>
      </c>
      <c r="Q1131">
        <v>0</v>
      </c>
      <c r="R1131" s="2">
        <v>0</v>
      </c>
      <c r="S1131" s="2">
        <v>0</v>
      </c>
      <c r="T1131" t="s">
        <v>377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idden="1" x14ac:dyDescent="0.25">
      <c r="A1132" t="s">
        <v>56</v>
      </c>
      <c r="B1132" t="s">
        <v>47</v>
      </c>
      <c r="C1132" t="s">
        <v>64</v>
      </c>
      <c r="D1132" s="1">
        <v>45897</v>
      </c>
      <c r="E1132" s="1">
        <v>45897</v>
      </c>
      <c r="F1132" s="2">
        <v>29</v>
      </c>
      <c r="G1132" s="3" t="s">
        <v>23</v>
      </c>
      <c r="H1132">
        <v>22</v>
      </c>
      <c r="I1132" s="2">
        <v>0</v>
      </c>
      <c r="J1132" s="2">
        <v>0</v>
      </c>
      <c r="K1132" s="2">
        <v>0</v>
      </c>
      <c r="L1132" s="2">
        <v>1</v>
      </c>
      <c r="M1132">
        <v>0</v>
      </c>
      <c r="N1132">
        <v>0</v>
      </c>
      <c r="O1132" s="2">
        <v>0</v>
      </c>
      <c r="P1132" s="2">
        <v>0</v>
      </c>
      <c r="Q1132">
        <v>0</v>
      </c>
      <c r="R1132" s="2">
        <v>0</v>
      </c>
      <c r="S1132" s="2">
        <v>0</v>
      </c>
      <c r="T1132" t="s">
        <v>638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</row>
    <row r="1133" spans="1:28" hidden="1" x14ac:dyDescent="0.25">
      <c r="A1133" t="s">
        <v>568</v>
      </c>
      <c r="B1133" t="s">
        <v>47</v>
      </c>
      <c r="C1133" t="s">
        <v>64</v>
      </c>
      <c r="D1133" s="1">
        <v>45897</v>
      </c>
      <c r="E1133" s="1">
        <v>45897</v>
      </c>
      <c r="F1133" s="2">
        <v>29</v>
      </c>
      <c r="G1133" s="3" t="s">
        <v>23</v>
      </c>
      <c r="H1133">
        <v>22</v>
      </c>
      <c r="I1133" s="2">
        <v>0</v>
      </c>
      <c r="J1133" s="2">
        <v>0</v>
      </c>
      <c r="K1133" s="2">
        <v>0</v>
      </c>
      <c r="L1133" s="2">
        <v>1</v>
      </c>
      <c r="M1133">
        <v>0</v>
      </c>
      <c r="N1133">
        <v>0</v>
      </c>
      <c r="O1133" s="2">
        <v>0</v>
      </c>
      <c r="P1133" s="2">
        <v>0</v>
      </c>
      <c r="Q1133">
        <v>0</v>
      </c>
      <c r="R1133" s="2">
        <v>0</v>
      </c>
      <c r="S1133" s="2">
        <v>0</v>
      </c>
      <c r="T1133" t="s">
        <v>638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idden="1" x14ac:dyDescent="0.25">
      <c r="A1134" t="s">
        <v>20</v>
      </c>
      <c r="B1134" t="s">
        <v>21</v>
      </c>
      <c r="C1134" t="s">
        <v>22</v>
      </c>
      <c r="D1134" s="1">
        <v>45897</v>
      </c>
      <c r="E1134" s="1">
        <v>45897</v>
      </c>
      <c r="F1134" s="2">
        <v>42</v>
      </c>
      <c r="G1134" s="3" t="s">
        <v>23</v>
      </c>
      <c r="H1134">
        <v>6</v>
      </c>
      <c r="I1134" s="2">
        <v>0</v>
      </c>
      <c r="J1134" s="2">
        <v>0</v>
      </c>
      <c r="K1134" s="2">
        <v>0</v>
      </c>
      <c r="L1134" s="2">
        <v>0</v>
      </c>
      <c r="M1134">
        <v>0</v>
      </c>
      <c r="N1134">
        <v>0</v>
      </c>
      <c r="O1134" s="2">
        <v>0</v>
      </c>
      <c r="P1134" s="2">
        <v>0</v>
      </c>
      <c r="Q1134">
        <v>0</v>
      </c>
      <c r="R1134" s="2">
        <v>0</v>
      </c>
      <c r="S1134" s="2">
        <v>0</v>
      </c>
      <c r="T1134" t="s">
        <v>639</v>
      </c>
      <c r="U1134" s="2">
        <v>0</v>
      </c>
      <c r="V1134" s="2">
        <v>10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idden="1" x14ac:dyDescent="0.25">
      <c r="A1135" t="s">
        <v>25</v>
      </c>
      <c r="B1135" t="s">
        <v>26</v>
      </c>
      <c r="C1135" t="s">
        <v>27</v>
      </c>
      <c r="D1135" s="1">
        <v>45897</v>
      </c>
      <c r="E1135" s="1">
        <v>45897</v>
      </c>
      <c r="F1135" s="2">
        <v>21</v>
      </c>
      <c r="G1135" s="3" t="s">
        <v>23</v>
      </c>
      <c r="H1135">
        <v>40</v>
      </c>
      <c r="I1135" s="2">
        <v>0</v>
      </c>
      <c r="J1135" s="2">
        <v>0</v>
      </c>
      <c r="K1135" s="2">
        <v>1</v>
      </c>
      <c r="L1135" s="2">
        <v>0</v>
      </c>
      <c r="M1135">
        <v>0</v>
      </c>
      <c r="N1135">
        <v>0</v>
      </c>
      <c r="O1135" s="2">
        <v>0</v>
      </c>
      <c r="P1135" s="2">
        <v>0</v>
      </c>
      <c r="Q1135">
        <v>0</v>
      </c>
      <c r="R1135" s="2">
        <v>0</v>
      </c>
      <c r="S1135" s="2">
        <v>0</v>
      </c>
      <c r="T1135" t="s">
        <v>640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</row>
    <row r="1136" spans="1:28" hidden="1" x14ac:dyDescent="0.25">
      <c r="A1136" t="s">
        <v>33</v>
      </c>
      <c r="B1136" t="s">
        <v>34</v>
      </c>
      <c r="C1136" t="s">
        <v>35</v>
      </c>
      <c r="D1136" s="1">
        <v>45897</v>
      </c>
      <c r="E1136" s="1">
        <v>45897</v>
      </c>
      <c r="F1136" s="2">
        <v>41</v>
      </c>
      <c r="G1136" s="3" t="s">
        <v>23</v>
      </c>
      <c r="H1136">
        <v>40</v>
      </c>
      <c r="I1136" s="2">
        <v>0</v>
      </c>
      <c r="J1136" s="2">
        <v>0</v>
      </c>
      <c r="K1136" s="2">
        <v>1</v>
      </c>
      <c r="L1136" s="2">
        <v>0</v>
      </c>
      <c r="M1136">
        <v>1</v>
      </c>
      <c r="N1136">
        <v>0</v>
      </c>
      <c r="O1136" s="2">
        <v>0</v>
      </c>
      <c r="P1136" s="2">
        <v>0</v>
      </c>
      <c r="Q1136">
        <v>0</v>
      </c>
      <c r="R1136" s="2">
        <v>0</v>
      </c>
      <c r="S1136" s="2">
        <v>0</v>
      </c>
      <c r="T1136" t="s">
        <v>641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</row>
    <row r="1137" spans="1:28" hidden="1" x14ac:dyDescent="0.25">
      <c r="A1137" t="s">
        <v>37</v>
      </c>
      <c r="B1137" t="s">
        <v>57</v>
      </c>
      <c r="C1137" t="s">
        <v>39</v>
      </c>
      <c r="D1137" s="1">
        <v>45897</v>
      </c>
      <c r="E1137" s="1">
        <v>45897</v>
      </c>
      <c r="F1137" s="2">
        <v>24</v>
      </c>
      <c r="G1137" s="3" t="s">
        <v>23</v>
      </c>
      <c r="H1137">
        <v>44</v>
      </c>
      <c r="I1137" s="2">
        <v>0</v>
      </c>
      <c r="J1137" s="2">
        <v>0</v>
      </c>
      <c r="K1137" s="2">
        <v>1</v>
      </c>
      <c r="L1137" s="2">
        <v>0</v>
      </c>
      <c r="M1137">
        <v>0</v>
      </c>
      <c r="N1137">
        <v>0</v>
      </c>
      <c r="O1137" s="2">
        <v>0</v>
      </c>
      <c r="P1137" s="2">
        <v>0</v>
      </c>
      <c r="Q1137">
        <v>0</v>
      </c>
      <c r="R1137" s="2">
        <v>0</v>
      </c>
      <c r="S1137" s="2">
        <v>0</v>
      </c>
      <c r="T1137" t="s">
        <v>642</v>
      </c>
      <c r="U1137" s="2">
        <v>0</v>
      </c>
      <c r="V1137" s="2">
        <v>8</v>
      </c>
      <c r="W1137" s="2">
        <v>4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</row>
    <row r="1138" spans="1:28" hidden="1" x14ac:dyDescent="0.25">
      <c r="A1138" t="s">
        <v>29</v>
      </c>
      <c r="B1138" t="s">
        <v>30</v>
      </c>
      <c r="C1138" t="s">
        <v>212</v>
      </c>
      <c r="D1138" s="1">
        <v>45897</v>
      </c>
      <c r="E1138" s="1">
        <v>45897</v>
      </c>
      <c r="F1138" s="2">
        <v>0</v>
      </c>
      <c r="G1138" s="3" t="s">
        <v>572</v>
      </c>
      <c r="H1138">
        <v>0</v>
      </c>
      <c r="I1138" s="2">
        <v>0</v>
      </c>
      <c r="J1138" s="2">
        <v>0</v>
      </c>
      <c r="K1138" s="2">
        <v>0</v>
      </c>
      <c r="L1138" s="2">
        <v>0</v>
      </c>
      <c r="M1138">
        <v>0</v>
      </c>
      <c r="N1138">
        <v>0</v>
      </c>
      <c r="O1138" s="2">
        <v>0</v>
      </c>
      <c r="P1138" s="2">
        <v>0</v>
      </c>
      <c r="Q1138">
        <v>0</v>
      </c>
      <c r="R1138" s="2">
        <v>0</v>
      </c>
      <c r="S1138" s="2">
        <v>0</v>
      </c>
      <c r="T1138" t="s">
        <v>377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idden="1" x14ac:dyDescent="0.25">
      <c r="A1139" t="s">
        <v>53</v>
      </c>
      <c r="B1139" t="s">
        <v>38</v>
      </c>
      <c r="C1139" t="s">
        <v>212</v>
      </c>
      <c r="D1139" s="1">
        <v>45897</v>
      </c>
      <c r="E1139" s="1">
        <v>45897</v>
      </c>
      <c r="F1139" s="2">
        <v>0</v>
      </c>
      <c r="G1139" s="3" t="s">
        <v>572</v>
      </c>
      <c r="H1139">
        <v>0</v>
      </c>
      <c r="I1139" s="2">
        <v>0</v>
      </c>
      <c r="J1139" s="2">
        <v>0</v>
      </c>
      <c r="K1139" s="2">
        <v>0</v>
      </c>
      <c r="L1139" s="2">
        <v>0</v>
      </c>
      <c r="M1139">
        <v>0</v>
      </c>
      <c r="N1139">
        <v>0</v>
      </c>
      <c r="O1139" s="2">
        <v>0</v>
      </c>
      <c r="P1139" s="2">
        <v>0</v>
      </c>
      <c r="Q1139">
        <v>0</v>
      </c>
      <c r="R1139" s="2">
        <v>0</v>
      </c>
      <c r="S1139" s="2">
        <v>0</v>
      </c>
      <c r="T1139" t="s">
        <v>377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idden="1" x14ac:dyDescent="0.25">
      <c r="A1140" t="s">
        <v>47</v>
      </c>
      <c r="B1140" t="s">
        <v>52</v>
      </c>
      <c r="C1140" t="s">
        <v>212</v>
      </c>
      <c r="D1140" s="1">
        <v>45897</v>
      </c>
      <c r="E1140" s="1">
        <v>45897</v>
      </c>
      <c r="F1140" s="2">
        <v>0</v>
      </c>
      <c r="G1140" s="3" t="s">
        <v>572</v>
      </c>
      <c r="H1140">
        <v>0</v>
      </c>
      <c r="I1140" s="2">
        <v>0</v>
      </c>
      <c r="J1140" s="2">
        <v>0</v>
      </c>
      <c r="K1140" s="2">
        <v>0</v>
      </c>
      <c r="L1140" s="2">
        <v>0</v>
      </c>
      <c r="M1140">
        <v>0</v>
      </c>
      <c r="N1140">
        <v>0</v>
      </c>
      <c r="O1140" s="2">
        <v>0</v>
      </c>
      <c r="P1140" s="2">
        <v>0</v>
      </c>
      <c r="Q1140">
        <v>0</v>
      </c>
      <c r="R1140" s="2">
        <v>0</v>
      </c>
      <c r="S1140" s="2">
        <v>0</v>
      </c>
      <c r="T1140" t="s">
        <v>377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idden="1" x14ac:dyDescent="0.25">
      <c r="A1141" t="s">
        <v>20</v>
      </c>
      <c r="B1141" t="s">
        <v>47</v>
      </c>
      <c r="C1141" t="s">
        <v>22</v>
      </c>
      <c r="D1141" s="1">
        <v>45898</v>
      </c>
      <c r="E1141" s="1">
        <v>45898</v>
      </c>
      <c r="F1141" s="2">
        <v>80</v>
      </c>
      <c r="G1141" s="3" t="s">
        <v>23</v>
      </c>
      <c r="H1141">
        <v>28</v>
      </c>
      <c r="I1141" s="2">
        <v>0</v>
      </c>
      <c r="J1141" s="2">
        <v>0</v>
      </c>
      <c r="K1141" s="2">
        <v>0</v>
      </c>
      <c r="L1141" s="2">
        <v>1</v>
      </c>
      <c r="M1141">
        <v>1</v>
      </c>
      <c r="N1141">
        <v>0</v>
      </c>
      <c r="O1141" s="2">
        <v>0</v>
      </c>
      <c r="P1141" s="2">
        <v>0</v>
      </c>
      <c r="Q1141">
        <v>0</v>
      </c>
      <c r="R1141" s="2">
        <v>0</v>
      </c>
      <c r="S1141" s="2">
        <v>0</v>
      </c>
      <c r="T1141" t="s">
        <v>643</v>
      </c>
      <c r="U1141" s="2">
        <v>0</v>
      </c>
      <c r="V1141" s="2">
        <v>12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idden="1" x14ac:dyDescent="0.25">
      <c r="A1142" t="s">
        <v>568</v>
      </c>
      <c r="B1142" t="s">
        <v>47</v>
      </c>
      <c r="C1142" t="s">
        <v>22</v>
      </c>
      <c r="D1142" s="1">
        <v>45898</v>
      </c>
      <c r="E1142" s="1">
        <v>45898</v>
      </c>
      <c r="F1142" s="2">
        <v>80</v>
      </c>
      <c r="G1142" s="3" t="s">
        <v>23</v>
      </c>
      <c r="H1142">
        <v>28</v>
      </c>
      <c r="I1142" s="2">
        <v>0</v>
      </c>
      <c r="J1142" s="2">
        <v>0</v>
      </c>
      <c r="K1142" s="2">
        <v>0</v>
      </c>
      <c r="L1142" s="2">
        <v>1</v>
      </c>
      <c r="M1142">
        <v>1</v>
      </c>
      <c r="N1142">
        <v>0</v>
      </c>
      <c r="O1142" s="2">
        <v>0</v>
      </c>
      <c r="P1142" s="2">
        <v>0</v>
      </c>
      <c r="Q1142">
        <v>0</v>
      </c>
      <c r="R1142" s="2">
        <v>0</v>
      </c>
      <c r="S1142" s="2">
        <v>0</v>
      </c>
      <c r="T1142" t="s">
        <v>643</v>
      </c>
      <c r="U1142" s="2">
        <v>0</v>
      </c>
      <c r="V1142" s="2">
        <v>12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</row>
    <row r="1143" spans="1:28" hidden="1" x14ac:dyDescent="0.25">
      <c r="A1143" t="s">
        <v>25</v>
      </c>
      <c r="B1143" t="s">
        <v>26</v>
      </c>
      <c r="C1143" t="s">
        <v>27</v>
      </c>
      <c r="D1143" s="1">
        <v>45898</v>
      </c>
      <c r="E1143" s="1">
        <v>45898</v>
      </c>
      <c r="F1143" s="2">
        <v>34</v>
      </c>
      <c r="G1143" s="3" t="s">
        <v>23</v>
      </c>
      <c r="H1143">
        <v>50</v>
      </c>
      <c r="I1143" s="2">
        <v>0</v>
      </c>
      <c r="J1143" s="2">
        <v>0</v>
      </c>
      <c r="K1143" s="2">
        <v>1</v>
      </c>
      <c r="L1143" s="2">
        <v>0</v>
      </c>
      <c r="M1143">
        <v>0</v>
      </c>
      <c r="N1143">
        <v>0</v>
      </c>
      <c r="O1143" s="2">
        <v>0</v>
      </c>
      <c r="P1143" s="2">
        <v>0</v>
      </c>
      <c r="Q1143">
        <v>0</v>
      </c>
      <c r="R1143" s="2">
        <v>0</v>
      </c>
      <c r="S1143" s="2">
        <v>0</v>
      </c>
      <c r="T1143" t="s">
        <v>644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idden="1" x14ac:dyDescent="0.25">
      <c r="A1144" t="s">
        <v>33</v>
      </c>
      <c r="B1144" t="s">
        <v>34</v>
      </c>
      <c r="C1144" t="s">
        <v>35</v>
      </c>
      <c r="D1144" s="1">
        <v>45898</v>
      </c>
      <c r="E1144" s="1">
        <v>45898</v>
      </c>
      <c r="F1144" s="2">
        <v>63</v>
      </c>
      <c r="G1144" s="3" t="s">
        <v>23</v>
      </c>
      <c r="H1144">
        <v>37</v>
      </c>
      <c r="I1144" s="2">
        <v>0</v>
      </c>
      <c r="J1144" s="2">
        <v>1</v>
      </c>
      <c r="K1144" s="2">
        <v>1</v>
      </c>
      <c r="L1144" s="2">
        <v>0</v>
      </c>
      <c r="M1144">
        <v>0</v>
      </c>
      <c r="N1144">
        <v>0</v>
      </c>
      <c r="O1144" s="2">
        <v>0</v>
      </c>
      <c r="P1144" s="2">
        <v>0</v>
      </c>
      <c r="Q1144">
        <v>0</v>
      </c>
      <c r="R1144" s="2">
        <v>0</v>
      </c>
      <c r="S1144" s="2">
        <v>0</v>
      </c>
      <c r="T1144" t="s">
        <v>645</v>
      </c>
      <c r="U1144" s="2">
        <v>0</v>
      </c>
      <c r="V1144" s="2">
        <v>0</v>
      </c>
      <c r="W1144" s="2">
        <v>11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</row>
    <row r="1145" spans="1:28" hidden="1" x14ac:dyDescent="0.25">
      <c r="A1145" t="s">
        <v>37</v>
      </c>
      <c r="B1145" t="s">
        <v>57</v>
      </c>
      <c r="C1145" t="s">
        <v>39</v>
      </c>
      <c r="D1145" s="1">
        <v>45898</v>
      </c>
      <c r="E1145" s="1">
        <v>45898</v>
      </c>
      <c r="F1145" s="2">
        <v>29</v>
      </c>
      <c r="G1145" s="3" t="s">
        <v>23</v>
      </c>
      <c r="H1145">
        <v>43</v>
      </c>
      <c r="I1145" s="2">
        <v>0</v>
      </c>
      <c r="J1145" s="2">
        <v>0</v>
      </c>
      <c r="K1145" s="2">
        <v>1</v>
      </c>
      <c r="L1145" s="2">
        <v>0</v>
      </c>
      <c r="M1145">
        <v>0</v>
      </c>
      <c r="N1145">
        <v>0</v>
      </c>
      <c r="O1145" s="2">
        <v>0</v>
      </c>
      <c r="P1145" s="2">
        <v>0</v>
      </c>
      <c r="Q1145">
        <v>0</v>
      </c>
      <c r="R1145" s="2">
        <v>0</v>
      </c>
      <c r="S1145" s="2">
        <v>0</v>
      </c>
      <c r="T1145" t="s">
        <v>646</v>
      </c>
      <c r="U1145" s="2">
        <v>0</v>
      </c>
      <c r="V1145" s="2">
        <v>5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</row>
    <row r="1146" spans="1:28" hidden="1" x14ac:dyDescent="0.25">
      <c r="A1146" t="s">
        <v>53</v>
      </c>
      <c r="B1146" t="s">
        <v>38</v>
      </c>
      <c r="C1146" t="s">
        <v>39</v>
      </c>
      <c r="D1146" s="1">
        <v>45898</v>
      </c>
      <c r="E1146" s="1">
        <v>45898</v>
      </c>
      <c r="F1146" s="2">
        <v>29</v>
      </c>
      <c r="G1146" s="3" t="s">
        <v>23</v>
      </c>
      <c r="H1146">
        <v>2</v>
      </c>
      <c r="I1146" s="2">
        <v>0</v>
      </c>
      <c r="J1146" s="2">
        <v>0</v>
      </c>
      <c r="K1146" s="2">
        <v>0</v>
      </c>
      <c r="L1146" s="2">
        <v>0</v>
      </c>
      <c r="M1146">
        <v>0</v>
      </c>
      <c r="N1146">
        <v>0</v>
      </c>
      <c r="O1146" s="2">
        <v>0</v>
      </c>
      <c r="P1146" s="2">
        <v>0</v>
      </c>
      <c r="Q1146">
        <v>0</v>
      </c>
      <c r="R1146" s="2">
        <v>0</v>
      </c>
      <c r="S1146" s="2">
        <v>0</v>
      </c>
      <c r="T1146" t="s">
        <v>646</v>
      </c>
      <c r="U1146" s="2">
        <v>0</v>
      </c>
      <c r="V1146" s="2">
        <v>10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</row>
    <row r="1147" spans="1:28" hidden="1" x14ac:dyDescent="0.25">
      <c r="A1147" t="s">
        <v>56</v>
      </c>
      <c r="B1147" t="s">
        <v>47</v>
      </c>
      <c r="C1147" t="s">
        <v>212</v>
      </c>
      <c r="D1147" s="1">
        <v>45898</v>
      </c>
      <c r="E1147" s="1">
        <v>45898</v>
      </c>
      <c r="F1147" s="2">
        <v>0</v>
      </c>
      <c r="G1147" s="3" t="s">
        <v>48</v>
      </c>
      <c r="H1147">
        <v>0</v>
      </c>
      <c r="I1147" s="2">
        <v>0</v>
      </c>
      <c r="J1147" s="2">
        <v>0</v>
      </c>
      <c r="K1147" s="2">
        <v>0</v>
      </c>
      <c r="L1147" s="2">
        <v>0</v>
      </c>
      <c r="M1147">
        <v>0</v>
      </c>
      <c r="N1147">
        <v>0</v>
      </c>
      <c r="O1147" s="2">
        <v>0</v>
      </c>
      <c r="P1147" s="2">
        <v>0</v>
      </c>
      <c r="Q1147">
        <v>0</v>
      </c>
      <c r="R1147" s="2">
        <v>0</v>
      </c>
      <c r="S1147" s="2">
        <v>0</v>
      </c>
      <c r="T1147" t="s">
        <v>377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idden="1" x14ac:dyDescent="0.25">
      <c r="A1148" t="s">
        <v>29</v>
      </c>
      <c r="B1148" t="s">
        <v>30</v>
      </c>
      <c r="C1148" t="s">
        <v>212</v>
      </c>
      <c r="D1148" s="1">
        <v>45898</v>
      </c>
      <c r="E1148" s="1">
        <v>45898</v>
      </c>
      <c r="F1148" s="2">
        <v>0</v>
      </c>
      <c r="G1148" s="3" t="s">
        <v>572</v>
      </c>
      <c r="H1148">
        <v>0</v>
      </c>
      <c r="I1148" s="2">
        <v>0</v>
      </c>
      <c r="J1148" s="2">
        <v>0</v>
      </c>
      <c r="K1148" s="2">
        <v>0</v>
      </c>
      <c r="L1148" s="2">
        <v>0</v>
      </c>
      <c r="M1148">
        <v>0</v>
      </c>
      <c r="N1148">
        <v>0</v>
      </c>
      <c r="O1148" s="2">
        <v>0</v>
      </c>
      <c r="P1148" s="2">
        <v>0</v>
      </c>
      <c r="Q1148">
        <v>0</v>
      </c>
      <c r="R1148" s="2">
        <v>0</v>
      </c>
      <c r="S1148" s="2">
        <v>0</v>
      </c>
      <c r="T1148" t="s">
        <v>377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idden="1" x14ac:dyDescent="0.25">
      <c r="A1149" t="s">
        <v>47</v>
      </c>
      <c r="B1149" t="s">
        <v>21</v>
      </c>
      <c r="C1149" t="s">
        <v>212</v>
      </c>
      <c r="D1149" s="1">
        <v>45898</v>
      </c>
      <c r="E1149" s="1">
        <v>45898</v>
      </c>
      <c r="F1149" s="2">
        <v>0</v>
      </c>
      <c r="G1149" s="3" t="s">
        <v>572</v>
      </c>
      <c r="H1149">
        <v>0</v>
      </c>
      <c r="I1149" s="2">
        <v>0</v>
      </c>
      <c r="J1149" s="2">
        <v>0</v>
      </c>
      <c r="K1149" s="2">
        <v>0</v>
      </c>
      <c r="L1149" s="2">
        <v>0</v>
      </c>
      <c r="M1149">
        <v>0</v>
      </c>
      <c r="N1149">
        <v>0</v>
      </c>
      <c r="O1149" s="2">
        <v>0</v>
      </c>
      <c r="P1149" s="2">
        <v>0</v>
      </c>
      <c r="Q1149">
        <v>0</v>
      </c>
      <c r="R1149" s="2">
        <v>0</v>
      </c>
      <c r="S1149" s="2">
        <v>0</v>
      </c>
      <c r="T1149" t="s">
        <v>377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idden="1" x14ac:dyDescent="0.25">
      <c r="A1150" t="s">
        <v>47</v>
      </c>
      <c r="B1150" t="s">
        <v>52</v>
      </c>
      <c r="C1150" t="s">
        <v>212</v>
      </c>
      <c r="D1150" s="1">
        <v>45898</v>
      </c>
      <c r="E1150" s="1">
        <v>45898</v>
      </c>
      <c r="F1150" s="2">
        <v>0</v>
      </c>
      <c r="G1150" s="3" t="s">
        <v>572</v>
      </c>
      <c r="H1150">
        <v>0</v>
      </c>
      <c r="I1150" s="2">
        <v>0</v>
      </c>
      <c r="J1150" s="2">
        <v>0</v>
      </c>
      <c r="K1150" s="2">
        <v>0</v>
      </c>
      <c r="L1150" s="2">
        <v>0</v>
      </c>
      <c r="M1150">
        <v>0</v>
      </c>
      <c r="N1150">
        <v>0</v>
      </c>
      <c r="O1150" s="2">
        <v>0</v>
      </c>
      <c r="P1150" s="2">
        <v>0</v>
      </c>
      <c r="Q1150">
        <v>0</v>
      </c>
      <c r="R1150" s="2">
        <v>0</v>
      </c>
      <c r="S1150" s="2">
        <v>0</v>
      </c>
      <c r="T1150" t="s">
        <v>377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idden="1" x14ac:dyDescent="0.25">
      <c r="A1151" t="s">
        <v>56</v>
      </c>
      <c r="B1151" t="s">
        <v>47</v>
      </c>
      <c r="C1151" t="s">
        <v>64</v>
      </c>
      <c r="D1151" s="9">
        <v>45899</v>
      </c>
      <c r="E1151" s="9">
        <v>45899</v>
      </c>
      <c r="F1151" s="2">
        <v>168</v>
      </c>
      <c r="G1151" s="3" t="s">
        <v>23</v>
      </c>
      <c r="H1151">
        <v>0</v>
      </c>
      <c r="I1151" s="2">
        <v>0</v>
      </c>
      <c r="J1151" s="2">
        <v>0</v>
      </c>
      <c r="K1151" s="2">
        <v>0</v>
      </c>
      <c r="L1151" s="2">
        <v>0</v>
      </c>
      <c r="M1151">
        <v>0</v>
      </c>
      <c r="N1151">
        <v>0</v>
      </c>
      <c r="O1151" s="2">
        <v>1</v>
      </c>
      <c r="P1151" s="2">
        <v>0</v>
      </c>
      <c r="Q1151">
        <v>4</v>
      </c>
      <c r="R1151" s="2">
        <v>1</v>
      </c>
      <c r="S1151" s="2">
        <v>0</v>
      </c>
      <c r="T1151" t="s">
        <v>647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idden="1" x14ac:dyDescent="0.25">
      <c r="A1152" t="s">
        <v>568</v>
      </c>
      <c r="B1152" t="s">
        <v>47</v>
      </c>
      <c r="C1152" t="s">
        <v>64</v>
      </c>
      <c r="D1152" s="9">
        <v>45899</v>
      </c>
      <c r="E1152" s="9">
        <v>45899</v>
      </c>
      <c r="F1152" s="2">
        <v>168</v>
      </c>
      <c r="G1152" s="3" t="s">
        <v>23</v>
      </c>
      <c r="H1152">
        <v>0</v>
      </c>
      <c r="I1152" s="2">
        <v>0</v>
      </c>
      <c r="J1152" s="2">
        <v>0</v>
      </c>
      <c r="K1152" s="2">
        <v>0</v>
      </c>
      <c r="L1152" s="2">
        <v>0</v>
      </c>
      <c r="M1152">
        <v>0</v>
      </c>
      <c r="N1152">
        <v>0</v>
      </c>
      <c r="O1152" s="2">
        <v>1</v>
      </c>
      <c r="P1152" s="2">
        <v>0</v>
      </c>
      <c r="Q1152">
        <v>4</v>
      </c>
      <c r="R1152" s="2">
        <v>1</v>
      </c>
      <c r="S1152" s="2">
        <v>0</v>
      </c>
      <c r="T1152" t="s">
        <v>647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</row>
    <row r="1153" spans="1:28" hidden="1" x14ac:dyDescent="0.25">
      <c r="A1153" t="s">
        <v>25</v>
      </c>
      <c r="B1153" t="s">
        <v>26</v>
      </c>
      <c r="C1153" t="s">
        <v>27</v>
      </c>
      <c r="D1153" s="9">
        <v>45899</v>
      </c>
      <c r="E1153" s="9">
        <v>45899</v>
      </c>
      <c r="F1153" s="2">
        <v>32</v>
      </c>
      <c r="G1153" s="3" t="s">
        <v>23</v>
      </c>
      <c r="H1153">
        <v>0</v>
      </c>
      <c r="I1153" s="2">
        <v>0</v>
      </c>
      <c r="J1153" s="2">
        <v>0</v>
      </c>
      <c r="K1153" s="2">
        <v>0</v>
      </c>
      <c r="L1153" s="2">
        <v>0</v>
      </c>
      <c r="M1153">
        <v>0</v>
      </c>
      <c r="N1153">
        <v>0</v>
      </c>
      <c r="O1153" s="2">
        <v>1</v>
      </c>
      <c r="P1153" s="2">
        <v>0</v>
      </c>
      <c r="Q1153">
        <v>1</v>
      </c>
      <c r="R1153" s="2">
        <v>1</v>
      </c>
      <c r="S1153" s="2">
        <v>0</v>
      </c>
      <c r="T1153" t="s">
        <v>648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</row>
    <row r="1154" spans="1:28" hidden="1" x14ac:dyDescent="0.25">
      <c r="A1154" t="s">
        <v>33</v>
      </c>
      <c r="B1154" t="s">
        <v>34</v>
      </c>
      <c r="C1154" t="s">
        <v>35</v>
      </c>
      <c r="D1154" s="9">
        <v>45899</v>
      </c>
      <c r="E1154" s="9">
        <v>45899</v>
      </c>
      <c r="F1154" s="2">
        <v>50</v>
      </c>
      <c r="G1154" s="3" t="s">
        <v>23</v>
      </c>
      <c r="H1154">
        <v>0</v>
      </c>
      <c r="I1154" s="2">
        <v>0</v>
      </c>
      <c r="J1154" s="2">
        <v>0</v>
      </c>
      <c r="K1154" s="2">
        <v>0</v>
      </c>
      <c r="L1154" s="2">
        <v>0</v>
      </c>
      <c r="M1154">
        <v>0</v>
      </c>
      <c r="N1154">
        <v>0</v>
      </c>
      <c r="O1154" s="2">
        <v>0</v>
      </c>
      <c r="P1154" s="2">
        <v>0</v>
      </c>
      <c r="Q1154">
        <v>7</v>
      </c>
      <c r="R1154" s="2">
        <v>1</v>
      </c>
      <c r="S1154" s="2">
        <v>0</v>
      </c>
      <c r="T1154" t="s">
        <v>649</v>
      </c>
      <c r="U1154" s="2">
        <v>17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1</v>
      </c>
      <c r="AB1154" s="2">
        <v>0</v>
      </c>
    </row>
    <row r="1155" spans="1:28" hidden="1" x14ac:dyDescent="0.25">
      <c r="A1155" t="s">
        <v>37</v>
      </c>
      <c r="B1155" t="s">
        <v>57</v>
      </c>
      <c r="C1155" t="s">
        <v>39</v>
      </c>
      <c r="D1155" s="9">
        <v>45899</v>
      </c>
      <c r="E1155" s="9">
        <v>45899</v>
      </c>
      <c r="F1155" s="2">
        <v>30</v>
      </c>
      <c r="G1155" s="3" t="s">
        <v>23</v>
      </c>
      <c r="H1155">
        <v>0</v>
      </c>
      <c r="I1155" s="2">
        <v>0</v>
      </c>
      <c r="J1155" s="2">
        <v>0</v>
      </c>
      <c r="K1155" s="2">
        <v>0</v>
      </c>
      <c r="L1155" s="2">
        <v>0</v>
      </c>
      <c r="M1155">
        <v>1</v>
      </c>
      <c r="N1155">
        <v>0</v>
      </c>
      <c r="O1155" s="2">
        <v>1</v>
      </c>
      <c r="P1155" s="2">
        <v>0</v>
      </c>
      <c r="Q1155">
        <v>3</v>
      </c>
      <c r="R1155" s="2">
        <v>1</v>
      </c>
      <c r="S1155" s="2">
        <v>0</v>
      </c>
      <c r="T1155" t="s">
        <v>650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</row>
    <row r="1156" spans="1:28" hidden="1" x14ac:dyDescent="0.25">
      <c r="A1156" t="s">
        <v>53</v>
      </c>
      <c r="B1156" t="s">
        <v>38</v>
      </c>
      <c r="C1156" t="s">
        <v>54</v>
      </c>
      <c r="D1156" s="9">
        <v>45899</v>
      </c>
      <c r="E1156" s="9">
        <v>45899</v>
      </c>
      <c r="F1156" s="2">
        <v>86</v>
      </c>
      <c r="G1156" s="3" t="s">
        <v>378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t="s">
        <v>377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idden="1" x14ac:dyDescent="0.25">
      <c r="A1157" t="s">
        <v>20</v>
      </c>
      <c r="B1157" t="s">
        <v>21</v>
      </c>
      <c r="C1157" t="s">
        <v>22</v>
      </c>
      <c r="D1157" s="9">
        <v>45899</v>
      </c>
      <c r="E1157" s="9">
        <v>45899</v>
      </c>
      <c r="F1157" s="2">
        <v>40</v>
      </c>
      <c r="G1157" s="3" t="s">
        <v>378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t="s">
        <v>377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</row>
    <row r="1158" spans="1:28" hidden="1" x14ac:dyDescent="0.25">
      <c r="A1158" t="s">
        <v>29</v>
      </c>
      <c r="B1158" t="s">
        <v>30</v>
      </c>
      <c r="C1158" t="s">
        <v>31</v>
      </c>
      <c r="D1158" s="9">
        <v>45899</v>
      </c>
      <c r="E1158" s="9">
        <v>45899</v>
      </c>
      <c r="F1158" s="2">
        <v>17</v>
      </c>
      <c r="G1158" s="3" t="s">
        <v>378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t="s">
        <v>377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</row>
    <row r="1159" spans="1:28" hidden="1" x14ac:dyDescent="0.25">
      <c r="A1159" t="s">
        <v>47</v>
      </c>
      <c r="B1159" t="s">
        <v>52</v>
      </c>
      <c r="C1159" t="s">
        <v>212</v>
      </c>
      <c r="D1159" s="9">
        <v>45899</v>
      </c>
      <c r="E1159" s="9">
        <v>45899</v>
      </c>
      <c r="F1159" s="2">
        <v>0</v>
      </c>
      <c r="G1159" s="3" t="s">
        <v>378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t="s">
        <v>377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idden="1" x14ac:dyDescent="0.25">
      <c r="A1160" t="s">
        <v>56</v>
      </c>
      <c r="B1160" t="s">
        <v>47</v>
      </c>
      <c r="C1160" t="s">
        <v>64</v>
      </c>
      <c r="D1160" s="9">
        <v>45900</v>
      </c>
      <c r="E1160" s="9">
        <v>45900</v>
      </c>
      <c r="F1160" s="2">
        <v>19</v>
      </c>
      <c r="G1160" s="3" t="s">
        <v>23</v>
      </c>
      <c r="H1160">
        <v>0</v>
      </c>
      <c r="I1160" s="2">
        <v>0</v>
      </c>
      <c r="J1160" s="2">
        <v>0</v>
      </c>
      <c r="K1160" s="2">
        <v>0</v>
      </c>
      <c r="L1160" s="2">
        <v>0</v>
      </c>
      <c r="M1160">
        <v>0</v>
      </c>
      <c r="N1160">
        <v>0</v>
      </c>
      <c r="O1160" s="2">
        <v>0</v>
      </c>
      <c r="P1160" s="2">
        <v>0</v>
      </c>
      <c r="Q1160">
        <v>8</v>
      </c>
      <c r="R1160" s="2">
        <v>0</v>
      </c>
      <c r="S1160" s="2">
        <v>1</v>
      </c>
      <c r="T1160" t="s">
        <v>651</v>
      </c>
      <c r="U1160" s="2">
        <v>6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1</v>
      </c>
    </row>
    <row r="1161" spans="1:28" hidden="1" x14ac:dyDescent="0.25">
      <c r="A1161" t="s">
        <v>568</v>
      </c>
      <c r="B1161" t="s">
        <v>47</v>
      </c>
      <c r="C1161" t="s">
        <v>64</v>
      </c>
      <c r="D1161" s="9">
        <v>45900</v>
      </c>
      <c r="E1161" s="9">
        <v>45900</v>
      </c>
      <c r="F1161" s="2">
        <v>19</v>
      </c>
      <c r="G1161" s="3" t="s">
        <v>23</v>
      </c>
      <c r="H1161">
        <v>0</v>
      </c>
      <c r="I1161" s="2">
        <v>0</v>
      </c>
      <c r="J1161" s="2">
        <v>0</v>
      </c>
      <c r="K1161" s="2">
        <v>0</v>
      </c>
      <c r="L1161" s="2">
        <v>0</v>
      </c>
      <c r="M1161">
        <v>0</v>
      </c>
      <c r="N1161">
        <v>0</v>
      </c>
      <c r="O1161" s="2">
        <v>0</v>
      </c>
      <c r="P1161" s="2">
        <v>0</v>
      </c>
      <c r="Q1161">
        <v>8</v>
      </c>
      <c r="R1161" s="2">
        <v>0</v>
      </c>
      <c r="S1161" s="2">
        <v>1</v>
      </c>
      <c r="T1161" t="s">
        <v>651</v>
      </c>
      <c r="U1161" s="2">
        <v>6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1</v>
      </c>
    </row>
    <row r="1162" spans="1:28" hidden="1" x14ac:dyDescent="0.25">
      <c r="A1162" t="s">
        <v>25</v>
      </c>
      <c r="B1162" t="s">
        <v>26</v>
      </c>
      <c r="C1162" t="s">
        <v>27</v>
      </c>
      <c r="D1162" s="9">
        <v>45900</v>
      </c>
      <c r="E1162" s="9">
        <v>45900</v>
      </c>
      <c r="F1162" s="2">
        <v>30</v>
      </c>
      <c r="G1162" s="3" t="s">
        <v>23</v>
      </c>
      <c r="H1162">
        <v>0</v>
      </c>
      <c r="I1162" s="2">
        <v>0</v>
      </c>
      <c r="J1162" s="2">
        <v>0</v>
      </c>
      <c r="K1162" s="2">
        <v>0</v>
      </c>
      <c r="L1162" s="2">
        <v>0</v>
      </c>
      <c r="M1162">
        <v>0</v>
      </c>
      <c r="N1162">
        <v>0</v>
      </c>
      <c r="O1162" s="2">
        <v>0</v>
      </c>
      <c r="P1162" s="2">
        <v>1</v>
      </c>
      <c r="Q1162">
        <v>3</v>
      </c>
      <c r="R1162" s="2">
        <v>0</v>
      </c>
      <c r="S1162" s="2">
        <v>1</v>
      </c>
      <c r="T1162" t="s">
        <v>652</v>
      </c>
      <c r="U1162" s="2">
        <v>20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</row>
    <row r="1163" spans="1:28" hidden="1" x14ac:dyDescent="0.25">
      <c r="A1163" t="s">
        <v>33</v>
      </c>
      <c r="B1163" t="s">
        <v>34</v>
      </c>
      <c r="C1163" t="s">
        <v>35</v>
      </c>
      <c r="D1163" s="9">
        <v>45900</v>
      </c>
      <c r="E1163" s="9">
        <v>45900</v>
      </c>
      <c r="F1163" s="2">
        <v>42</v>
      </c>
      <c r="G1163" s="3" t="s">
        <v>23</v>
      </c>
      <c r="H1163">
        <v>0</v>
      </c>
      <c r="I1163" s="2">
        <v>0</v>
      </c>
      <c r="J1163" s="2">
        <v>0</v>
      </c>
      <c r="K1163" s="2">
        <v>0</v>
      </c>
      <c r="L1163" s="2">
        <v>0</v>
      </c>
      <c r="M1163">
        <v>0</v>
      </c>
      <c r="N1163">
        <v>0</v>
      </c>
      <c r="O1163" s="2">
        <v>0</v>
      </c>
      <c r="P1163" s="2">
        <v>1</v>
      </c>
      <c r="Q1163">
        <v>6</v>
      </c>
      <c r="R1163" s="2">
        <v>0</v>
      </c>
      <c r="S1163" s="2">
        <v>1</v>
      </c>
      <c r="T1163" t="s">
        <v>653</v>
      </c>
      <c r="U1163" s="2">
        <v>16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</row>
    <row r="1164" spans="1:28" hidden="1" x14ac:dyDescent="0.25">
      <c r="A1164" t="s">
        <v>37</v>
      </c>
      <c r="B1164" t="s">
        <v>57</v>
      </c>
      <c r="C1164" t="s">
        <v>39</v>
      </c>
      <c r="D1164" s="9">
        <v>45900</v>
      </c>
      <c r="E1164" s="9">
        <v>45900</v>
      </c>
      <c r="F1164" s="2">
        <v>18</v>
      </c>
      <c r="G1164" s="3" t="s">
        <v>23</v>
      </c>
      <c r="H1164">
        <v>0</v>
      </c>
      <c r="I1164" s="2">
        <v>0</v>
      </c>
      <c r="J1164" s="2">
        <v>0</v>
      </c>
      <c r="K1164" s="2">
        <v>0</v>
      </c>
      <c r="L1164" s="2">
        <v>0</v>
      </c>
      <c r="M1164">
        <v>0</v>
      </c>
      <c r="N1164">
        <v>0</v>
      </c>
      <c r="O1164" s="2">
        <v>0</v>
      </c>
      <c r="P1164" s="2">
        <v>1</v>
      </c>
      <c r="Q1164">
        <v>4</v>
      </c>
      <c r="R1164" s="2">
        <v>0</v>
      </c>
      <c r="S1164" s="2">
        <v>1</v>
      </c>
      <c r="T1164" t="s">
        <v>654</v>
      </c>
      <c r="U1164" s="2">
        <v>20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idden="1" x14ac:dyDescent="0.25">
      <c r="A1165" t="s">
        <v>53</v>
      </c>
      <c r="B1165" t="s">
        <v>38</v>
      </c>
      <c r="C1165" t="s">
        <v>54</v>
      </c>
      <c r="D1165" s="9">
        <v>45900</v>
      </c>
      <c r="E1165" s="9">
        <v>45900</v>
      </c>
      <c r="F1165" s="2">
        <v>86</v>
      </c>
      <c r="G1165" s="3" t="s">
        <v>378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t="s">
        <v>377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</row>
    <row r="1166" spans="1:28" hidden="1" x14ac:dyDescent="0.25">
      <c r="A1166" t="s">
        <v>20</v>
      </c>
      <c r="B1166" t="s">
        <v>21</v>
      </c>
      <c r="C1166" t="s">
        <v>22</v>
      </c>
      <c r="D1166" s="9">
        <v>45900</v>
      </c>
      <c r="E1166" s="9">
        <v>45900</v>
      </c>
      <c r="F1166" s="2">
        <v>40</v>
      </c>
      <c r="G1166" s="3" t="s">
        <v>378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t="s">
        <v>377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</row>
    <row r="1167" spans="1:28" hidden="1" x14ac:dyDescent="0.25">
      <c r="A1167" t="s">
        <v>29</v>
      </c>
      <c r="B1167" t="s">
        <v>30</v>
      </c>
      <c r="C1167" t="s">
        <v>31</v>
      </c>
      <c r="D1167" s="9">
        <v>45900</v>
      </c>
      <c r="E1167" s="9">
        <v>45900</v>
      </c>
      <c r="F1167" s="2">
        <v>17</v>
      </c>
      <c r="G1167" s="3" t="s">
        <v>378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t="s">
        <v>377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</row>
    <row r="1168" spans="1:28" hidden="1" x14ac:dyDescent="0.25">
      <c r="A1168" t="s">
        <v>47</v>
      </c>
      <c r="B1168" t="s">
        <v>52</v>
      </c>
      <c r="C1168" t="s">
        <v>212</v>
      </c>
      <c r="D1168" s="9">
        <v>45900</v>
      </c>
      <c r="E1168" s="9">
        <v>45900</v>
      </c>
      <c r="F1168" s="2">
        <v>0</v>
      </c>
      <c r="G1168" s="3" t="s">
        <v>378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t="s">
        <v>377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</row>
    <row r="1169" spans="1:28" hidden="1" x14ac:dyDescent="0.25">
      <c r="A1169" t="s">
        <v>56</v>
      </c>
      <c r="B1169" t="s">
        <v>47</v>
      </c>
      <c r="C1169" t="s">
        <v>64</v>
      </c>
      <c r="D1169" s="1">
        <v>45901</v>
      </c>
      <c r="E1169" s="1">
        <v>45901</v>
      </c>
      <c r="F1169" s="2">
        <v>34</v>
      </c>
      <c r="G1169" s="3" t="s">
        <v>23</v>
      </c>
      <c r="H1169">
        <v>0</v>
      </c>
      <c r="I1169" s="2">
        <v>0</v>
      </c>
      <c r="J1169" s="2">
        <v>0</v>
      </c>
      <c r="K1169" s="2">
        <v>0</v>
      </c>
      <c r="L1169" s="2">
        <v>0</v>
      </c>
      <c r="M1169">
        <v>0</v>
      </c>
      <c r="N1169">
        <v>0</v>
      </c>
      <c r="O1169" s="2">
        <v>0</v>
      </c>
      <c r="P1169" s="2">
        <v>0</v>
      </c>
      <c r="Q1169">
        <v>0</v>
      </c>
      <c r="R1169" s="2">
        <v>0</v>
      </c>
      <c r="S1169" s="2">
        <v>0</v>
      </c>
      <c r="T1169" t="s">
        <v>655</v>
      </c>
      <c r="U1169" s="2">
        <v>0</v>
      </c>
      <c r="V1169" s="2">
        <v>42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</row>
    <row r="1170" spans="1:28" hidden="1" x14ac:dyDescent="0.25">
      <c r="A1170" t="s">
        <v>568</v>
      </c>
      <c r="B1170" t="s">
        <v>47</v>
      </c>
      <c r="C1170" t="s">
        <v>64</v>
      </c>
      <c r="D1170" s="1">
        <v>45901</v>
      </c>
      <c r="E1170" s="1">
        <v>45901</v>
      </c>
      <c r="F1170" s="2">
        <v>34</v>
      </c>
      <c r="G1170" s="3" t="s">
        <v>23</v>
      </c>
      <c r="H1170">
        <v>0</v>
      </c>
      <c r="I1170" s="2">
        <v>0</v>
      </c>
      <c r="J1170" s="2">
        <v>0</v>
      </c>
      <c r="K1170" s="2">
        <v>0</v>
      </c>
      <c r="L1170" s="2">
        <v>0</v>
      </c>
      <c r="M1170">
        <v>0</v>
      </c>
      <c r="N1170">
        <v>0</v>
      </c>
      <c r="O1170" s="2">
        <v>0</v>
      </c>
      <c r="P1170" s="2">
        <v>0</v>
      </c>
      <c r="Q1170">
        <v>0</v>
      </c>
      <c r="R1170" s="2">
        <v>0</v>
      </c>
      <c r="S1170" s="2">
        <v>0</v>
      </c>
      <c r="T1170" t="s">
        <v>655</v>
      </c>
      <c r="U1170" s="2">
        <v>0</v>
      </c>
      <c r="V1170" s="2">
        <v>42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</row>
    <row r="1171" spans="1:28" hidden="1" x14ac:dyDescent="0.25">
      <c r="A1171" t="s">
        <v>53</v>
      </c>
      <c r="B1171" t="s">
        <v>38</v>
      </c>
      <c r="C1171" t="s">
        <v>54</v>
      </c>
      <c r="D1171" s="1">
        <v>45901</v>
      </c>
      <c r="E1171" s="1">
        <v>45901</v>
      </c>
      <c r="F1171" s="2">
        <v>40</v>
      </c>
      <c r="G1171" s="3" t="s">
        <v>23</v>
      </c>
      <c r="H1171">
        <v>0</v>
      </c>
      <c r="I1171" s="2">
        <v>0</v>
      </c>
      <c r="J1171" s="2">
        <v>0</v>
      </c>
      <c r="K1171" s="2">
        <v>0</v>
      </c>
      <c r="L1171" s="2">
        <v>0</v>
      </c>
      <c r="M1171">
        <v>0</v>
      </c>
      <c r="N1171">
        <v>0</v>
      </c>
      <c r="O1171" s="2">
        <v>0</v>
      </c>
      <c r="P1171" s="2">
        <v>0</v>
      </c>
      <c r="Q1171">
        <v>0</v>
      </c>
      <c r="R1171" s="2">
        <v>0</v>
      </c>
      <c r="S1171" s="2">
        <v>0</v>
      </c>
      <c r="T1171" t="s">
        <v>656</v>
      </c>
      <c r="U1171" s="2">
        <v>0</v>
      </c>
      <c r="V1171" s="2">
        <v>49</v>
      </c>
      <c r="W1171" s="2">
        <v>10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</row>
    <row r="1172" spans="1:28" hidden="1" x14ac:dyDescent="0.25">
      <c r="A1172" t="s">
        <v>20</v>
      </c>
      <c r="B1172" t="s">
        <v>21</v>
      </c>
      <c r="C1172" t="s">
        <v>22</v>
      </c>
      <c r="D1172" s="1">
        <v>45901</v>
      </c>
      <c r="E1172" s="1">
        <v>45901</v>
      </c>
      <c r="F1172" s="2">
        <v>20</v>
      </c>
      <c r="G1172" s="3" t="s">
        <v>23</v>
      </c>
      <c r="H1172">
        <v>1</v>
      </c>
      <c r="I1172" s="2">
        <v>0</v>
      </c>
      <c r="J1172" s="2">
        <v>0</v>
      </c>
      <c r="K1172" s="2">
        <v>0</v>
      </c>
      <c r="L1172" s="2">
        <v>0</v>
      </c>
      <c r="M1172">
        <v>0</v>
      </c>
      <c r="N1172">
        <v>0</v>
      </c>
      <c r="O1172" s="2">
        <v>0</v>
      </c>
      <c r="P1172" s="2">
        <v>0</v>
      </c>
      <c r="Q1172">
        <v>0</v>
      </c>
      <c r="R1172" s="2">
        <v>0</v>
      </c>
      <c r="S1172" s="2">
        <v>0</v>
      </c>
      <c r="T1172" t="s">
        <v>657</v>
      </c>
      <c r="U1172" s="2">
        <v>0</v>
      </c>
      <c r="V1172" s="2">
        <v>42</v>
      </c>
      <c r="W1172" s="2">
        <v>10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</row>
    <row r="1173" spans="1:28" hidden="1" x14ac:dyDescent="0.25">
      <c r="A1173" t="s">
        <v>25</v>
      </c>
      <c r="B1173" t="s">
        <v>26</v>
      </c>
      <c r="C1173" t="s">
        <v>27</v>
      </c>
      <c r="D1173" s="1">
        <v>45901</v>
      </c>
      <c r="E1173" s="1">
        <v>45901</v>
      </c>
      <c r="F1173" s="2">
        <v>30</v>
      </c>
      <c r="G1173" s="3" t="s">
        <v>23</v>
      </c>
      <c r="H1173">
        <v>0</v>
      </c>
      <c r="I1173" s="2">
        <v>0</v>
      </c>
      <c r="J1173" s="2">
        <v>0</v>
      </c>
      <c r="K1173" s="2">
        <v>0</v>
      </c>
      <c r="L1173" s="2">
        <v>0</v>
      </c>
      <c r="M1173">
        <v>0</v>
      </c>
      <c r="N1173">
        <v>0</v>
      </c>
      <c r="O1173" s="2">
        <v>0</v>
      </c>
      <c r="P1173" s="2">
        <v>0</v>
      </c>
      <c r="Q1173">
        <v>0</v>
      </c>
      <c r="R1173" s="2">
        <v>0</v>
      </c>
      <c r="S1173" s="2">
        <v>0</v>
      </c>
      <c r="T1173" t="s">
        <v>658</v>
      </c>
      <c r="U1173" s="2">
        <v>0</v>
      </c>
      <c r="V1173" s="2">
        <v>60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</row>
    <row r="1174" spans="1:28" hidden="1" x14ac:dyDescent="0.25">
      <c r="A1174" t="s">
        <v>33</v>
      </c>
      <c r="B1174" t="s">
        <v>34</v>
      </c>
      <c r="C1174" t="s">
        <v>35</v>
      </c>
      <c r="D1174" s="1">
        <v>45901</v>
      </c>
      <c r="E1174" s="1">
        <v>45901</v>
      </c>
      <c r="F1174" s="2">
        <v>21</v>
      </c>
      <c r="G1174" s="3" t="s">
        <v>23</v>
      </c>
      <c r="H1174">
        <v>0</v>
      </c>
      <c r="I1174" s="2">
        <v>0</v>
      </c>
      <c r="J1174" s="2">
        <v>0</v>
      </c>
      <c r="K1174" s="2">
        <v>0</v>
      </c>
      <c r="L1174" s="2">
        <v>0</v>
      </c>
      <c r="M1174">
        <v>0</v>
      </c>
      <c r="N1174">
        <v>0</v>
      </c>
      <c r="O1174" s="2">
        <v>0</v>
      </c>
      <c r="P1174" s="2">
        <v>0</v>
      </c>
      <c r="Q1174">
        <v>0</v>
      </c>
      <c r="R1174" s="2">
        <v>0</v>
      </c>
      <c r="S1174" s="2">
        <v>0</v>
      </c>
      <c r="T1174" t="s">
        <v>659</v>
      </c>
      <c r="U1174" s="2">
        <v>0</v>
      </c>
      <c r="V1174" s="2">
        <v>40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</row>
    <row r="1175" spans="1:28" hidden="1" x14ac:dyDescent="0.25">
      <c r="A1175" t="s">
        <v>37</v>
      </c>
      <c r="B1175" t="s">
        <v>57</v>
      </c>
      <c r="C1175" t="s">
        <v>39</v>
      </c>
      <c r="D1175" s="1">
        <v>45901</v>
      </c>
      <c r="E1175" s="1">
        <v>45901</v>
      </c>
      <c r="F1175" s="2">
        <v>19</v>
      </c>
      <c r="G1175" s="3" t="s">
        <v>23</v>
      </c>
      <c r="H1175">
        <v>0</v>
      </c>
      <c r="I1175" s="2">
        <v>0</v>
      </c>
      <c r="J1175" s="2">
        <v>0</v>
      </c>
      <c r="K1175" s="2">
        <v>0</v>
      </c>
      <c r="L1175" s="2">
        <v>0</v>
      </c>
      <c r="M1175">
        <v>0</v>
      </c>
      <c r="N1175">
        <v>0</v>
      </c>
      <c r="O1175" s="2">
        <v>0</v>
      </c>
      <c r="P1175" s="2">
        <v>0</v>
      </c>
      <c r="Q1175">
        <v>0</v>
      </c>
      <c r="R1175" s="2">
        <v>0</v>
      </c>
      <c r="S1175" s="2">
        <v>0</v>
      </c>
      <c r="T1175" t="s">
        <v>660</v>
      </c>
      <c r="U1175" s="2">
        <v>0</v>
      </c>
      <c r="V1175" s="2">
        <v>42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</row>
    <row r="1176" spans="1:28" hidden="1" x14ac:dyDescent="0.25">
      <c r="A1176" t="s">
        <v>29</v>
      </c>
      <c r="B1176" t="s">
        <v>661</v>
      </c>
      <c r="C1176" t="s">
        <v>39</v>
      </c>
      <c r="D1176" s="1">
        <v>45901</v>
      </c>
      <c r="E1176" s="1">
        <v>45901</v>
      </c>
      <c r="F1176" s="2">
        <v>19</v>
      </c>
      <c r="G1176" s="3" t="s">
        <v>23</v>
      </c>
      <c r="H1176">
        <v>0</v>
      </c>
      <c r="I1176" s="2">
        <v>0</v>
      </c>
      <c r="J1176" s="2">
        <v>0</v>
      </c>
      <c r="K1176" s="2">
        <v>0</v>
      </c>
      <c r="L1176" s="2">
        <v>0</v>
      </c>
      <c r="M1176">
        <v>0</v>
      </c>
      <c r="N1176">
        <v>0</v>
      </c>
      <c r="O1176" s="2">
        <v>0</v>
      </c>
      <c r="P1176" s="2">
        <v>0</v>
      </c>
      <c r="Q1176">
        <v>0</v>
      </c>
      <c r="R1176" s="2">
        <v>0</v>
      </c>
      <c r="S1176" s="2">
        <v>0</v>
      </c>
      <c r="T1176" t="s">
        <v>660</v>
      </c>
      <c r="U1176" s="2">
        <v>0</v>
      </c>
      <c r="V1176" s="2">
        <v>14</v>
      </c>
      <c r="W1176" s="2">
        <v>10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idden="1" x14ac:dyDescent="0.25">
      <c r="A1177" t="s">
        <v>47</v>
      </c>
      <c r="B1177" t="s">
        <v>52</v>
      </c>
      <c r="C1177" t="s">
        <v>212</v>
      </c>
      <c r="D1177" s="1">
        <v>45901</v>
      </c>
      <c r="E1177" s="1">
        <v>45901</v>
      </c>
      <c r="F1177" s="2">
        <v>0</v>
      </c>
      <c r="G1177" s="3" t="s">
        <v>572</v>
      </c>
      <c r="H1177">
        <v>0</v>
      </c>
      <c r="I1177" s="2">
        <v>0</v>
      </c>
      <c r="J1177" s="2">
        <v>0</v>
      </c>
      <c r="K1177" s="2">
        <v>0</v>
      </c>
      <c r="L1177" s="2">
        <v>0</v>
      </c>
      <c r="M1177">
        <v>0</v>
      </c>
      <c r="N1177">
        <v>0</v>
      </c>
      <c r="O1177" s="2">
        <v>0</v>
      </c>
      <c r="P1177" s="2">
        <v>0</v>
      </c>
      <c r="Q1177">
        <v>0</v>
      </c>
      <c r="R1177" s="2">
        <v>0</v>
      </c>
      <c r="S1177" s="2">
        <v>0</v>
      </c>
      <c r="T1177" t="s">
        <v>377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idden="1" x14ac:dyDescent="0.25">
      <c r="A1178" t="s">
        <v>568</v>
      </c>
      <c r="B1178" t="s">
        <v>34</v>
      </c>
      <c r="C1178" t="s">
        <v>64</v>
      </c>
      <c r="D1178" s="1">
        <v>45902</v>
      </c>
      <c r="E1178" s="1">
        <v>45902</v>
      </c>
      <c r="F1178" s="2">
        <v>29</v>
      </c>
      <c r="G1178" s="3" t="s">
        <v>23</v>
      </c>
      <c r="H1178">
        <v>40</v>
      </c>
      <c r="I1178" s="2">
        <v>0</v>
      </c>
      <c r="J1178" s="2">
        <v>0</v>
      </c>
      <c r="K1178" s="2">
        <v>1</v>
      </c>
      <c r="L1178" s="2">
        <v>0</v>
      </c>
      <c r="M1178">
        <v>0</v>
      </c>
      <c r="N1178">
        <v>0</v>
      </c>
      <c r="O1178" s="2">
        <v>0</v>
      </c>
      <c r="P1178" s="2">
        <v>0</v>
      </c>
      <c r="Q1178">
        <v>0</v>
      </c>
      <c r="R1178" s="2">
        <v>0</v>
      </c>
      <c r="S1178" s="2">
        <v>0</v>
      </c>
      <c r="T1178" t="s">
        <v>662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idden="1" x14ac:dyDescent="0.25">
      <c r="A1179" t="s">
        <v>25</v>
      </c>
      <c r="B1179" t="s">
        <v>26</v>
      </c>
      <c r="C1179" t="s">
        <v>27</v>
      </c>
      <c r="D1179" s="1">
        <v>45902</v>
      </c>
      <c r="E1179" s="1">
        <v>45902</v>
      </c>
      <c r="F1179" s="2">
        <v>25</v>
      </c>
      <c r="G1179" s="3" t="s">
        <v>23</v>
      </c>
      <c r="H1179">
        <v>38</v>
      </c>
      <c r="I1179" s="2">
        <v>0</v>
      </c>
      <c r="J1179" s="2">
        <v>0</v>
      </c>
      <c r="K1179" s="2">
        <v>1</v>
      </c>
      <c r="L1179" s="2">
        <v>0</v>
      </c>
      <c r="M1179">
        <v>0</v>
      </c>
      <c r="N1179">
        <v>0</v>
      </c>
      <c r="O1179" s="2">
        <v>0</v>
      </c>
      <c r="P1179" s="2">
        <v>0</v>
      </c>
      <c r="Q1179">
        <v>0</v>
      </c>
      <c r="R1179" s="2">
        <v>0</v>
      </c>
      <c r="S1179" s="2">
        <v>0</v>
      </c>
      <c r="T1179" t="s">
        <v>663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</row>
    <row r="1180" spans="1:28" hidden="1" x14ac:dyDescent="0.25">
      <c r="A1180" t="s">
        <v>53</v>
      </c>
      <c r="B1180" t="s">
        <v>38</v>
      </c>
      <c r="C1180" t="s">
        <v>102</v>
      </c>
      <c r="D1180" s="1">
        <v>45902</v>
      </c>
      <c r="E1180" s="1">
        <v>45902</v>
      </c>
      <c r="F1180" s="2">
        <v>23</v>
      </c>
      <c r="G1180" s="3" t="s">
        <v>23</v>
      </c>
      <c r="H1180">
        <v>22</v>
      </c>
      <c r="I1180" s="2">
        <v>0</v>
      </c>
      <c r="J1180" s="2">
        <v>0</v>
      </c>
      <c r="K1180" s="2">
        <v>0</v>
      </c>
      <c r="L1180" s="2">
        <v>1</v>
      </c>
      <c r="M1180">
        <v>0</v>
      </c>
      <c r="N1180">
        <v>0</v>
      </c>
      <c r="O1180" s="2">
        <v>0</v>
      </c>
      <c r="P1180" s="2">
        <v>0</v>
      </c>
      <c r="Q1180">
        <v>2</v>
      </c>
      <c r="R1180" s="2">
        <v>0</v>
      </c>
      <c r="S1180" s="2">
        <v>0</v>
      </c>
      <c r="T1180" t="s">
        <v>664</v>
      </c>
      <c r="U1180" s="2">
        <v>0</v>
      </c>
      <c r="V1180" s="2">
        <v>15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idden="1" x14ac:dyDescent="0.25">
      <c r="A1181" t="s">
        <v>63</v>
      </c>
      <c r="B1181" t="s">
        <v>47</v>
      </c>
      <c r="C1181" t="s">
        <v>102</v>
      </c>
      <c r="D1181" s="1">
        <v>45902</v>
      </c>
      <c r="E1181" s="1">
        <v>45902</v>
      </c>
      <c r="F1181" s="2">
        <v>23</v>
      </c>
      <c r="G1181" s="3" t="s">
        <v>23</v>
      </c>
      <c r="H1181">
        <v>36</v>
      </c>
      <c r="I1181" s="2">
        <v>0</v>
      </c>
      <c r="J1181" s="2">
        <v>0</v>
      </c>
      <c r="K1181" s="2">
        <v>1</v>
      </c>
      <c r="L1181" s="2">
        <v>0</v>
      </c>
      <c r="M1181">
        <v>0</v>
      </c>
      <c r="N1181">
        <v>0</v>
      </c>
      <c r="O1181" s="2">
        <v>0</v>
      </c>
      <c r="P1181" s="2">
        <v>0</v>
      </c>
      <c r="Q1181">
        <v>0</v>
      </c>
      <c r="R1181" s="2">
        <v>0</v>
      </c>
      <c r="S1181" s="2">
        <v>0</v>
      </c>
      <c r="T1181" t="s">
        <v>664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</row>
    <row r="1182" spans="1:28" hidden="1" x14ac:dyDescent="0.25">
      <c r="A1182" t="s">
        <v>56</v>
      </c>
      <c r="B1182" t="s">
        <v>47</v>
      </c>
      <c r="C1182" t="s">
        <v>102</v>
      </c>
      <c r="D1182" s="1">
        <v>45902</v>
      </c>
      <c r="E1182" s="1">
        <v>45902</v>
      </c>
      <c r="F1182" s="2">
        <v>23</v>
      </c>
      <c r="G1182" s="3" t="s">
        <v>23</v>
      </c>
      <c r="H1182">
        <v>26</v>
      </c>
      <c r="I1182" s="2">
        <v>0</v>
      </c>
      <c r="J1182" s="2">
        <v>0</v>
      </c>
      <c r="K1182" s="2">
        <v>1</v>
      </c>
      <c r="L1182" s="2">
        <v>0</v>
      </c>
      <c r="M1182">
        <v>0</v>
      </c>
      <c r="N1182">
        <v>0</v>
      </c>
      <c r="O1182" s="2">
        <v>0</v>
      </c>
      <c r="P1182" s="2">
        <v>0</v>
      </c>
      <c r="Q1182">
        <v>2</v>
      </c>
      <c r="R1182" s="2">
        <v>0</v>
      </c>
      <c r="S1182" s="2">
        <v>0</v>
      </c>
      <c r="T1182" t="s">
        <v>664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</row>
    <row r="1183" spans="1:28" hidden="1" x14ac:dyDescent="0.25">
      <c r="A1183" t="s">
        <v>33</v>
      </c>
      <c r="B1183" t="s">
        <v>47</v>
      </c>
      <c r="C1183" t="s">
        <v>35</v>
      </c>
      <c r="D1183" s="1">
        <v>45902</v>
      </c>
      <c r="E1183" s="1">
        <v>45902</v>
      </c>
      <c r="F1183" s="2">
        <v>65</v>
      </c>
      <c r="G1183" s="3" t="s">
        <v>23</v>
      </c>
      <c r="H1183">
        <v>21</v>
      </c>
      <c r="I1183" s="2">
        <v>0</v>
      </c>
      <c r="J1183" s="2">
        <v>1</v>
      </c>
      <c r="K1183" s="2">
        <v>1</v>
      </c>
      <c r="L1183" s="2">
        <v>0</v>
      </c>
      <c r="M1183">
        <v>0</v>
      </c>
      <c r="N1183">
        <v>1</v>
      </c>
      <c r="O1183" s="2">
        <v>0</v>
      </c>
      <c r="P1183" s="2">
        <v>0</v>
      </c>
      <c r="Q1183">
        <v>0</v>
      </c>
      <c r="R1183" s="2">
        <v>0</v>
      </c>
      <c r="S1183" s="2">
        <v>0</v>
      </c>
      <c r="T1183" t="s">
        <v>665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</row>
    <row r="1184" spans="1:28" hidden="1" x14ac:dyDescent="0.25">
      <c r="A1184" t="s">
        <v>47</v>
      </c>
      <c r="B1184" t="s">
        <v>57</v>
      </c>
      <c r="C1184" t="s">
        <v>35</v>
      </c>
      <c r="D1184" s="1">
        <v>45902</v>
      </c>
      <c r="E1184" s="1">
        <v>45902</v>
      </c>
      <c r="F1184" s="2">
        <v>65</v>
      </c>
      <c r="G1184" s="3" t="s">
        <v>23</v>
      </c>
      <c r="H1184">
        <f>26+5</f>
        <v>31</v>
      </c>
      <c r="I1184" s="2">
        <v>0</v>
      </c>
      <c r="J1184" s="2">
        <v>1</v>
      </c>
      <c r="K1184" s="2">
        <v>1</v>
      </c>
      <c r="L1184" s="2">
        <v>0</v>
      </c>
      <c r="M1184">
        <v>0</v>
      </c>
      <c r="N1184">
        <v>1</v>
      </c>
      <c r="O1184" s="2">
        <v>0</v>
      </c>
      <c r="P1184" s="2">
        <v>0</v>
      </c>
      <c r="Q1184">
        <v>0</v>
      </c>
      <c r="R1184" s="2">
        <v>0</v>
      </c>
      <c r="S1184" s="2">
        <v>0</v>
      </c>
      <c r="T1184" t="s">
        <v>665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idden="1" x14ac:dyDescent="0.25">
      <c r="A1185" t="s">
        <v>20</v>
      </c>
      <c r="B1185" t="s">
        <v>21</v>
      </c>
      <c r="C1185" t="s">
        <v>212</v>
      </c>
      <c r="D1185" s="1">
        <v>45902</v>
      </c>
      <c r="E1185" s="1">
        <v>45902</v>
      </c>
      <c r="F1185" s="2">
        <v>0</v>
      </c>
      <c r="G1185" s="3" t="s">
        <v>48</v>
      </c>
      <c r="H1185">
        <v>0</v>
      </c>
      <c r="I1185" s="2">
        <v>0</v>
      </c>
      <c r="J1185" s="2">
        <v>0</v>
      </c>
      <c r="K1185" s="2">
        <v>0</v>
      </c>
      <c r="L1185" s="2">
        <v>0</v>
      </c>
      <c r="M1185">
        <v>0</v>
      </c>
      <c r="N1185">
        <v>0</v>
      </c>
      <c r="O1185" s="2">
        <v>0</v>
      </c>
      <c r="P1185" s="2">
        <v>0</v>
      </c>
      <c r="Q1185">
        <v>0</v>
      </c>
      <c r="R1185" s="2">
        <v>0</v>
      </c>
      <c r="S1185" s="2">
        <v>0</v>
      </c>
      <c r="T1185" t="s">
        <v>377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</row>
    <row r="1186" spans="1:28" hidden="1" x14ac:dyDescent="0.25">
      <c r="A1186" t="s">
        <v>29</v>
      </c>
      <c r="B1186" t="s">
        <v>30</v>
      </c>
      <c r="C1186" t="s">
        <v>212</v>
      </c>
      <c r="D1186" s="1">
        <v>45902</v>
      </c>
      <c r="E1186" s="1">
        <v>45902</v>
      </c>
      <c r="F1186" s="2">
        <v>0</v>
      </c>
      <c r="G1186" s="3" t="s">
        <v>48</v>
      </c>
      <c r="H1186">
        <v>0</v>
      </c>
      <c r="I1186" s="2">
        <v>0</v>
      </c>
      <c r="J1186" s="2">
        <v>0</v>
      </c>
      <c r="K1186" s="2">
        <v>0</v>
      </c>
      <c r="L1186" s="2">
        <v>0</v>
      </c>
      <c r="M1186">
        <v>0</v>
      </c>
      <c r="N1186">
        <v>0</v>
      </c>
      <c r="O1186" s="2">
        <v>0</v>
      </c>
      <c r="P1186" s="2">
        <v>0</v>
      </c>
      <c r="Q1186">
        <v>0</v>
      </c>
      <c r="R1186" s="2">
        <v>0</v>
      </c>
      <c r="S1186" s="2">
        <v>0</v>
      </c>
      <c r="T1186" t="s">
        <v>377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</row>
    <row r="1187" spans="1:28" hidden="1" x14ac:dyDescent="0.25">
      <c r="A1187" t="s">
        <v>37</v>
      </c>
      <c r="B1187" t="s">
        <v>47</v>
      </c>
      <c r="C1187" t="s">
        <v>212</v>
      </c>
      <c r="D1187" s="1">
        <v>45902</v>
      </c>
      <c r="E1187" s="1">
        <v>45902</v>
      </c>
      <c r="F1187" s="2">
        <v>0</v>
      </c>
      <c r="G1187" s="3" t="s">
        <v>666</v>
      </c>
      <c r="H1187">
        <v>0</v>
      </c>
      <c r="I1187" s="2">
        <v>0</v>
      </c>
      <c r="J1187" s="2">
        <v>0</v>
      </c>
      <c r="K1187" s="2">
        <v>0</v>
      </c>
      <c r="L1187" s="2">
        <v>0</v>
      </c>
      <c r="M1187">
        <v>0</v>
      </c>
      <c r="N1187">
        <v>0</v>
      </c>
      <c r="O1187" s="2">
        <v>0</v>
      </c>
      <c r="P1187" s="2">
        <v>0</v>
      </c>
      <c r="Q1187">
        <v>0</v>
      </c>
      <c r="R1187" s="2">
        <v>0</v>
      </c>
      <c r="S1187" s="2">
        <v>0</v>
      </c>
      <c r="T1187" t="s">
        <v>377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</row>
    <row r="1188" spans="1:28" hidden="1" x14ac:dyDescent="0.25">
      <c r="A1188" t="s">
        <v>47</v>
      </c>
      <c r="B1188" t="s">
        <v>52</v>
      </c>
      <c r="C1188" t="s">
        <v>212</v>
      </c>
      <c r="D1188" s="1">
        <v>45902</v>
      </c>
      <c r="E1188" s="1">
        <v>45902</v>
      </c>
      <c r="F1188" s="2">
        <v>0</v>
      </c>
      <c r="G1188" s="3" t="s">
        <v>572</v>
      </c>
      <c r="H1188">
        <v>0</v>
      </c>
      <c r="I1188" s="2">
        <v>0</v>
      </c>
      <c r="J1188" s="2">
        <v>0</v>
      </c>
      <c r="K1188" s="2">
        <v>0</v>
      </c>
      <c r="L1188" s="2">
        <v>0</v>
      </c>
      <c r="M1188">
        <v>0</v>
      </c>
      <c r="N1188">
        <v>0</v>
      </c>
      <c r="O1188" s="2">
        <v>0</v>
      </c>
      <c r="P1188" s="2">
        <v>0</v>
      </c>
      <c r="Q1188">
        <v>0</v>
      </c>
      <c r="R1188" s="2">
        <v>0</v>
      </c>
      <c r="S1188" s="2">
        <v>0</v>
      </c>
      <c r="T1188" t="s">
        <v>377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</row>
    <row r="1189" spans="1:28" hidden="1" x14ac:dyDescent="0.25">
      <c r="A1189" t="s">
        <v>20</v>
      </c>
      <c r="B1189" t="s">
        <v>21</v>
      </c>
      <c r="C1189" t="s">
        <v>22</v>
      </c>
      <c r="D1189" s="1">
        <v>45903</v>
      </c>
      <c r="E1189" s="1">
        <v>45903</v>
      </c>
      <c r="F1189" s="2">
        <v>48</v>
      </c>
      <c r="G1189" s="3" t="s">
        <v>23</v>
      </c>
      <c r="H1189">
        <v>32</v>
      </c>
      <c r="I1189" s="2">
        <v>0</v>
      </c>
      <c r="J1189" s="2">
        <v>0</v>
      </c>
      <c r="K1189" s="2">
        <v>1</v>
      </c>
      <c r="L1189" s="2">
        <v>0</v>
      </c>
      <c r="M1189">
        <v>0</v>
      </c>
      <c r="N1189">
        <v>0</v>
      </c>
      <c r="O1189" s="2">
        <v>0</v>
      </c>
      <c r="P1189" s="2">
        <v>0</v>
      </c>
      <c r="Q1189">
        <v>0</v>
      </c>
      <c r="R1189" s="2">
        <v>0</v>
      </c>
      <c r="S1189" s="2">
        <v>0</v>
      </c>
      <c r="T1189" t="s">
        <v>667</v>
      </c>
      <c r="U1189" s="2">
        <v>0</v>
      </c>
      <c r="V1189" s="2">
        <v>1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</row>
    <row r="1190" spans="1:28" hidden="1" x14ac:dyDescent="0.25">
      <c r="A1190" t="s">
        <v>25</v>
      </c>
      <c r="B1190" t="s">
        <v>26</v>
      </c>
      <c r="C1190" t="s">
        <v>27</v>
      </c>
      <c r="D1190" s="1">
        <v>45903</v>
      </c>
      <c r="E1190" s="1">
        <v>45903</v>
      </c>
      <c r="F1190" s="2">
        <v>26</v>
      </c>
      <c r="G1190" s="3" t="s">
        <v>23</v>
      </c>
      <c r="H1190">
        <v>10</v>
      </c>
      <c r="I1190" s="2">
        <v>0</v>
      </c>
      <c r="J1190" s="2">
        <v>0</v>
      </c>
      <c r="K1190" s="2">
        <v>0</v>
      </c>
      <c r="L1190" s="2">
        <v>1</v>
      </c>
      <c r="M1190">
        <v>0</v>
      </c>
      <c r="N1190">
        <v>0</v>
      </c>
      <c r="O1190" s="2">
        <v>0</v>
      </c>
      <c r="P1190" s="2">
        <v>0</v>
      </c>
      <c r="Q1190">
        <v>0</v>
      </c>
      <c r="R1190" s="2">
        <v>0</v>
      </c>
      <c r="S1190" s="2">
        <v>0</v>
      </c>
      <c r="T1190" t="s">
        <v>668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</row>
    <row r="1191" spans="1:28" hidden="1" x14ac:dyDescent="0.25">
      <c r="A1191" t="s">
        <v>29</v>
      </c>
      <c r="B1191" t="s">
        <v>30</v>
      </c>
      <c r="C1191" t="s">
        <v>31</v>
      </c>
      <c r="D1191" s="1">
        <v>45903</v>
      </c>
      <c r="E1191" s="1">
        <v>45903</v>
      </c>
      <c r="F1191" s="2">
        <v>17</v>
      </c>
      <c r="G1191" s="3" t="s">
        <v>23</v>
      </c>
      <c r="H1191">
        <v>42</v>
      </c>
      <c r="I1191" s="2">
        <v>0</v>
      </c>
      <c r="J1191" s="2">
        <v>0</v>
      </c>
      <c r="K1191" s="2">
        <v>1</v>
      </c>
      <c r="L1191" s="2">
        <v>0</v>
      </c>
      <c r="M1191">
        <v>0</v>
      </c>
      <c r="N1191">
        <v>0</v>
      </c>
      <c r="O1191" s="2">
        <v>0</v>
      </c>
      <c r="P1191" s="2">
        <v>0</v>
      </c>
      <c r="Q1191">
        <v>0</v>
      </c>
      <c r="R1191" s="2">
        <v>0</v>
      </c>
      <c r="S1191" s="2">
        <v>0</v>
      </c>
      <c r="T1191" t="s">
        <v>669</v>
      </c>
      <c r="U1191" s="2">
        <v>0</v>
      </c>
      <c r="V1191" s="2">
        <v>4</v>
      </c>
      <c r="W1191" s="2">
        <v>6</v>
      </c>
      <c r="X1191" s="2">
        <v>1</v>
      </c>
      <c r="Y1191" s="2">
        <v>0</v>
      </c>
      <c r="Z1191" s="2">
        <v>0</v>
      </c>
      <c r="AA1191" s="2">
        <v>0</v>
      </c>
      <c r="AB1191" s="2">
        <v>0</v>
      </c>
    </row>
    <row r="1192" spans="1:28" hidden="1" x14ac:dyDescent="0.25">
      <c r="A1192" t="s">
        <v>568</v>
      </c>
      <c r="B1192" t="s">
        <v>47</v>
      </c>
      <c r="C1192" t="s">
        <v>670</v>
      </c>
      <c r="D1192" s="1">
        <v>45903</v>
      </c>
      <c r="E1192" s="1">
        <v>45903</v>
      </c>
      <c r="F1192" s="2">
        <v>48</v>
      </c>
      <c r="G1192" s="3" t="s">
        <v>23</v>
      </c>
      <c r="H1192">
        <v>28</v>
      </c>
      <c r="I1192" s="2">
        <v>0</v>
      </c>
      <c r="J1192" s="2">
        <v>1</v>
      </c>
      <c r="K1192" s="2">
        <v>1</v>
      </c>
      <c r="L1192" s="2">
        <v>0</v>
      </c>
      <c r="M1192">
        <v>1</v>
      </c>
      <c r="N1192">
        <v>0</v>
      </c>
      <c r="O1192" s="2">
        <v>0</v>
      </c>
      <c r="P1192" s="2">
        <v>0</v>
      </c>
      <c r="Q1192">
        <v>0</v>
      </c>
      <c r="R1192" s="2">
        <v>0</v>
      </c>
      <c r="S1192" s="2">
        <v>0</v>
      </c>
      <c r="T1192" t="s">
        <v>671</v>
      </c>
      <c r="U1192" s="2">
        <v>0</v>
      </c>
      <c r="V1192" s="2">
        <v>2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</row>
    <row r="1193" spans="1:28" hidden="1" x14ac:dyDescent="0.25">
      <c r="A1193" t="s">
        <v>56</v>
      </c>
      <c r="B1193" t="s">
        <v>47</v>
      </c>
      <c r="C1193" t="s">
        <v>670</v>
      </c>
      <c r="D1193" s="1">
        <v>45903</v>
      </c>
      <c r="E1193" s="1">
        <v>45903</v>
      </c>
      <c r="F1193" s="2">
        <v>48</v>
      </c>
      <c r="G1193" s="3" t="s">
        <v>23</v>
      </c>
      <c r="H1193">
        <v>28</v>
      </c>
      <c r="I1193" s="2">
        <v>0</v>
      </c>
      <c r="J1193" s="2">
        <v>1</v>
      </c>
      <c r="K1193" s="2">
        <v>1</v>
      </c>
      <c r="L1193" s="2">
        <v>0</v>
      </c>
      <c r="M1193">
        <v>1</v>
      </c>
      <c r="N1193">
        <v>0</v>
      </c>
      <c r="O1193" s="2">
        <v>0</v>
      </c>
      <c r="P1193" s="2">
        <v>0</v>
      </c>
      <c r="Q1193">
        <v>0</v>
      </c>
      <c r="R1193" s="2">
        <v>0</v>
      </c>
      <c r="S1193" s="2">
        <v>0</v>
      </c>
      <c r="T1193" t="s">
        <v>671</v>
      </c>
      <c r="U1193" s="2">
        <v>0</v>
      </c>
      <c r="V1193" s="2">
        <v>2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</row>
    <row r="1194" spans="1:28" hidden="1" x14ac:dyDescent="0.25">
      <c r="A1194" t="s">
        <v>37</v>
      </c>
      <c r="B1194" t="s">
        <v>57</v>
      </c>
      <c r="C1194" t="s">
        <v>39</v>
      </c>
      <c r="D1194" s="1">
        <v>45903</v>
      </c>
      <c r="E1194" s="1">
        <v>45903</v>
      </c>
      <c r="F1194" s="2">
        <v>17</v>
      </c>
      <c r="G1194" s="3" t="s">
        <v>23</v>
      </c>
      <c r="H1194">
        <v>40</v>
      </c>
      <c r="I1194" s="2">
        <v>0</v>
      </c>
      <c r="J1194" s="2">
        <v>0</v>
      </c>
      <c r="K1194" s="2">
        <v>1</v>
      </c>
      <c r="L1194" s="2">
        <v>0</v>
      </c>
      <c r="M1194">
        <v>0</v>
      </c>
      <c r="N1194">
        <v>0</v>
      </c>
      <c r="O1194" s="2">
        <v>0</v>
      </c>
      <c r="P1194" s="2">
        <v>0</v>
      </c>
      <c r="Q1194">
        <v>0</v>
      </c>
      <c r="R1194" s="2">
        <v>0</v>
      </c>
      <c r="S1194" s="2">
        <v>0</v>
      </c>
      <c r="T1194" t="s">
        <v>672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</row>
    <row r="1195" spans="1:28" hidden="1" x14ac:dyDescent="0.25">
      <c r="A1195" t="s">
        <v>53</v>
      </c>
      <c r="B1195" t="s">
        <v>38</v>
      </c>
      <c r="C1195" t="s">
        <v>212</v>
      </c>
      <c r="D1195" s="1">
        <v>45903</v>
      </c>
      <c r="E1195" s="1">
        <v>45903</v>
      </c>
      <c r="F1195" s="2">
        <v>0</v>
      </c>
      <c r="G1195" s="3" t="s">
        <v>48</v>
      </c>
      <c r="H1195">
        <v>0</v>
      </c>
      <c r="I1195" s="2">
        <v>0</v>
      </c>
      <c r="J1195" s="2">
        <v>0</v>
      </c>
      <c r="K1195" s="2">
        <v>0</v>
      </c>
      <c r="L1195" s="2">
        <v>0</v>
      </c>
      <c r="M1195">
        <v>0</v>
      </c>
      <c r="N1195">
        <v>0</v>
      </c>
      <c r="O1195" s="2">
        <v>0</v>
      </c>
      <c r="P1195" s="2">
        <v>0</v>
      </c>
      <c r="Q1195">
        <v>0</v>
      </c>
      <c r="R1195" s="2">
        <v>0</v>
      </c>
      <c r="S1195" s="2">
        <v>0</v>
      </c>
      <c r="T1195" t="s">
        <v>377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</row>
    <row r="1196" spans="1:28" hidden="1" x14ac:dyDescent="0.25">
      <c r="A1196" t="s">
        <v>47</v>
      </c>
      <c r="B1196" t="s">
        <v>34</v>
      </c>
      <c r="C1196" t="s">
        <v>212</v>
      </c>
      <c r="D1196" s="1">
        <v>45903</v>
      </c>
      <c r="E1196" s="1">
        <v>45903</v>
      </c>
      <c r="F1196" s="2">
        <v>0</v>
      </c>
      <c r="G1196" s="3" t="s">
        <v>48</v>
      </c>
      <c r="H1196">
        <v>0</v>
      </c>
      <c r="I1196" s="2">
        <v>0</v>
      </c>
      <c r="J1196" s="2">
        <v>0</v>
      </c>
      <c r="K1196" s="2">
        <v>0</v>
      </c>
      <c r="L1196" s="2">
        <v>0</v>
      </c>
      <c r="M1196">
        <v>0</v>
      </c>
      <c r="N1196">
        <v>0</v>
      </c>
      <c r="O1196" s="2">
        <v>0</v>
      </c>
      <c r="P1196" s="2">
        <v>0</v>
      </c>
      <c r="Q1196">
        <v>0</v>
      </c>
      <c r="R1196" s="2">
        <v>0</v>
      </c>
      <c r="S1196" s="2">
        <v>0</v>
      </c>
      <c r="T1196" t="s">
        <v>377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</row>
    <row r="1197" spans="1:28" hidden="1" x14ac:dyDescent="0.25">
      <c r="A1197" t="s">
        <v>33</v>
      </c>
      <c r="B1197" t="s">
        <v>47</v>
      </c>
      <c r="C1197" t="s">
        <v>212</v>
      </c>
      <c r="D1197" s="1">
        <v>45903</v>
      </c>
      <c r="E1197" s="1">
        <v>45903</v>
      </c>
      <c r="F1197" s="2">
        <v>0</v>
      </c>
      <c r="G1197" s="3" t="s">
        <v>572</v>
      </c>
      <c r="H1197">
        <v>0</v>
      </c>
      <c r="I1197" s="2">
        <v>0</v>
      </c>
      <c r="J1197" s="2">
        <v>0</v>
      </c>
      <c r="K1197" s="2">
        <v>0</v>
      </c>
      <c r="L1197" s="2">
        <v>0</v>
      </c>
      <c r="M1197">
        <v>0</v>
      </c>
      <c r="N1197">
        <v>0</v>
      </c>
      <c r="O1197" s="2">
        <v>0</v>
      </c>
      <c r="P1197" s="2">
        <v>0</v>
      </c>
      <c r="Q1197">
        <v>0</v>
      </c>
      <c r="R1197" s="2">
        <v>0</v>
      </c>
      <c r="S1197" s="2">
        <v>0</v>
      </c>
      <c r="T1197" t="s">
        <v>377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</row>
    <row r="1198" spans="1:28" hidden="1" x14ac:dyDescent="0.25">
      <c r="A1198" t="s">
        <v>47</v>
      </c>
      <c r="B1198" t="s">
        <v>52</v>
      </c>
      <c r="C1198" t="s">
        <v>212</v>
      </c>
      <c r="D1198" s="1">
        <v>45903</v>
      </c>
      <c r="E1198" s="1">
        <v>45903</v>
      </c>
      <c r="F1198" s="2">
        <v>0</v>
      </c>
      <c r="G1198" s="3" t="s">
        <v>572</v>
      </c>
      <c r="H1198">
        <v>0</v>
      </c>
      <c r="I1198" s="2">
        <v>0</v>
      </c>
      <c r="J1198" s="2">
        <v>0</v>
      </c>
      <c r="K1198" s="2">
        <v>0</v>
      </c>
      <c r="L1198" s="2">
        <v>0</v>
      </c>
      <c r="M1198">
        <v>0</v>
      </c>
      <c r="N1198">
        <v>0</v>
      </c>
      <c r="O1198" s="2">
        <v>0</v>
      </c>
      <c r="P1198" s="2">
        <v>0</v>
      </c>
      <c r="Q1198">
        <v>0</v>
      </c>
      <c r="R1198" s="2">
        <v>0</v>
      </c>
      <c r="S1198" s="2">
        <v>0</v>
      </c>
      <c r="T1198" t="s">
        <v>377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</row>
    <row r="1199" spans="1:28" hidden="1" x14ac:dyDescent="0.25">
      <c r="A1199" t="s">
        <v>20</v>
      </c>
      <c r="B1199" t="s">
        <v>21</v>
      </c>
      <c r="C1199" t="s">
        <v>22</v>
      </c>
      <c r="D1199" s="1">
        <v>45904</v>
      </c>
      <c r="E1199" s="1">
        <v>45904</v>
      </c>
      <c r="F1199" s="2">
        <v>30</v>
      </c>
      <c r="G1199" s="3" t="s">
        <v>23</v>
      </c>
      <c r="H1199">
        <v>38</v>
      </c>
      <c r="I1199" s="2">
        <v>0</v>
      </c>
      <c r="J1199" s="2">
        <v>1</v>
      </c>
      <c r="K1199" s="2">
        <v>1</v>
      </c>
      <c r="L1199" s="2">
        <v>0</v>
      </c>
      <c r="M1199">
        <v>1</v>
      </c>
      <c r="N1199">
        <v>0</v>
      </c>
      <c r="O1199" s="2">
        <v>0</v>
      </c>
      <c r="P1199" s="2">
        <v>0</v>
      </c>
      <c r="Q1199">
        <v>0</v>
      </c>
      <c r="R1199" s="2">
        <v>0</v>
      </c>
      <c r="S1199" s="2">
        <v>0</v>
      </c>
      <c r="T1199" t="s">
        <v>673</v>
      </c>
      <c r="U1199" s="2">
        <v>0</v>
      </c>
      <c r="V1199" s="2">
        <v>20</v>
      </c>
      <c r="W1199" s="2">
        <v>6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</row>
    <row r="1200" spans="1:28" hidden="1" x14ac:dyDescent="0.25">
      <c r="A1200" t="s">
        <v>25</v>
      </c>
      <c r="B1200" t="s">
        <v>26</v>
      </c>
      <c r="C1200" t="s">
        <v>27</v>
      </c>
      <c r="D1200" s="1">
        <v>45904</v>
      </c>
      <c r="E1200" s="1">
        <v>45904</v>
      </c>
      <c r="F1200" s="2">
        <v>47</v>
      </c>
      <c r="G1200" s="3" t="s">
        <v>23</v>
      </c>
      <c r="H1200">
        <v>4</v>
      </c>
      <c r="I1200" s="2">
        <v>0</v>
      </c>
      <c r="J1200" s="2">
        <v>0</v>
      </c>
      <c r="K1200" s="2">
        <v>0</v>
      </c>
      <c r="L1200" s="2">
        <v>0</v>
      </c>
      <c r="M1200">
        <v>1</v>
      </c>
      <c r="N1200">
        <v>0</v>
      </c>
      <c r="O1200" s="2">
        <v>0</v>
      </c>
      <c r="P1200" s="2">
        <v>0</v>
      </c>
      <c r="Q1200">
        <v>0</v>
      </c>
      <c r="R1200" s="2">
        <v>0</v>
      </c>
      <c r="S1200" s="2">
        <v>0</v>
      </c>
      <c r="T1200" t="s">
        <v>674</v>
      </c>
      <c r="U1200" s="2">
        <v>0</v>
      </c>
      <c r="V1200" s="2">
        <v>37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</row>
    <row r="1201" spans="1:28" hidden="1" x14ac:dyDescent="0.25">
      <c r="A1201" t="s">
        <v>29</v>
      </c>
      <c r="B1201" t="s">
        <v>30</v>
      </c>
      <c r="C1201" t="s">
        <v>31</v>
      </c>
      <c r="D1201" s="1">
        <v>45904</v>
      </c>
      <c r="E1201" s="1">
        <v>45904</v>
      </c>
      <c r="F1201" s="2">
        <v>17</v>
      </c>
      <c r="G1201" s="3" t="s">
        <v>23</v>
      </c>
      <c r="H1201">
        <v>40</v>
      </c>
      <c r="I1201" s="2">
        <v>0</v>
      </c>
      <c r="J1201" s="2">
        <v>1</v>
      </c>
      <c r="K1201" s="2">
        <v>1</v>
      </c>
      <c r="L1201" s="2">
        <v>0</v>
      </c>
      <c r="M1201">
        <v>1</v>
      </c>
      <c r="N1201">
        <v>0</v>
      </c>
      <c r="O1201" s="2">
        <v>0</v>
      </c>
      <c r="P1201" s="2">
        <v>0</v>
      </c>
      <c r="Q1201">
        <v>0</v>
      </c>
      <c r="R1201" s="2">
        <v>0</v>
      </c>
      <c r="S1201" s="2">
        <v>0</v>
      </c>
      <c r="T1201" t="s">
        <v>675</v>
      </c>
      <c r="U1201" s="2">
        <v>0</v>
      </c>
      <c r="V1201" s="2">
        <v>16</v>
      </c>
      <c r="W1201" s="2">
        <v>4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</row>
    <row r="1202" spans="1:28" hidden="1" x14ac:dyDescent="0.25">
      <c r="A1202" t="s">
        <v>33</v>
      </c>
      <c r="B1202" t="s">
        <v>34</v>
      </c>
      <c r="C1202" t="s">
        <v>35</v>
      </c>
      <c r="D1202" s="1">
        <v>45904</v>
      </c>
      <c r="E1202" s="1">
        <v>45904</v>
      </c>
      <c r="F1202" s="2">
        <v>69</v>
      </c>
      <c r="G1202" s="3" t="s">
        <v>23</v>
      </c>
      <c r="H1202">
        <v>29</v>
      </c>
      <c r="I1202" s="2">
        <v>0</v>
      </c>
      <c r="J1202" s="2">
        <v>0</v>
      </c>
      <c r="K1202" s="2">
        <v>1</v>
      </c>
      <c r="L1202" s="2">
        <v>0</v>
      </c>
      <c r="M1202">
        <v>0</v>
      </c>
      <c r="N1202">
        <v>0</v>
      </c>
      <c r="O1202" s="2">
        <v>0</v>
      </c>
      <c r="P1202" s="2">
        <v>0</v>
      </c>
      <c r="Q1202">
        <v>0</v>
      </c>
      <c r="R1202" s="2">
        <v>0</v>
      </c>
      <c r="S1202" s="2">
        <v>0</v>
      </c>
      <c r="T1202" t="s">
        <v>676</v>
      </c>
      <c r="U1202" s="2">
        <v>0</v>
      </c>
      <c r="V1202" s="2">
        <v>22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</row>
    <row r="1203" spans="1:28" hidden="1" x14ac:dyDescent="0.25">
      <c r="A1203" t="s">
        <v>37</v>
      </c>
      <c r="B1203" t="s">
        <v>57</v>
      </c>
      <c r="C1203" t="s">
        <v>39</v>
      </c>
      <c r="D1203" s="1">
        <v>45904</v>
      </c>
      <c r="E1203" s="1">
        <v>45904</v>
      </c>
      <c r="F1203" s="2">
        <v>23</v>
      </c>
      <c r="G1203" s="3" t="s">
        <v>23</v>
      </c>
      <c r="H1203">
        <v>40</v>
      </c>
      <c r="I1203" s="2">
        <v>0</v>
      </c>
      <c r="J1203" s="2">
        <v>1</v>
      </c>
      <c r="K1203" s="2">
        <v>1</v>
      </c>
      <c r="L1203" s="2">
        <v>0</v>
      </c>
      <c r="M1203">
        <v>0</v>
      </c>
      <c r="N1203">
        <v>0</v>
      </c>
      <c r="O1203" s="2">
        <v>0</v>
      </c>
      <c r="P1203" s="2">
        <v>0</v>
      </c>
      <c r="Q1203">
        <v>0</v>
      </c>
      <c r="R1203" s="2">
        <v>0</v>
      </c>
      <c r="S1203" s="2">
        <v>0</v>
      </c>
      <c r="T1203" t="s">
        <v>677</v>
      </c>
      <c r="U1203" s="2">
        <v>0</v>
      </c>
      <c r="V1203" s="2">
        <v>66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</row>
    <row r="1204" spans="1:28" hidden="1" x14ac:dyDescent="0.25">
      <c r="A1204" t="s">
        <v>53</v>
      </c>
      <c r="B1204" t="s">
        <v>38</v>
      </c>
      <c r="C1204" t="s">
        <v>39</v>
      </c>
      <c r="D1204" s="1">
        <v>45904</v>
      </c>
      <c r="E1204" s="1">
        <v>45904</v>
      </c>
      <c r="F1204" s="2">
        <v>23</v>
      </c>
      <c r="G1204" s="3" t="s">
        <v>23</v>
      </c>
      <c r="H1204">
        <v>23</v>
      </c>
      <c r="I1204" s="2">
        <v>0</v>
      </c>
      <c r="J1204" s="2">
        <v>0</v>
      </c>
      <c r="K1204" s="2">
        <v>0</v>
      </c>
      <c r="L1204" s="2">
        <v>1</v>
      </c>
      <c r="M1204">
        <v>1</v>
      </c>
      <c r="N1204">
        <v>0</v>
      </c>
      <c r="O1204" s="2">
        <v>0</v>
      </c>
      <c r="P1204" s="2">
        <v>0</v>
      </c>
      <c r="Q1204">
        <v>0</v>
      </c>
      <c r="R1204" s="2">
        <v>0</v>
      </c>
      <c r="S1204" s="2">
        <v>0</v>
      </c>
      <c r="T1204" t="s">
        <v>677</v>
      </c>
      <c r="U1204" s="2">
        <v>0</v>
      </c>
      <c r="V1204" s="2">
        <v>30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</row>
    <row r="1205" spans="1:28" hidden="1" x14ac:dyDescent="0.25">
      <c r="A1205" t="s">
        <v>56</v>
      </c>
      <c r="B1205" t="s">
        <v>47</v>
      </c>
      <c r="C1205" t="s">
        <v>39</v>
      </c>
      <c r="D1205" s="1">
        <v>45904</v>
      </c>
      <c r="E1205" s="1">
        <v>45904</v>
      </c>
      <c r="F1205" s="2">
        <v>23</v>
      </c>
      <c r="G1205" s="3" t="s">
        <v>23</v>
      </c>
      <c r="H1205">
        <v>0</v>
      </c>
      <c r="I1205" s="2">
        <v>0</v>
      </c>
      <c r="J1205" s="2">
        <v>0</v>
      </c>
      <c r="K1205" s="2">
        <v>0</v>
      </c>
      <c r="L1205" s="2">
        <v>0</v>
      </c>
      <c r="M1205">
        <v>0</v>
      </c>
      <c r="N1205">
        <v>0</v>
      </c>
      <c r="O1205" s="2">
        <v>0</v>
      </c>
      <c r="P1205" s="2">
        <v>0</v>
      </c>
      <c r="Q1205">
        <v>0</v>
      </c>
      <c r="R1205" s="2">
        <v>0</v>
      </c>
      <c r="S1205" s="2">
        <v>0</v>
      </c>
      <c r="T1205" t="s">
        <v>677</v>
      </c>
      <c r="U1205" s="2">
        <v>0</v>
      </c>
      <c r="V1205" s="2">
        <v>14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</row>
    <row r="1206" spans="1:28" hidden="1" x14ac:dyDescent="0.25">
      <c r="A1206" t="s">
        <v>678</v>
      </c>
      <c r="B1206" t="s">
        <v>47</v>
      </c>
      <c r="C1206" t="s">
        <v>39</v>
      </c>
      <c r="D1206" s="1">
        <v>45904</v>
      </c>
      <c r="E1206" s="1">
        <v>45904</v>
      </c>
      <c r="F1206" s="2">
        <v>23</v>
      </c>
      <c r="G1206" s="3" t="s">
        <v>23</v>
      </c>
      <c r="H1206">
        <v>0</v>
      </c>
      <c r="I1206" s="2">
        <v>0</v>
      </c>
      <c r="J1206" s="2">
        <v>0</v>
      </c>
      <c r="K1206" s="2">
        <v>0</v>
      </c>
      <c r="L1206" s="2">
        <v>0</v>
      </c>
      <c r="M1206">
        <v>0</v>
      </c>
      <c r="N1206">
        <v>0</v>
      </c>
      <c r="O1206" s="2">
        <v>0</v>
      </c>
      <c r="P1206" s="2">
        <v>0</v>
      </c>
      <c r="Q1206">
        <v>0</v>
      </c>
      <c r="R1206" s="2">
        <v>0</v>
      </c>
      <c r="S1206" s="2">
        <v>0</v>
      </c>
      <c r="T1206" t="s">
        <v>677</v>
      </c>
      <c r="U1206" s="2">
        <v>0</v>
      </c>
      <c r="V1206" s="2">
        <v>14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</row>
    <row r="1207" spans="1:28" hidden="1" x14ac:dyDescent="0.25">
      <c r="A1207" t="s">
        <v>568</v>
      </c>
      <c r="B1207" t="s">
        <v>47</v>
      </c>
      <c r="C1207" t="s">
        <v>212</v>
      </c>
      <c r="D1207" s="1">
        <v>45904</v>
      </c>
      <c r="E1207" s="1">
        <v>45904</v>
      </c>
      <c r="F1207" s="2">
        <v>0</v>
      </c>
      <c r="G1207" s="3" t="s">
        <v>48</v>
      </c>
      <c r="H1207">
        <v>0</v>
      </c>
      <c r="I1207" s="2">
        <v>0</v>
      </c>
      <c r="J1207" s="2">
        <v>0</v>
      </c>
      <c r="K1207" s="2">
        <v>0</v>
      </c>
      <c r="L1207" s="2">
        <v>0</v>
      </c>
      <c r="M1207">
        <v>0</v>
      </c>
      <c r="N1207">
        <v>0</v>
      </c>
      <c r="O1207" s="2">
        <v>0</v>
      </c>
      <c r="P1207" s="2">
        <v>0</v>
      </c>
      <c r="Q1207">
        <v>0</v>
      </c>
      <c r="R1207" s="2">
        <v>0</v>
      </c>
      <c r="S1207" s="2">
        <v>0</v>
      </c>
      <c r="T1207" t="s">
        <v>377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</row>
    <row r="1208" spans="1:28" hidden="1" x14ac:dyDescent="0.25">
      <c r="A1208" t="s">
        <v>47</v>
      </c>
      <c r="B1208" t="s">
        <v>52</v>
      </c>
      <c r="C1208" t="s">
        <v>212</v>
      </c>
      <c r="D1208" s="1">
        <v>45904</v>
      </c>
      <c r="E1208" s="1">
        <v>45904</v>
      </c>
      <c r="F1208" s="2">
        <v>0</v>
      </c>
      <c r="G1208" s="3" t="s">
        <v>572</v>
      </c>
      <c r="H1208">
        <v>0</v>
      </c>
      <c r="I1208" s="2">
        <v>0</v>
      </c>
      <c r="J1208" s="2">
        <v>0</v>
      </c>
      <c r="K1208" s="2">
        <v>0</v>
      </c>
      <c r="L1208" s="2">
        <v>0</v>
      </c>
      <c r="M1208">
        <v>0</v>
      </c>
      <c r="N1208">
        <v>0</v>
      </c>
      <c r="O1208" s="2">
        <v>0</v>
      </c>
      <c r="P1208" s="2">
        <v>0</v>
      </c>
      <c r="Q1208">
        <v>0</v>
      </c>
      <c r="R1208" s="2">
        <v>0</v>
      </c>
      <c r="S1208" s="2">
        <v>0</v>
      </c>
      <c r="T1208" t="s">
        <v>377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</row>
    <row r="1209" spans="1:28" hidden="1" x14ac:dyDescent="0.25">
      <c r="A1209" t="s">
        <v>20</v>
      </c>
      <c r="B1209" t="s">
        <v>21</v>
      </c>
      <c r="C1209" t="s">
        <v>22</v>
      </c>
      <c r="D1209" s="1">
        <v>45905</v>
      </c>
      <c r="E1209" s="1">
        <v>45905</v>
      </c>
      <c r="F1209" s="2">
        <v>25</v>
      </c>
      <c r="G1209" s="3" t="s">
        <v>23</v>
      </c>
      <c r="H1209">
        <v>16</v>
      </c>
      <c r="I1209" s="2">
        <v>0</v>
      </c>
      <c r="J1209" s="2">
        <v>0</v>
      </c>
      <c r="K1209" s="2">
        <v>1</v>
      </c>
      <c r="L1209" s="2">
        <v>0</v>
      </c>
      <c r="M1209">
        <v>1</v>
      </c>
      <c r="N1209">
        <v>0</v>
      </c>
      <c r="O1209" s="2">
        <v>0</v>
      </c>
      <c r="P1209" s="2">
        <v>0</v>
      </c>
      <c r="Q1209">
        <v>0</v>
      </c>
      <c r="R1209" s="2">
        <v>0</v>
      </c>
      <c r="S1209" s="2">
        <v>0</v>
      </c>
      <c r="T1209" t="s">
        <v>679</v>
      </c>
      <c r="U1209" s="2">
        <v>0</v>
      </c>
      <c r="V1209" s="2">
        <v>20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</row>
    <row r="1210" spans="1:28" hidden="1" x14ac:dyDescent="0.25">
      <c r="A1210" t="s">
        <v>25</v>
      </c>
      <c r="B1210" t="s">
        <v>26</v>
      </c>
      <c r="C1210" t="s">
        <v>27</v>
      </c>
      <c r="D1210" s="1">
        <v>45905</v>
      </c>
      <c r="E1210" s="1">
        <v>45905</v>
      </c>
      <c r="F1210" s="2">
        <v>40</v>
      </c>
      <c r="G1210" s="3" t="s">
        <v>23</v>
      </c>
      <c r="H1210">
        <v>28</v>
      </c>
      <c r="I1210" s="2">
        <v>0</v>
      </c>
      <c r="J1210" s="2">
        <v>0</v>
      </c>
      <c r="K1210" s="2">
        <v>1</v>
      </c>
      <c r="L1210" s="2">
        <v>0</v>
      </c>
      <c r="M1210">
        <v>0</v>
      </c>
      <c r="N1210">
        <v>0</v>
      </c>
      <c r="O1210" s="2">
        <v>0</v>
      </c>
      <c r="P1210" s="2">
        <v>0</v>
      </c>
      <c r="Q1210">
        <v>0</v>
      </c>
      <c r="R1210" s="2">
        <v>0</v>
      </c>
      <c r="S1210" s="2">
        <v>0</v>
      </c>
      <c r="T1210" t="s">
        <v>680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</row>
    <row r="1211" spans="1:28" hidden="1" x14ac:dyDescent="0.25">
      <c r="A1211" t="s">
        <v>568</v>
      </c>
      <c r="B1211" t="s">
        <v>34</v>
      </c>
      <c r="C1211" t="s">
        <v>670</v>
      </c>
      <c r="D1211" s="1">
        <v>45905</v>
      </c>
      <c r="E1211" s="1">
        <v>45905</v>
      </c>
      <c r="F1211" s="2">
        <v>26</v>
      </c>
      <c r="G1211" s="3" t="s">
        <v>23</v>
      </c>
      <c r="H1211">
        <v>28</v>
      </c>
      <c r="I1211" s="2">
        <v>0</v>
      </c>
      <c r="J1211" s="2">
        <v>0</v>
      </c>
      <c r="K1211" s="2">
        <v>1</v>
      </c>
      <c r="L1211" s="2">
        <v>0</v>
      </c>
      <c r="M1211">
        <v>0</v>
      </c>
      <c r="N1211">
        <v>0</v>
      </c>
      <c r="O1211" s="2">
        <v>0</v>
      </c>
      <c r="P1211" s="2">
        <v>0</v>
      </c>
      <c r="Q1211">
        <v>0</v>
      </c>
      <c r="R1211" s="2">
        <v>0</v>
      </c>
      <c r="S1211" s="2">
        <v>0</v>
      </c>
      <c r="T1211" t="s">
        <v>681</v>
      </c>
      <c r="U1211" s="2">
        <v>0</v>
      </c>
      <c r="V1211" s="2">
        <v>5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</row>
    <row r="1212" spans="1:28" hidden="1" x14ac:dyDescent="0.25">
      <c r="A1212" t="s">
        <v>29</v>
      </c>
      <c r="B1212" t="s">
        <v>30</v>
      </c>
      <c r="C1212" t="s">
        <v>670</v>
      </c>
      <c r="D1212" s="1">
        <v>45905</v>
      </c>
      <c r="E1212" s="1">
        <v>45905</v>
      </c>
      <c r="F1212" s="2">
        <v>26</v>
      </c>
      <c r="G1212" s="3" t="s">
        <v>23</v>
      </c>
      <c r="H1212">
        <v>28</v>
      </c>
      <c r="I1212" s="2">
        <v>0</v>
      </c>
      <c r="J1212" s="2">
        <v>0</v>
      </c>
      <c r="K1212" s="2">
        <v>1</v>
      </c>
      <c r="L1212" s="2">
        <v>0</v>
      </c>
      <c r="M1212">
        <v>0</v>
      </c>
      <c r="N1212">
        <v>0</v>
      </c>
      <c r="O1212" s="2">
        <v>0</v>
      </c>
      <c r="P1212" s="2">
        <v>0</v>
      </c>
      <c r="Q1212">
        <v>0</v>
      </c>
      <c r="R1212" s="2">
        <v>0</v>
      </c>
      <c r="S1212" s="2">
        <v>0</v>
      </c>
      <c r="T1212" t="s">
        <v>681</v>
      </c>
      <c r="U1212" s="2">
        <v>0</v>
      </c>
      <c r="V1212" s="2">
        <v>5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</row>
    <row r="1213" spans="1:28" hidden="1" x14ac:dyDescent="0.25">
      <c r="A1213" t="s">
        <v>53</v>
      </c>
      <c r="B1213" t="s">
        <v>38</v>
      </c>
      <c r="C1213" t="s">
        <v>670</v>
      </c>
      <c r="D1213" s="1">
        <v>45905</v>
      </c>
      <c r="E1213" s="1">
        <v>45905</v>
      </c>
      <c r="F1213" s="2">
        <v>26</v>
      </c>
      <c r="G1213" s="3" t="s">
        <v>23</v>
      </c>
      <c r="H1213">
        <v>18</v>
      </c>
      <c r="I1213" s="2">
        <v>0</v>
      </c>
      <c r="J1213" s="2">
        <v>0</v>
      </c>
      <c r="K1213" s="2">
        <v>0</v>
      </c>
      <c r="L1213" s="2">
        <v>1</v>
      </c>
      <c r="M1213">
        <v>1</v>
      </c>
      <c r="N1213">
        <v>0</v>
      </c>
      <c r="O1213" s="2">
        <v>0</v>
      </c>
      <c r="P1213" s="2">
        <v>0</v>
      </c>
      <c r="Q1213">
        <v>0</v>
      </c>
      <c r="R1213" s="2">
        <v>0</v>
      </c>
      <c r="S1213" s="2">
        <v>0</v>
      </c>
      <c r="T1213" t="s">
        <v>681</v>
      </c>
      <c r="U1213" s="2">
        <v>0</v>
      </c>
      <c r="V1213" s="2">
        <v>16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</row>
    <row r="1214" spans="1:28" hidden="1" x14ac:dyDescent="0.25">
      <c r="A1214" t="s">
        <v>56</v>
      </c>
      <c r="B1214" t="s">
        <v>47</v>
      </c>
      <c r="C1214" t="s">
        <v>35</v>
      </c>
      <c r="D1214" s="1">
        <v>45905</v>
      </c>
      <c r="E1214" s="1">
        <v>45905</v>
      </c>
      <c r="F1214" s="2">
        <v>27</v>
      </c>
      <c r="G1214" s="3" t="s">
        <v>23</v>
      </c>
      <c r="H1214">
        <v>5</v>
      </c>
      <c r="I1214" s="2">
        <v>0</v>
      </c>
      <c r="J1214" s="2">
        <v>0</v>
      </c>
      <c r="K1214" s="2">
        <v>0</v>
      </c>
      <c r="L1214" s="2">
        <v>0</v>
      </c>
      <c r="M1214">
        <v>0</v>
      </c>
      <c r="N1214">
        <v>1</v>
      </c>
      <c r="O1214" s="2">
        <v>0</v>
      </c>
      <c r="P1214" s="2">
        <v>0</v>
      </c>
      <c r="Q1214">
        <v>0</v>
      </c>
      <c r="R1214" s="2">
        <v>0</v>
      </c>
      <c r="S1214" s="2">
        <v>0</v>
      </c>
      <c r="T1214" t="s">
        <v>682</v>
      </c>
      <c r="U1214" s="2">
        <v>0</v>
      </c>
      <c r="V1214" s="2">
        <v>6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</row>
    <row r="1215" spans="1:28" hidden="1" x14ac:dyDescent="0.25">
      <c r="A1215" t="s">
        <v>33</v>
      </c>
      <c r="B1215" t="s">
        <v>47</v>
      </c>
      <c r="C1215" t="s">
        <v>35</v>
      </c>
      <c r="D1215" s="1">
        <v>45905</v>
      </c>
      <c r="E1215" s="1">
        <v>45905</v>
      </c>
      <c r="F1215" s="2">
        <v>27</v>
      </c>
      <c r="G1215" s="3" t="s">
        <v>23</v>
      </c>
      <c r="H1215">
        <v>5</v>
      </c>
      <c r="I1215" s="2">
        <v>0</v>
      </c>
      <c r="J1215" s="2">
        <v>0</v>
      </c>
      <c r="K1215" s="2">
        <v>0</v>
      </c>
      <c r="L1215" s="2">
        <v>0</v>
      </c>
      <c r="M1215">
        <v>0</v>
      </c>
      <c r="N1215">
        <v>1</v>
      </c>
      <c r="O1215" s="2">
        <v>0</v>
      </c>
      <c r="P1215" s="2">
        <v>0</v>
      </c>
      <c r="Q1215">
        <v>0</v>
      </c>
      <c r="R1215" s="2">
        <v>0</v>
      </c>
      <c r="S1215" s="2">
        <v>0</v>
      </c>
      <c r="T1215" t="s">
        <v>682</v>
      </c>
      <c r="U1215" s="2">
        <v>0</v>
      </c>
      <c r="V1215" s="2">
        <v>6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</row>
    <row r="1216" spans="1:28" hidden="1" x14ac:dyDescent="0.25">
      <c r="A1216" t="s">
        <v>37</v>
      </c>
      <c r="B1216" t="s">
        <v>57</v>
      </c>
      <c r="C1216" t="s">
        <v>212</v>
      </c>
      <c r="D1216" s="1">
        <v>45905</v>
      </c>
      <c r="E1216" s="1">
        <v>45905</v>
      </c>
      <c r="F1216" s="2">
        <v>0</v>
      </c>
      <c r="G1216" s="3" t="s">
        <v>572</v>
      </c>
      <c r="H1216">
        <v>0</v>
      </c>
      <c r="I1216" s="2">
        <v>0</v>
      </c>
      <c r="J1216" s="2">
        <v>0</v>
      </c>
      <c r="K1216" s="2">
        <v>0</v>
      </c>
      <c r="L1216" s="2">
        <v>0</v>
      </c>
      <c r="M1216">
        <v>0</v>
      </c>
      <c r="N1216">
        <v>0</v>
      </c>
      <c r="O1216" s="2">
        <v>0</v>
      </c>
      <c r="P1216" s="2">
        <v>0</v>
      </c>
      <c r="Q1216">
        <v>0</v>
      </c>
      <c r="R1216" s="2">
        <v>0</v>
      </c>
      <c r="S1216" s="2">
        <v>0</v>
      </c>
      <c r="T1216" t="s">
        <v>377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</row>
    <row r="1217" spans="1:28" hidden="1" x14ac:dyDescent="0.25">
      <c r="A1217" t="s">
        <v>47</v>
      </c>
      <c r="B1217" t="s">
        <v>52</v>
      </c>
      <c r="C1217" t="s">
        <v>212</v>
      </c>
      <c r="D1217" s="1">
        <v>45905</v>
      </c>
      <c r="E1217" s="1">
        <v>45905</v>
      </c>
      <c r="F1217" s="2">
        <v>0</v>
      </c>
      <c r="G1217" s="3" t="s">
        <v>572</v>
      </c>
      <c r="H1217">
        <v>0</v>
      </c>
      <c r="I1217" s="2">
        <v>0</v>
      </c>
      <c r="J1217" s="2">
        <v>0</v>
      </c>
      <c r="K1217" s="2">
        <v>0</v>
      </c>
      <c r="L1217" s="2">
        <v>0</v>
      </c>
      <c r="M1217">
        <v>0</v>
      </c>
      <c r="N1217">
        <v>0</v>
      </c>
      <c r="O1217" s="2">
        <v>0</v>
      </c>
      <c r="P1217" s="2">
        <v>0</v>
      </c>
      <c r="Q1217">
        <v>0</v>
      </c>
      <c r="R1217" s="2">
        <v>0</v>
      </c>
      <c r="S1217" s="2">
        <v>0</v>
      </c>
      <c r="T1217" t="s">
        <v>377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</row>
    <row r="1218" spans="1:28" hidden="1" x14ac:dyDescent="0.25">
      <c r="A1218" t="s">
        <v>53</v>
      </c>
      <c r="B1218" t="s">
        <v>38</v>
      </c>
      <c r="C1218" t="s">
        <v>54</v>
      </c>
      <c r="D1218" s="9">
        <v>45906</v>
      </c>
      <c r="E1218" s="9">
        <v>45906</v>
      </c>
      <c r="F1218" s="2">
        <v>125</v>
      </c>
      <c r="G1218" s="3" t="s">
        <v>23</v>
      </c>
      <c r="H1218">
        <v>0</v>
      </c>
      <c r="I1218" s="2">
        <v>0</v>
      </c>
      <c r="J1218" s="2">
        <v>0</v>
      </c>
      <c r="K1218" s="2">
        <v>0</v>
      </c>
      <c r="L1218" s="2">
        <v>0</v>
      </c>
      <c r="M1218">
        <v>0</v>
      </c>
      <c r="N1218">
        <v>0</v>
      </c>
      <c r="O1218" s="2">
        <v>0</v>
      </c>
      <c r="P1218" s="2">
        <v>0</v>
      </c>
      <c r="Q1218">
        <v>10</v>
      </c>
      <c r="R1218" s="2">
        <v>1</v>
      </c>
      <c r="S1218" s="2">
        <v>0</v>
      </c>
      <c r="T1218" t="s">
        <v>683</v>
      </c>
      <c r="U1218" s="2">
        <v>16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1</v>
      </c>
      <c r="AB1218" s="2">
        <v>0</v>
      </c>
    </row>
    <row r="1219" spans="1:28" hidden="1" x14ac:dyDescent="0.25">
      <c r="A1219" t="s">
        <v>20</v>
      </c>
      <c r="B1219" t="s">
        <v>21</v>
      </c>
      <c r="C1219" t="s">
        <v>22</v>
      </c>
      <c r="D1219" s="9">
        <v>45906</v>
      </c>
      <c r="E1219" s="9">
        <v>45906</v>
      </c>
      <c r="F1219" s="2">
        <v>69</v>
      </c>
      <c r="G1219" s="3" t="s">
        <v>23</v>
      </c>
      <c r="H1219">
        <v>0</v>
      </c>
      <c r="I1219" s="2">
        <v>0</v>
      </c>
      <c r="J1219" s="2">
        <v>0</v>
      </c>
      <c r="K1219" s="2">
        <v>0</v>
      </c>
      <c r="L1219" s="2">
        <v>0</v>
      </c>
      <c r="M1219">
        <v>0</v>
      </c>
      <c r="N1219">
        <v>0</v>
      </c>
      <c r="O1219" s="2">
        <v>1</v>
      </c>
      <c r="P1219" s="2">
        <v>0</v>
      </c>
      <c r="Q1219">
        <v>4</v>
      </c>
      <c r="R1219" s="2">
        <v>1</v>
      </c>
      <c r="S1219" s="2">
        <v>0</v>
      </c>
      <c r="T1219" t="s">
        <v>684</v>
      </c>
      <c r="U1219" s="2">
        <v>12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</row>
    <row r="1220" spans="1:28" hidden="1" x14ac:dyDescent="0.25">
      <c r="A1220" t="s">
        <v>63</v>
      </c>
      <c r="B1220" t="s">
        <v>284</v>
      </c>
      <c r="C1220" t="s">
        <v>102</v>
      </c>
      <c r="D1220" s="9">
        <v>45906</v>
      </c>
      <c r="E1220" s="9">
        <v>45906</v>
      </c>
      <c r="F1220" s="2">
        <v>15</v>
      </c>
      <c r="G1220" s="3" t="s">
        <v>23</v>
      </c>
      <c r="H1220">
        <v>0</v>
      </c>
      <c r="I1220" s="2">
        <v>0</v>
      </c>
      <c r="J1220" s="2">
        <v>0</v>
      </c>
      <c r="K1220" s="2">
        <v>0</v>
      </c>
      <c r="L1220" s="2">
        <v>0</v>
      </c>
      <c r="M1220">
        <v>0</v>
      </c>
      <c r="N1220">
        <v>0</v>
      </c>
      <c r="O1220" s="2">
        <v>1</v>
      </c>
      <c r="P1220" s="2">
        <v>0</v>
      </c>
      <c r="Q1220">
        <v>0</v>
      </c>
      <c r="R1220" s="2">
        <v>1</v>
      </c>
      <c r="S1220" s="2">
        <v>0</v>
      </c>
      <c r="T1220" t="s">
        <v>685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</row>
    <row r="1221" spans="1:28" hidden="1" x14ac:dyDescent="0.25">
      <c r="A1221" t="s">
        <v>29</v>
      </c>
      <c r="B1221" t="s">
        <v>30</v>
      </c>
      <c r="C1221" t="s">
        <v>31</v>
      </c>
      <c r="D1221" s="9">
        <v>45906</v>
      </c>
      <c r="E1221" s="9">
        <v>45906</v>
      </c>
      <c r="F1221" s="2">
        <v>14</v>
      </c>
      <c r="G1221" s="3" t="s">
        <v>23</v>
      </c>
      <c r="H1221">
        <v>0</v>
      </c>
      <c r="I1221" s="2">
        <v>0</v>
      </c>
      <c r="J1221" s="2">
        <v>0</v>
      </c>
      <c r="K1221" s="2">
        <v>0</v>
      </c>
      <c r="L1221" s="2">
        <v>0</v>
      </c>
      <c r="M1221">
        <v>0</v>
      </c>
      <c r="N1221">
        <v>0</v>
      </c>
      <c r="O1221" s="2">
        <v>1</v>
      </c>
      <c r="P1221" s="2">
        <v>0</v>
      </c>
      <c r="Q1221">
        <v>1</v>
      </c>
      <c r="R1221" s="2">
        <v>1</v>
      </c>
      <c r="S1221" s="2">
        <v>0</v>
      </c>
      <c r="T1221" t="s">
        <v>686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</row>
    <row r="1222" spans="1:28" hidden="1" x14ac:dyDescent="0.25">
      <c r="A1222" t="s">
        <v>568</v>
      </c>
      <c r="B1222" t="s">
        <v>34</v>
      </c>
      <c r="C1222" t="s">
        <v>670</v>
      </c>
      <c r="D1222" s="9">
        <v>45906</v>
      </c>
      <c r="E1222" s="9">
        <v>45906</v>
      </c>
      <c r="F1222" s="2">
        <v>51</v>
      </c>
      <c r="G1222" s="3" t="s">
        <v>23</v>
      </c>
      <c r="H1222">
        <v>0</v>
      </c>
      <c r="I1222" s="2">
        <v>0</v>
      </c>
      <c r="J1222" s="2">
        <v>0</v>
      </c>
      <c r="K1222" s="2">
        <v>0</v>
      </c>
      <c r="L1222" s="2">
        <v>0</v>
      </c>
      <c r="M1222">
        <v>0</v>
      </c>
      <c r="N1222">
        <v>0</v>
      </c>
      <c r="O1222" s="2">
        <v>1</v>
      </c>
      <c r="P1222" s="2">
        <v>0</v>
      </c>
      <c r="Q1222">
        <v>4</v>
      </c>
      <c r="R1222" s="2">
        <v>1</v>
      </c>
      <c r="S1222" s="2">
        <v>0</v>
      </c>
      <c r="T1222" t="s">
        <v>687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</row>
    <row r="1223" spans="1:28" hidden="1" x14ac:dyDescent="0.25">
      <c r="A1223" t="s">
        <v>56</v>
      </c>
      <c r="B1223" t="s">
        <v>47</v>
      </c>
      <c r="C1223" t="s">
        <v>64</v>
      </c>
      <c r="D1223" s="9">
        <v>45906</v>
      </c>
      <c r="E1223" s="9">
        <v>45906</v>
      </c>
      <c r="F1223" s="2">
        <v>19</v>
      </c>
      <c r="G1223" s="3" t="s">
        <v>378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651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</row>
    <row r="1224" spans="1:28" hidden="1" x14ac:dyDescent="0.25">
      <c r="A1224" t="s">
        <v>25</v>
      </c>
      <c r="B1224" t="s">
        <v>26</v>
      </c>
      <c r="C1224" t="s">
        <v>27</v>
      </c>
      <c r="D1224" s="9">
        <v>45906</v>
      </c>
      <c r="E1224" s="9">
        <v>45906</v>
      </c>
      <c r="F1224" s="2">
        <v>30</v>
      </c>
      <c r="G1224" s="3" t="s">
        <v>378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652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</row>
    <row r="1225" spans="1:28" hidden="1" x14ac:dyDescent="0.25">
      <c r="A1225" t="s">
        <v>33</v>
      </c>
      <c r="B1225" t="s">
        <v>47</v>
      </c>
      <c r="C1225" t="s">
        <v>35</v>
      </c>
      <c r="D1225" s="9">
        <v>45906</v>
      </c>
      <c r="E1225" s="9">
        <v>45906</v>
      </c>
      <c r="F1225" s="2">
        <v>42</v>
      </c>
      <c r="G1225" s="3" t="s">
        <v>378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t="s">
        <v>653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</row>
    <row r="1226" spans="1:28" hidden="1" x14ac:dyDescent="0.25">
      <c r="A1226" t="s">
        <v>37</v>
      </c>
      <c r="B1226" t="s">
        <v>57</v>
      </c>
      <c r="C1226" t="s">
        <v>39</v>
      </c>
      <c r="D1226" s="9">
        <v>45906</v>
      </c>
      <c r="E1226" s="9">
        <v>45906</v>
      </c>
      <c r="F1226" s="2">
        <v>18</v>
      </c>
      <c r="G1226" s="3" t="s">
        <v>378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654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</row>
    <row r="1227" spans="1:28" hidden="1" x14ac:dyDescent="0.25">
      <c r="A1227" t="s">
        <v>47</v>
      </c>
      <c r="B1227" t="s">
        <v>52</v>
      </c>
      <c r="C1227" t="s">
        <v>212</v>
      </c>
      <c r="D1227" s="9">
        <v>45906</v>
      </c>
      <c r="E1227" s="9">
        <v>45906</v>
      </c>
      <c r="F1227" s="2">
        <v>0</v>
      </c>
      <c r="G1227" s="3" t="s">
        <v>378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377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</row>
    <row r="1228" spans="1:28" hidden="1" x14ac:dyDescent="0.25">
      <c r="A1228" t="s">
        <v>53</v>
      </c>
      <c r="B1228" t="s">
        <v>38</v>
      </c>
      <c r="C1228" t="s">
        <v>54</v>
      </c>
      <c r="D1228" s="9">
        <v>45907</v>
      </c>
      <c r="E1228" s="9">
        <v>45907</v>
      </c>
      <c r="F1228" s="2">
        <v>47</v>
      </c>
      <c r="G1228" s="3" t="s">
        <v>23</v>
      </c>
      <c r="H1228">
        <v>0</v>
      </c>
      <c r="I1228" s="2">
        <v>0</v>
      </c>
      <c r="J1228" s="2">
        <v>0</v>
      </c>
      <c r="K1228" s="2">
        <v>0</v>
      </c>
      <c r="L1228" s="2">
        <v>0</v>
      </c>
      <c r="M1228">
        <v>0</v>
      </c>
      <c r="N1228">
        <v>0</v>
      </c>
      <c r="O1228" s="2">
        <v>0</v>
      </c>
      <c r="P1228" s="2">
        <v>0</v>
      </c>
      <c r="Q1228">
        <v>8</v>
      </c>
      <c r="R1228" s="2">
        <v>0</v>
      </c>
      <c r="S1228" s="2">
        <v>1</v>
      </c>
      <c r="T1228" t="s">
        <v>688</v>
      </c>
      <c r="U1228" s="2">
        <v>15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1</v>
      </c>
    </row>
    <row r="1229" spans="1:28" hidden="1" x14ac:dyDescent="0.25">
      <c r="A1229" t="s">
        <v>20</v>
      </c>
      <c r="B1229" t="s">
        <v>21</v>
      </c>
      <c r="C1229" t="s">
        <v>22</v>
      </c>
      <c r="D1229" s="9">
        <v>45907</v>
      </c>
      <c r="E1229" s="9">
        <v>45907</v>
      </c>
      <c r="F1229" s="2">
        <v>42</v>
      </c>
      <c r="G1229" s="3" t="s">
        <v>23</v>
      </c>
      <c r="H1229">
        <v>0</v>
      </c>
      <c r="I1229" s="2">
        <v>0</v>
      </c>
      <c r="J1229" s="2">
        <v>0</v>
      </c>
      <c r="K1229" s="2">
        <v>0</v>
      </c>
      <c r="L1229" s="2">
        <v>0</v>
      </c>
      <c r="M1229">
        <v>1</v>
      </c>
      <c r="N1229">
        <v>0</v>
      </c>
      <c r="O1229" s="2">
        <v>0</v>
      </c>
      <c r="P1229" s="2">
        <v>1</v>
      </c>
      <c r="Q1229">
        <v>5</v>
      </c>
      <c r="R1229" s="2">
        <v>0</v>
      </c>
      <c r="S1229" s="2">
        <v>1</v>
      </c>
      <c r="T1229" t="s">
        <v>689</v>
      </c>
      <c r="U1229" s="2">
        <v>16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</row>
    <row r="1230" spans="1:28" hidden="1" x14ac:dyDescent="0.25">
      <c r="A1230" t="s">
        <v>63</v>
      </c>
      <c r="B1230" t="s">
        <v>284</v>
      </c>
      <c r="C1230" t="s">
        <v>102</v>
      </c>
      <c r="D1230" s="9">
        <v>45907</v>
      </c>
      <c r="E1230" s="9">
        <v>45907</v>
      </c>
      <c r="F1230" s="2">
        <v>58</v>
      </c>
      <c r="G1230" s="3" t="s">
        <v>23</v>
      </c>
      <c r="H1230">
        <v>0</v>
      </c>
      <c r="I1230" s="2">
        <v>0</v>
      </c>
      <c r="J1230" s="2">
        <v>0</v>
      </c>
      <c r="K1230" s="2">
        <v>0</v>
      </c>
      <c r="L1230" s="2">
        <v>0</v>
      </c>
      <c r="M1230">
        <v>0</v>
      </c>
      <c r="N1230">
        <v>0</v>
      </c>
      <c r="O1230" s="2">
        <v>0</v>
      </c>
      <c r="P1230" s="2">
        <v>1</v>
      </c>
      <c r="Q1230">
        <v>4</v>
      </c>
      <c r="R1230" s="2">
        <v>0</v>
      </c>
      <c r="S1230" s="2">
        <v>1</v>
      </c>
      <c r="T1230" t="s">
        <v>690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</row>
    <row r="1231" spans="1:28" hidden="1" x14ac:dyDescent="0.25">
      <c r="A1231" t="s">
        <v>29</v>
      </c>
      <c r="B1231" t="s">
        <v>30</v>
      </c>
      <c r="C1231" t="s">
        <v>31</v>
      </c>
      <c r="D1231" s="9">
        <v>45907</v>
      </c>
      <c r="E1231" s="9">
        <v>45907</v>
      </c>
      <c r="F1231" s="2">
        <v>31</v>
      </c>
      <c r="G1231" s="3" t="s">
        <v>23</v>
      </c>
      <c r="H1231">
        <v>0</v>
      </c>
      <c r="I1231" s="2">
        <v>0</v>
      </c>
      <c r="J1231" s="2">
        <v>0</v>
      </c>
      <c r="K1231" s="2">
        <v>0</v>
      </c>
      <c r="L1231" s="2">
        <v>0</v>
      </c>
      <c r="M1231">
        <v>0</v>
      </c>
      <c r="N1231">
        <v>0</v>
      </c>
      <c r="O1231" s="2">
        <v>0</v>
      </c>
      <c r="P1231" s="2">
        <v>1</v>
      </c>
      <c r="Q1231">
        <v>7</v>
      </c>
      <c r="R1231" s="2">
        <v>0</v>
      </c>
      <c r="S1231" s="2">
        <v>1</v>
      </c>
      <c r="T1231" t="s">
        <v>691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</row>
    <row r="1232" spans="1:28" hidden="1" x14ac:dyDescent="0.25">
      <c r="A1232" t="s">
        <v>568</v>
      </c>
      <c r="B1232" t="s">
        <v>34</v>
      </c>
      <c r="C1232" t="s">
        <v>670</v>
      </c>
      <c r="D1232" s="9">
        <v>45907</v>
      </c>
      <c r="E1232" s="9">
        <v>45907</v>
      </c>
      <c r="F1232" s="2">
        <v>53</v>
      </c>
      <c r="G1232" s="3" t="s">
        <v>23</v>
      </c>
      <c r="H1232">
        <v>0</v>
      </c>
      <c r="I1232" s="2">
        <v>0</v>
      </c>
      <c r="J1232" s="2">
        <v>1</v>
      </c>
      <c r="K1232" s="2">
        <v>0</v>
      </c>
      <c r="L1232" s="2">
        <v>0</v>
      </c>
      <c r="M1232">
        <v>0</v>
      </c>
      <c r="N1232">
        <v>0</v>
      </c>
      <c r="O1232" s="2">
        <v>0</v>
      </c>
      <c r="P1232" s="2">
        <v>1</v>
      </c>
      <c r="Q1232">
        <v>8</v>
      </c>
      <c r="R1232" s="2">
        <v>0</v>
      </c>
      <c r="S1232" s="2">
        <v>1</v>
      </c>
      <c r="T1232" t="s">
        <v>692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</row>
    <row r="1233" spans="1:28" hidden="1" x14ac:dyDescent="0.25">
      <c r="A1233" t="s">
        <v>56</v>
      </c>
      <c r="B1233" t="s">
        <v>47</v>
      </c>
      <c r="C1233" t="s">
        <v>64</v>
      </c>
      <c r="D1233" s="9">
        <v>45907</v>
      </c>
      <c r="E1233" s="9">
        <v>45907</v>
      </c>
      <c r="F1233" s="2">
        <v>19</v>
      </c>
      <c r="G1233" s="3" t="s">
        <v>378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651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</row>
    <row r="1234" spans="1:28" hidden="1" x14ac:dyDescent="0.25">
      <c r="A1234" t="s">
        <v>25</v>
      </c>
      <c r="B1234" t="s">
        <v>26</v>
      </c>
      <c r="C1234" t="s">
        <v>27</v>
      </c>
      <c r="D1234" s="9">
        <v>45907</v>
      </c>
      <c r="E1234" s="9">
        <v>45907</v>
      </c>
      <c r="F1234" s="2">
        <v>30</v>
      </c>
      <c r="G1234" s="3" t="s">
        <v>378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 t="s">
        <v>652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</row>
    <row r="1235" spans="1:28" hidden="1" x14ac:dyDescent="0.25">
      <c r="A1235" t="s">
        <v>33</v>
      </c>
      <c r="B1235" t="s">
        <v>47</v>
      </c>
      <c r="C1235" t="s">
        <v>35</v>
      </c>
      <c r="D1235" s="9">
        <v>45907</v>
      </c>
      <c r="E1235" s="9">
        <v>45907</v>
      </c>
      <c r="F1235" s="2">
        <v>42</v>
      </c>
      <c r="G1235" s="3" t="s">
        <v>378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t="s">
        <v>653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</row>
    <row r="1236" spans="1:28" hidden="1" x14ac:dyDescent="0.25">
      <c r="A1236" t="s">
        <v>37</v>
      </c>
      <c r="B1236" t="s">
        <v>57</v>
      </c>
      <c r="C1236" t="s">
        <v>39</v>
      </c>
      <c r="D1236" s="9">
        <v>45907</v>
      </c>
      <c r="E1236" s="9">
        <v>45907</v>
      </c>
      <c r="F1236" s="2">
        <v>18</v>
      </c>
      <c r="G1236" s="3" t="s">
        <v>378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654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</row>
    <row r="1237" spans="1:28" hidden="1" x14ac:dyDescent="0.25">
      <c r="A1237" t="s">
        <v>47</v>
      </c>
      <c r="B1237" t="s">
        <v>52</v>
      </c>
      <c r="C1237" t="s">
        <v>212</v>
      </c>
      <c r="D1237" s="9">
        <v>45907</v>
      </c>
      <c r="E1237" s="9">
        <v>45907</v>
      </c>
      <c r="F1237" s="2">
        <v>0</v>
      </c>
      <c r="G1237" s="3" t="s">
        <v>378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377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</row>
    <row r="1238" spans="1:28" hidden="1" x14ac:dyDescent="0.25">
      <c r="A1238" t="s">
        <v>56</v>
      </c>
      <c r="B1238" t="s">
        <v>47</v>
      </c>
      <c r="C1238" t="s">
        <v>64</v>
      </c>
      <c r="D1238" s="1">
        <v>45908</v>
      </c>
      <c r="E1238" s="1">
        <v>45908</v>
      </c>
      <c r="F1238" s="2">
        <v>25</v>
      </c>
      <c r="G1238" s="3" t="s">
        <v>23</v>
      </c>
      <c r="H1238">
        <v>9</v>
      </c>
      <c r="I1238" s="2">
        <v>0</v>
      </c>
      <c r="J1238" s="2">
        <v>0</v>
      </c>
      <c r="K1238" s="2">
        <v>0</v>
      </c>
      <c r="L1238" s="2">
        <v>0</v>
      </c>
      <c r="M1238">
        <v>0</v>
      </c>
      <c r="N1238">
        <v>0</v>
      </c>
      <c r="O1238" s="2">
        <v>0</v>
      </c>
      <c r="P1238" s="2">
        <v>0</v>
      </c>
      <c r="Q1238">
        <v>0</v>
      </c>
      <c r="R1238" s="2">
        <v>0</v>
      </c>
      <c r="S1238" s="2">
        <v>0</v>
      </c>
      <c r="T1238" t="s">
        <v>693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</row>
    <row r="1239" spans="1:28" hidden="1" x14ac:dyDescent="0.25">
      <c r="A1239" t="s">
        <v>568</v>
      </c>
      <c r="B1239" t="s">
        <v>47</v>
      </c>
      <c r="C1239" t="s">
        <v>64</v>
      </c>
      <c r="D1239" s="1">
        <v>45908</v>
      </c>
      <c r="E1239" s="1">
        <v>45908</v>
      </c>
      <c r="F1239" s="2">
        <v>25</v>
      </c>
      <c r="G1239" s="3" t="s">
        <v>23</v>
      </c>
      <c r="H1239">
        <v>9</v>
      </c>
      <c r="I1239" s="2">
        <v>0</v>
      </c>
      <c r="J1239" s="2">
        <v>0</v>
      </c>
      <c r="K1239" s="2">
        <v>0</v>
      </c>
      <c r="L1239" s="2">
        <v>0</v>
      </c>
      <c r="M1239">
        <v>0</v>
      </c>
      <c r="N1239">
        <v>0</v>
      </c>
      <c r="O1239" s="2">
        <v>0</v>
      </c>
      <c r="P1239" s="2">
        <v>0</v>
      </c>
      <c r="Q1239">
        <v>0</v>
      </c>
      <c r="R1239" s="2">
        <v>0</v>
      </c>
      <c r="S1239" s="2">
        <v>0</v>
      </c>
      <c r="T1239" t="s">
        <v>693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</row>
    <row r="1240" spans="1:28" hidden="1" x14ac:dyDescent="0.25">
      <c r="A1240" t="s">
        <v>20</v>
      </c>
      <c r="B1240" t="s">
        <v>21</v>
      </c>
      <c r="C1240" t="s">
        <v>22</v>
      </c>
      <c r="D1240" s="1">
        <v>45908</v>
      </c>
      <c r="E1240" s="1">
        <v>45908</v>
      </c>
      <c r="F1240" s="2">
        <v>30</v>
      </c>
      <c r="G1240" s="3" t="s">
        <v>23</v>
      </c>
      <c r="H1240">
        <v>0</v>
      </c>
      <c r="I1240" s="2">
        <v>0</v>
      </c>
      <c r="J1240" s="2">
        <v>0</v>
      </c>
      <c r="K1240" s="2">
        <v>0</v>
      </c>
      <c r="L1240" s="2">
        <v>0</v>
      </c>
      <c r="M1240">
        <v>1</v>
      </c>
      <c r="N1240">
        <v>0</v>
      </c>
      <c r="O1240" s="2">
        <v>0</v>
      </c>
      <c r="P1240" s="2">
        <v>0</v>
      </c>
      <c r="Q1240">
        <v>0</v>
      </c>
      <c r="R1240" s="2">
        <v>0</v>
      </c>
      <c r="S1240" s="2">
        <v>0</v>
      </c>
      <c r="T1240" t="s">
        <v>694</v>
      </c>
      <c r="U1240" s="2">
        <v>0</v>
      </c>
      <c r="V1240" s="2">
        <v>6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</row>
    <row r="1241" spans="1:28" hidden="1" x14ac:dyDescent="0.25">
      <c r="A1241" t="s">
        <v>25</v>
      </c>
      <c r="B1241" t="s">
        <v>26</v>
      </c>
      <c r="C1241" t="s">
        <v>27</v>
      </c>
      <c r="D1241" s="1">
        <v>45908</v>
      </c>
      <c r="E1241" s="1">
        <v>45908</v>
      </c>
      <c r="F1241" s="2">
        <v>22</v>
      </c>
      <c r="G1241" s="3" t="s">
        <v>23</v>
      </c>
      <c r="H1241">
        <v>0</v>
      </c>
      <c r="I1241" s="2">
        <v>0</v>
      </c>
      <c r="J1241" s="2">
        <v>0</v>
      </c>
      <c r="K1241" s="2">
        <v>0</v>
      </c>
      <c r="L1241" s="2">
        <v>0</v>
      </c>
      <c r="M1241">
        <v>0</v>
      </c>
      <c r="N1241">
        <v>0</v>
      </c>
      <c r="O1241" s="2">
        <v>0</v>
      </c>
      <c r="P1241" s="2">
        <v>0</v>
      </c>
      <c r="Q1241">
        <v>0</v>
      </c>
      <c r="R1241" s="2">
        <v>0</v>
      </c>
      <c r="S1241" s="2">
        <v>0</v>
      </c>
      <c r="T1241" t="s">
        <v>695</v>
      </c>
      <c r="U1241" s="2">
        <v>0</v>
      </c>
      <c r="V1241" s="2">
        <v>20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</row>
    <row r="1242" spans="1:28" hidden="1" x14ac:dyDescent="0.25">
      <c r="A1242" t="s">
        <v>29</v>
      </c>
      <c r="B1242" t="s">
        <v>30</v>
      </c>
      <c r="C1242" t="s">
        <v>31</v>
      </c>
      <c r="D1242" s="1">
        <v>45908</v>
      </c>
      <c r="E1242" s="1">
        <v>45908</v>
      </c>
      <c r="F1242" s="2">
        <v>30</v>
      </c>
      <c r="G1242" s="3" t="s">
        <v>23</v>
      </c>
      <c r="H1242">
        <v>12</v>
      </c>
      <c r="I1242" s="2">
        <v>0</v>
      </c>
      <c r="J1242" s="2">
        <v>0</v>
      </c>
      <c r="K1242" s="2">
        <v>0</v>
      </c>
      <c r="L1242" s="2">
        <v>0</v>
      </c>
      <c r="M1242">
        <v>1</v>
      </c>
      <c r="N1242">
        <v>0</v>
      </c>
      <c r="O1242" s="2">
        <v>0</v>
      </c>
      <c r="P1242" s="2">
        <v>0</v>
      </c>
      <c r="Q1242">
        <v>0</v>
      </c>
      <c r="R1242" s="2">
        <v>0</v>
      </c>
      <c r="S1242" s="2">
        <v>0</v>
      </c>
      <c r="T1242" t="s">
        <v>696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</row>
    <row r="1243" spans="1:28" hidden="1" x14ac:dyDescent="0.25">
      <c r="A1243" t="s">
        <v>33</v>
      </c>
      <c r="B1243" t="s">
        <v>34</v>
      </c>
      <c r="C1243" t="s">
        <v>35</v>
      </c>
      <c r="D1243" s="1">
        <v>45908</v>
      </c>
      <c r="E1243" s="1">
        <v>45908</v>
      </c>
      <c r="F1243" s="2">
        <v>19</v>
      </c>
      <c r="G1243" s="3" t="s">
        <v>23</v>
      </c>
      <c r="H1243">
        <v>0</v>
      </c>
      <c r="I1243" s="2">
        <v>0</v>
      </c>
      <c r="J1243" s="2">
        <v>0</v>
      </c>
      <c r="K1243" s="2">
        <v>0</v>
      </c>
      <c r="L1243" s="2">
        <v>0</v>
      </c>
      <c r="M1243">
        <v>0</v>
      </c>
      <c r="N1243">
        <v>0</v>
      </c>
      <c r="O1243" s="2">
        <v>0</v>
      </c>
      <c r="P1243" s="2">
        <v>0</v>
      </c>
      <c r="Q1243">
        <v>0</v>
      </c>
      <c r="R1243" s="2">
        <v>0</v>
      </c>
      <c r="S1243" s="2">
        <v>0</v>
      </c>
      <c r="T1243" t="s">
        <v>697</v>
      </c>
      <c r="U1243" s="2">
        <v>0</v>
      </c>
      <c r="V1243" s="2">
        <v>8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</row>
    <row r="1244" spans="1:28" hidden="1" x14ac:dyDescent="0.25">
      <c r="A1244" t="s">
        <v>37</v>
      </c>
      <c r="B1244" t="s">
        <v>57</v>
      </c>
      <c r="C1244" t="s">
        <v>35</v>
      </c>
      <c r="D1244" s="1">
        <v>45908</v>
      </c>
      <c r="E1244" s="1">
        <v>45908</v>
      </c>
      <c r="F1244" s="2">
        <v>19</v>
      </c>
      <c r="G1244" s="3" t="s">
        <v>23</v>
      </c>
      <c r="H1244">
        <v>2</v>
      </c>
      <c r="I1244" s="2">
        <v>0</v>
      </c>
      <c r="J1244" s="2">
        <v>0</v>
      </c>
      <c r="K1244" s="2">
        <v>0</v>
      </c>
      <c r="L1244" s="2">
        <v>0</v>
      </c>
      <c r="M1244">
        <v>0</v>
      </c>
      <c r="N1244">
        <v>0</v>
      </c>
      <c r="O1244" s="2">
        <v>0</v>
      </c>
      <c r="P1244" s="2">
        <v>0</v>
      </c>
      <c r="Q1244">
        <v>0</v>
      </c>
      <c r="R1244" s="2">
        <v>0</v>
      </c>
      <c r="S1244" s="2">
        <v>0</v>
      </c>
      <c r="T1244" t="s">
        <v>697</v>
      </c>
      <c r="U1244" s="2">
        <v>0</v>
      </c>
      <c r="V1244" s="2">
        <v>1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</row>
    <row r="1245" spans="1:28" hidden="1" x14ac:dyDescent="0.25">
      <c r="A1245" t="s">
        <v>53</v>
      </c>
      <c r="B1245" t="s">
        <v>38</v>
      </c>
      <c r="C1245" t="s">
        <v>35</v>
      </c>
      <c r="D1245" s="1">
        <v>45908</v>
      </c>
      <c r="E1245" s="1">
        <v>45908</v>
      </c>
      <c r="F1245" s="2">
        <v>19</v>
      </c>
      <c r="G1245" s="3" t="s">
        <v>23</v>
      </c>
      <c r="H1245">
        <v>0</v>
      </c>
      <c r="I1245" s="2">
        <v>0</v>
      </c>
      <c r="J1245" s="2">
        <v>0</v>
      </c>
      <c r="K1245" s="2">
        <v>0</v>
      </c>
      <c r="L1245" s="2">
        <v>0</v>
      </c>
      <c r="M1245">
        <v>0</v>
      </c>
      <c r="N1245">
        <v>0</v>
      </c>
      <c r="O1245" s="2">
        <v>0</v>
      </c>
      <c r="P1245" s="2">
        <v>0</v>
      </c>
      <c r="Q1245">
        <v>0</v>
      </c>
      <c r="R1245" s="2">
        <v>0</v>
      </c>
      <c r="S1245" s="2">
        <v>0</v>
      </c>
      <c r="T1245" t="s">
        <v>697</v>
      </c>
      <c r="U1245" s="2">
        <v>0</v>
      </c>
      <c r="V1245" s="2">
        <v>20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</row>
    <row r="1246" spans="1:28" hidden="1" x14ac:dyDescent="0.25">
      <c r="A1246" t="s">
        <v>47</v>
      </c>
      <c r="B1246" t="s">
        <v>52</v>
      </c>
      <c r="C1246" t="s">
        <v>212</v>
      </c>
      <c r="D1246" s="1">
        <v>45908</v>
      </c>
      <c r="E1246" s="1">
        <v>45908</v>
      </c>
      <c r="F1246" s="2">
        <v>0</v>
      </c>
      <c r="G1246" s="3" t="s">
        <v>572</v>
      </c>
      <c r="H1246">
        <v>0</v>
      </c>
      <c r="I1246" s="2">
        <v>0</v>
      </c>
      <c r="J1246" s="2">
        <v>0</v>
      </c>
      <c r="K1246" s="2">
        <v>0</v>
      </c>
      <c r="L1246" s="2">
        <v>0</v>
      </c>
      <c r="M1246">
        <v>0</v>
      </c>
      <c r="N1246">
        <v>0</v>
      </c>
      <c r="O1246" s="2">
        <v>0</v>
      </c>
      <c r="P1246" s="2">
        <v>0</v>
      </c>
      <c r="Q1246">
        <v>0</v>
      </c>
      <c r="R1246" s="2">
        <v>0</v>
      </c>
      <c r="S1246" s="2">
        <v>0</v>
      </c>
      <c r="T1246" t="s">
        <v>377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</row>
    <row r="1247" spans="1:28" hidden="1" x14ac:dyDescent="0.25">
      <c r="A1247" t="s">
        <v>56</v>
      </c>
      <c r="B1247" t="s">
        <v>47</v>
      </c>
      <c r="C1247" t="s">
        <v>64</v>
      </c>
      <c r="D1247" s="1">
        <v>45909</v>
      </c>
      <c r="E1247" s="1">
        <v>45909</v>
      </c>
      <c r="F1247" s="2">
        <v>62</v>
      </c>
      <c r="G1247" s="3" t="s">
        <v>23</v>
      </c>
      <c r="H1247">
        <v>36</v>
      </c>
      <c r="I1247" s="2">
        <v>0</v>
      </c>
      <c r="J1247" s="2">
        <v>0</v>
      </c>
      <c r="K1247" s="2">
        <v>1</v>
      </c>
      <c r="L1247" s="2">
        <v>0</v>
      </c>
      <c r="M1247">
        <v>0</v>
      </c>
      <c r="N1247">
        <v>0</v>
      </c>
      <c r="O1247" s="2">
        <v>0</v>
      </c>
      <c r="P1247" s="2">
        <v>0</v>
      </c>
      <c r="Q1247">
        <v>2</v>
      </c>
      <c r="R1247" s="2">
        <v>0</v>
      </c>
      <c r="S1247" s="2">
        <v>0</v>
      </c>
      <c r="T1247" t="s">
        <v>698</v>
      </c>
      <c r="U1247" s="2">
        <v>0</v>
      </c>
      <c r="V1247" s="2">
        <v>20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</row>
    <row r="1248" spans="1:28" hidden="1" x14ac:dyDescent="0.25">
      <c r="A1248" t="s">
        <v>568</v>
      </c>
      <c r="B1248" t="s">
        <v>47</v>
      </c>
      <c r="C1248" t="s">
        <v>64</v>
      </c>
      <c r="D1248" s="1">
        <v>45909</v>
      </c>
      <c r="E1248" s="1">
        <v>45909</v>
      </c>
      <c r="F1248" s="2">
        <v>62</v>
      </c>
      <c r="G1248" s="3" t="s">
        <v>23</v>
      </c>
      <c r="H1248">
        <v>36</v>
      </c>
      <c r="I1248" s="2">
        <v>0</v>
      </c>
      <c r="J1248" s="2">
        <v>0</v>
      </c>
      <c r="K1248" s="2">
        <v>1</v>
      </c>
      <c r="L1248" s="2">
        <v>0</v>
      </c>
      <c r="M1248">
        <v>0</v>
      </c>
      <c r="N1248">
        <v>0</v>
      </c>
      <c r="O1248" s="2">
        <v>0</v>
      </c>
      <c r="P1248" s="2">
        <v>0</v>
      </c>
      <c r="Q1248">
        <v>2</v>
      </c>
      <c r="R1248" s="2">
        <v>0</v>
      </c>
      <c r="S1248" s="2">
        <v>0</v>
      </c>
      <c r="T1248" t="s">
        <v>698</v>
      </c>
      <c r="U1248" s="2">
        <v>0</v>
      </c>
      <c r="V1248" s="2">
        <v>20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</row>
    <row r="1249" spans="1:28" hidden="1" x14ac:dyDescent="0.25">
      <c r="A1249" t="s">
        <v>53</v>
      </c>
      <c r="B1249" t="s">
        <v>38</v>
      </c>
      <c r="C1249" t="s">
        <v>54</v>
      </c>
      <c r="D1249" s="1">
        <v>45909</v>
      </c>
      <c r="E1249" s="1">
        <v>45909</v>
      </c>
      <c r="F1249" s="2">
        <v>39</v>
      </c>
      <c r="G1249" s="3" t="s">
        <v>23</v>
      </c>
      <c r="H1249">
        <v>23</v>
      </c>
      <c r="I1249" s="2">
        <v>0</v>
      </c>
      <c r="J1249" s="2">
        <v>0</v>
      </c>
      <c r="K1249" s="2">
        <v>1</v>
      </c>
      <c r="L1249" s="2">
        <v>0</v>
      </c>
      <c r="M1249">
        <v>0</v>
      </c>
      <c r="N1249">
        <v>0</v>
      </c>
      <c r="O1249" s="2">
        <v>0</v>
      </c>
      <c r="P1249" s="2">
        <v>0</v>
      </c>
      <c r="Q1249">
        <v>0</v>
      </c>
      <c r="R1249" s="2">
        <v>0</v>
      </c>
      <c r="S1249" s="2">
        <v>0</v>
      </c>
      <c r="T1249" t="s">
        <v>699</v>
      </c>
      <c r="U1249" s="2">
        <v>0</v>
      </c>
      <c r="V1249" s="2">
        <v>19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</row>
    <row r="1250" spans="1:28" hidden="1" x14ac:dyDescent="0.25">
      <c r="A1250" t="s">
        <v>20</v>
      </c>
      <c r="B1250" t="s">
        <v>21</v>
      </c>
      <c r="C1250" t="s">
        <v>22</v>
      </c>
      <c r="D1250" s="1">
        <v>45909</v>
      </c>
      <c r="E1250" s="1">
        <v>45909</v>
      </c>
      <c r="F1250" s="2">
        <v>154</v>
      </c>
      <c r="G1250" s="3" t="s">
        <v>23</v>
      </c>
      <c r="H1250">
        <v>38</v>
      </c>
      <c r="I1250" s="2">
        <v>0</v>
      </c>
      <c r="J1250" s="2">
        <v>0</v>
      </c>
      <c r="K1250" s="2">
        <v>1</v>
      </c>
      <c r="L1250" s="2">
        <v>0</v>
      </c>
      <c r="M1250">
        <v>0</v>
      </c>
      <c r="N1250">
        <v>0</v>
      </c>
      <c r="O1250" s="2">
        <v>0</v>
      </c>
      <c r="P1250" s="2">
        <v>0</v>
      </c>
      <c r="Q1250">
        <v>0</v>
      </c>
      <c r="R1250" s="2">
        <v>0</v>
      </c>
      <c r="S1250" s="2">
        <v>0</v>
      </c>
      <c r="T1250" t="s">
        <v>700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</row>
    <row r="1251" spans="1:28" hidden="1" x14ac:dyDescent="0.25">
      <c r="A1251" t="s">
        <v>25</v>
      </c>
      <c r="B1251" t="s">
        <v>26</v>
      </c>
      <c r="C1251" t="s">
        <v>27</v>
      </c>
      <c r="D1251" s="1">
        <v>45909</v>
      </c>
      <c r="E1251" s="1">
        <v>45909</v>
      </c>
      <c r="F1251" s="2">
        <v>24</v>
      </c>
      <c r="G1251" s="3" t="s">
        <v>23</v>
      </c>
      <c r="H1251">
        <v>17</v>
      </c>
      <c r="I1251" s="2">
        <v>0</v>
      </c>
      <c r="J1251" s="2">
        <v>0</v>
      </c>
      <c r="K1251" s="2">
        <v>0</v>
      </c>
      <c r="L1251" s="2">
        <v>1</v>
      </c>
      <c r="M1251">
        <v>0</v>
      </c>
      <c r="N1251">
        <v>0</v>
      </c>
      <c r="O1251" s="2">
        <v>0</v>
      </c>
      <c r="P1251" s="2">
        <v>0</v>
      </c>
      <c r="Q1251">
        <v>0</v>
      </c>
      <c r="R1251" s="2">
        <v>0</v>
      </c>
      <c r="S1251" s="2">
        <v>0</v>
      </c>
      <c r="T1251" t="s">
        <v>701</v>
      </c>
      <c r="U1251" s="2">
        <v>0</v>
      </c>
      <c r="V1251" s="2">
        <v>20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</row>
    <row r="1252" spans="1:28" hidden="1" x14ac:dyDescent="0.25">
      <c r="A1252" t="s">
        <v>29</v>
      </c>
      <c r="B1252" t="s">
        <v>30</v>
      </c>
      <c r="C1252" t="s">
        <v>31</v>
      </c>
      <c r="D1252" s="1">
        <v>45909</v>
      </c>
      <c r="E1252" s="1">
        <v>45909</v>
      </c>
      <c r="F1252" s="2">
        <v>17</v>
      </c>
      <c r="G1252" s="3" t="s">
        <v>23</v>
      </c>
      <c r="H1252">
        <v>1</v>
      </c>
      <c r="I1252" s="2">
        <v>0</v>
      </c>
      <c r="J1252" s="2">
        <v>0</v>
      </c>
      <c r="K1252" s="2">
        <v>0</v>
      </c>
      <c r="L1252" s="2">
        <v>0</v>
      </c>
      <c r="M1252">
        <v>0</v>
      </c>
      <c r="N1252">
        <v>0</v>
      </c>
      <c r="O1252" s="2">
        <v>0</v>
      </c>
      <c r="P1252" s="2">
        <v>0</v>
      </c>
      <c r="Q1252">
        <v>0</v>
      </c>
      <c r="R1252" s="2">
        <v>0</v>
      </c>
      <c r="S1252" s="2">
        <v>0</v>
      </c>
      <c r="T1252" t="s">
        <v>702</v>
      </c>
      <c r="U1252" s="2">
        <v>0</v>
      </c>
      <c r="V1252" s="2">
        <v>20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</row>
    <row r="1253" spans="1:28" hidden="1" x14ac:dyDescent="0.25">
      <c r="A1253" t="s">
        <v>33</v>
      </c>
      <c r="B1253" t="s">
        <v>34</v>
      </c>
      <c r="C1253" t="s">
        <v>35</v>
      </c>
      <c r="D1253" s="1">
        <v>45909</v>
      </c>
      <c r="E1253" s="1">
        <v>45909</v>
      </c>
      <c r="F1253" s="2">
        <v>56</v>
      </c>
      <c r="G1253" s="3" t="s">
        <v>23</v>
      </c>
      <c r="H1253">
        <v>28</v>
      </c>
      <c r="I1253" s="2">
        <v>0</v>
      </c>
      <c r="J1253" s="2">
        <v>0</v>
      </c>
      <c r="K1253" s="2">
        <v>1</v>
      </c>
      <c r="L1253" s="2">
        <v>0</v>
      </c>
      <c r="M1253">
        <v>0</v>
      </c>
      <c r="N1253">
        <v>0</v>
      </c>
      <c r="O1253" s="2">
        <v>0</v>
      </c>
      <c r="P1253" s="2">
        <v>0</v>
      </c>
      <c r="Q1253">
        <v>0</v>
      </c>
      <c r="R1253" s="2">
        <v>0</v>
      </c>
      <c r="S1253" s="2">
        <v>0</v>
      </c>
      <c r="T1253" t="s">
        <v>703</v>
      </c>
      <c r="U1253" s="2">
        <v>0</v>
      </c>
      <c r="V1253" s="2">
        <v>20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</row>
    <row r="1254" spans="1:28" hidden="1" x14ac:dyDescent="0.25">
      <c r="A1254" t="s">
        <v>37</v>
      </c>
      <c r="B1254" t="s">
        <v>57</v>
      </c>
      <c r="C1254" t="s">
        <v>35</v>
      </c>
      <c r="D1254" s="1">
        <v>45909</v>
      </c>
      <c r="E1254" s="1">
        <v>45909</v>
      </c>
      <c r="F1254" s="2">
        <v>56</v>
      </c>
      <c r="G1254" s="3" t="s">
        <v>48</v>
      </c>
      <c r="H1254">
        <v>0</v>
      </c>
      <c r="I1254" s="2">
        <v>0</v>
      </c>
      <c r="J1254" s="2">
        <v>0</v>
      </c>
      <c r="K1254" s="2">
        <v>0</v>
      </c>
      <c r="L1254" s="2">
        <v>0</v>
      </c>
      <c r="M1254">
        <v>0</v>
      </c>
      <c r="N1254">
        <v>0</v>
      </c>
      <c r="O1254" s="2">
        <v>0</v>
      </c>
      <c r="P1254" s="2">
        <v>0</v>
      </c>
      <c r="Q1254">
        <v>0</v>
      </c>
      <c r="R1254" s="2">
        <v>0</v>
      </c>
      <c r="S1254" s="2">
        <v>0</v>
      </c>
      <c r="T1254" t="s">
        <v>703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</row>
    <row r="1255" spans="1:28" hidden="1" x14ac:dyDescent="0.25">
      <c r="A1255" t="s">
        <v>47</v>
      </c>
      <c r="B1255" t="s">
        <v>52</v>
      </c>
      <c r="C1255" t="s">
        <v>212</v>
      </c>
      <c r="D1255" s="1">
        <v>45909</v>
      </c>
      <c r="E1255" s="1">
        <v>45909</v>
      </c>
      <c r="F1255" s="2">
        <v>0</v>
      </c>
      <c r="G1255" s="3" t="s">
        <v>572</v>
      </c>
      <c r="H1255">
        <v>0</v>
      </c>
      <c r="I1255" s="2">
        <v>0</v>
      </c>
      <c r="J1255" s="2">
        <v>0</v>
      </c>
      <c r="K1255" s="2">
        <v>0</v>
      </c>
      <c r="L1255" s="2">
        <v>0</v>
      </c>
      <c r="M1255">
        <v>0</v>
      </c>
      <c r="N1255">
        <v>0</v>
      </c>
      <c r="O1255" s="2">
        <v>0</v>
      </c>
      <c r="P1255" s="2">
        <v>0</v>
      </c>
      <c r="Q1255">
        <v>0</v>
      </c>
      <c r="R1255" s="2">
        <v>0</v>
      </c>
      <c r="S1255" s="2">
        <v>0</v>
      </c>
      <c r="T1255" t="s">
        <v>377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</row>
    <row r="1256" spans="1:28" hidden="1" x14ac:dyDescent="0.25">
      <c r="A1256" t="s">
        <v>25</v>
      </c>
      <c r="B1256" t="s">
        <v>26</v>
      </c>
      <c r="C1256" t="s">
        <v>27</v>
      </c>
      <c r="D1256" s="1">
        <v>45910</v>
      </c>
      <c r="E1256" s="1">
        <v>45910</v>
      </c>
      <c r="F1256" s="2">
        <v>26</v>
      </c>
      <c r="G1256" s="3" t="s">
        <v>23</v>
      </c>
      <c r="H1256">
        <v>12</v>
      </c>
      <c r="I1256" s="2">
        <v>0</v>
      </c>
      <c r="J1256" s="2">
        <v>0</v>
      </c>
      <c r="K1256" s="2">
        <v>0</v>
      </c>
      <c r="L1256" s="2">
        <v>1</v>
      </c>
      <c r="M1256">
        <v>0</v>
      </c>
      <c r="N1256">
        <v>0</v>
      </c>
      <c r="O1256" s="2">
        <v>0</v>
      </c>
      <c r="P1256" s="2">
        <v>0</v>
      </c>
      <c r="Q1256">
        <v>0</v>
      </c>
      <c r="R1256" s="2">
        <v>0</v>
      </c>
      <c r="S1256" s="2">
        <v>0</v>
      </c>
      <c r="T1256" t="s">
        <v>704</v>
      </c>
      <c r="U1256" s="2">
        <v>0</v>
      </c>
      <c r="V1256" s="2">
        <v>20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</row>
    <row r="1257" spans="1:28" hidden="1" x14ac:dyDescent="0.25">
      <c r="A1257" t="s">
        <v>29</v>
      </c>
      <c r="B1257" t="s">
        <v>30</v>
      </c>
      <c r="C1257" t="s">
        <v>31</v>
      </c>
      <c r="D1257" s="1">
        <v>45910</v>
      </c>
      <c r="E1257" s="1">
        <v>45910</v>
      </c>
      <c r="F1257" s="2">
        <v>75</v>
      </c>
      <c r="G1257" s="3" t="s">
        <v>23</v>
      </c>
      <c r="H1257">
        <v>57</v>
      </c>
      <c r="I1257" s="2">
        <v>0</v>
      </c>
      <c r="J1257" s="2">
        <v>0</v>
      </c>
      <c r="K1257" s="2">
        <v>1</v>
      </c>
      <c r="L1257" s="2">
        <v>0</v>
      </c>
      <c r="M1257">
        <v>0</v>
      </c>
      <c r="N1257">
        <v>0</v>
      </c>
      <c r="O1257" s="2">
        <v>0</v>
      </c>
      <c r="P1257" s="2">
        <v>0</v>
      </c>
      <c r="Q1257">
        <v>0</v>
      </c>
      <c r="R1257" s="2">
        <v>0</v>
      </c>
      <c r="S1257" s="2">
        <v>0</v>
      </c>
      <c r="T1257" t="s">
        <v>705</v>
      </c>
      <c r="U1257" s="2">
        <v>0</v>
      </c>
      <c r="V1257" s="2">
        <v>22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</row>
    <row r="1258" spans="1:28" hidden="1" x14ac:dyDescent="0.25">
      <c r="A1258" t="s">
        <v>33</v>
      </c>
      <c r="B1258" t="s">
        <v>34</v>
      </c>
      <c r="C1258" t="s">
        <v>35</v>
      </c>
      <c r="D1258" s="1">
        <v>45910</v>
      </c>
      <c r="E1258" s="1">
        <v>45910</v>
      </c>
      <c r="F1258" s="2">
        <v>31</v>
      </c>
      <c r="G1258" s="3" t="s">
        <v>23</v>
      </c>
      <c r="H1258">
        <v>52</v>
      </c>
      <c r="I1258" s="2">
        <v>0</v>
      </c>
      <c r="J1258" s="2">
        <v>1</v>
      </c>
      <c r="K1258" s="2">
        <v>1</v>
      </c>
      <c r="L1258" s="2">
        <v>0</v>
      </c>
      <c r="M1258">
        <v>0</v>
      </c>
      <c r="N1258">
        <v>0</v>
      </c>
      <c r="O1258" s="2">
        <v>0</v>
      </c>
      <c r="P1258" s="2">
        <v>0</v>
      </c>
      <c r="Q1258">
        <v>0</v>
      </c>
      <c r="R1258" s="2">
        <v>0</v>
      </c>
      <c r="S1258" s="2">
        <v>0</v>
      </c>
      <c r="T1258" t="s">
        <v>706</v>
      </c>
      <c r="U1258" s="2">
        <v>0</v>
      </c>
      <c r="V1258" s="2">
        <v>22</v>
      </c>
      <c r="W1258" s="2">
        <v>1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</row>
    <row r="1259" spans="1:28" hidden="1" x14ac:dyDescent="0.25">
      <c r="A1259" t="s">
        <v>37</v>
      </c>
      <c r="B1259" t="s">
        <v>57</v>
      </c>
      <c r="C1259" t="s">
        <v>39</v>
      </c>
      <c r="D1259" s="1">
        <v>45910</v>
      </c>
      <c r="E1259" s="1">
        <v>45910</v>
      </c>
      <c r="F1259" s="2">
        <v>87</v>
      </c>
      <c r="G1259" s="3" t="s">
        <v>23</v>
      </c>
      <c r="H1259">
        <v>33</v>
      </c>
      <c r="I1259" s="2">
        <v>0</v>
      </c>
      <c r="J1259" s="2">
        <v>0</v>
      </c>
      <c r="K1259" s="2">
        <v>1</v>
      </c>
      <c r="L1259" s="2">
        <v>0</v>
      </c>
      <c r="M1259">
        <v>1</v>
      </c>
      <c r="N1259">
        <v>0</v>
      </c>
      <c r="O1259" s="2">
        <v>0</v>
      </c>
      <c r="P1259" s="2">
        <v>0</v>
      </c>
      <c r="Q1259">
        <v>0</v>
      </c>
      <c r="R1259" s="2">
        <v>0</v>
      </c>
      <c r="S1259" s="2">
        <v>0</v>
      </c>
      <c r="T1259" t="s">
        <v>707</v>
      </c>
      <c r="U1259" s="2">
        <v>0</v>
      </c>
      <c r="V1259" s="2">
        <v>6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</row>
    <row r="1260" spans="1:28" hidden="1" x14ac:dyDescent="0.25">
      <c r="A1260" t="s">
        <v>53</v>
      </c>
      <c r="B1260" t="s">
        <v>38</v>
      </c>
      <c r="C1260" t="s">
        <v>39</v>
      </c>
      <c r="D1260" s="1">
        <v>45910</v>
      </c>
      <c r="E1260" s="1">
        <v>45910</v>
      </c>
      <c r="F1260" s="2">
        <v>87</v>
      </c>
      <c r="G1260" s="3" t="s">
        <v>23</v>
      </c>
      <c r="H1260">
        <v>31</v>
      </c>
      <c r="I1260" s="2">
        <v>0</v>
      </c>
      <c r="J1260" s="2">
        <v>0</v>
      </c>
      <c r="K1260" s="2">
        <v>1</v>
      </c>
      <c r="L1260" s="2">
        <v>0</v>
      </c>
      <c r="M1260">
        <v>1</v>
      </c>
      <c r="N1260">
        <v>0</v>
      </c>
      <c r="O1260" s="2">
        <v>0</v>
      </c>
      <c r="P1260" s="2">
        <v>0</v>
      </c>
      <c r="Q1260">
        <v>0</v>
      </c>
      <c r="R1260" s="2">
        <v>0</v>
      </c>
      <c r="S1260" s="2">
        <v>0</v>
      </c>
      <c r="T1260" t="s">
        <v>707</v>
      </c>
      <c r="U1260" s="2">
        <v>0</v>
      </c>
      <c r="V1260" s="2">
        <v>13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</row>
    <row r="1261" spans="1:28" hidden="1" x14ac:dyDescent="0.25">
      <c r="A1261" t="s">
        <v>20</v>
      </c>
      <c r="B1261" t="s">
        <v>21</v>
      </c>
      <c r="C1261" t="s">
        <v>35</v>
      </c>
      <c r="D1261" s="1">
        <v>45910</v>
      </c>
      <c r="E1261" s="1">
        <v>45910</v>
      </c>
      <c r="F1261" s="2">
        <v>56</v>
      </c>
      <c r="G1261" s="3" t="s">
        <v>48</v>
      </c>
      <c r="H1261">
        <v>0</v>
      </c>
      <c r="I1261" s="2">
        <v>0</v>
      </c>
      <c r="J1261" s="2">
        <v>0</v>
      </c>
      <c r="K1261" s="2">
        <v>0</v>
      </c>
      <c r="L1261" s="2">
        <v>0</v>
      </c>
      <c r="M1261">
        <v>0</v>
      </c>
      <c r="N1261">
        <v>0</v>
      </c>
      <c r="O1261" s="2">
        <v>0</v>
      </c>
      <c r="P1261" s="2">
        <v>0</v>
      </c>
      <c r="Q1261">
        <v>0</v>
      </c>
      <c r="R1261" s="2">
        <v>0</v>
      </c>
      <c r="S1261" s="2">
        <v>0</v>
      </c>
      <c r="T1261" t="s">
        <v>703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</row>
    <row r="1262" spans="1:28" hidden="1" x14ac:dyDescent="0.25">
      <c r="A1262" t="s">
        <v>56</v>
      </c>
      <c r="B1262" t="s">
        <v>47</v>
      </c>
      <c r="C1262" t="s">
        <v>35</v>
      </c>
      <c r="D1262" s="1">
        <v>45910</v>
      </c>
      <c r="E1262" s="1">
        <v>45910</v>
      </c>
      <c r="F1262" s="2">
        <v>56</v>
      </c>
      <c r="G1262" s="3" t="s">
        <v>48</v>
      </c>
      <c r="H1262">
        <v>0</v>
      </c>
      <c r="I1262" s="2">
        <v>0</v>
      </c>
      <c r="J1262" s="2">
        <v>0</v>
      </c>
      <c r="K1262" s="2">
        <v>0</v>
      </c>
      <c r="L1262" s="2">
        <v>0</v>
      </c>
      <c r="M1262">
        <v>0</v>
      </c>
      <c r="N1262">
        <v>0</v>
      </c>
      <c r="O1262" s="2">
        <v>0</v>
      </c>
      <c r="P1262" s="2">
        <v>0</v>
      </c>
      <c r="Q1262">
        <v>0</v>
      </c>
      <c r="R1262" s="2">
        <v>0</v>
      </c>
      <c r="S1262" s="2">
        <v>0</v>
      </c>
      <c r="T1262" t="s">
        <v>703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</row>
    <row r="1263" spans="1:28" hidden="1" x14ac:dyDescent="0.25">
      <c r="A1263" t="s">
        <v>568</v>
      </c>
      <c r="B1263" t="s">
        <v>47</v>
      </c>
      <c r="C1263" t="s">
        <v>35</v>
      </c>
      <c r="D1263" s="1">
        <v>45910</v>
      </c>
      <c r="E1263" s="1">
        <v>45910</v>
      </c>
      <c r="F1263" s="2">
        <v>56</v>
      </c>
      <c r="G1263" s="3" t="s">
        <v>48</v>
      </c>
      <c r="H1263">
        <v>0</v>
      </c>
      <c r="I1263" s="2">
        <v>0</v>
      </c>
      <c r="J1263" s="2">
        <v>0</v>
      </c>
      <c r="K1263" s="2">
        <v>0</v>
      </c>
      <c r="L1263" s="2">
        <v>0</v>
      </c>
      <c r="M1263">
        <v>0</v>
      </c>
      <c r="N1263">
        <v>0</v>
      </c>
      <c r="O1263" s="2">
        <v>0</v>
      </c>
      <c r="P1263" s="2">
        <v>0</v>
      </c>
      <c r="Q1263">
        <v>0</v>
      </c>
      <c r="R1263" s="2">
        <v>0</v>
      </c>
      <c r="S1263" s="2">
        <v>0</v>
      </c>
      <c r="T1263" t="s">
        <v>703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</row>
    <row r="1264" spans="1:28" hidden="1" x14ac:dyDescent="0.25">
      <c r="A1264" t="s">
        <v>47</v>
      </c>
      <c r="B1264" t="s">
        <v>52</v>
      </c>
      <c r="C1264" t="s">
        <v>212</v>
      </c>
      <c r="D1264" s="1">
        <v>45910</v>
      </c>
      <c r="E1264" s="1">
        <v>45910</v>
      </c>
      <c r="F1264" s="2">
        <v>0</v>
      </c>
      <c r="G1264" s="3" t="s">
        <v>572</v>
      </c>
      <c r="H1264">
        <v>0</v>
      </c>
      <c r="I1264" s="2">
        <v>0</v>
      </c>
      <c r="J1264" s="2">
        <v>0</v>
      </c>
      <c r="K1264" s="2">
        <v>0</v>
      </c>
      <c r="L1264" s="2">
        <v>0</v>
      </c>
      <c r="M1264">
        <v>0</v>
      </c>
      <c r="N1264">
        <v>0</v>
      </c>
      <c r="O1264" s="2">
        <v>0</v>
      </c>
      <c r="P1264" s="2">
        <v>0</v>
      </c>
      <c r="Q1264">
        <v>0</v>
      </c>
      <c r="R1264" s="2">
        <v>0</v>
      </c>
      <c r="S1264" s="2">
        <v>0</v>
      </c>
      <c r="T1264" t="s">
        <v>377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</row>
    <row r="1265" spans="1:28" hidden="1" x14ac:dyDescent="0.25">
      <c r="A1265" t="s">
        <v>56</v>
      </c>
      <c r="B1265" t="s">
        <v>47</v>
      </c>
      <c r="C1265" t="s">
        <v>64</v>
      </c>
      <c r="D1265" s="1">
        <v>45911</v>
      </c>
      <c r="E1265" s="1">
        <v>45911</v>
      </c>
      <c r="F1265" s="2">
        <v>18</v>
      </c>
      <c r="G1265" s="3" t="s">
        <v>23</v>
      </c>
      <c r="H1265">
        <v>43</v>
      </c>
      <c r="I1265" s="2">
        <v>0</v>
      </c>
      <c r="J1265" s="2">
        <v>0</v>
      </c>
      <c r="K1265" s="2">
        <v>1</v>
      </c>
      <c r="L1265" s="2">
        <v>0</v>
      </c>
      <c r="M1265">
        <v>1</v>
      </c>
      <c r="N1265">
        <v>0</v>
      </c>
      <c r="O1265" s="2">
        <v>0</v>
      </c>
      <c r="P1265" s="2">
        <v>0</v>
      </c>
      <c r="Q1265">
        <v>0</v>
      </c>
      <c r="R1265" s="2">
        <v>0</v>
      </c>
      <c r="S1265" s="2">
        <v>0</v>
      </c>
      <c r="T1265" t="s">
        <v>708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</row>
    <row r="1266" spans="1:28" hidden="1" x14ac:dyDescent="0.25">
      <c r="A1266" t="s">
        <v>568</v>
      </c>
      <c r="B1266" t="s">
        <v>47</v>
      </c>
      <c r="C1266" t="s">
        <v>64</v>
      </c>
      <c r="D1266" s="1">
        <v>45911</v>
      </c>
      <c r="E1266" s="1">
        <v>45911</v>
      </c>
      <c r="F1266" s="2">
        <v>18</v>
      </c>
      <c r="G1266" s="3" t="s">
        <v>23</v>
      </c>
      <c r="H1266">
        <v>43</v>
      </c>
      <c r="I1266" s="2">
        <v>0</v>
      </c>
      <c r="J1266" s="2">
        <v>0</v>
      </c>
      <c r="K1266" s="2">
        <v>1</v>
      </c>
      <c r="L1266" s="2">
        <v>0</v>
      </c>
      <c r="M1266">
        <v>1</v>
      </c>
      <c r="N1266">
        <v>0</v>
      </c>
      <c r="O1266" s="2">
        <v>0</v>
      </c>
      <c r="P1266" s="2">
        <v>0</v>
      </c>
      <c r="Q1266">
        <v>0</v>
      </c>
      <c r="R1266" s="2">
        <v>0</v>
      </c>
      <c r="S1266" s="2">
        <v>0</v>
      </c>
      <c r="T1266" t="s">
        <v>708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</row>
    <row r="1267" spans="1:28" hidden="1" x14ac:dyDescent="0.25">
      <c r="A1267" t="s">
        <v>730</v>
      </c>
      <c r="B1267" t="s">
        <v>47</v>
      </c>
      <c r="C1267" t="s">
        <v>64</v>
      </c>
      <c r="D1267" s="1">
        <v>45911</v>
      </c>
      <c r="E1267" s="1">
        <v>45911</v>
      </c>
      <c r="F1267" s="2">
        <v>18</v>
      </c>
      <c r="G1267" s="3" t="s">
        <v>23</v>
      </c>
      <c r="H1267">
        <v>18</v>
      </c>
      <c r="I1267" s="2">
        <v>0</v>
      </c>
      <c r="J1267" s="2">
        <v>0</v>
      </c>
      <c r="K1267" s="2">
        <v>1</v>
      </c>
      <c r="L1267" s="2">
        <v>0</v>
      </c>
      <c r="M1267">
        <v>0</v>
      </c>
      <c r="N1267">
        <v>0</v>
      </c>
      <c r="O1267" s="2">
        <v>0</v>
      </c>
      <c r="P1267" s="2">
        <v>0</v>
      </c>
      <c r="Q1267">
        <v>0</v>
      </c>
      <c r="R1267" s="2">
        <v>0</v>
      </c>
      <c r="S1267" s="2">
        <v>0</v>
      </c>
      <c r="T1267" t="s">
        <v>708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</row>
    <row r="1268" spans="1:28" hidden="1" x14ac:dyDescent="0.25">
      <c r="A1268" t="s">
        <v>53</v>
      </c>
      <c r="B1268" t="s">
        <v>38</v>
      </c>
      <c r="C1268" t="s">
        <v>54</v>
      </c>
      <c r="D1268" s="1">
        <v>45911</v>
      </c>
      <c r="E1268" s="1">
        <v>45911</v>
      </c>
      <c r="F1268" s="2">
        <v>37</v>
      </c>
      <c r="G1268" s="3" t="s">
        <v>23</v>
      </c>
      <c r="H1268">
        <v>40</v>
      </c>
      <c r="I1268" s="2">
        <v>0</v>
      </c>
      <c r="J1268" s="2">
        <v>0</v>
      </c>
      <c r="K1268" s="2">
        <v>1</v>
      </c>
      <c r="L1268" s="2">
        <v>0</v>
      </c>
      <c r="M1268">
        <v>0</v>
      </c>
      <c r="N1268">
        <v>0</v>
      </c>
      <c r="O1268" s="2">
        <v>0</v>
      </c>
      <c r="P1268" s="2">
        <v>0</v>
      </c>
      <c r="Q1268">
        <v>0</v>
      </c>
      <c r="R1268" s="2">
        <v>0</v>
      </c>
      <c r="S1268" s="2">
        <v>0</v>
      </c>
      <c r="T1268" t="s">
        <v>709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</row>
    <row r="1269" spans="1:28" hidden="1" x14ac:dyDescent="0.25">
      <c r="A1269" t="s">
        <v>20</v>
      </c>
      <c r="B1269" t="s">
        <v>21</v>
      </c>
      <c r="C1269" t="s">
        <v>22</v>
      </c>
      <c r="D1269" s="1">
        <v>45911</v>
      </c>
      <c r="E1269" s="1">
        <v>45911</v>
      </c>
      <c r="F1269" s="2">
        <v>33</v>
      </c>
      <c r="G1269" s="3" t="s">
        <v>23</v>
      </c>
      <c r="H1269">
        <v>29</v>
      </c>
      <c r="I1269" s="2">
        <v>0</v>
      </c>
      <c r="J1269" s="2">
        <v>0</v>
      </c>
      <c r="K1269" s="2">
        <v>1</v>
      </c>
      <c r="L1269" s="2">
        <v>0</v>
      </c>
      <c r="M1269">
        <v>0</v>
      </c>
      <c r="N1269">
        <v>0</v>
      </c>
      <c r="O1269" s="2">
        <v>0</v>
      </c>
      <c r="P1269" s="2">
        <v>0</v>
      </c>
      <c r="Q1269">
        <v>0</v>
      </c>
      <c r="R1269" s="2">
        <v>0</v>
      </c>
      <c r="S1269" s="2">
        <v>0</v>
      </c>
      <c r="T1269" t="s">
        <v>710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</row>
    <row r="1270" spans="1:28" hidden="1" x14ac:dyDescent="0.25">
      <c r="A1270" t="s">
        <v>29</v>
      </c>
      <c r="B1270" t="s">
        <v>30</v>
      </c>
      <c r="C1270" t="s">
        <v>31</v>
      </c>
      <c r="D1270" s="1">
        <v>45911</v>
      </c>
      <c r="E1270" s="1">
        <v>45911</v>
      </c>
      <c r="F1270" s="2">
        <v>50</v>
      </c>
      <c r="G1270" s="3" t="s">
        <v>23</v>
      </c>
      <c r="H1270">
        <v>21</v>
      </c>
      <c r="I1270" s="2">
        <v>0</v>
      </c>
      <c r="J1270" s="2">
        <v>0</v>
      </c>
      <c r="K1270" s="2">
        <v>0</v>
      </c>
      <c r="L1270" s="2">
        <v>1</v>
      </c>
      <c r="M1270">
        <v>1</v>
      </c>
      <c r="N1270">
        <v>0</v>
      </c>
      <c r="O1270" s="2">
        <v>0</v>
      </c>
      <c r="P1270" s="2">
        <v>0</v>
      </c>
      <c r="Q1270">
        <v>0</v>
      </c>
      <c r="R1270" s="2">
        <v>0</v>
      </c>
      <c r="S1270" s="2">
        <v>0</v>
      </c>
      <c r="T1270" t="s">
        <v>711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</row>
    <row r="1271" spans="1:28" hidden="1" x14ac:dyDescent="0.25">
      <c r="A1271" t="s">
        <v>37</v>
      </c>
      <c r="B1271" t="s">
        <v>57</v>
      </c>
      <c r="C1271" t="s">
        <v>39</v>
      </c>
      <c r="D1271" s="1">
        <v>45911</v>
      </c>
      <c r="E1271" s="1">
        <v>45911</v>
      </c>
      <c r="F1271" s="2">
        <v>16</v>
      </c>
      <c r="G1271" s="3" t="s">
        <v>23</v>
      </c>
      <c r="H1271">
        <v>47</v>
      </c>
      <c r="I1271" s="2">
        <v>0</v>
      </c>
      <c r="J1271" s="2">
        <v>0</v>
      </c>
      <c r="K1271" s="2">
        <v>1</v>
      </c>
      <c r="L1271" s="2">
        <v>0</v>
      </c>
      <c r="M1271">
        <v>0</v>
      </c>
      <c r="N1271">
        <v>0</v>
      </c>
      <c r="O1271" s="2">
        <v>0</v>
      </c>
      <c r="P1271" s="2">
        <v>0</v>
      </c>
      <c r="Q1271">
        <v>0</v>
      </c>
      <c r="R1271" s="2">
        <v>0</v>
      </c>
      <c r="S1271" s="2">
        <v>0</v>
      </c>
      <c r="T1271" t="s">
        <v>712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</row>
    <row r="1272" spans="1:28" hidden="1" x14ac:dyDescent="0.25">
      <c r="A1272" t="s">
        <v>25</v>
      </c>
      <c r="B1272" t="s">
        <v>26</v>
      </c>
      <c r="C1272" t="s">
        <v>35</v>
      </c>
      <c r="D1272" s="1">
        <v>45911</v>
      </c>
      <c r="E1272" s="1">
        <v>45911</v>
      </c>
      <c r="F1272" s="2">
        <v>56</v>
      </c>
      <c r="G1272" s="3" t="s">
        <v>48</v>
      </c>
      <c r="H1272">
        <v>0</v>
      </c>
      <c r="I1272" s="2">
        <v>0</v>
      </c>
      <c r="J1272" s="2">
        <v>0</v>
      </c>
      <c r="K1272" s="2">
        <v>0</v>
      </c>
      <c r="L1272" s="2">
        <v>0</v>
      </c>
      <c r="M1272">
        <v>0</v>
      </c>
      <c r="N1272">
        <v>0</v>
      </c>
      <c r="O1272" s="2">
        <v>0</v>
      </c>
      <c r="P1272" s="2">
        <v>0</v>
      </c>
      <c r="Q1272">
        <v>0</v>
      </c>
      <c r="R1272" s="2">
        <v>0</v>
      </c>
      <c r="S1272" s="2">
        <v>0</v>
      </c>
      <c r="T1272" t="s">
        <v>703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</row>
    <row r="1273" spans="1:28" hidden="1" x14ac:dyDescent="0.25">
      <c r="A1273" t="s">
        <v>33</v>
      </c>
      <c r="B1273" t="s">
        <v>34</v>
      </c>
      <c r="C1273" t="s">
        <v>35</v>
      </c>
      <c r="D1273" s="1">
        <v>45911</v>
      </c>
      <c r="E1273" s="1">
        <v>45911</v>
      </c>
      <c r="F1273" s="2">
        <v>56</v>
      </c>
      <c r="G1273" s="3" t="s">
        <v>48</v>
      </c>
      <c r="H1273">
        <v>0</v>
      </c>
      <c r="I1273" s="2">
        <v>0</v>
      </c>
      <c r="J1273" s="2">
        <v>0</v>
      </c>
      <c r="K1273" s="2">
        <v>0</v>
      </c>
      <c r="L1273" s="2">
        <v>0</v>
      </c>
      <c r="M1273">
        <v>0</v>
      </c>
      <c r="N1273">
        <v>0</v>
      </c>
      <c r="O1273" s="2">
        <v>0</v>
      </c>
      <c r="P1273" s="2">
        <v>0</v>
      </c>
      <c r="Q1273">
        <v>0</v>
      </c>
      <c r="R1273" s="2">
        <v>0</v>
      </c>
      <c r="S1273" s="2">
        <v>0</v>
      </c>
      <c r="T1273" t="s">
        <v>703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</row>
    <row r="1274" spans="1:28" hidden="1" x14ac:dyDescent="0.25">
      <c r="A1274" t="s">
        <v>47</v>
      </c>
      <c r="B1274" t="s">
        <v>52</v>
      </c>
      <c r="C1274" t="s">
        <v>212</v>
      </c>
      <c r="D1274" s="1">
        <v>45911</v>
      </c>
      <c r="E1274" s="1">
        <v>45911</v>
      </c>
      <c r="F1274" s="2">
        <v>0</v>
      </c>
      <c r="G1274" s="3" t="s">
        <v>572</v>
      </c>
      <c r="H1274">
        <v>0</v>
      </c>
      <c r="I1274" s="2">
        <v>0</v>
      </c>
      <c r="J1274" s="2">
        <v>0</v>
      </c>
      <c r="K1274" s="2">
        <v>0</v>
      </c>
      <c r="L1274" s="2">
        <v>0</v>
      </c>
      <c r="M1274">
        <v>0</v>
      </c>
      <c r="N1274">
        <v>0</v>
      </c>
      <c r="O1274" s="2">
        <v>0</v>
      </c>
      <c r="P1274" s="2">
        <v>0</v>
      </c>
      <c r="Q1274">
        <v>0</v>
      </c>
      <c r="R1274" s="2">
        <v>0</v>
      </c>
      <c r="S1274" s="2">
        <v>0</v>
      </c>
      <c r="T1274" t="s">
        <v>377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</row>
    <row r="1275" spans="1:28" hidden="1" x14ac:dyDescent="0.25">
      <c r="A1275" t="s">
        <v>56</v>
      </c>
      <c r="B1275" t="s">
        <v>47</v>
      </c>
      <c r="C1275" t="s">
        <v>64</v>
      </c>
      <c r="D1275" s="1">
        <v>45912</v>
      </c>
      <c r="E1275" s="1">
        <v>45912</v>
      </c>
      <c r="F1275" s="2">
        <v>129</v>
      </c>
      <c r="G1275" s="3" t="s">
        <v>23</v>
      </c>
      <c r="H1275">
        <v>46</v>
      </c>
      <c r="I1275" s="2">
        <v>0</v>
      </c>
      <c r="J1275" s="2">
        <v>0</v>
      </c>
      <c r="K1275" s="2">
        <v>1</v>
      </c>
      <c r="L1275" s="2">
        <v>0</v>
      </c>
      <c r="M1275">
        <v>2</v>
      </c>
      <c r="N1275">
        <v>0</v>
      </c>
      <c r="O1275" s="2">
        <v>0</v>
      </c>
      <c r="P1275" s="2">
        <v>0</v>
      </c>
      <c r="Q1275">
        <v>0</v>
      </c>
      <c r="R1275" s="2">
        <v>0</v>
      </c>
      <c r="S1275" s="2">
        <v>0</v>
      </c>
      <c r="T1275" t="s">
        <v>713</v>
      </c>
      <c r="U1275" s="2">
        <v>0</v>
      </c>
      <c r="V1275" s="2">
        <v>22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</row>
    <row r="1276" spans="1:28" hidden="1" x14ac:dyDescent="0.25">
      <c r="A1276" t="s">
        <v>568</v>
      </c>
      <c r="B1276" t="s">
        <v>47</v>
      </c>
      <c r="C1276" t="s">
        <v>64</v>
      </c>
      <c r="D1276" s="1">
        <v>45912</v>
      </c>
      <c r="E1276" s="1">
        <v>45912</v>
      </c>
      <c r="F1276" s="2">
        <v>129</v>
      </c>
      <c r="G1276" s="3" t="s">
        <v>23</v>
      </c>
      <c r="H1276">
        <v>46</v>
      </c>
      <c r="I1276" s="2">
        <v>0</v>
      </c>
      <c r="J1276" s="2">
        <v>0</v>
      </c>
      <c r="K1276" s="2">
        <v>1</v>
      </c>
      <c r="L1276" s="2">
        <v>0</v>
      </c>
      <c r="M1276">
        <v>2</v>
      </c>
      <c r="N1276">
        <v>0</v>
      </c>
      <c r="O1276" s="2">
        <v>0</v>
      </c>
      <c r="P1276" s="2">
        <v>0</v>
      </c>
      <c r="Q1276">
        <v>0</v>
      </c>
      <c r="R1276" s="2">
        <v>0</v>
      </c>
      <c r="S1276" s="2">
        <v>0</v>
      </c>
      <c r="T1276" t="s">
        <v>713</v>
      </c>
      <c r="U1276" s="2">
        <v>0</v>
      </c>
      <c r="V1276" s="2">
        <v>22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</row>
    <row r="1277" spans="1:28" hidden="1" x14ac:dyDescent="0.25">
      <c r="A1277" t="s">
        <v>730</v>
      </c>
      <c r="B1277" t="s">
        <v>47</v>
      </c>
      <c r="C1277" t="s">
        <v>64</v>
      </c>
      <c r="D1277" s="1">
        <v>45912</v>
      </c>
      <c r="E1277" s="1">
        <v>45912</v>
      </c>
      <c r="F1277" s="2">
        <v>129</v>
      </c>
      <c r="G1277" s="3" t="s">
        <v>23</v>
      </c>
      <c r="H1277">
        <v>46</v>
      </c>
      <c r="I1277" s="2">
        <v>0</v>
      </c>
      <c r="J1277" s="2">
        <v>0</v>
      </c>
      <c r="K1277" s="2">
        <v>1</v>
      </c>
      <c r="L1277" s="2">
        <v>0</v>
      </c>
      <c r="M1277">
        <v>2</v>
      </c>
      <c r="N1277">
        <v>0</v>
      </c>
      <c r="O1277" s="2">
        <v>0</v>
      </c>
      <c r="P1277" s="2">
        <v>0</v>
      </c>
      <c r="Q1277">
        <v>0</v>
      </c>
      <c r="R1277" s="2">
        <v>0</v>
      </c>
      <c r="S1277" s="2">
        <v>0</v>
      </c>
      <c r="T1277" t="s">
        <v>713</v>
      </c>
      <c r="U1277" s="2">
        <v>0</v>
      </c>
      <c r="V1277" s="2">
        <v>22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</row>
    <row r="1278" spans="1:28" hidden="1" x14ac:dyDescent="0.25">
      <c r="A1278" t="s">
        <v>20</v>
      </c>
      <c r="B1278" t="s">
        <v>21</v>
      </c>
      <c r="C1278" t="s">
        <v>22</v>
      </c>
      <c r="D1278" s="1">
        <v>45912</v>
      </c>
      <c r="E1278" s="1">
        <v>45912</v>
      </c>
      <c r="F1278" s="2">
        <v>39</v>
      </c>
      <c r="G1278" s="3" t="s">
        <v>23</v>
      </c>
      <c r="H1278">
        <v>20</v>
      </c>
      <c r="I1278" s="2">
        <v>0</v>
      </c>
      <c r="J1278" s="2">
        <v>0</v>
      </c>
      <c r="K1278" s="2">
        <v>1</v>
      </c>
      <c r="L1278" s="2">
        <v>0</v>
      </c>
      <c r="M1278">
        <v>0</v>
      </c>
      <c r="N1278">
        <v>0</v>
      </c>
      <c r="O1278" s="2">
        <v>0</v>
      </c>
      <c r="P1278" s="2">
        <v>0</v>
      </c>
      <c r="Q1278">
        <v>0</v>
      </c>
      <c r="R1278" s="2">
        <v>0</v>
      </c>
      <c r="S1278" s="2">
        <v>0</v>
      </c>
      <c r="T1278" t="s">
        <v>714</v>
      </c>
      <c r="U1278" s="2">
        <v>0</v>
      </c>
      <c r="V1278" s="2">
        <v>22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</row>
    <row r="1279" spans="1:28" hidden="1" x14ac:dyDescent="0.25">
      <c r="A1279" t="s">
        <v>25</v>
      </c>
      <c r="B1279" t="s">
        <v>26</v>
      </c>
      <c r="C1279" t="s">
        <v>27</v>
      </c>
      <c r="D1279" s="1">
        <v>45912</v>
      </c>
      <c r="E1279" s="1">
        <v>45912</v>
      </c>
      <c r="F1279" s="2">
        <v>23</v>
      </c>
      <c r="G1279" s="3" t="s">
        <v>23</v>
      </c>
      <c r="H1279">
        <v>18</v>
      </c>
      <c r="I1279" s="2">
        <v>0</v>
      </c>
      <c r="J1279" s="2">
        <v>0</v>
      </c>
      <c r="K1279" s="2">
        <v>0</v>
      </c>
      <c r="L1279" s="2">
        <v>1</v>
      </c>
      <c r="M1279">
        <v>1</v>
      </c>
      <c r="N1279">
        <v>0</v>
      </c>
      <c r="O1279" s="2">
        <v>0</v>
      </c>
      <c r="P1279" s="2">
        <v>0</v>
      </c>
      <c r="Q1279">
        <v>0</v>
      </c>
      <c r="R1279" s="2">
        <v>0</v>
      </c>
      <c r="S1279" s="2">
        <v>0</v>
      </c>
      <c r="T1279" t="s">
        <v>715</v>
      </c>
      <c r="U1279" s="2">
        <v>0</v>
      </c>
      <c r="V1279" s="2">
        <v>31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</row>
    <row r="1280" spans="1:28" hidden="1" x14ac:dyDescent="0.25">
      <c r="A1280" t="s">
        <v>33</v>
      </c>
      <c r="B1280" t="s">
        <v>34</v>
      </c>
      <c r="C1280" t="s">
        <v>35</v>
      </c>
      <c r="D1280" s="1">
        <v>45912</v>
      </c>
      <c r="E1280" s="1">
        <v>45912</v>
      </c>
      <c r="F1280" s="2">
        <v>49</v>
      </c>
      <c r="G1280" s="3" t="s">
        <v>23</v>
      </c>
      <c r="H1280">
        <v>36</v>
      </c>
      <c r="I1280" s="2">
        <v>0</v>
      </c>
      <c r="J1280" s="2">
        <v>0</v>
      </c>
      <c r="K1280" s="2">
        <v>1</v>
      </c>
      <c r="L1280" s="2">
        <v>0</v>
      </c>
      <c r="M1280">
        <v>0</v>
      </c>
      <c r="N1280">
        <v>0</v>
      </c>
      <c r="O1280" s="2">
        <v>0</v>
      </c>
      <c r="P1280" s="2">
        <v>0</v>
      </c>
      <c r="Q1280">
        <v>0</v>
      </c>
      <c r="R1280" s="2">
        <v>0</v>
      </c>
      <c r="S1280" s="2">
        <v>0</v>
      </c>
      <c r="T1280" t="s">
        <v>716</v>
      </c>
      <c r="U1280" s="2">
        <v>0</v>
      </c>
      <c r="V1280" s="2">
        <v>14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</row>
    <row r="1281" spans="1:28" hidden="1" x14ac:dyDescent="0.25">
      <c r="A1281" t="s">
        <v>37</v>
      </c>
      <c r="B1281" t="s">
        <v>57</v>
      </c>
      <c r="C1281" t="s">
        <v>39</v>
      </c>
      <c r="D1281" s="1">
        <v>45912</v>
      </c>
      <c r="E1281" s="1">
        <v>45912</v>
      </c>
      <c r="F1281" s="2">
        <v>32</v>
      </c>
      <c r="G1281" s="3" t="s">
        <v>23</v>
      </c>
      <c r="H1281">
        <v>16</v>
      </c>
      <c r="I1281" s="2">
        <v>0</v>
      </c>
      <c r="J1281" s="2">
        <v>0</v>
      </c>
      <c r="K1281" s="2">
        <v>1</v>
      </c>
      <c r="L1281" s="2">
        <v>0</v>
      </c>
      <c r="M1281">
        <v>1</v>
      </c>
      <c r="N1281">
        <v>0</v>
      </c>
      <c r="O1281" s="2">
        <v>0</v>
      </c>
      <c r="P1281" s="2">
        <v>0</v>
      </c>
      <c r="Q1281">
        <v>0</v>
      </c>
      <c r="R1281" s="2">
        <v>0</v>
      </c>
      <c r="S1281" s="2">
        <v>0</v>
      </c>
      <c r="T1281" t="s">
        <v>717</v>
      </c>
      <c r="U1281" s="2">
        <v>0</v>
      </c>
      <c r="V1281" s="2">
        <v>22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</row>
    <row r="1282" spans="1:28" hidden="1" x14ac:dyDescent="0.25">
      <c r="A1282" t="s">
        <v>29</v>
      </c>
      <c r="B1282" t="s">
        <v>30</v>
      </c>
      <c r="C1282" t="s">
        <v>39</v>
      </c>
      <c r="D1282" s="1">
        <v>45912</v>
      </c>
      <c r="E1282" s="1">
        <v>45912</v>
      </c>
      <c r="F1282" s="2">
        <v>32</v>
      </c>
      <c r="G1282" s="3" t="s">
        <v>23</v>
      </c>
      <c r="H1282">
        <v>13</v>
      </c>
      <c r="I1282" s="2">
        <v>0</v>
      </c>
      <c r="J1282" s="2">
        <v>0</v>
      </c>
      <c r="K1282" s="2">
        <v>0</v>
      </c>
      <c r="L1282" s="2">
        <v>0</v>
      </c>
      <c r="M1282">
        <v>0</v>
      </c>
      <c r="N1282">
        <v>0</v>
      </c>
      <c r="O1282" s="2">
        <v>0</v>
      </c>
      <c r="P1282" s="2">
        <v>0</v>
      </c>
      <c r="Q1282">
        <v>1</v>
      </c>
      <c r="R1282" s="2">
        <v>0</v>
      </c>
      <c r="S1282" s="2">
        <v>0</v>
      </c>
      <c r="T1282" t="s">
        <v>717</v>
      </c>
      <c r="U1282" s="2">
        <v>0</v>
      </c>
      <c r="V1282" s="2">
        <v>10</v>
      </c>
      <c r="W1282" s="2">
        <v>3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</row>
    <row r="1283" spans="1:28" hidden="1" x14ac:dyDescent="0.25">
      <c r="A1283" t="s">
        <v>53</v>
      </c>
      <c r="B1283" t="s">
        <v>38</v>
      </c>
      <c r="C1283" t="s">
        <v>39</v>
      </c>
      <c r="D1283" s="1">
        <v>45912</v>
      </c>
      <c r="E1283" s="1">
        <v>45912</v>
      </c>
      <c r="F1283" s="2">
        <v>32</v>
      </c>
      <c r="G1283" s="3" t="s">
        <v>23</v>
      </c>
      <c r="H1283">
        <v>2</v>
      </c>
      <c r="I1283" s="2">
        <v>0</v>
      </c>
      <c r="J1283" s="2">
        <v>0</v>
      </c>
      <c r="K1283" s="2">
        <v>0</v>
      </c>
      <c r="L1283" s="2">
        <v>0</v>
      </c>
      <c r="M1283">
        <v>0</v>
      </c>
      <c r="N1283">
        <v>0</v>
      </c>
      <c r="O1283" s="2">
        <v>0</v>
      </c>
      <c r="P1283" s="2">
        <v>0</v>
      </c>
      <c r="Q1283">
        <v>1</v>
      </c>
      <c r="R1283" s="2">
        <v>0</v>
      </c>
      <c r="S1283" s="2">
        <v>0</v>
      </c>
      <c r="T1283" t="s">
        <v>717</v>
      </c>
      <c r="U1283" s="2">
        <v>0</v>
      </c>
      <c r="V1283" s="2">
        <v>20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</row>
    <row r="1284" spans="1:28" hidden="1" x14ac:dyDescent="0.25">
      <c r="A1284" t="s">
        <v>47</v>
      </c>
      <c r="B1284" t="s">
        <v>52</v>
      </c>
      <c r="C1284" t="s">
        <v>212</v>
      </c>
      <c r="D1284" s="1">
        <v>45912</v>
      </c>
      <c r="E1284" s="1">
        <v>45912</v>
      </c>
      <c r="F1284" s="2">
        <v>0</v>
      </c>
      <c r="G1284" s="3" t="s">
        <v>572</v>
      </c>
      <c r="H1284">
        <v>0</v>
      </c>
      <c r="I1284" s="2">
        <v>0</v>
      </c>
      <c r="J1284" s="2">
        <v>0</v>
      </c>
      <c r="K1284" s="2">
        <v>0</v>
      </c>
      <c r="L1284" s="2">
        <v>0</v>
      </c>
      <c r="M1284">
        <v>0</v>
      </c>
      <c r="N1284">
        <v>0</v>
      </c>
      <c r="O1284" s="2">
        <v>0</v>
      </c>
      <c r="P1284" s="2">
        <v>0</v>
      </c>
      <c r="Q1284">
        <v>0</v>
      </c>
      <c r="R1284" s="2">
        <v>0</v>
      </c>
      <c r="S1284" s="2">
        <v>0</v>
      </c>
      <c r="T1284" t="s">
        <v>377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</row>
    <row r="1285" spans="1:28" hidden="1" x14ac:dyDescent="0.25">
      <c r="A1285" t="s">
        <v>56</v>
      </c>
      <c r="B1285" t="s">
        <v>47</v>
      </c>
      <c r="C1285" t="s">
        <v>64</v>
      </c>
      <c r="D1285" s="9">
        <v>45913</v>
      </c>
      <c r="E1285" s="9">
        <v>45913</v>
      </c>
      <c r="F1285" s="2">
        <v>81</v>
      </c>
      <c r="G1285" s="3" t="s">
        <v>23</v>
      </c>
      <c r="H1285">
        <v>0</v>
      </c>
      <c r="I1285" s="2">
        <v>0</v>
      </c>
      <c r="J1285" s="2">
        <v>0</v>
      </c>
      <c r="K1285" s="2">
        <v>0</v>
      </c>
      <c r="L1285" s="2">
        <v>0</v>
      </c>
      <c r="M1285">
        <v>0</v>
      </c>
      <c r="N1285">
        <v>0</v>
      </c>
      <c r="O1285" s="2">
        <v>1</v>
      </c>
      <c r="P1285" s="2">
        <v>0</v>
      </c>
      <c r="Q1285">
        <v>0</v>
      </c>
      <c r="R1285" s="2">
        <v>1</v>
      </c>
      <c r="S1285" s="2">
        <v>0</v>
      </c>
      <c r="T1285" t="s">
        <v>718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</row>
    <row r="1286" spans="1:28" hidden="1" x14ac:dyDescent="0.25">
      <c r="A1286" t="s">
        <v>730</v>
      </c>
      <c r="B1286" t="s">
        <v>47</v>
      </c>
      <c r="C1286" t="s">
        <v>64</v>
      </c>
      <c r="D1286" s="9">
        <v>45913</v>
      </c>
      <c r="E1286" s="9">
        <v>45913</v>
      </c>
      <c r="F1286" s="2">
        <v>81</v>
      </c>
      <c r="G1286" s="3" t="s">
        <v>23</v>
      </c>
      <c r="H1286">
        <v>0</v>
      </c>
      <c r="I1286" s="2">
        <v>0</v>
      </c>
      <c r="J1286" s="2">
        <v>0</v>
      </c>
      <c r="K1286" s="2">
        <v>0</v>
      </c>
      <c r="L1286" s="2">
        <v>0</v>
      </c>
      <c r="M1286">
        <v>0</v>
      </c>
      <c r="N1286">
        <v>0</v>
      </c>
      <c r="O1286" s="2">
        <v>1</v>
      </c>
      <c r="P1286" s="2">
        <v>0</v>
      </c>
      <c r="Q1286">
        <v>0</v>
      </c>
      <c r="R1286" s="2">
        <v>1</v>
      </c>
      <c r="S1286" s="2">
        <v>0</v>
      </c>
      <c r="T1286" t="s">
        <v>718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</row>
    <row r="1287" spans="1:28" hidden="1" x14ac:dyDescent="0.25">
      <c r="A1287" t="s">
        <v>20</v>
      </c>
      <c r="B1287" t="s">
        <v>21</v>
      </c>
      <c r="C1287" t="s">
        <v>22</v>
      </c>
      <c r="D1287" s="9">
        <v>45913</v>
      </c>
      <c r="E1287" s="9">
        <v>45913</v>
      </c>
      <c r="F1287" s="2">
        <v>36</v>
      </c>
      <c r="G1287" s="3" t="s">
        <v>23</v>
      </c>
      <c r="H1287">
        <v>0</v>
      </c>
      <c r="I1287" s="2">
        <v>0</v>
      </c>
      <c r="J1287" s="2">
        <v>0</v>
      </c>
      <c r="K1287" s="2">
        <v>0</v>
      </c>
      <c r="L1287" s="2">
        <v>0</v>
      </c>
      <c r="M1287">
        <v>0</v>
      </c>
      <c r="N1287">
        <v>0</v>
      </c>
      <c r="O1287" s="2">
        <v>1</v>
      </c>
      <c r="P1287" s="2">
        <v>0</v>
      </c>
      <c r="Q1287">
        <v>2</v>
      </c>
      <c r="R1287" s="2">
        <v>1</v>
      </c>
      <c r="S1287" s="2">
        <v>0</v>
      </c>
      <c r="T1287" t="s">
        <v>719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</row>
    <row r="1288" spans="1:28" hidden="1" x14ac:dyDescent="0.25">
      <c r="A1288" t="s">
        <v>25</v>
      </c>
      <c r="B1288" t="s">
        <v>26</v>
      </c>
      <c r="C1288" t="s">
        <v>27</v>
      </c>
      <c r="D1288" s="9">
        <v>45913</v>
      </c>
      <c r="E1288" s="9">
        <v>45913</v>
      </c>
      <c r="F1288" s="2">
        <v>42</v>
      </c>
      <c r="G1288" s="3" t="s">
        <v>23</v>
      </c>
      <c r="H1288">
        <v>0</v>
      </c>
      <c r="I1288" s="2">
        <v>0</v>
      </c>
      <c r="J1288" s="2">
        <v>0</v>
      </c>
      <c r="K1288" s="2">
        <v>0</v>
      </c>
      <c r="L1288" s="2">
        <v>0</v>
      </c>
      <c r="M1288">
        <v>0</v>
      </c>
      <c r="N1288">
        <v>0</v>
      </c>
      <c r="O1288" s="2">
        <v>0</v>
      </c>
      <c r="P1288" s="2">
        <v>0</v>
      </c>
      <c r="Q1288">
        <v>8</v>
      </c>
      <c r="R1288" s="2">
        <v>1</v>
      </c>
      <c r="S1288" s="2">
        <v>0</v>
      </c>
      <c r="T1288" t="s">
        <v>720</v>
      </c>
      <c r="U1288" s="2">
        <v>16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1</v>
      </c>
      <c r="AB1288" s="2">
        <v>0</v>
      </c>
    </row>
    <row r="1289" spans="1:28" hidden="1" x14ac:dyDescent="0.25">
      <c r="A1289" t="s">
        <v>33</v>
      </c>
      <c r="B1289" t="s">
        <v>34</v>
      </c>
      <c r="C1289" t="s">
        <v>35</v>
      </c>
      <c r="D1289" s="9">
        <v>45913</v>
      </c>
      <c r="E1289" s="9">
        <v>45913</v>
      </c>
      <c r="F1289" s="2">
        <v>40</v>
      </c>
      <c r="G1289" s="3" t="s">
        <v>23</v>
      </c>
      <c r="H1289">
        <v>0</v>
      </c>
      <c r="I1289" s="2">
        <v>0</v>
      </c>
      <c r="J1289" s="2">
        <v>0</v>
      </c>
      <c r="K1289" s="2">
        <v>0</v>
      </c>
      <c r="L1289" s="2">
        <v>0</v>
      </c>
      <c r="M1289">
        <v>1</v>
      </c>
      <c r="N1289">
        <v>0</v>
      </c>
      <c r="O1289" s="2">
        <v>1</v>
      </c>
      <c r="P1289" s="2">
        <v>0</v>
      </c>
      <c r="Q1289">
        <v>1</v>
      </c>
      <c r="R1289" s="2">
        <v>1</v>
      </c>
      <c r="S1289" s="2">
        <v>0</v>
      </c>
      <c r="T1289" t="s">
        <v>721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</row>
    <row r="1290" spans="1:28" hidden="1" x14ac:dyDescent="0.25">
      <c r="A1290" t="s">
        <v>37</v>
      </c>
      <c r="B1290" t="s">
        <v>57</v>
      </c>
      <c r="C1290" t="s">
        <v>39</v>
      </c>
      <c r="D1290" s="9">
        <v>45913</v>
      </c>
      <c r="E1290" s="9">
        <v>45913</v>
      </c>
      <c r="F1290" s="2">
        <v>26</v>
      </c>
      <c r="G1290" s="3" t="s">
        <v>23</v>
      </c>
      <c r="H1290">
        <v>0</v>
      </c>
      <c r="I1290" s="2">
        <v>0</v>
      </c>
      <c r="J1290" s="2">
        <v>0</v>
      </c>
      <c r="K1290" s="2">
        <v>0</v>
      </c>
      <c r="L1290" s="2">
        <v>0</v>
      </c>
      <c r="M1290">
        <v>0</v>
      </c>
      <c r="N1290">
        <v>0</v>
      </c>
      <c r="O1290" s="2">
        <v>1</v>
      </c>
      <c r="P1290" s="2">
        <v>0</v>
      </c>
      <c r="Q1290">
        <v>0</v>
      </c>
      <c r="R1290" s="2">
        <v>1</v>
      </c>
      <c r="S1290" s="2">
        <v>0</v>
      </c>
      <c r="T1290" t="s">
        <v>722</v>
      </c>
      <c r="U1290" s="2">
        <v>12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</row>
    <row r="1291" spans="1:28" hidden="1" x14ac:dyDescent="0.25">
      <c r="A1291" t="s">
        <v>568</v>
      </c>
      <c r="B1291" t="s">
        <v>47</v>
      </c>
      <c r="C1291" t="s">
        <v>54</v>
      </c>
      <c r="D1291" s="9">
        <v>45913</v>
      </c>
      <c r="E1291" s="9">
        <v>45913</v>
      </c>
      <c r="F1291" s="2">
        <v>47</v>
      </c>
      <c r="G1291" s="3" t="s">
        <v>378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t="s">
        <v>651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</row>
    <row r="1292" spans="1:28" hidden="1" x14ac:dyDescent="0.25">
      <c r="A1292" t="s">
        <v>53</v>
      </c>
      <c r="B1292" t="s">
        <v>38</v>
      </c>
      <c r="C1292" t="s">
        <v>54</v>
      </c>
      <c r="D1292" s="9">
        <v>45913</v>
      </c>
      <c r="E1292" s="9">
        <v>45913</v>
      </c>
      <c r="F1292" s="2">
        <v>47</v>
      </c>
      <c r="G1292" s="3" t="s">
        <v>378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 t="s">
        <v>651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</row>
    <row r="1293" spans="1:28" hidden="1" x14ac:dyDescent="0.25">
      <c r="A1293" t="s">
        <v>29</v>
      </c>
      <c r="B1293" t="s">
        <v>30</v>
      </c>
      <c r="C1293" t="s">
        <v>31</v>
      </c>
      <c r="D1293" s="9">
        <v>45913</v>
      </c>
      <c r="E1293" s="9">
        <v>45913</v>
      </c>
      <c r="F1293" s="2">
        <v>31</v>
      </c>
      <c r="G1293" s="3" t="s">
        <v>378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t="s">
        <v>651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</row>
    <row r="1294" spans="1:28" hidden="1" x14ac:dyDescent="0.25">
      <c r="A1294" t="s">
        <v>47</v>
      </c>
      <c r="B1294" t="s">
        <v>52</v>
      </c>
      <c r="C1294" t="s">
        <v>212</v>
      </c>
      <c r="D1294" s="9">
        <v>45913</v>
      </c>
      <c r="E1294" s="9">
        <v>45913</v>
      </c>
      <c r="F1294" s="2">
        <v>0</v>
      </c>
      <c r="G1294" s="3" t="s">
        <v>378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377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</row>
    <row r="1295" spans="1:28" hidden="1" x14ac:dyDescent="0.25">
      <c r="A1295" t="s">
        <v>56</v>
      </c>
      <c r="B1295" t="s">
        <v>47</v>
      </c>
      <c r="C1295" t="s">
        <v>64</v>
      </c>
      <c r="D1295" s="9">
        <v>45914</v>
      </c>
      <c r="E1295" s="9">
        <v>45914</v>
      </c>
      <c r="F1295" s="2">
        <v>47</v>
      </c>
      <c r="G1295" s="3" t="s">
        <v>23</v>
      </c>
      <c r="H1295">
        <v>0</v>
      </c>
      <c r="I1295" s="2">
        <v>0</v>
      </c>
      <c r="J1295" s="2">
        <v>0</v>
      </c>
      <c r="K1295" s="2">
        <v>0</v>
      </c>
      <c r="L1295" s="2">
        <v>0</v>
      </c>
      <c r="M1295">
        <v>0</v>
      </c>
      <c r="N1295">
        <v>0</v>
      </c>
      <c r="O1295" s="2">
        <v>0</v>
      </c>
      <c r="P1295" s="2">
        <v>1</v>
      </c>
      <c r="Q1295">
        <v>1</v>
      </c>
      <c r="R1295" s="2">
        <v>0</v>
      </c>
      <c r="S1295" s="2">
        <v>1</v>
      </c>
      <c r="T1295" t="s">
        <v>723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</row>
    <row r="1296" spans="1:28" hidden="1" x14ac:dyDescent="0.25">
      <c r="A1296" t="s">
        <v>730</v>
      </c>
      <c r="B1296" t="s">
        <v>47</v>
      </c>
      <c r="C1296" t="s">
        <v>64</v>
      </c>
      <c r="D1296" s="9">
        <v>45914</v>
      </c>
      <c r="E1296" s="9">
        <v>45914</v>
      </c>
      <c r="F1296" s="2">
        <v>47</v>
      </c>
      <c r="G1296" s="3" t="s">
        <v>23</v>
      </c>
      <c r="H1296">
        <v>0</v>
      </c>
      <c r="I1296" s="2">
        <v>0</v>
      </c>
      <c r="J1296" s="2">
        <v>0</v>
      </c>
      <c r="K1296" s="2">
        <v>0</v>
      </c>
      <c r="L1296" s="2">
        <v>0</v>
      </c>
      <c r="M1296">
        <v>0</v>
      </c>
      <c r="N1296">
        <v>0</v>
      </c>
      <c r="O1296" s="2">
        <v>0</v>
      </c>
      <c r="P1296" s="2">
        <v>1</v>
      </c>
      <c r="Q1296">
        <v>1</v>
      </c>
      <c r="R1296" s="2">
        <v>0</v>
      </c>
      <c r="S1296" s="2">
        <v>1</v>
      </c>
      <c r="T1296" t="s">
        <v>723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</row>
    <row r="1297" spans="1:28" hidden="1" x14ac:dyDescent="0.25">
      <c r="A1297" t="s">
        <v>568</v>
      </c>
      <c r="B1297" t="s">
        <v>47</v>
      </c>
      <c r="C1297" t="s">
        <v>64</v>
      </c>
      <c r="D1297" s="9">
        <v>45914</v>
      </c>
      <c r="E1297" s="9">
        <v>45914</v>
      </c>
      <c r="F1297" s="2">
        <v>47</v>
      </c>
      <c r="G1297" s="3" t="s">
        <v>378</v>
      </c>
      <c r="H1297">
        <v>0</v>
      </c>
      <c r="I1297" s="2">
        <v>0</v>
      </c>
      <c r="J1297" s="2">
        <v>0</v>
      </c>
      <c r="K1297" s="2">
        <v>0</v>
      </c>
      <c r="L1297" s="2">
        <v>0</v>
      </c>
      <c r="M1297">
        <v>0</v>
      </c>
      <c r="N1297">
        <v>0</v>
      </c>
      <c r="O1297" s="2">
        <v>0</v>
      </c>
      <c r="P1297" s="2">
        <v>0</v>
      </c>
      <c r="Q1297">
        <v>0</v>
      </c>
      <c r="R1297" s="2">
        <v>0</v>
      </c>
      <c r="S1297" s="2">
        <v>0</v>
      </c>
      <c r="T1297" t="s">
        <v>723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</row>
    <row r="1298" spans="1:28" hidden="1" x14ac:dyDescent="0.25">
      <c r="A1298" t="s">
        <v>20</v>
      </c>
      <c r="B1298" t="s">
        <v>21</v>
      </c>
      <c r="C1298" t="s">
        <v>22</v>
      </c>
      <c r="D1298" s="9">
        <v>45914</v>
      </c>
      <c r="E1298" s="9">
        <v>45914</v>
      </c>
      <c r="F1298" s="2">
        <v>45</v>
      </c>
      <c r="G1298" s="3" t="s">
        <v>23</v>
      </c>
      <c r="H1298">
        <v>0</v>
      </c>
      <c r="I1298" s="2">
        <v>0</v>
      </c>
      <c r="J1298" s="2">
        <v>0</v>
      </c>
      <c r="K1298" s="2">
        <v>0</v>
      </c>
      <c r="L1298" s="2">
        <v>0</v>
      </c>
      <c r="M1298">
        <v>1</v>
      </c>
      <c r="N1298">
        <v>0</v>
      </c>
      <c r="O1298" s="2">
        <v>0</v>
      </c>
      <c r="P1298" s="2">
        <v>1</v>
      </c>
      <c r="Q1298">
        <v>5</v>
      </c>
      <c r="R1298" s="2">
        <v>0</v>
      </c>
      <c r="S1298" s="2">
        <v>1</v>
      </c>
      <c r="T1298" t="s">
        <v>724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</row>
    <row r="1299" spans="1:28" hidden="1" x14ac:dyDescent="0.25">
      <c r="A1299" t="s">
        <v>25</v>
      </c>
      <c r="B1299" t="s">
        <v>26</v>
      </c>
      <c r="C1299" t="s">
        <v>27</v>
      </c>
      <c r="D1299" s="9">
        <v>45914</v>
      </c>
      <c r="E1299" s="9">
        <v>45914</v>
      </c>
      <c r="F1299" s="2">
        <v>27</v>
      </c>
      <c r="G1299" s="3" t="s">
        <v>23</v>
      </c>
      <c r="H1299">
        <v>0</v>
      </c>
      <c r="I1299" s="2">
        <v>0</v>
      </c>
      <c r="J1299" s="2">
        <v>0</v>
      </c>
      <c r="K1299" s="2">
        <v>0</v>
      </c>
      <c r="L1299" s="2">
        <v>0</v>
      </c>
      <c r="M1299">
        <v>0</v>
      </c>
      <c r="N1299">
        <v>0</v>
      </c>
      <c r="O1299" s="2">
        <v>0</v>
      </c>
      <c r="P1299" s="2">
        <v>0</v>
      </c>
      <c r="Q1299">
        <v>6</v>
      </c>
      <c r="R1299" s="2">
        <v>0</v>
      </c>
      <c r="S1299" s="2">
        <v>1</v>
      </c>
      <c r="T1299" t="s">
        <v>725</v>
      </c>
      <c r="U1299" s="2">
        <v>15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1</v>
      </c>
    </row>
    <row r="1300" spans="1:28" hidden="1" x14ac:dyDescent="0.25">
      <c r="A1300" t="s">
        <v>33</v>
      </c>
      <c r="B1300" t="s">
        <v>34</v>
      </c>
      <c r="C1300" t="s">
        <v>35</v>
      </c>
      <c r="D1300" s="9">
        <v>45914</v>
      </c>
      <c r="E1300" s="9">
        <v>45914</v>
      </c>
      <c r="F1300" s="2">
        <v>36</v>
      </c>
      <c r="G1300" s="3" t="s">
        <v>23</v>
      </c>
      <c r="H1300">
        <v>0</v>
      </c>
      <c r="I1300" s="2">
        <v>0</v>
      </c>
      <c r="J1300" s="2">
        <v>0</v>
      </c>
      <c r="K1300" s="2">
        <v>0</v>
      </c>
      <c r="L1300" s="2">
        <v>0</v>
      </c>
      <c r="M1300">
        <v>1</v>
      </c>
      <c r="N1300">
        <v>0</v>
      </c>
      <c r="O1300" s="2">
        <v>0</v>
      </c>
      <c r="P1300" s="2">
        <v>1</v>
      </c>
      <c r="Q1300">
        <v>1</v>
      </c>
      <c r="R1300" s="2">
        <v>0</v>
      </c>
      <c r="S1300" s="2">
        <v>1</v>
      </c>
      <c r="T1300" t="s">
        <v>726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</row>
    <row r="1301" spans="1:28" hidden="1" x14ac:dyDescent="0.25">
      <c r="A1301" t="s">
        <v>37</v>
      </c>
      <c r="B1301" t="s">
        <v>57</v>
      </c>
      <c r="C1301" t="s">
        <v>39</v>
      </c>
      <c r="D1301" s="9">
        <v>45914</v>
      </c>
      <c r="E1301" s="9">
        <v>45914</v>
      </c>
      <c r="F1301" s="2">
        <v>69</v>
      </c>
      <c r="G1301" s="3" t="s">
        <v>23</v>
      </c>
      <c r="H1301">
        <v>0</v>
      </c>
      <c r="I1301" s="2">
        <v>0</v>
      </c>
      <c r="J1301" s="2">
        <v>0</v>
      </c>
      <c r="K1301" s="2">
        <v>0</v>
      </c>
      <c r="L1301" s="2">
        <v>0</v>
      </c>
      <c r="M1301">
        <v>1</v>
      </c>
      <c r="N1301">
        <v>0</v>
      </c>
      <c r="O1301" s="2">
        <v>0</v>
      </c>
      <c r="P1301" s="2">
        <v>1</v>
      </c>
      <c r="Q1301">
        <v>3</v>
      </c>
      <c r="R1301" s="2">
        <v>0</v>
      </c>
      <c r="S1301" s="2">
        <v>1</v>
      </c>
      <c r="T1301" t="s">
        <v>727</v>
      </c>
      <c r="U1301" s="2">
        <v>16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</row>
    <row r="1302" spans="1:28" hidden="1" x14ac:dyDescent="0.25">
      <c r="A1302" t="s">
        <v>53</v>
      </c>
      <c r="B1302" t="s">
        <v>38</v>
      </c>
      <c r="C1302" t="s">
        <v>54</v>
      </c>
      <c r="D1302" s="9">
        <v>45914</v>
      </c>
      <c r="E1302" s="9">
        <v>45914</v>
      </c>
      <c r="F1302" s="2">
        <v>47</v>
      </c>
      <c r="G1302" s="3" t="s">
        <v>378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 t="s">
        <v>651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</row>
    <row r="1303" spans="1:28" hidden="1" x14ac:dyDescent="0.25">
      <c r="A1303" t="s">
        <v>29</v>
      </c>
      <c r="B1303" t="s">
        <v>30</v>
      </c>
      <c r="C1303" t="s">
        <v>31</v>
      </c>
      <c r="D1303" s="9">
        <v>45914</v>
      </c>
      <c r="E1303" s="9">
        <v>45914</v>
      </c>
      <c r="F1303" s="2">
        <v>31</v>
      </c>
      <c r="G1303" s="3" t="s">
        <v>378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651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</row>
    <row r="1304" spans="1:28" hidden="1" x14ac:dyDescent="0.25">
      <c r="A1304" t="s">
        <v>47</v>
      </c>
      <c r="B1304" t="s">
        <v>52</v>
      </c>
      <c r="C1304" t="s">
        <v>212</v>
      </c>
      <c r="D1304" s="9">
        <v>45914</v>
      </c>
      <c r="E1304" s="9">
        <v>45914</v>
      </c>
      <c r="F1304" s="2">
        <v>0</v>
      </c>
      <c r="G1304" s="3" t="s">
        <v>378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 t="s">
        <v>377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</row>
    <row r="1305" spans="1:28" hidden="1" x14ac:dyDescent="0.25">
      <c r="A1305" t="s">
        <v>56</v>
      </c>
      <c r="B1305" t="s">
        <v>47</v>
      </c>
      <c r="C1305" t="s">
        <v>64</v>
      </c>
      <c r="D1305" s="1">
        <v>45915</v>
      </c>
      <c r="E1305" s="1">
        <v>45915</v>
      </c>
      <c r="F1305" s="2">
        <v>34</v>
      </c>
      <c r="G1305" s="3" t="s">
        <v>23</v>
      </c>
      <c r="H1305">
        <v>0</v>
      </c>
      <c r="I1305" s="2">
        <v>0</v>
      </c>
      <c r="J1305" s="2">
        <v>0</v>
      </c>
      <c r="K1305" s="2">
        <v>0</v>
      </c>
      <c r="L1305" s="2">
        <v>0</v>
      </c>
      <c r="M1305">
        <v>0</v>
      </c>
      <c r="N1305">
        <v>0</v>
      </c>
      <c r="O1305" s="2">
        <v>0</v>
      </c>
      <c r="P1305" s="2">
        <v>0</v>
      </c>
      <c r="Q1305">
        <v>0</v>
      </c>
      <c r="R1305" s="2">
        <v>0</v>
      </c>
      <c r="S1305" s="2">
        <v>0</v>
      </c>
      <c r="T1305" t="s">
        <v>728</v>
      </c>
      <c r="U1305" s="2">
        <v>0</v>
      </c>
      <c r="V1305" s="2">
        <v>66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</row>
    <row r="1306" spans="1:28" hidden="1" x14ac:dyDescent="0.25">
      <c r="A1306" t="s">
        <v>568</v>
      </c>
      <c r="B1306" t="s">
        <v>47</v>
      </c>
      <c r="C1306" t="s">
        <v>64</v>
      </c>
      <c r="D1306" s="1">
        <v>45915</v>
      </c>
      <c r="E1306" s="1">
        <v>45915</v>
      </c>
      <c r="F1306" s="2">
        <v>34</v>
      </c>
      <c r="G1306" s="3" t="s">
        <v>23</v>
      </c>
      <c r="H1306">
        <v>0</v>
      </c>
      <c r="I1306" s="2">
        <v>0</v>
      </c>
      <c r="J1306" s="2">
        <v>0</v>
      </c>
      <c r="K1306" s="2">
        <v>0</v>
      </c>
      <c r="L1306" s="2">
        <v>0</v>
      </c>
      <c r="M1306">
        <v>0</v>
      </c>
      <c r="N1306">
        <v>0</v>
      </c>
      <c r="O1306" s="2">
        <v>0</v>
      </c>
      <c r="P1306" s="2">
        <v>0</v>
      </c>
      <c r="Q1306">
        <v>0</v>
      </c>
      <c r="R1306" s="2">
        <v>0</v>
      </c>
      <c r="S1306" s="2">
        <v>0</v>
      </c>
      <c r="T1306" t="s">
        <v>728</v>
      </c>
      <c r="U1306" s="2">
        <v>0</v>
      </c>
      <c r="V1306" s="2">
        <v>66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</row>
    <row r="1307" spans="1:28" hidden="1" x14ac:dyDescent="0.25">
      <c r="A1307" t="s">
        <v>53</v>
      </c>
      <c r="B1307" t="s">
        <v>38</v>
      </c>
      <c r="C1307" t="s">
        <v>54</v>
      </c>
      <c r="D1307" s="1">
        <v>45915</v>
      </c>
      <c r="E1307" s="1">
        <v>45915</v>
      </c>
      <c r="F1307" s="2">
        <v>60</v>
      </c>
      <c r="G1307" s="3" t="s">
        <v>23</v>
      </c>
      <c r="H1307">
        <v>5</v>
      </c>
      <c r="I1307" s="2">
        <v>0</v>
      </c>
      <c r="J1307" s="2">
        <v>0</v>
      </c>
      <c r="K1307" s="2">
        <v>0</v>
      </c>
      <c r="L1307" s="2">
        <v>0</v>
      </c>
      <c r="M1307">
        <v>0</v>
      </c>
      <c r="N1307">
        <v>0</v>
      </c>
      <c r="O1307" s="2">
        <v>0</v>
      </c>
      <c r="P1307" s="2">
        <v>0</v>
      </c>
      <c r="Q1307">
        <v>0</v>
      </c>
      <c r="R1307" s="2">
        <v>0</v>
      </c>
      <c r="S1307" s="2">
        <v>0</v>
      </c>
      <c r="T1307" t="s">
        <v>729</v>
      </c>
      <c r="U1307" s="2">
        <v>0</v>
      </c>
      <c r="V1307" s="2">
        <v>55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</row>
    <row r="1308" spans="1:28" hidden="1" x14ac:dyDescent="0.25">
      <c r="A1308" t="s">
        <v>20</v>
      </c>
      <c r="B1308" t="s">
        <v>21</v>
      </c>
      <c r="C1308" t="s">
        <v>22</v>
      </c>
      <c r="D1308" s="1">
        <v>45915</v>
      </c>
      <c r="E1308" s="1">
        <v>45915</v>
      </c>
      <c r="F1308" s="2">
        <v>25</v>
      </c>
      <c r="G1308" s="3" t="s">
        <v>23</v>
      </c>
      <c r="H1308">
        <v>1</v>
      </c>
      <c r="I1308" s="2">
        <v>0</v>
      </c>
      <c r="J1308" s="2">
        <v>0</v>
      </c>
      <c r="K1308" s="2">
        <v>0</v>
      </c>
      <c r="L1308" s="2">
        <v>0</v>
      </c>
      <c r="M1308">
        <v>0</v>
      </c>
      <c r="N1308">
        <v>0</v>
      </c>
      <c r="O1308" s="2">
        <v>0</v>
      </c>
      <c r="P1308" s="2">
        <v>0</v>
      </c>
      <c r="Q1308">
        <v>0</v>
      </c>
      <c r="R1308" s="2">
        <v>0</v>
      </c>
      <c r="S1308" s="2">
        <v>0</v>
      </c>
      <c r="T1308" t="s">
        <v>729</v>
      </c>
      <c r="U1308" s="2">
        <v>0</v>
      </c>
      <c r="V1308" s="2">
        <v>31</v>
      </c>
      <c r="W1308" s="2">
        <f>6+7</f>
        <v>13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</row>
    <row r="1309" spans="1:28" hidden="1" x14ac:dyDescent="0.25">
      <c r="A1309" t="s">
        <v>730</v>
      </c>
      <c r="B1309" t="s">
        <v>47</v>
      </c>
      <c r="C1309" t="s">
        <v>22</v>
      </c>
      <c r="D1309" s="1">
        <v>45915</v>
      </c>
      <c r="E1309" s="1">
        <v>45915</v>
      </c>
      <c r="F1309" s="2">
        <v>25</v>
      </c>
      <c r="G1309" s="3" t="s">
        <v>23</v>
      </c>
      <c r="H1309">
        <v>1</v>
      </c>
      <c r="I1309" s="2">
        <v>0</v>
      </c>
      <c r="J1309" s="2">
        <v>0</v>
      </c>
      <c r="K1309" s="2">
        <v>0</v>
      </c>
      <c r="L1309" s="2">
        <v>0</v>
      </c>
      <c r="M1309">
        <v>0</v>
      </c>
      <c r="N1309">
        <v>0</v>
      </c>
      <c r="O1309" s="2">
        <v>0</v>
      </c>
      <c r="P1309" s="2">
        <v>0</v>
      </c>
      <c r="Q1309">
        <v>0</v>
      </c>
      <c r="R1309" s="2">
        <v>0</v>
      </c>
      <c r="S1309" s="2">
        <v>0</v>
      </c>
      <c r="T1309" t="s">
        <v>729</v>
      </c>
      <c r="U1309" s="2">
        <v>0</v>
      </c>
      <c r="V1309" s="2">
        <v>31</v>
      </c>
      <c r="W1309" s="2">
        <f>6+7</f>
        <v>13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</row>
    <row r="1310" spans="1:28" hidden="1" x14ac:dyDescent="0.25">
      <c r="A1310" t="s">
        <v>25</v>
      </c>
      <c r="B1310" t="s">
        <v>26</v>
      </c>
      <c r="C1310" t="s">
        <v>27</v>
      </c>
      <c r="D1310" s="1">
        <v>45915</v>
      </c>
      <c r="E1310" s="1">
        <v>45915</v>
      </c>
      <c r="F1310" s="2">
        <v>22</v>
      </c>
      <c r="G1310" s="3" t="s">
        <v>23</v>
      </c>
      <c r="H1310">
        <v>8</v>
      </c>
      <c r="I1310" s="2">
        <v>0</v>
      </c>
      <c r="J1310" s="2">
        <v>0</v>
      </c>
      <c r="K1310" s="2">
        <v>0</v>
      </c>
      <c r="L1310" s="2">
        <v>0</v>
      </c>
      <c r="M1310">
        <v>0</v>
      </c>
      <c r="N1310">
        <v>0</v>
      </c>
      <c r="O1310" s="2">
        <v>0</v>
      </c>
      <c r="P1310" s="2">
        <v>0</v>
      </c>
      <c r="Q1310">
        <v>0</v>
      </c>
      <c r="R1310" s="2">
        <v>0</v>
      </c>
      <c r="S1310" s="2">
        <v>0</v>
      </c>
      <c r="T1310" t="s">
        <v>731</v>
      </c>
      <c r="U1310" s="2">
        <v>0</v>
      </c>
      <c r="V1310" s="2">
        <v>40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</row>
    <row r="1311" spans="1:28" hidden="1" x14ac:dyDescent="0.25">
      <c r="A1311" t="s">
        <v>29</v>
      </c>
      <c r="B1311" t="s">
        <v>30</v>
      </c>
      <c r="C1311" t="s">
        <v>31</v>
      </c>
      <c r="D1311" s="1">
        <v>45915</v>
      </c>
      <c r="E1311" s="1">
        <v>45915</v>
      </c>
      <c r="F1311" s="2">
        <v>16</v>
      </c>
      <c r="G1311" s="3" t="s">
        <v>23</v>
      </c>
      <c r="H1311">
        <v>0</v>
      </c>
      <c r="I1311" s="2">
        <v>0</v>
      </c>
      <c r="J1311" s="2">
        <v>0</v>
      </c>
      <c r="K1311" s="2">
        <v>0</v>
      </c>
      <c r="L1311" s="2">
        <v>0</v>
      </c>
      <c r="M1311">
        <v>0</v>
      </c>
      <c r="N1311">
        <v>0</v>
      </c>
      <c r="O1311" s="2">
        <v>0</v>
      </c>
      <c r="P1311" s="2">
        <v>0</v>
      </c>
      <c r="Q1311">
        <v>0</v>
      </c>
      <c r="R1311" s="2">
        <v>0</v>
      </c>
      <c r="S1311" s="2">
        <v>0</v>
      </c>
      <c r="T1311" t="s">
        <v>732</v>
      </c>
      <c r="U1311" s="2">
        <v>0</v>
      </c>
      <c r="V1311" s="2">
        <v>57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</row>
    <row r="1312" spans="1:28" hidden="1" x14ac:dyDescent="0.25">
      <c r="A1312" t="s">
        <v>33</v>
      </c>
      <c r="B1312" t="s">
        <v>34</v>
      </c>
      <c r="C1312" t="s">
        <v>35</v>
      </c>
      <c r="D1312" s="1">
        <v>45915</v>
      </c>
      <c r="E1312" s="1">
        <v>45915</v>
      </c>
      <c r="F1312" s="2">
        <v>33</v>
      </c>
      <c r="G1312" s="3" t="s">
        <v>23</v>
      </c>
      <c r="H1312">
        <v>5</v>
      </c>
      <c r="I1312" s="2">
        <v>0</v>
      </c>
      <c r="J1312" s="2">
        <v>0</v>
      </c>
      <c r="K1312" s="2">
        <v>0</v>
      </c>
      <c r="L1312" s="2">
        <v>0</v>
      </c>
      <c r="M1312">
        <v>0</v>
      </c>
      <c r="N1312">
        <v>0</v>
      </c>
      <c r="O1312" s="2">
        <v>0</v>
      </c>
      <c r="P1312" s="2">
        <v>0</v>
      </c>
      <c r="Q1312">
        <v>0</v>
      </c>
      <c r="R1312" s="2">
        <v>0</v>
      </c>
      <c r="S1312" s="2">
        <v>0</v>
      </c>
      <c r="T1312" t="s">
        <v>733</v>
      </c>
      <c r="U1312" s="2">
        <v>0</v>
      </c>
      <c r="V1312" s="2">
        <v>42</v>
      </c>
      <c r="W1312" s="2">
        <v>2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</row>
    <row r="1313" spans="1:28" hidden="1" x14ac:dyDescent="0.25">
      <c r="A1313" t="s">
        <v>37</v>
      </c>
      <c r="B1313" t="s">
        <v>57</v>
      </c>
      <c r="C1313" t="s">
        <v>39</v>
      </c>
      <c r="D1313" s="1">
        <v>45915</v>
      </c>
      <c r="E1313" s="1">
        <v>45915</v>
      </c>
      <c r="F1313" s="2">
        <v>13</v>
      </c>
      <c r="G1313" s="3" t="s">
        <v>23</v>
      </c>
      <c r="H1313">
        <v>0</v>
      </c>
      <c r="I1313" s="2">
        <v>0</v>
      </c>
      <c r="J1313" s="2">
        <v>0</v>
      </c>
      <c r="K1313" s="2">
        <v>0</v>
      </c>
      <c r="L1313" s="2">
        <v>0</v>
      </c>
      <c r="M1313">
        <v>0</v>
      </c>
      <c r="N1313">
        <v>0</v>
      </c>
      <c r="O1313" s="2">
        <v>0</v>
      </c>
      <c r="P1313" s="2">
        <v>0</v>
      </c>
      <c r="Q1313">
        <v>0</v>
      </c>
      <c r="R1313" s="2">
        <v>0</v>
      </c>
      <c r="S1313" s="2">
        <v>0</v>
      </c>
      <c r="T1313" t="s">
        <v>734</v>
      </c>
      <c r="U1313" s="2">
        <v>0</v>
      </c>
      <c r="V1313" s="2">
        <f>44+15+2</f>
        <v>61</v>
      </c>
      <c r="W1313" s="2">
        <v>6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</row>
    <row r="1314" spans="1:28" hidden="1" x14ac:dyDescent="0.25">
      <c r="A1314" t="s">
        <v>47</v>
      </c>
      <c r="B1314" t="s">
        <v>52</v>
      </c>
      <c r="C1314" t="s">
        <v>212</v>
      </c>
      <c r="D1314" s="1">
        <v>45915</v>
      </c>
      <c r="E1314" s="1">
        <v>45915</v>
      </c>
      <c r="F1314" s="2">
        <v>0</v>
      </c>
      <c r="G1314" s="3" t="s">
        <v>572</v>
      </c>
      <c r="H1314">
        <v>0</v>
      </c>
      <c r="I1314" s="2">
        <v>0</v>
      </c>
      <c r="J1314" s="2">
        <v>0</v>
      </c>
      <c r="K1314" s="2">
        <v>0</v>
      </c>
      <c r="L1314" s="2">
        <v>0</v>
      </c>
      <c r="M1314">
        <v>0</v>
      </c>
      <c r="N1314">
        <v>0</v>
      </c>
      <c r="O1314" s="2">
        <v>0</v>
      </c>
      <c r="P1314" s="2">
        <v>0</v>
      </c>
      <c r="Q1314">
        <v>0</v>
      </c>
      <c r="R1314" s="2">
        <v>0</v>
      </c>
      <c r="S1314" s="2">
        <v>0</v>
      </c>
      <c r="T1314" t="s">
        <v>377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</row>
    <row r="1315" spans="1:28" hidden="1" x14ac:dyDescent="0.25">
      <c r="A1315" t="s">
        <v>56</v>
      </c>
      <c r="B1315" t="s">
        <v>735</v>
      </c>
      <c r="C1315" t="s">
        <v>64</v>
      </c>
      <c r="D1315" s="1">
        <v>45916</v>
      </c>
      <c r="E1315" s="1">
        <v>45916</v>
      </c>
      <c r="F1315" s="2">
        <v>18</v>
      </c>
      <c r="G1315" s="3" t="s">
        <v>23</v>
      </c>
      <c r="H1315">
        <v>14</v>
      </c>
      <c r="I1315" s="2">
        <v>0</v>
      </c>
      <c r="J1315" s="2">
        <v>0</v>
      </c>
      <c r="K1315" s="2">
        <v>0</v>
      </c>
      <c r="L1315" s="2">
        <v>1</v>
      </c>
      <c r="M1315">
        <v>0</v>
      </c>
      <c r="N1315">
        <v>0</v>
      </c>
      <c r="O1315" s="2">
        <v>0</v>
      </c>
      <c r="P1315" s="2">
        <v>0</v>
      </c>
      <c r="Q1315">
        <v>0</v>
      </c>
      <c r="R1315" s="2">
        <v>0</v>
      </c>
      <c r="S1315" s="2">
        <v>0</v>
      </c>
      <c r="T1315" t="s">
        <v>736</v>
      </c>
      <c r="U1315" s="2">
        <v>0</v>
      </c>
      <c r="V1315" s="2">
        <v>39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</row>
    <row r="1316" spans="1:28" hidden="1" x14ac:dyDescent="0.25">
      <c r="A1316" t="s">
        <v>53</v>
      </c>
      <c r="B1316" t="s">
        <v>38</v>
      </c>
      <c r="C1316" t="s">
        <v>54</v>
      </c>
      <c r="D1316" s="1">
        <v>45916</v>
      </c>
      <c r="E1316" s="1">
        <v>45916</v>
      </c>
      <c r="F1316" s="2">
        <v>55</v>
      </c>
      <c r="G1316" s="3" t="s">
        <v>23</v>
      </c>
      <c r="H1316">
        <f>18*2</f>
        <v>36</v>
      </c>
      <c r="I1316" s="2">
        <v>0</v>
      </c>
      <c r="J1316" s="2">
        <v>0</v>
      </c>
      <c r="K1316" s="2">
        <v>1</v>
      </c>
      <c r="L1316" s="2">
        <v>0</v>
      </c>
      <c r="M1316">
        <v>0</v>
      </c>
      <c r="N1316">
        <v>0</v>
      </c>
      <c r="O1316" s="2">
        <v>0</v>
      </c>
      <c r="P1316" s="2">
        <v>0</v>
      </c>
      <c r="Q1316">
        <v>0</v>
      </c>
      <c r="R1316" s="2">
        <v>0</v>
      </c>
      <c r="S1316" s="2">
        <v>0</v>
      </c>
      <c r="T1316" t="s">
        <v>737</v>
      </c>
      <c r="U1316" s="2">
        <v>0</v>
      </c>
      <c r="V1316" s="2">
        <v>39</v>
      </c>
      <c r="W1316" s="2">
        <v>1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</row>
    <row r="1317" spans="1:28" hidden="1" x14ac:dyDescent="0.25">
      <c r="A1317" t="s">
        <v>25</v>
      </c>
      <c r="B1317" t="s">
        <v>34</v>
      </c>
      <c r="C1317" t="s">
        <v>27</v>
      </c>
      <c r="D1317" s="1">
        <v>45916</v>
      </c>
      <c r="E1317" s="1">
        <v>45916</v>
      </c>
      <c r="F1317" s="2">
        <v>22</v>
      </c>
      <c r="G1317" s="3" t="s">
        <v>23</v>
      </c>
      <c r="H1317">
        <v>24</v>
      </c>
      <c r="I1317" s="2">
        <v>0</v>
      </c>
      <c r="J1317" s="2">
        <v>0</v>
      </c>
      <c r="K1317" s="2">
        <v>1</v>
      </c>
      <c r="L1317" s="2">
        <v>0</v>
      </c>
      <c r="M1317">
        <v>0</v>
      </c>
      <c r="N1317">
        <v>0</v>
      </c>
      <c r="O1317" s="2">
        <v>0</v>
      </c>
      <c r="P1317" s="2">
        <v>0</v>
      </c>
      <c r="Q1317">
        <v>0</v>
      </c>
      <c r="R1317" s="2">
        <v>0</v>
      </c>
      <c r="S1317" s="2">
        <v>0</v>
      </c>
      <c r="T1317" t="s">
        <v>738</v>
      </c>
      <c r="U1317" s="2">
        <v>0</v>
      </c>
      <c r="V1317" s="2">
        <v>80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</row>
    <row r="1318" spans="1:28" hidden="1" x14ac:dyDescent="0.25">
      <c r="A1318" t="s">
        <v>29</v>
      </c>
      <c r="B1318" t="s">
        <v>30</v>
      </c>
      <c r="C1318" t="s">
        <v>31</v>
      </c>
      <c r="D1318" s="1">
        <v>45916</v>
      </c>
      <c r="E1318" s="1">
        <v>45916</v>
      </c>
      <c r="F1318" s="2">
        <v>14</v>
      </c>
      <c r="G1318" s="3" t="s">
        <v>23</v>
      </c>
      <c r="H1318">
        <v>16</v>
      </c>
      <c r="I1318" s="2">
        <v>0</v>
      </c>
      <c r="J1318" s="2">
        <v>0</v>
      </c>
      <c r="K1318" s="2">
        <v>1</v>
      </c>
      <c r="L1318" s="2">
        <v>0</v>
      </c>
      <c r="M1318">
        <v>0</v>
      </c>
      <c r="N1318">
        <v>0</v>
      </c>
      <c r="O1318" s="2">
        <v>0</v>
      </c>
      <c r="P1318" s="2">
        <v>0</v>
      </c>
      <c r="Q1318">
        <v>0</v>
      </c>
      <c r="R1318" s="2">
        <v>0</v>
      </c>
      <c r="S1318" s="2">
        <v>0</v>
      </c>
      <c r="T1318" t="s">
        <v>739</v>
      </c>
      <c r="U1318" s="2">
        <v>0</v>
      </c>
      <c r="V1318" s="2">
        <v>16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</row>
    <row r="1319" spans="1:28" hidden="1" x14ac:dyDescent="0.25">
      <c r="A1319" t="s">
        <v>568</v>
      </c>
      <c r="B1319" t="s">
        <v>21</v>
      </c>
      <c r="C1319" t="s">
        <v>670</v>
      </c>
      <c r="D1319" s="1">
        <v>45916</v>
      </c>
      <c r="E1319" s="1">
        <v>45916</v>
      </c>
      <c r="F1319" s="2">
        <v>80</v>
      </c>
      <c r="G1319" s="3" t="s">
        <v>23</v>
      </c>
      <c r="H1319">
        <v>21</v>
      </c>
      <c r="I1319" s="2">
        <v>0</v>
      </c>
      <c r="J1319" s="2">
        <v>0</v>
      </c>
      <c r="K1319" s="2">
        <v>1</v>
      </c>
      <c r="L1319" s="2">
        <v>0</v>
      </c>
      <c r="M1319">
        <v>1</v>
      </c>
      <c r="N1319">
        <v>0</v>
      </c>
      <c r="O1319" s="2">
        <v>0</v>
      </c>
      <c r="P1319" s="2">
        <v>0</v>
      </c>
      <c r="Q1319">
        <v>0</v>
      </c>
      <c r="R1319" s="2">
        <v>0</v>
      </c>
      <c r="S1319" s="2">
        <v>0</v>
      </c>
      <c r="T1319" t="s">
        <v>740</v>
      </c>
      <c r="U1319" s="2">
        <v>0</v>
      </c>
      <c r="V1319" s="2">
        <v>28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</row>
    <row r="1320" spans="1:28" hidden="1" x14ac:dyDescent="0.25">
      <c r="A1320" t="s">
        <v>33</v>
      </c>
      <c r="B1320" t="s">
        <v>284</v>
      </c>
      <c r="C1320" t="s">
        <v>35</v>
      </c>
      <c r="D1320" s="1">
        <v>45916</v>
      </c>
      <c r="E1320" s="1">
        <v>45916</v>
      </c>
      <c r="F1320" s="2">
        <v>27</v>
      </c>
      <c r="G1320" s="3" t="s">
        <v>23</v>
      </c>
      <c r="H1320">
        <v>0</v>
      </c>
      <c r="I1320" s="2">
        <v>0</v>
      </c>
      <c r="J1320" s="2">
        <v>0</v>
      </c>
      <c r="K1320" s="2">
        <v>0</v>
      </c>
      <c r="L1320" s="2">
        <v>0</v>
      </c>
      <c r="M1320">
        <v>0</v>
      </c>
      <c r="N1320">
        <v>0</v>
      </c>
      <c r="O1320" s="2">
        <v>0</v>
      </c>
      <c r="P1320" s="2">
        <v>0</v>
      </c>
      <c r="Q1320">
        <v>0</v>
      </c>
      <c r="R1320" s="2">
        <v>0</v>
      </c>
      <c r="S1320" s="2">
        <v>0</v>
      </c>
      <c r="T1320" t="s">
        <v>741</v>
      </c>
      <c r="U1320" s="2">
        <v>0</v>
      </c>
      <c r="V1320" s="2">
        <f>32+20</f>
        <v>52</v>
      </c>
      <c r="W1320" s="2">
        <v>1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</row>
    <row r="1321" spans="1:28" hidden="1" x14ac:dyDescent="0.25">
      <c r="A1321" t="s">
        <v>37</v>
      </c>
      <c r="B1321" t="s">
        <v>57</v>
      </c>
      <c r="C1321" t="s">
        <v>39</v>
      </c>
      <c r="D1321" s="1">
        <v>45916</v>
      </c>
      <c r="E1321" s="1">
        <v>45916</v>
      </c>
      <c r="F1321" s="2">
        <v>17</v>
      </c>
      <c r="G1321" s="3" t="s">
        <v>23</v>
      </c>
      <c r="H1321">
        <v>0</v>
      </c>
      <c r="I1321" s="2">
        <v>0</v>
      </c>
      <c r="J1321" s="2">
        <v>0</v>
      </c>
      <c r="K1321" s="2">
        <v>0</v>
      </c>
      <c r="L1321" s="2">
        <v>0</v>
      </c>
      <c r="M1321">
        <v>0</v>
      </c>
      <c r="N1321">
        <v>0</v>
      </c>
      <c r="O1321" s="2">
        <v>0</v>
      </c>
      <c r="P1321" s="2">
        <v>0</v>
      </c>
      <c r="Q1321">
        <v>0</v>
      </c>
      <c r="R1321" s="2">
        <v>0</v>
      </c>
      <c r="S1321" s="2">
        <v>0</v>
      </c>
      <c r="T1321" t="s">
        <v>742</v>
      </c>
      <c r="U1321" s="2">
        <v>0</v>
      </c>
      <c r="V1321" s="2">
        <v>31</v>
      </c>
      <c r="W1321" s="2">
        <v>8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</row>
    <row r="1322" spans="1:28" hidden="1" x14ac:dyDescent="0.25">
      <c r="A1322" t="s">
        <v>20</v>
      </c>
      <c r="B1322" t="s">
        <v>47</v>
      </c>
      <c r="C1322" t="s">
        <v>212</v>
      </c>
      <c r="D1322" s="1">
        <v>45916</v>
      </c>
      <c r="E1322" s="1">
        <v>45916</v>
      </c>
      <c r="F1322" s="2">
        <v>0</v>
      </c>
      <c r="G1322" s="3" t="s">
        <v>48</v>
      </c>
      <c r="H1322">
        <v>0</v>
      </c>
      <c r="I1322" s="2">
        <v>0</v>
      </c>
      <c r="J1322" s="2">
        <v>0</v>
      </c>
      <c r="K1322" s="2">
        <v>0</v>
      </c>
      <c r="L1322" s="2">
        <v>0</v>
      </c>
      <c r="M1322">
        <v>0</v>
      </c>
      <c r="N1322">
        <v>0</v>
      </c>
      <c r="O1322" s="2">
        <v>0</v>
      </c>
      <c r="P1322" s="2">
        <v>0</v>
      </c>
      <c r="Q1322">
        <v>0</v>
      </c>
      <c r="R1322" s="2">
        <v>0</v>
      </c>
      <c r="S1322" s="2">
        <v>0</v>
      </c>
      <c r="T1322" t="s">
        <v>377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</row>
    <row r="1323" spans="1:28" hidden="1" x14ac:dyDescent="0.25">
      <c r="A1323" t="s">
        <v>730</v>
      </c>
      <c r="B1323" t="s">
        <v>47</v>
      </c>
      <c r="C1323" t="s">
        <v>212</v>
      </c>
      <c r="D1323" s="1">
        <v>45916</v>
      </c>
      <c r="E1323" s="1">
        <v>45916</v>
      </c>
      <c r="F1323" s="2">
        <v>0</v>
      </c>
      <c r="G1323" s="3" t="s">
        <v>48</v>
      </c>
      <c r="H1323">
        <v>0</v>
      </c>
      <c r="I1323" s="2">
        <v>0</v>
      </c>
      <c r="J1323" s="2">
        <v>0</v>
      </c>
      <c r="K1323" s="2">
        <v>0</v>
      </c>
      <c r="L1323" s="2">
        <v>0</v>
      </c>
      <c r="M1323">
        <v>0</v>
      </c>
      <c r="N1323">
        <v>0</v>
      </c>
      <c r="O1323" s="2">
        <v>0</v>
      </c>
      <c r="P1323" s="2">
        <v>0</v>
      </c>
      <c r="Q1323">
        <v>0</v>
      </c>
      <c r="R1323" s="2">
        <v>0</v>
      </c>
      <c r="S1323" s="2">
        <v>0</v>
      </c>
      <c r="T1323" t="s">
        <v>377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</row>
    <row r="1324" spans="1:28" hidden="1" x14ac:dyDescent="0.25">
      <c r="A1324" t="s">
        <v>47</v>
      </c>
      <c r="B1324" t="s">
        <v>26</v>
      </c>
      <c r="C1324" t="s">
        <v>212</v>
      </c>
      <c r="D1324" s="1">
        <v>45916</v>
      </c>
      <c r="E1324" s="1">
        <v>45916</v>
      </c>
      <c r="F1324" s="2">
        <v>0</v>
      </c>
      <c r="G1324" s="3" t="s">
        <v>572</v>
      </c>
      <c r="H1324">
        <v>0</v>
      </c>
      <c r="I1324" s="2">
        <v>0</v>
      </c>
      <c r="J1324" s="2">
        <v>0</v>
      </c>
      <c r="K1324" s="2">
        <v>0</v>
      </c>
      <c r="L1324" s="2">
        <v>0</v>
      </c>
      <c r="M1324">
        <v>0</v>
      </c>
      <c r="N1324">
        <v>0</v>
      </c>
      <c r="O1324" s="2">
        <v>0</v>
      </c>
      <c r="P1324" s="2">
        <v>0</v>
      </c>
      <c r="Q1324">
        <v>0</v>
      </c>
      <c r="R1324" s="2">
        <v>0</v>
      </c>
      <c r="S1324" s="2">
        <v>0</v>
      </c>
      <c r="T1324" t="s">
        <v>377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</row>
    <row r="1325" spans="1:28" hidden="1" x14ac:dyDescent="0.25">
      <c r="A1325" t="s">
        <v>47</v>
      </c>
      <c r="B1325" t="s">
        <v>52</v>
      </c>
      <c r="C1325" t="s">
        <v>212</v>
      </c>
      <c r="D1325" s="1">
        <v>45916</v>
      </c>
      <c r="E1325" s="1">
        <v>45916</v>
      </c>
      <c r="F1325" s="2">
        <v>0</v>
      </c>
      <c r="G1325" s="3" t="s">
        <v>572</v>
      </c>
      <c r="H1325">
        <v>0</v>
      </c>
      <c r="I1325" s="2">
        <v>0</v>
      </c>
      <c r="J1325" s="2">
        <v>0</v>
      </c>
      <c r="K1325" s="2">
        <v>0</v>
      </c>
      <c r="L1325" s="2">
        <v>0</v>
      </c>
      <c r="M1325">
        <v>0</v>
      </c>
      <c r="N1325">
        <v>0</v>
      </c>
      <c r="O1325" s="2">
        <v>0</v>
      </c>
      <c r="P1325" s="2">
        <v>0</v>
      </c>
      <c r="Q1325">
        <v>0</v>
      </c>
      <c r="R1325" s="2">
        <v>0</v>
      </c>
      <c r="S1325" s="2">
        <v>0</v>
      </c>
      <c r="T1325" t="s">
        <v>377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</row>
    <row r="1326" spans="1:28" hidden="1" x14ac:dyDescent="0.25">
      <c r="A1326" t="s">
        <v>53</v>
      </c>
      <c r="B1326" t="s">
        <v>38</v>
      </c>
      <c r="C1326" t="s">
        <v>54</v>
      </c>
      <c r="D1326" s="1">
        <v>45917</v>
      </c>
      <c r="E1326" s="1">
        <v>45917</v>
      </c>
      <c r="F1326" s="2">
        <v>160</v>
      </c>
      <c r="G1326" s="3" t="s">
        <v>23</v>
      </c>
      <c r="H1326">
        <v>42</v>
      </c>
      <c r="I1326" s="2">
        <v>0</v>
      </c>
      <c r="J1326" s="2">
        <v>0</v>
      </c>
      <c r="K1326" s="2">
        <v>1</v>
      </c>
      <c r="L1326" s="2">
        <v>0</v>
      </c>
      <c r="M1326">
        <v>0</v>
      </c>
      <c r="N1326">
        <v>0</v>
      </c>
      <c r="O1326" s="2">
        <v>0</v>
      </c>
      <c r="P1326" s="2">
        <v>0</v>
      </c>
      <c r="Q1326">
        <v>0</v>
      </c>
      <c r="R1326" s="2">
        <v>0</v>
      </c>
      <c r="S1326" s="2">
        <v>0</v>
      </c>
      <c r="T1326" t="s">
        <v>743</v>
      </c>
      <c r="U1326" s="2">
        <v>0</v>
      </c>
      <c r="V1326" s="2">
        <v>22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</row>
    <row r="1327" spans="1:28" hidden="1" x14ac:dyDescent="0.25">
      <c r="A1327" t="s">
        <v>20</v>
      </c>
      <c r="B1327" t="s">
        <v>47</v>
      </c>
      <c r="C1327" t="s">
        <v>22</v>
      </c>
      <c r="D1327" s="1">
        <v>45917</v>
      </c>
      <c r="E1327" s="1">
        <v>45917</v>
      </c>
      <c r="F1327" s="2">
        <v>27</v>
      </c>
      <c r="G1327" s="3" t="s">
        <v>23</v>
      </c>
      <c r="H1327">
        <v>40</v>
      </c>
      <c r="I1327" s="2">
        <v>0</v>
      </c>
      <c r="J1327" s="2">
        <v>0</v>
      </c>
      <c r="K1327" s="2">
        <v>1</v>
      </c>
      <c r="L1327" s="2">
        <v>0</v>
      </c>
      <c r="M1327">
        <v>0</v>
      </c>
      <c r="N1327">
        <v>0</v>
      </c>
      <c r="O1327" s="2">
        <v>0</v>
      </c>
      <c r="P1327" s="2">
        <v>0</v>
      </c>
      <c r="Q1327">
        <v>0</v>
      </c>
      <c r="R1327" s="2">
        <v>0</v>
      </c>
      <c r="S1327" s="2">
        <v>0</v>
      </c>
      <c r="T1327" t="s">
        <v>744</v>
      </c>
      <c r="U1327" s="2">
        <v>0</v>
      </c>
      <c r="V1327" s="2">
        <v>22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</row>
    <row r="1328" spans="1:28" hidden="1" x14ac:dyDescent="0.25">
      <c r="A1328" t="s">
        <v>730</v>
      </c>
      <c r="B1328" t="s">
        <v>47</v>
      </c>
      <c r="C1328" t="s">
        <v>22</v>
      </c>
      <c r="D1328" s="1">
        <v>45917</v>
      </c>
      <c r="E1328" s="1">
        <v>45917</v>
      </c>
      <c r="F1328" s="2">
        <v>27</v>
      </c>
      <c r="G1328" s="3" t="s">
        <v>23</v>
      </c>
      <c r="H1328">
        <v>40</v>
      </c>
      <c r="I1328" s="2">
        <v>0</v>
      </c>
      <c r="J1328" s="2">
        <v>0</v>
      </c>
      <c r="K1328" s="2">
        <v>1</v>
      </c>
      <c r="L1328" s="2">
        <v>0</v>
      </c>
      <c r="M1328">
        <v>0</v>
      </c>
      <c r="N1328">
        <v>0</v>
      </c>
      <c r="O1328" s="2">
        <v>0</v>
      </c>
      <c r="P1328" s="2">
        <v>0</v>
      </c>
      <c r="Q1328">
        <v>0</v>
      </c>
      <c r="R1328" s="2">
        <v>0</v>
      </c>
      <c r="S1328" s="2">
        <v>0</v>
      </c>
      <c r="T1328" t="s">
        <v>744</v>
      </c>
      <c r="U1328" s="2">
        <v>0</v>
      </c>
      <c r="V1328" s="2">
        <v>22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</row>
    <row r="1329" spans="1:28" hidden="1" x14ac:dyDescent="0.25">
      <c r="A1329" t="s">
        <v>25</v>
      </c>
      <c r="B1329" t="s">
        <v>26</v>
      </c>
      <c r="C1329" t="s">
        <v>27</v>
      </c>
      <c r="D1329" s="1">
        <v>45917</v>
      </c>
      <c r="E1329" s="1">
        <v>45917</v>
      </c>
      <c r="F1329" s="2">
        <v>30</v>
      </c>
      <c r="G1329" s="3" t="s">
        <v>23</v>
      </c>
      <c r="H1329">
        <v>14</v>
      </c>
      <c r="I1329" s="2">
        <v>0</v>
      </c>
      <c r="J1329" s="2">
        <v>0</v>
      </c>
      <c r="K1329" s="2">
        <v>0</v>
      </c>
      <c r="L1329" s="2">
        <v>1</v>
      </c>
      <c r="M1329">
        <v>0</v>
      </c>
      <c r="N1329">
        <v>0</v>
      </c>
      <c r="O1329" s="2">
        <v>0</v>
      </c>
      <c r="P1329" s="2">
        <v>0</v>
      </c>
      <c r="Q1329">
        <v>0</v>
      </c>
      <c r="R1329" s="2">
        <v>0</v>
      </c>
      <c r="S1329" s="2">
        <v>0</v>
      </c>
      <c r="T1329" t="s">
        <v>745</v>
      </c>
      <c r="U1329" s="2">
        <v>0</v>
      </c>
      <c r="V1329" s="2">
        <v>23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</row>
    <row r="1330" spans="1:28" hidden="1" x14ac:dyDescent="0.25">
      <c r="A1330" t="s">
        <v>33</v>
      </c>
      <c r="B1330" t="s">
        <v>34</v>
      </c>
      <c r="C1330" t="s">
        <v>35</v>
      </c>
      <c r="D1330" s="1">
        <v>45917</v>
      </c>
      <c r="E1330" s="1">
        <v>45917</v>
      </c>
      <c r="F1330" s="2">
        <v>33</v>
      </c>
      <c r="G1330" s="3" t="s">
        <v>23</v>
      </c>
      <c r="H1330">
        <v>35</v>
      </c>
      <c r="I1330" s="2">
        <v>0</v>
      </c>
      <c r="J1330" s="2">
        <v>0</v>
      </c>
      <c r="K1330" s="2">
        <v>1</v>
      </c>
      <c r="L1330" s="2">
        <v>0</v>
      </c>
      <c r="M1330">
        <v>0</v>
      </c>
      <c r="N1330">
        <v>0</v>
      </c>
      <c r="O1330" s="2">
        <v>0</v>
      </c>
      <c r="P1330" s="2">
        <v>0</v>
      </c>
      <c r="Q1330">
        <v>0</v>
      </c>
      <c r="R1330" s="2">
        <v>0</v>
      </c>
      <c r="S1330" s="2">
        <v>0</v>
      </c>
      <c r="T1330" t="s">
        <v>746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</row>
    <row r="1331" spans="1:28" hidden="1" x14ac:dyDescent="0.25">
      <c r="A1331" t="s">
        <v>37</v>
      </c>
      <c r="B1331" t="s">
        <v>57</v>
      </c>
      <c r="C1331" t="s">
        <v>39</v>
      </c>
      <c r="D1331" s="1">
        <v>45917</v>
      </c>
      <c r="E1331" s="1">
        <v>45917</v>
      </c>
      <c r="F1331" s="2">
        <v>16</v>
      </c>
      <c r="G1331" s="3" t="s">
        <v>23</v>
      </c>
      <c r="H1331">
        <v>24</v>
      </c>
      <c r="I1331" s="2">
        <v>0</v>
      </c>
      <c r="J1331" s="2">
        <v>0</v>
      </c>
      <c r="K1331" s="2">
        <v>1</v>
      </c>
      <c r="L1331" s="2">
        <v>0</v>
      </c>
      <c r="M1331">
        <v>0</v>
      </c>
      <c r="N1331">
        <v>0</v>
      </c>
      <c r="O1331" s="2">
        <v>0</v>
      </c>
      <c r="P1331" s="2">
        <v>0</v>
      </c>
      <c r="Q1331">
        <v>0</v>
      </c>
      <c r="R1331" s="2">
        <v>0</v>
      </c>
      <c r="S1331" s="2">
        <v>0</v>
      </c>
      <c r="T1331" t="s">
        <v>747</v>
      </c>
      <c r="U1331" s="2">
        <v>0</v>
      </c>
      <c r="V1331" s="2">
        <v>44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</row>
    <row r="1332" spans="1:28" hidden="1" x14ac:dyDescent="0.25">
      <c r="A1332" t="s">
        <v>29</v>
      </c>
      <c r="B1332" t="s">
        <v>30</v>
      </c>
      <c r="C1332" t="s">
        <v>212</v>
      </c>
      <c r="D1332" s="1">
        <v>45917</v>
      </c>
      <c r="E1332" s="1">
        <v>45917</v>
      </c>
      <c r="F1332" s="2">
        <v>0</v>
      </c>
      <c r="G1332" s="3" t="s">
        <v>48</v>
      </c>
      <c r="H1332">
        <v>0</v>
      </c>
      <c r="I1332" s="2">
        <v>0</v>
      </c>
      <c r="J1332" s="2">
        <v>0</v>
      </c>
      <c r="K1332" s="2">
        <v>0</v>
      </c>
      <c r="L1332" s="2">
        <v>0</v>
      </c>
      <c r="M1332">
        <v>0</v>
      </c>
      <c r="N1332">
        <v>0</v>
      </c>
      <c r="O1332" s="2">
        <v>0</v>
      </c>
      <c r="P1332" s="2">
        <v>0</v>
      </c>
      <c r="Q1332">
        <v>0</v>
      </c>
      <c r="R1332" s="2">
        <v>0</v>
      </c>
      <c r="S1332" s="2">
        <v>0</v>
      </c>
      <c r="T1332" t="s">
        <v>377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</row>
    <row r="1333" spans="1:28" hidden="1" x14ac:dyDescent="0.25">
      <c r="A1333" t="s">
        <v>56</v>
      </c>
      <c r="B1333" t="s">
        <v>47</v>
      </c>
      <c r="C1333" t="s">
        <v>212</v>
      </c>
      <c r="D1333" s="1">
        <v>45917</v>
      </c>
      <c r="E1333" s="1">
        <v>45917</v>
      </c>
      <c r="F1333" s="2">
        <v>0</v>
      </c>
      <c r="G1333" s="3" t="s">
        <v>48</v>
      </c>
      <c r="H1333">
        <v>0</v>
      </c>
      <c r="I1333" s="2">
        <v>0</v>
      </c>
      <c r="J1333" s="2">
        <v>0</v>
      </c>
      <c r="K1333" s="2">
        <v>0</v>
      </c>
      <c r="L1333" s="2">
        <v>0</v>
      </c>
      <c r="M1333">
        <v>0</v>
      </c>
      <c r="N1333">
        <v>0</v>
      </c>
      <c r="O1333" s="2">
        <v>0</v>
      </c>
      <c r="P1333" s="2">
        <v>0</v>
      </c>
      <c r="Q1333">
        <v>0</v>
      </c>
      <c r="R1333" s="2">
        <v>0</v>
      </c>
      <c r="S1333" s="2">
        <v>0</v>
      </c>
      <c r="T1333" t="s">
        <v>377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</row>
    <row r="1334" spans="1:28" hidden="1" x14ac:dyDescent="0.25">
      <c r="A1334" t="s">
        <v>568</v>
      </c>
      <c r="B1334" t="s">
        <v>47</v>
      </c>
      <c r="C1334" t="s">
        <v>212</v>
      </c>
      <c r="D1334" s="1">
        <v>45917</v>
      </c>
      <c r="E1334" s="1">
        <v>45917</v>
      </c>
      <c r="F1334" s="2">
        <v>0</v>
      </c>
      <c r="G1334" s="3" t="s">
        <v>48</v>
      </c>
      <c r="H1334">
        <v>0</v>
      </c>
      <c r="I1334" s="2">
        <v>0</v>
      </c>
      <c r="J1334" s="2">
        <v>0</v>
      </c>
      <c r="K1334" s="2">
        <v>0</v>
      </c>
      <c r="L1334" s="2">
        <v>0</v>
      </c>
      <c r="M1334">
        <v>0</v>
      </c>
      <c r="N1334">
        <v>0</v>
      </c>
      <c r="O1334" s="2">
        <v>0</v>
      </c>
      <c r="P1334" s="2">
        <v>0</v>
      </c>
      <c r="Q1334">
        <v>0</v>
      </c>
      <c r="R1334" s="2">
        <v>0</v>
      </c>
      <c r="S1334" s="2">
        <v>0</v>
      </c>
      <c r="T1334" t="s">
        <v>377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</row>
    <row r="1335" spans="1:28" hidden="1" x14ac:dyDescent="0.25">
      <c r="A1335" t="s">
        <v>47</v>
      </c>
      <c r="B1335" t="s">
        <v>21</v>
      </c>
      <c r="C1335" t="s">
        <v>212</v>
      </c>
      <c r="D1335" s="1">
        <v>45917</v>
      </c>
      <c r="E1335" s="1">
        <v>45917</v>
      </c>
      <c r="F1335" s="2">
        <v>0</v>
      </c>
      <c r="G1335" s="3" t="s">
        <v>48</v>
      </c>
      <c r="H1335">
        <v>0</v>
      </c>
      <c r="I1335" s="2">
        <v>0</v>
      </c>
      <c r="J1335" s="2">
        <v>0</v>
      </c>
      <c r="K1335" s="2">
        <v>0</v>
      </c>
      <c r="L1335" s="2">
        <v>0</v>
      </c>
      <c r="M1335">
        <v>0</v>
      </c>
      <c r="N1335">
        <v>0</v>
      </c>
      <c r="O1335" s="2">
        <v>0</v>
      </c>
      <c r="P1335" s="2">
        <v>0</v>
      </c>
      <c r="Q1335">
        <v>0</v>
      </c>
      <c r="R1335" s="2">
        <v>0</v>
      </c>
      <c r="S1335" s="2">
        <v>0</v>
      </c>
      <c r="T1335" t="s">
        <v>377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</row>
    <row r="1336" spans="1:28" hidden="1" x14ac:dyDescent="0.25">
      <c r="A1336" t="s">
        <v>47</v>
      </c>
      <c r="B1336" t="s">
        <v>52</v>
      </c>
      <c r="C1336" t="s">
        <v>212</v>
      </c>
      <c r="D1336" s="1">
        <v>45917</v>
      </c>
      <c r="E1336" s="1">
        <v>45917</v>
      </c>
      <c r="F1336" s="2">
        <v>0</v>
      </c>
      <c r="G1336" s="3" t="s">
        <v>572</v>
      </c>
      <c r="H1336">
        <v>0</v>
      </c>
      <c r="I1336" s="2">
        <v>0</v>
      </c>
      <c r="J1336" s="2">
        <v>0</v>
      </c>
      <c r="K1336" s="2">
        <v>0</v>
      </c>
      <c r="L1336" s="2">
        <v>0</v>
      </c>
      <c r="M1336">
        <v>0</v>
      </c>
      <c r="N1336">
        <v>0</v>
      </c>
      <c r="O1336" s="2">
        <v>0</v>
      </c>
      <c r="P1336" s="2">
        <v>0</v>
      </c>
      <c r="Q1336">
        <v>0</v>
      </c>
      <c r="R1336" s="2">
        <v>0</v>
      </c>
      <c r="S1336" s="2">
        <v>0</v>
      </c>
      <c r="T1336" t="s">
        <v>377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</row>
    <row r="1337" spans="1:28" hidden="1" x14ac:dyDescent="0.25">
      <c r="A1337" t="s">
        <v>56</v>
      </c>
      <c r="B1337" t="s">
        <v>47</v>
      </c>
      <c r="C1337" t="s">
        <v>64</v>
      </c>
      <c r="D1337" s="9">
        <v>45918</v>
      </c>
      <c r="E1337" s="9">
        <v>45918</v>
      </c>
      <c r="F1337" s="2">
        <v>22</v>
      </c>
      <c r="G1337" s="3" t="s">
        <v>23</v>
      </c>
      <c r="H1337">
        <v>0</v>
      </c>
      <c r="I1337" s="2">
        <v>0</v>
      </c>
      <c r="J1337" s="2">
        <v>0</v>
      </c>
      <c r="K1337" s="2">
        <v>0</v>
      </c>
      <c r="L1337" s="2">
        <v>0</v>
      </c>
      <c r="M1337">
        <v>0</v>
      </c>
      <c r="N1337">
        <v>0</v>
      </c>
      <c r="O1337" s="2">
        <v>0</v>
      </c>
      <c r="P1337" s="2">
        <v>0</v>
      </c>
      <c r="Q1337">
        <v>0</v>
      </c>
      <c r="R1337" s="2">
        <v>0</v>
      </c>
      <c r="S1337" s="2">
        <v>1</v>
      </c>
      <c r="T1337" t="s">
        <v>748</v>
      </c>
      <c r="U1337" s="2">
        <v>8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1</v>
      </c>
    </row>
    <row r="1338" spans="1:28" hidden="1" x14ac:dyDescent="0.25">
      <c r="A1338" t="s">
        <v>730</v>
      </c>
      <c r="B1338" t="s">
        <v>47</v>
      </c>
      <c r="C1338" t="s">
        <v>64</v>
      </c>
      <c r="D1338" s="9">
        <v>45918</v>
      </c>
      <c r="E1338" s="9">
        <v>45918</v>
      </c>
      <c r="F1338" s="2">
        <v>22</v>
      </c>
      <c r="G1338" s="3" t="s">
        <v>23</v>
      </c>
      <c r="H1338">
        <v>0</v>
      </c>
      <c r="I1338" s="2">
        <v>0</v>
      </c>
      <c r="J1338" s="2">
        <v>0</v>
      </c>
      <c r="K1338" s="2">
        <v>0</v>
      </c>
      <c r="L1338" s="2">
        <v>0</v>
      </c>
      <c r="M1338">
        <v>0</v>
      </c>
      <c r="N1338">
        <v>0</v>
      </c>
      <c r="O1338" s="2">
        <v>0</v>
      </c>
      <c r="P1338" s="2">
        <v>0</v>
      </c>
      <c r="Q1338">
        <v>0</v>
      </c>
      <c r="R1338" s="2">
        <v>0</v>
      </c>
      <c r="S1338" s="2">
        <v>1</v>
      </c>
      <c r="T1338" t="s">
        <v>748</v>
      </c>
      <c r="U1338" s="2">
        <v>8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1</v>
      </c>
    </row>
    <row r="1339" spans="1:28" hidden="1" x14ac:dyDescent="0.25">
      <c r="A1339" t="s">
        <v>53</v>
      </c>
      <c r="B1339" t="s">
        <v>38</v>
      </c>
      <c r="C1339" t="s">
        <v>54</v>
      </c>
      <c r="D1339" s="9">
        <v>45918</v>
      </c>
      <c r="E1339" s="9">
        <v>45918</v>
      </c>
      <c r="F1339" s="2">
        <v>47</v>
      </c>
      <c r="G1339" s="3" t="s">
        <v>23</v>
      </c>
      <c r="H1339">
        <v>0</v>
      </c>
      <c r="I1339" s="2">
        <v>0</v>
      </c>
      <c r="J1339" s="2">
        <v>0</v>
      </c>
      <c r="K1339" s="2">
        <v>0</v>
      </c>
      <c r="L1339" s="2">
        <v>0</v>
      </c>
      <c r="M1339">
        <v>0</v>
      </c>
      <c r="N1339">
        <v>0</v>
      </c>
      <c r="O1339" s="2">
        <v>0</v>
      </c>
      <c r="P1339" s="2">
        <v>1</v>
      </c>
      <c r="Q1339">
        <v>2</v>
      </c>
      <c r="R1339" s="2">
        <v>0</v>
      </c>
      <c r="S1339" s="2">
        <v>1</v>
      </c>
      <c r="T1339" t="s">
        <v>749</v>
      </c>
      <c r="U1339" s="2">
        <v>18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</row>
    <row r="1340" spans="1:28" hidden="1" x14ac:dyDescent="0.25">
      <c r="A1340" t="s">
        <v>29</v>
      </c>
      <c r="B1340" t="s">
        <v>30</v>
      </c>
      <c r="C1340" t="s">
        <v>31</v>
      </c>
      <c r="D1340" s="9">
        <v>45918</v>
      </c>
      <c r="E1340" s="9">
        <v>45918</v>
      </c>
      <c r="F1340" s="2">
        <v>37</v>
      </c>
      <c r="G1340" s="3" t="s">
        <v>23</v>
      </c>
      <c r="H1340">
        <v>0</v>
      </c>
      <c r="I1340" s="2">
        <v>0</v>
      </c>
      <c r="J1340" s="2">
        <v>0</v>
      </c>
      <c r="K1340" s="2">
        <v>0</v>
      </c>
      <c r="L1340" s="2">
        <v>0</v>
      </c>
      <c r="M1340">
        <v>0</v>
      </c>
      <c r="N1340">
        <v>0</v>
      </c>
      <c r="O1340" s="2">
        <v>0</v>
      </c>
      <c r="P1340" s="2">
        <v>1</v>
      </c>
      <c r="Q1340">
        <v>1</v>
      </c>
      <c r="R1340" s="2">
        <v>0</v>
      </c>
      <c r="S1340" s="2">
        <v>1</v>
      </c>
      <c r="T1340" t="s">
        <v>750</v>
      </c>
      <c r="U1340" s="2">
        <v>16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</row>
    <row r="1341" spans="1:28" hidden="1" x14ac:dyDescent="0.25">
      <c r="A1341" t="s">
        <v>20</v>
      </c>
      <c r="B1341" t="s">
        <v>21</v>
      </c>
      <c r="C1341" t="s">
        <v>31</v>
      </c>
      <c r="D1341" s="9">
        <v>45918</v>
      </c>
      <c r="E1341" s="9">
        <v>45918</v>
      </c>
      <c r="F1341" s="2">
        <v>28</v>
      </c>
      <c r="G1341" s="3" t="s">
        <v>23</v>
      </c>
      <c r="H1341">
        <v>0</v>
      </c>
      <c r="I1341" s="2">
        <v>0</v>
      </c>
      <c r="J1341" s="2">
        <v>0</v>
      </c>
      <c r="K1341" s="2">
        <v>0</v>
      </c>
      <c r="L1341" s="2">
        <v>0</v>
      </c>
      <c r="M1341">
        <v>0</v>
      </c>
      <c r="N1341">
        <v>0</v>
      </c>
      <c r="O1341" s="2">
        <v>0</v>
      </c>
      <c r="P1341" s="2">
        <v>1</v>
      </c>
      <c r="Q1341">
        <v>1</v>
      </c>
      <c r="R1341" s="2">
        <v>0</v>
      </c>
      <c r="S1341" s="2">
        <v>1</v>
      </c>
      <c r="T1341" t="s">
        <v>751</v>
      </c>
      <c r="U1341" s="2">
        <v>20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</row>
    <row r="1342" spans="1:28" hidden="1" x14ac:dyDescent="0.25">
      <c r="A1342" t="s">
        <v>568</v>
      </c>
      <c r="B1342" t="s">
        <v>284</v>
      </c>
      <c r="C1342" t="s">
        <v>670</v>
      </c>
      <c r="D1342" s="9">
        <v>45918</v>
      </c>
      <c r="E1342" s="9">
        <v>45918</v>
      </c>
      <c r="F1342" s="2">
        <v>33</v>
      </c>
      <c r="G1342" s="3" t="s">
        <v>23</v>
      </c>
      <c r="H1342">
        <v>0</v>
      </c>
      <c r="I1342" s="2">
        <v>0</v>
      </c>
      <c r="J1342" s="2">
        <v>0</v>
      </c>
      <c r="K1342" s="2">
        <v>0</v>
      </c>
      <c r="L1342" s="2">
        <v>0</v>
      </c>
      <c r="M1342">
        <v>0</v>
      </c>
      <c r="N1342">
        <v>0</v>
      </c>
      <c r="O1342" s="2">
        <v>0</v>
      </c>
      <c r="P1342" s="2">
        <v>1</v>
      </c>
      <c r="Q1342">
        <v>0</v>
      </c>
      <c r="R1342" s="2">
        <v>0</v>
      </c>
      <c r="S1342" s="2">
        <v>1</v>
      </c>
      <c r="T1342" t="s">
        <v>752</v>
      </c>
      <c r="U1342" s="2">
        <v>7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</row>
    <row r="1343" spans="1:28" hidden="1" x14ac:dyDescent="0.25">
      <c r="A1343" t="s">
        <v>25</v>
      </c>
      <c r="B1343" t="s">
        <v>26</v>
      </c>
      <c r="C1343" t="s">
        <v>27</v>
      </c>
      <c r="D1343" s="9">
        <v>45918</v>
      </c>
      <c r="E1343" s="9">
        <v>45918</v>
      </c>
      <c r="F1343" s="2">
        <v>27</v>
      </c>
      <c r="G1343" s="3" t="s">
        <v>378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t="s">
        <v>651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</row>
    <row r="1344" spans="1:28" hidden="1" x14ac:dyDescent="0.25">
      <c r="A1344" t="s">
        <v>33</v>
      </c>
      <c r="B1344" t="s">
        <v>34</v>
      </c>
      <c r="C1344" t="s">
        <v>35</v>
      </c>
      <c r="D1344" s="9">
        <v>45918</v>
      </c>
      <c r="E1344" s="9">
        <v>45918</v>
      </c>
      <c r="F1344" s="2">
        <v>36</v>
      </c>
      <c r="G1344" s="3" t="s">
        <v>378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 t="s">
        <v>651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</row>
    <row r="1345" spans="1:28" hidden="1" x14ac:dyDescent="0.25">
      <c r="A1345" t="s">
        <v>37</v>
      </c>
      <c r="B1345" t="s">
        <v>57</v>
      </c>
      <c r="C1345" t="s">
        <v>39</v>
      </c>
      <c r="D1345" s="9">
        <v>45918</v>
      </c>
      <c r="E1345" s="9">
        <v>45918</v>
      </c>
      <c r="F1345" s="2">
        <v>69</v>
      </c>
      <c r="G1345" s="3" t="s">
        <v>378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 t="s">
        <v>651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</row>
    <row r="1346" spans="1:28" hidden="1" x14ac:dyDescent="0.25">
      <c r="A1346" t="s">
        <v>47</v>
      </c>
      <c r="B1346" t="s">
        <v>52</v>
      </c>
      <c r="C1346" t="s">
        <v>212</v>
      </c>
      <c r="D1346" s="9">
        <v>45918</v>
      </c>
      <c r="E1346" s="9">
        <v>45918</v>
      </c>
      <c r="F1346" s="2">
        <v>0</v>
      </c>
      <c r="G1346" s="3" t="s">
        <v>378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377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</row>
    <row r="1347" spans="1:28" hidden="1" x14ac:dyDescent="0.25">
      <c r="A1347" t="s">
        <v>56</v>
      </c>
      <c r="B1347" t="s">
        <v>47</v>
      </c>
      <c r="C1347" t="s">
        <v>64</v>
      </c>
      <c r="D1347" s="9">
        <v>45919</v>
      </c>
      <c r="E1347" s="9">
        <v>45919</v>
      </c>
      <c r="F1347" s="2">
        <v>21</v>
      </c>
      <c r="G1347" s="3" t="s">
        <v>23</v>
      </c>
      <c r="H1347">
        <v>0</v>
      </c>
      <c r="I1347" s="2">
        <v>0</v>
      </c>
      <c r="J1347" s="2">
        <v>0</v>
      </c>
      <c r="K1347" s="2">
        <v>0</v>
      </c>
      <c r="L1347" s="2">
        <v>0</v>
      </c>
      <c r="M1347">
        <v>0</v>
      </c>
      <c r="N1347">
        <v>0</v>
      </c>
      <c r="O1347" s="2">
        <v>0</v>
      </c>
      <c r="P1347" s="2">
        <v>0</v>
      </c>
      <c r="Q1347">
        <v>0</v>
      </c>
      <c r="R1347" s="2">
        <v>0</v>
      </c>
      <c r="S1347" s="2">
        <v>1</v>
      </c>
      <c r="T1347" t="s">
        <v>753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1</v>
      </c>
    </row>
    <row r="1348" spans="1:28" hidden="1" x14ac:dyDescent="0.25">
      <c r="A1348" t="s">
        <v>730</v>
      </c>
      <c r="B1348" t="s">
        <v>47</v>
      </c>
      <c r="C1348" t="s">
        <v>64</v>
      </c>
      <c r="D1348" s="9">
        <v>45919</v>
      </c>
      <c r="E1348" s="9">
        <v>45919</v>
      </c>
      <c r="F1348" s="2">
        <v>21</v>
      </c>
      <c r="G1348" s="3" t="s">
        <v>23</v>
      </c>
      <c r="H1348">
        <v>0</v>
      </c>
      <c r="I1348" s="2">
        <v>0</v>
      </c>
      <c r="J1348" s="2">
        <v>0</v>
      </c>
      <c r="K1348" s="2">
        <v>0</v>
      </c>
      <c r="L1348" s="2">
        <v>0</v>
      </c>
      <c r="M1348">
        <v>0</v>
      </c>
      <c r="N1348">
        <v>0</v>
      </c>
      <c r="O1348" s="2">
        <v>0</v>
      </c>
      <c r="P1348" s="2">
        <v>0</v>
      </c>
      <c r="Q1348">
        <v>0</v>
      </c>
      <c r="R1348" s="2">
        <v>0</v>
      </c>
      <c r="S1348" s="2">
        <v>1</v>
      </c>
      <c r="T1348" t="s">
        <v>753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1</v>
      </c>
    </row>
    <row r="1349" spans="1:28" hidden="1" x14ac:dyDescent="0.25">
      <c r="A1349" t="s">
        <v>53</v>
      </c>
      <c r="B1349" t="s">
        <v>38</v>
      </c>
      <c r="C1349" t="s">
        <v>54</v>
      </c>
      <c r="D1349" s="9">
        <v>45919</v>
      </c>
      <c r="E1349" s="9">
        <v>45919</v>
      </c>
      <c r="F1349" s="2">
        <v>41</v>
      </c>
      <c r="G1349" s="3" t="s">
        <v>23</v>
      </c>
      <c r="H1349">
        <v>0</v>
      </c>
      <c r="I1349" s="2">
        <v>0</v>
      </c>
      <c r="J1349" s="2">
        <v>0</v>
      </c>
      <c r="K1349" s="2">
        <v>0</v>
      </c>
      <c r="L1349" s="2">
        <v>0</v>
      </c>
      <c r="M1349">
        <v>0</v>
      </c>
      <c r="N1349">
        <v>0</v>
      </c>
      <c r="O1349" s="2">
        <v>0</v>
      </c>
      <c r="P1349" s="2">
        <v>1</v>
      </c>
      <c r="Q1349">
        <v>0</v>
      </c>
      <c r="R1349" s="2">
        <v>0</v>
      </c>
      <c r="S1349" s="2">
        <v>1</v>
      </c>
      <c r="T1349" t="s">
        <v>754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</row>
    <row r="1350" spans="1:28" hidden="1" x14ac:dyDescent="0.25">
      <c r="A1350" t="s">
        <v>20</v>
      </c>
      <c r="B1350" t="s">
        <v>21</v>
      </c>
      <c r="C1350" t="s">
        <v>22</v>
      </c>
      <c r="D1350" s="9">
        <v>45919</v>
      </c>
      <c r="E1350" s="9">
        <v>45919</v>
      </c>
      <c r="F1350" s="2">
        <v>44</v>
      </c>
      <c r="G1350" s="3" t="s">
        <v>23</v>
      </c>
      <c r="H1350">
        <v>0</v>
      </c>
      <c r="I1350" s="2">
        <v>0</v>
      </c>
      <c r="J1350" s="2">
        <v>0</v>
      </c>
      <c r="K1350" s="2">
        <v>0</v>
      </c>
      <c r="L1350" s="2">
        <v>0</v>
      </c>
      <c r="M1350">
        <v>0</v>
      </c>
      <c r="N1350">
        <v>0</v>
      </c>
      <c r="O1350" s="2">
        <v>0</v>
      </c>
      <c r="P1350" s="2">
        <v>1</v>
      </c>
      <c r="Q1350">
        <v>0</v>
      </c>
      <c r="R1350" s="2">
        <v>0</v>
      </c>
      <c r="S1350" s="2">
        <v>1</v>
      </c>
      <c r="T1350" t="s">
        <v>755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</row>
    <row r="1351" spans="1:28" hidden="1" x14ac:dyDescent="0.25">
      <c r="A1351" t="s">
        <v>29</v>
      </c>
      <c r="B1351" t="s">
        <v>30</v>
      </c>
      <c r="C1351" t="s">
        <v>31</v>
      </c>
      <c r="D1351" s="9">
        <v>45919</v>
      </c>
      <c r="E1351" s="9">
        <v>45919</v>
      </c>
      <c r="F1351" s="2">
        <v>37</v>
      </c>
      <c r="G1351" s="3" t="s">
        <v>23</v>
      </c>
      <c r="H1351">
        <v>0</v>
      </c>
      <c r="I1351" s="2">
        <v>0</v>
      </c>
      <c r="J1351" s="2">
        <v>0</v>
      </c>
      <c r="K1351" s="2">
        <v>0</v>
      </c>
      <c r="L1351" s="2">
        <v>0</v>
      </c>
      <c r="M1351">
        <v>0</v>
      </c>
      <c r="N1351">
        <v>0</v>
      </c>
      <c r="O1351" s="2">
        <v>0</v>
      </c>
      <c r="P1351" s="2">
        <v>1</v>
      </c>
      <c r="Q1351">
        <v>0</v>
      </c>
      <c r="R1351" s="2">
        <v>0</v>
      </c>
      <c r="S1351" s="2">
        <v>1</v>
      </c>
      <c r="T1351" t="s">
        <v>756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</row>
    <row r="1352" spans="1:28" hidden="1" x14ac:dyDescent="0.25">
      <c r="A1352" t="s">
        <v>568</v>
      </c>
      <c r="B1352" t="s">
        <v>284</v>
      </c>
      <c r="C1352" t="s">
        <v>670</v>
      </c>
      <c r="D1352" s="9">
        <v>45919</v>
      </c>
      <c r="E1352" s="9">
        <v>45919</v>
      </c>
      <c r="F1352" s="2">
        <v>18</v>
      </c>
      <c r="G1352" s="3" t="s">
        <v>23</v>
      </c>
      <c r="H1352">
        <v>0</v>
      </c>
      <c r="I1352" s="2">
        <v>0</v>
      </c>
      <c r="J1352" s="2">
        <v>0</v>
      </c>
      <c r="K1352" s="2">
        <v>0</v>
      </c>
      <c r="L1352" s="2">
        <v>0</v>
      </c>
      <c r="M1352">
        <v>0</v>
      </c>
      <c r="N1352">
        <v>0</v>
      </c>
      <c r="O1352" s="2">
        <v>0</v>
      </c>
      <c r="P1352" s="2">
        <v>1</v>
      </c>
      <c r="Q1352">
        <v>0</v>
      </c>
      <c r="R1352" s="2">
        <v>0</v>
      </c>
      <c r="S1352" s="2">
        <v>1</v>
      </c>
      <c r="T1352" t="s">
        <v>757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</row>
    <row r="1353" spans="1:28" hidden="1" x14ac:dyDescent="0.25">
      <c r="A1353" t="s">
        <v>25</v>
      </c>
      <c r="B1353" t="s">
        <v>26</v>
      </c>
      <c r="C1353" t="s">
        <v>27</v>
      </c>
      <c r="D1353" s="9">
        <v>45919</v>
      </c>
      <c r="E1353" s="9">
        <v>45919</v>
      </c>
      <c r="F1353" s="2">
        <v>27</v>
      </c>
      <c r="G1353" s="3" t="s">
        <v>378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651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</row>
    <row r="1354" spans="1:28" hidden="1" x14ac:dyDescent="0.25">
      <c r="A1354" t="s">
        <v>33</v>
      </c>
      <c r="B1354" t="s">
        <v>34</v>
      </c>
      <c r="C1354" t="s">
        <v>35</v>
      </c>
      <c r="D1354" s="9">
        <v>45919</v>
      </c>
      <c r="E1354" s="9">
        <v>45919</v>
      </c>
      <c r="F1354" s="2">
        <v>36</v>
      </c>
      <c r="G1354" s="3" t="s">
        <v>378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 t="s">
        <v>651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</row>
    <row r="1355" spans="1:28" hidden="1" x14ac:dyDescent="0.25">
      <c r="A1355" t="s">
        <v>37</v>
      </c>
      <c r="B1355" t="s">
        <v>57</v>
      </c>
      <c r="C1355" t="s">
        <v>39</v>
      </c>
      <c r="D1355" s="9">
        <v>45919</v>
      </c>
      <c r="E1355" s="9">
        <v>45919</v>
      </c>
      <c r="F1355" s="2">
        <v>69</v>
      </c>
      <c r="G1355" s="3" t="s">
        <v>378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 t="s">
        <v>651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</row>
    <row r="1356" spans="1:28" hidden="1" x14ac:dyDescent="0.25">
      <c r="A1356" t="s">
        <v>47</v>
      </c>
      <c r="B1356" t="s">
        <v>52</v>
      </c>
      <c r="C1356" t="s">
        <v>212</v>
      </c>
      <c r="D1356" s="9">
        <v>45919</v>
      </c>
      <c r="E1356" s="9">
        <v>45919</v>
      </c>
      <c r="F1356" s="2">
        <v>0</v>
      </c>
      <c r="G1356" s="3" t="s">
        <v>378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377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</row>
    <row r="1357" spans="1:28" hidden="1" x14ac:dyDescent="0.25">
      <c r="A1357" t="s">
        <v>56</v>
      </c>
      <c r="B1357" t="s">
        <v>47</v>
      </c>
      <c r="C1357" t="s">
        <v>64</v>
      </c>
      <c r="D1357" s="9">
        <v>45920</v>
      </c>
      <c r="E1357" s="9">
        <v>45920</v>
      </c>
      <c r="F1357" s="2">
        <v>22</v>
      </c>
      <c r="G1357" s="3" t="s">
        <v>23</v>
      </c>
      <c r="H1357">
        <v>0</v>
      </c>
      <c r="I1357" s="2">
        <v>0</v>
      </c>
      <c r="J1357" s="2">
        <v>0</v>
      </c>
      <c r="K1357" s="2">
        <v>0</v>
      </c>
      <c r="L1357" s="2">
        <v>0</v>
      </c>
      <c r="M1357">
        <v>0</v>
      </c>
      <c r="N1357">
        <v>0</v>
      </c>
      <c r="O1357" s="2">
        <v>0</v>
      </c>
      <c r="P1357" s="2">
        <v>0</v>
      </c>
      <c r="Q1357">
        <v>7</v>
      </c>
      <c r="R1357" s="2">
        <v>1</v>
      </c>
      <c r="S1357" s="2">
        <v>0</v>
      </c>
      <c r="T1357" t="s">
        <v>758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1</v>
      </c>
      <c r="AB1357" s="2">
        <v>0</v>
      </c>
    </row>
    <row r="1358" spans="1:28" hidden="1" x14ac:dyDescent="0.25">
      <c r="A1358" t="s">
        <v>730</v>
      </c>
      <c r="B1358" t="s">
        <v>47</v>
      </c>
      <c r="C1358" t="s">
        <v>64</v>
      </c>
      <c r="D1358" s="9">
        <v>45920</v>
      </c>
      <c r="E1358" s="9">
        <v>45920</v>
      </c>
      <c r="F1358" s="2">
        <v>22</v>
      </c>
      <c r="G1358" s="3" t="s">
        <v>23</v>
      </c>
      <c r="H1358">
        <v>0</v>
      </c>
      <c r="I1358" s="2">
        <v>0</v>
      </c>
      <c r="J1358" s="2">
        <v>0</v>
      </c>
      <c r="K1358" s="2">
        <v>0</v>
      </c>
      <c r="L1358" s="2">
        <v>0</v>
      </c>
      <c r="M1358">
        <v>0</v>
      </c>
      <c r="N1358">
        <v>0</v>
      </c>
      <c r="O1358" s="2">
        <v>0</v>
      </c>
      <c r="P1358" s="2">
        <v>0</v>
      </c>
      <c r="Q1358">
        <v>7</v>
      </c>
      <c r="R1358" s="2">
        <v>1</v>
      </c>
      <c r="S1358" s="2">
        <v>0</v>
      </c>
      <c r="T1358" t="s">
        <v>758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1</v>
      </c>
      <c r="AB1358" s="2">
        <v>0</v>
      </c>
    </row>
    <row r="1359" spans="1:28" hidden="1" x14ac:dyDescent="0.25">
      <c r="A1359" t="s">
        <v>53</v>
      </c>
      <c r="B1359" t="s">
        <v>38</v>
      </c>
      <c r="C1359" t="s">
        <v>54</v>
      </c>
      <c r="D1359" s="9">
        <v>45920</v>
      </c>
      <c r="E1359" s="9">
        <v>45920</v>
      </c>
      <c r="F1359" s="2">
        <v>42</v>
      </c>
      <c r="G1359" s="3" t="s">
        <v>23</v>
      </c>
      <c r="H1359">
        <v>0</v>
      </c>
      <c r="I1359" s="2">
        <v>0</v>
      </c>
      <c r="J1359" s="2">
        <v>0</v>
      </c>
      <c r="K1359" s="2">
        <v>0</v>
      </c>
      <c r="L1359" s="2">
        <v>0</v>
      </c>
      <c r="M1359">
        <v>0</v>
      </c>
      <c r="N1359">
        <v>0</v>
      </c>
      <c r="O1359" s="2">
        <v>1</v>
      </c>
      <c r="P1359" s="2">
        <v>0</v>
      </c>
      <c r="Q1359">
        <v>1</v>
      </c>
      <c r="R1359" s="2">
        <v>1</v>
      </c>
      <c r="S1359" s="2">
        <v>0</v>
      </c>
      <c r="T1359" t="s">
        <v>759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</row>
    <row r="1360" spans="1:28" hidden="1" x14ac:dyDescent="0.25">
      <c r="A1360" t="s">
        <v>20</v>
      </c>
      <c r="B1360" t="s">
        <v>21</v>
      </c>
      <c r="C1360" t="s">
        <v>22</v>
      </c>
      <c r="D1360" s="9">
        <v>45920</v>
      </c>
      <c r="E1360" s="9">
        <v>45920</v>
      </c>
      <c r="F1360" s="2">
        <v>42</v>
      </c>
      <c r="G1360" s="3" t="s">
        <v>23</v>
      </c>
      <c r="H1360">
        <v>0</v>
      </c>
      <c r="I1360" s="2">
        <v>0</v>
      </c>
      <c r="J1360" s="2">
        <v>0</v>
      </c>
      <c r="K1360" s="2">
        <v>0</v>
      </c>
      <c r="L1360" s="2">
        <v>0</v>
      </c>
      <c r="M1360">
        <v>0</v>
      </c>
      <c r="N1360">
        <v>0</v>
      </c>
      <c r="O1360" s="2">
        <v>1</v>
      </c>
      <c r="P1360" s="2">
        <v>0</v>
      </c>
      <c r="Q1360">
        <v>0</v>
      </c>
      <c r="R1360" s="2">
        <v>1</v>
      </c>
      <c r="S1360" s="2">
        <v>0</v>
      </c>
      <c r="T1360" t="s">
        <v>760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</row>
    <row r="1361" spans="1:28" hidden="1" x14ac:dyDescent="0.25">
      <c r="A1361" t="s">
        <v>29</v>
      </c>
      <c r="B1361" t="s">
        <v>30</v>
      </c>
      <c r="C1361" t="s">
        <v>31</v>
      </c>
      <c r="D1361" s="9">
        <v>45920</v>
      </c>
      <c r="E1361" s="9">
        <v>45920</v>
      </c>
      <c r="F1361" s="2">
        <v>25</v>
      </c>
      <c r="G1361" s="3" t="s">
        <v>23</v>
      </c>
      <c r="H1361">
        <v>0</v>
      </c>
      <c r="I1361" s="2">
        <v>0</v>
      </c>
      <c r="J1361" s="2">
        <v>0</v>
      </c>
      <c r="K1361" s="2">
        <v>0</v>
      </c>
      <c r="L1361" s="2">
        <v>0</v>
      </c>
      <c r="M1361">
        <v>0</v>
      </c>
      <c r="N1361">
        <v>0</v>
      </c>
      <c r="O1361" s="2">
        <v>1</v>
      </c>
      <c r="P1361" s="2">
        <v>0</v>
      </c>
      <c r="Q1361">
        <v>1</v>
      </c>
      <c r="R1361" s="2">
        <v>1</v>
      </c>
      <c r="S1361" s="2">
        <v>0</v>
      </c>
      <c r="T1361" t="s">
        <v>761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</row>
    <row r="1362" spans="1:28" hidden="1" x14ac:dyDescent="0.25">
      <c r="A1362" t="s">
        <v>568</v>
      </c>
      <c r="B1362" t="s">
        <v>284</v>
      </c>
      <c r="C1362" t="s">
        <v>670</v>
      </c>
      <c r="D1362" s="9">
        <v>45920</v>
      </c>
      <c r="E1362" s="9">
        <v>45920</v>
      </c>
      <c r="F1362" s="2">
        <v>31</v>
      </c>
      <c r="G1362" s="3" t="s">
        <v>23</v>
      </c>
      <c r="H1362">
        <v>0</v>
      </c>
      <c r="I1362" s="2">
        <v>0</v>
      </c>
      <c r="J1362" s="2">
        <v>0</v>
      </c>
      <c r="K1362" s="2">
        <v>0</v>
      </c>
      <c r="L1362" s="2">
        <v>0</v>
      </c>
      <c r="M1362">
        <v>0</v>
      </c>
      <c r="N1362">
        <v>0</v>
      </c>
      <c r="O1362" s="2">
        <v>1</v>
      </c>
      <c r="P1362" s="2">
        <v>0</v>
      </c>
      <c r="Q1362">
        <v>1</v>
      </c>
      <c r="R1362" s="2">
        <v>1</v>
      </c>
      <c r="S1362" s="2">
        <v>0</v>
      </c>
      <c r="T1362" t="s">
        <v>762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</row>
    <row r="1363" spans="1:28" hidden="1" x14ac:dyDescent="0.25">
      <c r="A1363" t="s">
        <v>25</v>
      </c>
      <c r="B1363" t="s">
        <v>26</v>
      </c>
      <c r="C1363" t="s">
        <v>27</v>
      </c>
      <c r="D1363" s="9">
        <v>45920</v>
      </c>
      <c r="E1363" s="9">
        <v>45920</v>
      </c>
      <c r="F1363" s="2">
        <v>27</v>
      </c>
      <c r="G1363" s="3" t="s">
        <v>378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t="s">
        <v>651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</row>
    <row r="1364" spans="1:28" hidden="1" x14ac:dyDescent="0.25">
      <c r="A1364" t="s">
        <v>33</v>
      </c>
      <c r="B1364" t="s">
        <v>34</v>
      </c>
      <c r="C1364" t="s">
        <v>35</v>
      </c>
      <c r="D1364" s="9">
        <v>45920</v>
      </c>
      <c r="E1364" s="9">
        <v>45920</v>
      </c>
      <c r="F1364" s="2">
        <v>36</v>
      </c>
      <c r="G1364" s="3" t="s">
        <v>378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651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</row>
    <row r="1365" spans="1:28" hidden="1" x14ac:dyDescent="0.25">
      <c r="A1365" t="s">
        <v>37</v>
      </c>
      <c r="B1365" t="s">
        <v>57</v>
      </c>
      <c r="C1365" t="s">
        <v>39</v>
      </c>
      <c r="D1365" s="9">
        <v>45920</v>
      </c>
      <c r="E1365" s="9">
        <v>45920</v>
      </c>
      <c r="F1365" s="2">
        <v>69</v>
      </c>
      <c r="G1365" s="3" t="s">
        <v>378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651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</row>
    <row r="1366" spans="1:28" hidden="1" x14ac:dyDescent="0.25">
      <c r="A1366" t="s">
        <v>47</v>
      </c>
      <c r="B1366" t="s">
        <v>52</v>
      </c>
      <c r="C1366" t="s">
        <v>212</v>
      </c>
      <c r="D1366" s="9">
        <v>45920</v>
      </c>
      <c r="E1366" s="9">
        <v>45920</v>
      </c>
      <c r="F1366" s="2">
        <v>0</v>
      </c>
      <c r="G1366" s="3" t="s">
        <v>378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t="s">
        <v>377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</row>
    <row r="1367" spans="1:28" hidden="1" x14ac:dyDescent="0.25">
      <c r="A1367" t="s">
        <v>56</v>
      </c>
      <c r="B1367" t="s">
        <v>47</v>
      </c>
      <c r="C1367" t="s">
        <v>64</v>
      </c>
      <c r="D1367" s="9">
        <v>45921</v>
      </c>
      <c r="E1367" s="9">
        <v>45921</v>
      </c>
      <c r="F1367" s="2">
        <v>71</v>
      </c>
      <c r="G1367" s="3" t="s">
        <v>23</v>
      </c>
      <c r="H1367">
        <v>0</v>
      </c>
      <c r="I1367" s="2">
        <v>0</v>
      </c>
      <c r="J1367" s="2">
        <v>0</v>
      </c>
      <c r="K1367" s="2">
        <v>0</v>
      </c>
      <c r="L1367" s="2">
        <v>0</v>
      </c>
      <c r="M1367">
        <v>0</v>
      </c>
      <c r="N1367">
        <v>0</v>
      </c>
      <c r="O1367" s="2">
        <v>0</v>
      </c>
      <c r="P1367" s="2">
        <v>0</v>
      </c>
      <c r="Q1367">
        <v>4</v>
      </c>
      <c r="R1367" s="2">
        <v>0</v>
      </c>
      <c r="S1367" s="2">
        <v>1</v>
      </c>
      <c r="T1367" t="s">
        <v>763</v>
      </c>
      <c r="U1367" s="2">
        <v>15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1</v>
      </c>
    </row>
    <row r="1368" spans="1:28" hidden="1" x14ac:dyDescent="0.25">
      <c r="A1368" t="s">
        <v>730</v>
      </c>
      <c r="B1368" t="s">
        <v>47</v>
      </c>
      <c r="C1368" t="s">
        <v>64</v>
      </c>
      <c r="D1368" s="9">
        <v>45921</v>
      </c>
      <c r="E1368" s="9">
        <v>45921</v>
      </c>
      <c r="F1368" s="2">
        <v>71</v>
      </c>
      <c r="G1368" s="3" t="s">
        <v>23</v>
      </c>
      <c r="H1368">
        <v>0</v>
      </c>
      <c r="I1368" s="2">
        <v>0</v>
      </c>
      <c r="J1368" s="2">
        <v>0</v>
      </c>
      <c r="K1368" s="2">
        <v>0</v>
      </c>
      <c r="L1368" s="2">
        <v>0</v>
      </c>
      <c r="M1368">
        <v>0</v>
      </c>
      <c r="N1368">
        <v>0</v>
      </c>
      <c r="O1368" s="2">
        <v>0</v>
      </c>
      <c r="P1368" s="2">
        <v>0</v>
      </c>
      <c r="Q1368">
        <v>4</v>
      </c>
      <c r="R1368" s="2">
        <v>0</v>
      </c>
      <c r="S1368" s="2">
        <v>1</v>
      </c>
      <c r="T1368" t="s">
        <v>763</v>
      </c>
      <c r="U1368" s="2">
        <v>15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1</v>
      </c>
    </row>
    <row r="1369" spans="1:28" hidden="1" x14ac:dyDescent="0.25">
      <c r="A1369" t="s">
        <v>53</v>
      </c>
      <c r="B1369" t="s">
        <v>38</v>
      </c>
      <c r="C1369" t="s">
        <v>54</v>
      </c>
      <c r="D1369" s="9">
        <v>45921</v>
      </c>
      <c r="E1369" s="9">
        <v>45921</v>
      </c>
      <c r="F1369" s="2">
        <v>61</v>
      </c>
      <c r="G1369" s="3" t="s">
        <v>23</v>
      </c>
      <c r="H1369">
        <v>0</v>
      </c>
      <c r="I1369" s="2">
        <v>0</v>
      </c>
      <c r="J1369" s="2">
        <v>0</v>
      </c>
      <c r="K1369" s="2">
        <v>0</v>
      </c>
      <c r="L1369" s="2">
        <v>0</v>
      </c>
      <c r="M1369">
        <v>0</v>
      </c>
      <c r="N1369">
        <v>0</v>
      </c>
      <c r="O1369" s="2">
        <v>0</v>
      </c>
      <c r="P1369" s="2">
        <v>1</v>
      </c>
      <c r="Q1369">
        <v>1</v>
      </c>
      <c r="R1369" s="2">
        <v>0</v>
      </c>
      <c r="S1369" s="2">
        <v>1</v>
      </c>
      <c r="T1369" t="s">
        <v>764</v>
      </c>
      <c r="U1369" s="2">
        <v>20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</row>
    <row r="1370" spans="1:28" hidden="1" x14ac:dyDescent="0.25">
      <c r="A1370" t="s">
        <v>20</v>
      </c>
      <c r="B1370" t="s">
        <v>21</v>
      </c>
      <c r="C1370" t="s">
        <v>22</v>
      </c>
      <c r="D1370" s="9">
        <v>45921</v>
      </c>
      <c r="E1370" s="9">
        <v>45921</v>
      </c>
      <c r="F1370" s="2">
        <v>22</v>
      </c>
      <c r="G1370" s="3" t="s">
        <v>23</v>
      </c>
      <c r="H1370">
        <v>0</v>
      </c>
      <c r="I1370" s="2">
        <v>0</v>
      </c>
      <c r="J1370" s="2">
        <v>0</v>
      </c>
      <c r="K1370" s="2">
        <v>0</v>
      </c>
      <c r="L1370" s="2">
        <v>0</v>
      </c>
      <c r="M1370">
        <v>0</v>
      </c>
      <c r="N1370">
        <v>0</v>
      </c>
      <c r="O1370" s="2">
        <v>0</v>
      </c>
      <c r="P1370" s="2">
        <v>1</v>
      </c>
      <c r="Q1370">
        <v>0</v>
      </c>
      <c r="R1370" s="2">
        <v>0</v>
      </c>
      <c r="S1370" s="2">
        <v>1</v>
      </c>
      <c r="T1370" t="s">
        <v>765</v>
      </c>
      <c r="U1370" s="2">
        <v>20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</row>
    <row r="1371" spans="1:28" hidden="1" x14ac:dyDescent="0.25">
      <c r="A1371" t="s">
        <v>29</v>
      </c>
      <c r="B1371" t="s">
        <v>30</v>
      </c>
      <c r="C1371" t="s">
        <v>31</v>
      </c>
      <c r="D1371" s="9">
        <v>45921</v>
      </c>
      <c r="E1371" s="9">
        <v>45921</v>
      </c>
      <c r="F1371" s="2">
        <v>36</v>
      </c>
      <c r="G1371" s="3" t="s">
        <v>23</v>
      </c>
      <c r="H1371">
        <v>0</v>
      </c>
      <c r="I1371" s="2">
        <v>0</v>
      </c>
      <c r="J1371" s="2">
        <v>0</v>
      </c>
      <c r="K1371" s="2">
        <v>0</v>
      </c>
      <c r="L1371" s="2">
        <v>0</v>
      </c>
      <c r="M1371">
        <v>0</v>
      </c>
      <c r="N1371">
        <v>0</v>
      </c>
      <c r="O1371" s="2">
        <v>0</v>
      </c>
      <c r="P1371" s="2">
        <v>1</v>
      </c>
      <c r="Q1371">
        <v>3</v>
      </c>
      <c r="R1371" s="2">
        <v>0</v>
      </c>
      <c r="S1371" s="2">
        <v>1</v>
      </c>
      <c r="T1371" t="s">
        <v>766</v>
      </c>
      <c r="U1371" s="2">
        <v>16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</row>
    <row r="1372" spans="1:28" hidden="1" x14ac:dyDescent="0.25">
      <c r="A1372" t="s">
        <v>568</v>
      </c>
      <c r="B1372" t="s">
        <v>284</v>
      </c>
      <c r="C1372" t="s">
        <v>670</v>
      </c>
      <c r="D1372" s="9">
        <v>45921</v>
      </c>
      <c r="E1372" s="9">
        <v>45921</v>
      </c>
      <c r="F1372" s="2">
        <v>20</v>
      </c>
      <c r="G1372" s="3" t="s">
        <v>23</v>
      </c>
      <c r="H1372">
        <v>0</v>
      </c>
      <c r="I1372" s="2">
        <v>0</v>
      </c>
      <c r="J1372" s="2">
        <v>0</v>
      </c>
      <c r="K1372" s="2">
        <v>0</v>
      </c>
      <c r="L1372" s="2">
        <v>0</v>
      </c>
      <c r="M1372">
        <v>0</v>
      </c>
      <c r="N1372">
        <v>0</v>
      </c>
      <c r="O1372" s="2">
        <v>0</v>
      </c>
      <c r="P1372" s="2">
        <v>1</v>
      </c>
      <c r="Q1372">
        <v>0</v>
      </c>
      <c r="R1372" s="2">
        <v>0</v>
      </c>
      <c r="S1372" s="2">
        <v>1</v>
      </c>
      <c r="T1372" t="s">
        <v>767</v>
      </c>
      <c r="U1372" s="2">
        <v>11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</row>
    <row r="1373" spans="1:28" hidden="1" x14ac:dyDescent="0.25">
      <c r="A1373" t="s">
        <v>25</v>
      </c>
      <c r="B1373" t="s">
        <v>26</v>
      </c>
      <c r="C1373" t="s">
        <v>27</v>
      </c>
      <c r="D1373" s="9">
        <v>45921</v>
      </c>
      <c r="E1373" s="9">
        <v>45921</v>
      </c>
      <c r="F1373" s="2">
        <v>27</v>
      </c>
      <c r="G1373" s="3" t="s">
        <v>378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651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</row>
    <row r="1374" spans="1:28" hidden="1" x14ac:dyDescent="0.25">
      <c r="A1374" t="s">
        <v>33</v>
      </c>
      <c r="B1374" t="s">
        <v>34</v>
      </c>
      <c r="C1374" t="s">
        <v>35</v>
      </c>
      <c r="D1374" s="9">
        <v>45921</v>
      </c>
      <c r="E1374" s="9">
        <v>45921</v>
      </c>
      <c r="F1374" s="2">
        <v>36</v>
      </c>
      <c r="G1374" s="3" t="s">
        <v>378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 t="s">
        <v>651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</row>
    <row r="1375" spans="1:28" hidden="1" x14ac:dyDescent="0.25">
      <c r="A1375" t="s">
        <v>37</v>
      </c>
      <c r="B1375" t="s">
        <v>57</v>
      </c>
      <c r="C1375" t="s">
        <v>39</v>
      </c>
      <c r="D1375" s="9">
        <v>45921</v>
      </c>
      <c r="E1375" s="9">
        <v>45921</v>
      </c>
      <c r="F1375" s="2">
        <v>69</v>
      </c>
      <c r="G1375" s="3" t="s">
        <v>378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 t="s">
        <v>651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</row>
    <row r="1376" spans="1:28" hidden="1" x14ac:dyDescent="0.25">
      <c r="A1376" t="s">
        <v>47</v>
      </c>
      <c r="B1376" t="s">
        <v>52</v>
      </c>
      <c r="C1376" t="s">
        <v>212</v>
      </c>
      <c r="D1376" s="9">
        <v>45921</v>
      </c>
      <c r="E1376" s="9">
        <v>45921</v>
      </c>
      <c r="F1376" s="2">
        <v>0</v>
      </c>
      <c r="G1376" s="3" t="s">
        <v>378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377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</row>
    <row r="1377" spans="1:28" hidden="1" x14ac:dyDescent="0.25">
      <c r="A1377" t="s">
        <v>56</v>
      </c>
      <c r="B1377" t="s">
        <v>47</v>
      </c>
      <c r="C1377" t="s">
        <v>64</v>
      </c>
      <c r="D1377" s="1">
        <v>45922</v>
      </c>
      <c r="E1377" s="1">
        <v>45922</v>
      </c>
      <c r="F1377" s="2">
        <v>44</v>
      </c>
      <c r="G1377" s="3" t="s">
        <v>23</v>
      </c>
      <c r="H1377">
        <v>0</v>
      </c>
      <c r="I1377" s="2">
        <v>0</v>
      </c>
      <c r="J1377" s="2">
        <v>0</v>
      </c>
      <c r="K1377" s="2">
        <v>0</v>
      </c>
      <c r="L1377" s="2">
        <v>0</v>
      </c>
      <c r="M1377">
        <v>0</v>
      </c>
      <c r="N1377">
        <v>0</v>
      </c>
      <c r="O1377" s="2">
        <v>0</v>
      </c>
      <c r="P1377" s="2">
        <v>0</v>
      </c>
      <c r="Q1377">
        <v>0</v>
      </c>
      <c r="R1377" s="2">
        <v>0</v>
      </c>
      <c r="S1377" s="2">
        <v>0</v>
      </c>
      <c r="T1377" t="s">
        <v>768</v>
      </c>
      <c r="U1377" s="2">
        <v>0</v>
      </c>
      <c r="V1377">
        <v>84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</row>
    <row r="1378" spans="1:28" hidden="1" x14ac:dyDescent="0.25">
      <c r="A1378" t="s">
        <v>53</v>
      </c>
      <c r="B1378" t="s">
        <v>47</v>
      </c>
      <c r="C1378" t="s">
        <v>54</v>
      </c>
      <c r="D1378" s="1">
        <v>45922</v>
      </c>
      <c r="E1378" s="1">
        <v>45922</v>
      </c>
      <c r="F1378" s="2">
        <v>51</v>
      </c>
      <c r="G1378" s="3" t="s">
        <v>23</v>
      </c>
      <c r="H1378">
        <v>0</v>
      </c>
      <c r="I1378" s="2">
        <v>0</v>
      </c>
      <c r="J1378" s="2">
        <v>0</v>
      </c>
      <c r="K1378" s="2">
        <v>0</v>
      </c>
      <c r="L1378" s="2">
        <v>0</v>
      </c>
      <c r="M1378">
        <v>1</v>
      </c>
      <c r="N1378">
        <v>0</v>
      </c>
      <c r="O1378" s="2">
        <v>0</v>
      </c>
      <c r="P1378" s="2">
        <v>0</v>
      </c>
      <c r="Q1378">
        <v>0</v>
      </c>
      <c r="R1378" s="2">
        <v>0</v>
      </c>
      <c r="S1378" s="2">
        <v>0</v>
      </c>
      <c r="T1378" t="s">
        <v>769</v>
      </c>
      <c r="U1378" s="2">
        <v>0</v>
      </c>
      <c r="V1378" s="2">
        <v>61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</row>
    <row r="1379" spans="1:28" hidden="1" x14ac:dyDescent="0.25">
      <c r="A1379" t="s">
        <v>730</v>
      </c>
      <c r="B1379" t="s">
        <v>47</v>
      </c>
      <c r="C1379" t="s">
        <v>54</v>
      </c>
      <c r="D1379" s="1">
        <v>45922</v>
      </c>
      <c r="E1379" s="1">
        <v>45922</v>
      </c>
      <c r="F1379" s="2">
        <v>51</v>
      </c>
      <c r="G1379" s="3" t="s">
        <v>23</v>
      </c>
      <c r="H1379">
        <v>0</v>
      </c>
      <c r="I1379" s="2">
        <v>0</v>
      </c>
      <c r="J1379" s="2">
        <v>0</v>
      </c>
      <c r="K1379" s="2">
        <v>0</v>
      </c>
      <c r="L1379" s="2">
        <v>0</v>
      </c>
      <c r="M1379">
        <v>0</v>
      </c>
      <c r="N1379">
        <v>0</v>
      </c>
      <c r="O1379" s="2">
        <v>0</v>
      </c>
      <c r="P1379" s="2">
        <v>0</v>
      </c>
      <c r="Q1379">
        <v>0</v>
      </c>
      <c r="R1379" s="2">
        <v>0</v>
      </c>
      <c r="S1379" s="2">
        <v>0</v>
      </c>
      <c r="T1379" t="s">
        <v>769</v>
      </c>
      <c r="U1379" s="2">
        <v>0</v>
      </c>
      <c r="V1379" s="2">
        <v>61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</row>
    <row r="1380" spans="1:28" hidden="1" x14ac:dyDescent="0.25">
      <c r="A1380" t="s">
        <v>20</v>
      </c>
      <c r="B1380" t="s">
        <v>21</v>
      </c>
      <c r="C1380" t="s">
        <v>22</v>
      </c>
      <c r="D1380" s="1">
        <v>45922</v>
      </c>
      <c r="E1380" s="1">
        <v>45922</v>
      </c>
      <c r="F1380" s="2">
        <v>80</v>
      </c>
      <c r="G1380" s="3" t="s">
        <v>23</v>
      </c>
      <c r="H1380">
        <v>0</v>
      </c>
      <c r="I1380" s="2">
        <v>0</v>
      </c>
      <c r="J1380" s="2">
        <v>1</v>
      </c>
      <c r="K1380" s="2">
        <v>0</v>
      </c>
      <c r="L1380" s="2">
        <v>0</v>
      </c>
      <c r="M1380">
        <v>0</v>
      </c>
      <c r="N1380">
        <v>0</v>
      </c>
      <c r="O1380" s="2">
        <v>0</v>
      </c>
      <c r="P1380" s="2">
        <v>0</v>
      </c>
      <c r="Q1380">
        <v>0</v>
      </c>
      <c r="R1380" s="2">
        <v>0</v>
      </c>
      <c r="S1380" s="2">
        <v>0</v>
      </c>
      <c r="T1380" t="s">
        <v>770</v>
      </c>
      <c r="U1380" s="2">
        <v>0</v>
      </c>
      <c r="V1380" s="2">
        <v>74</v>
      </c>
      <c r="W1380" s="2">
        <v>19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</row>
    <row r="1381" spans="1:28" hidden="1" x14ac:dyDescent="0.25">
      <c r="A1381" t="s">
        <v>25</v>
      </c>
      <c r="B1381" t="s">
        <v>26</v>
      </c>
      <c r="C1381" t="s">
        <v>27</v>
      </c>
      <c r="D1381" s="1">
        <v>45922</v>
      </c>
      <c r="E1381" s="1">
        <v>45922</v>
      </c>
      <c r="F1381" s="2">
        <v>16</v>
      </c>
      <c r="G1381" s="3" t="s">
        <v>23</v>
      </c>
      <c r="H1381">
        <v>0</v>
      </c>
      <c r="I1381" s="2">
        <v>0</v>
      </c>
      <c r="J1381" s="2">
        <v>0</v>
      </c>
      <c r="K1381" s="2">
        <v>0</v>
      </c>
      <c r="L1381" s="2">
        <v>0</v>
      </c>
      <c r="M1381">
        <v>0</v>
      </c>
      <c r="N1381">
        <v>0</v>
      </c>
      <c r="O1381" s="2">
        <v>0</v>
      </c>
      <c r="P1381" s="2">
        <v>0</v>
      </c>
      <c r="Q1381">
        <v>0</v>
      </c>
      <c r="R1381" s="2">
        <v>0</v>
      </c>
      <c r="S1381" s="2">
        <v>0</v>
      </c>
      <c r="T1381" t="s">
        <v>771</v>
      </c>
      <c r="U1381" s="2">
        <v>0</v>
      </c>
      <c r="V1381" s="2">
        <v>58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</row>
    <row r="1382" spans="1:28" hidden="1" x14ac:dyDescent="0.25">
      <c r="A1382" t="s">
        <v>29</v>
      </c>
      <c r="B1382" t="s">
        <v>30</v>
      </c>
      <c r="C1382" t="s">
        <v>31</v>
      </c>
      <c r="D1382" s="1">
        <v>45922</v>
      </c>
      <c r="E1382" s="1">
        <v>45922</v>
      </c>
      <c r="F1382" s="2">
        <v>18</v>
      </c>
      <c r="G1382" s="3" t="s">
        <v>23</v>
      </c>
      <c r="H1382">
        <v>0</v>
      </c>
      <c r="I1382" s="2">
        <v>0</v>
      </c>
      <c r="J1382" s="2">
        <v>1</v>
      </c>
      <c r="K1382" s="2">
        <v>0</v>
      </c>
      <c r="L1382" s="2">
        <v>0</v>
      </c>
      <c r="M1382">
        <v>1</v>
      </c>
      <c r="N1382">
        <v>0</v>
      </c>
      <c r="O1382" s="2">
        <v>0</v>
      </c>
      <c r="P1382" s="2">
        <v>0</v>
      </c>
      <c r="Q1382">
        <v>0</v>
      </c>
      <c r="R1382" s="2">
        <v>0</v>
      </c>
      <c r="S1382" s="2">
        <v>0</v>
      </c>
      <c r="T1382" t="s">
        <v>772</v>
      </c>
      <c r="U1382" s="2">
        <v>0</v>
      </c>
      <c r="V1382" s="2">
        <v>86</v>
      </c>
      <c r="W1382" s="2">
        <v>8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</row>
    <row r="1383" spans="1:28" hidden="1" x14ac:dyDescent="0.25">
      <c r="A1383" t="s">
        <v>568</v>
      </c>
      <c r="B1383" t="s">
        <v>773</v>
      </c>
      <c r="C1383" t="s">
        <v>670</v>
      </c>
      <c r="D1383" s="1">
        <v>45922</v>
      </c>
      <c r="E1383" s="1">
        <v>45922</v>
      </c>
      <c r="F1383" s="13">
        <v>1268</v>
      </c>
      <c r="G1383" s="3" t="s">
        <v>23</v>
      </c>
      <c r="H1383">
        <v>0</v>
      </c>
      <c r="I1383" s="2">
        <v>0</v>
      </c>
      <c r="J1383" s="2">
        <v>0</v>
      </c>
      <c r="K1383" s="2">
        <v>0</v>
      </c>
      <c r="L1383" s="2">
        <v>0</v>
      </c>
      <c r="M1383">
        <v>0</v>
      </c>
      <c r="N1383">
        <v>0</v>
      </c>
      <c r="O1383" s="2">
        <v>0</v>
      </c>
      <c r="P1383" s="2">
        <v>0</v>
      </c>
      <c r="Q1383">
        <v>0</v>
      </c>
      <c r="R1383" s="2">
        <v>0</v>
      </c>
      <c r="S1383" s="2">
        <v>0</v>
      </c>
      <c r="T1383" t="s">
        <v>774</v>
      </c>
      <c r="U1383" s="2">
        <v>0</v>
      </c>
      <c r="V1383" s="2">
        <v>20</v>
      </c>
      <c r="W1383" s="2">
        <v>13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</row>
    <row r="1384" spans="1:28" hidden="1" x14ac:dyDescent="0.25">
      <c r="A1384" t="s">
        <v>33</v>
      </c>
      <c r="B1384" t="s">
        <v>34</v>
      </c>
      <c r="C1384" t="s">
        <v>35</v>
      </c>
      <c r="D1384" s="1">
        <v>45922</v>
      </c>
      <c r="E1384" s="1">
        <v>45922</v>
      </c>
      <c r="F1384" s="2">
        <v>29</v>
      </c>
      <c r="G1384" s="3" t="s">
        <v>23</v>
      </c>
      <c r="H1384">
        <v>0</v>
      </c>
      <c r="I1384" s="2">
        <v>0</v>
      </c>
      <c r="J1384" s="2">
        <v>0</v>
      </c>
      <c r="K1384" s="2">
        <v>0</v>
      </c>
      <c r="L1384" s="2">
        <v>0</v>
      </c>
      <c r="M1384">
        <v>0</v>
      </c>
      <c r="N1384">
        <v>0</v>
      </c>
      <c r="O1384" s="2">
        <v>0</v>
      </c>
      <c r="P1384" s="2">
        <v>0</v>
      </c>
      <c r="Q1384">
        <v>0</v>
      </c>
      <c r="R1384" s="2">
        <v>0</v>
      </c>
      <c r="S1384" s="2">
        <v>0</v>
      </c>
      <c r="T1384" t="s">
        <v>775</v>
      </c>
      <c r="U1384" s="2">
        <v>0</v>
      </c>
      <c r="V1384" s="2">
        <v>60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</row>
    <row r="1385" spans="1:28" hidden="1" x14ac:dyDescent="0.25">
      <c r="A1385" t="s">
        <v>37</v>
      </c>
      <c r="B1385" t="s">
        <v>57</v>
      </c>
      <c r="C1385" t="s">
        <v>39</v>
      </c>
      <c r="D1385" s="1">
        <v>45922</v>
      </c>
      <c r="E1385" s="1">
        <v>45922</v>
      </c>
      <c r="F1385" s="2">
        <v>20</v>
      </c>
      <c r="G1385" s="3" t="s">
        <v>23</v>
      </c>
      <c r="H1385">
        <v>0</v>
      </c>
      <c r="I1385" s="2">
        <v>0</v>
      </c>
      <c r="J1385" s="2">
        <v>0</v>
      </c>
      <c r="K1385" s="2">
        <v>0</v>
      </c>
      <c r="L1385" s="2">
        <v>0</v>
      </c>
      <c r="M1385">
        <v>0</v>
      </c>
      <c r="N1385">
        <v>0</v>
      </c>
      <c r="O1385" s="2">
        <v>0</v>
      </c>
      <c r="P1385" s="2">
        <v>0</v>
      </c>
      <c r="Q1385">
        <v>0</v>
      </c>
      <c r="R1385" s="2">
        <v>0</v>
      </c>
      <c r="S1385" s="2">
        <v>0</v>
      </c>
      <c r="T1385" t="s">
        <v>776</v>
      </c>
      <c r="U1385" s="2">
        <v>0</v>
      </c>
      <c r="V1385" s="2">
        <v>76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</row>
    <row r="1386" spans="1:28" hidden="1" x14ac:dyDescent="0.25">
      <c r="A1386" t="s">
        <v>47</v>
      </c>
      <c r="B1386" t="s">
        <v>38</v>
      </c>
      <c r="C1386" t="s">
        <v>212</v>
      </c>
      <c r="D1386" s="1">
        <v>45922</v>
      </c>
      <c r="E1386" s="1">
        <v>45922</v>
      </c>
      <c r="F1386" s="2">
        <v>0</v>
      </c>
      <c r="G1386" s="3" t="s">
        <v>48</v>
      </c>
      <c r="H1386">
        <v>0</v>
      </c>
      <c r="I1386" s="2">
        <v>0</v>
      </c>
      <c r="J1386" s="2">
        <v>0</v>
      </c>
      <c r="K1386" s="2">
        <v>0</v>
      </c>
      <c r="L1386" s="2">
        <v>0</v>
      </c>
      <c r="M1386">
        <v>0</v>
      </c>
      <c r="N1386">
        <v>0</v>
      </c>
      <c r="O1386" s="2">
        <v>0</v>
      </c>
      <c r="P1386" s="2">
        <v>0</v>
      </c>
      <c r="Q1386">
        <v>0</v>
      </c>
      <c r="R1386" s="2">
        <v>0</v>
      </c>
      <c r="S1386" s="2">
        <v>0</v>
      </c>
      <c r="T1386" t="s">
        <v>377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</row>
    <row r="1387" spans="1:28" hidden="1" x14ac:dyDescent="0.25">
      <c r="A1387" t="s">
        <v>47</v>
      </c>
      <c r="B1387" t="s">
        <v>52</v>
      </c>
      <c r="C1387" t="s">
        <v>212</v>
      </c>
      <c r="D1387" s="1">
        <v>45922</v>
      </c>
      <c r="E1387" s="1">
        <v>45922</v>
      </c>
      <c r="F1387" s="2">
        <v>0</v>
      </c>
      <c r="G1387" s="3" t="s">
        <v>572</v>
      </c>
      <c r="H1387">
        <v>0</v>
      </c>
      <c r="I1387" s="2">
        <v>0</v>
      </c>
      <c r="J1387" s="2">
        <v>0</v>
      </c>
      <c r="K1387" s="2">
        <v>0</v>
      </c>
      <c r="L1387" s="2">
        <v>0</v>
      </c>
      <c r="M1387">
        <v>0</v>
      </c>
      <c r="N1387">
        <v>0</v>
      </c>
      <c r="O1387" s="2">
        <v>0</v>
      </c>
      <c r="P1387" s="2">
        <v>0</v>
      </c>
      <c r="Q1387">
        <v>0</v>
      </c>
      <c r="R1387" s="2">
        <v>0</v>
      </c>
      <c r="S1387" s="2">
        <v>0</v>
      </c>
      <c r="T1387" t="s">
        <v>377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</row>
    <row r="1388" spans="1:28" hidden="1" x14ac:dyDescent="0.25">
      <c r="A1388" t="s">
        <v>56</v>
      </c>
      <c r="B1388" t="s">
        <v>47</v>
      </c>
      <c r="C1388" t="s">
        <v>64</v>
      </c>
      <c r="D1388" s="1">
        <v>45923</v>
      </c>
      <c r="E1388" s="1">
        <v>45923</v>
      </c>
      <c r="F1388" s="2">
        <v>15</v>
      </c>
      <c r="G1388" s="3" t="s">
        <v>23</v>
      </c>
      <c r="H1388">
        <v>39</v>
      </c>
      <c r="I1388" s="2">
        <v>0</v>
      </c>
      <c r="J1388" s="2">
        <v>0</v>
      </c>
      <c r="K1388" s="2">
        <v>1</v>
      </c>
      <c r="L1388" s="2">
        <v>0</v>
      </c>
      <c r="M1388">
        <v>1</v>
      </c>
      <c r="N1388">
        <v>0</v>
      </c>
      <c r="O1388" s="2">
        <v>0</v>
      </c>
      <c r="P1388" s="2">
        <v>0</v>
      </c>
      <c r="Q1388">
        <v>0</v>
      </c>
      <c r="R1388" s="2">
        <v>0</v>
      </c>
      <c r="S1388" s="2">
        <v>0</v>
      </c>
      <c r="T1388" t="s">
        <v>777</v>
      </c>
      <c r="U1388" s="2">
        <v>0</v>
      </c>
      <c r="V1388" s="2">
        <v>36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</row>
    <row r="1389" spans="1:28" hidden="1" x14ac:dyDescent="0.25">
      <c r="A1389" t="s">
        <v>730</v>
      </c>
      <c r="B1389" t="s">
        <v>47</v>
      </c>
      <c r="C1389" t="s">
        <v>64</v>
      </c>
      <c r="D1389" s="1">
        <v>45923</v>
      </c>
      <c r="E1389" s="1">
        <v>45923</v>
      </c>
      <c r="F1389" s="2">
        <v>15</v>
      </c>
      <c r="G1389" s="3" t="s">
        <v>23</v>
      </c>
      <c r="H1389">
        <v>39</v>
      </c>
      <c r="I1389" s="2">
        <v>0</v>
      </c>
      <c r="J1389" s="2">
        <v>0</v>
      </c>
      <c r="K1389" s="2">
        <v>1</v>
      </c>
      <c r="L1389" s="2">
        <v>0</v>
      </c>
      <c r="M1389">
        <v>1</v>
      </c>
      <c r="N1389">
        <v>0</v>
      </c>
      <c r="O1389" s="2">
        <v>0</v>
      </c>
      <c r="P1389" s="2">
        <v>0</v>
      </c>
      <c r="Q1389">
        <v>0</v>
      </c>
      <c r="R1389" s="2">
        <v>0</v>
      </c>
      <c r="S1389" s="2">
        <v>0</v>
      </c>
      <c r="T1389" t="s">
        <v>777</v>
      </c>
      <c r="U1389" s="2">
        <v>0</v>
      </c>
      <c r="V1389" s="2">
        <v>36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</row>
    <row r="1390" spans="1:28" hidden="1" x14ac:dyDescent="0.25">
      <c r="A1390" t="s">
        <v>20</v>
      </c>
      <c r="B1390" t="s">
        <v>21</v>
      </c>
      <c r="C1390" t="s">
        <v>22</v>
      </c>
      <c r="D1390" s="1">
        <v>45923</v>
      </c>
      <c r="E1390" s="1">
        <v>45923</v>
      </c>
      <c r="F1390" s="2">
        <v>44</v>
      </c>
      <c r="G1390" s="3" t="s">
        <v>23</v>
      </c>
      <c r="H1390">
        <v>0</v>
      </c>
      <c r="I1390" s="2">
        <v>0</v>
      </c>
      <c r="J1390" s="2">
        <v>0</v>
      </c>
      <c r="K1390" s="2">
        <v>0</v>
      </c>
      <c r="L1390" s="2">
        <v>0</v>
      </c>
      <c r="M1390">
        <v>0</v>
      </c>
      <c r="N1390">
        <v>0</v>
      </c>
      <c r="O1390" s="2">
        <v>0</v>
      </c>
      <c r="P1390" s="2">
        <v>0</v>
      </c>
      <c r="Q1390">
        <v>0</v>
      </c>
      <c r="R1390" s="2">
        <v>0</v>
      </c>
      <c r="S1390" s="2">
        <v>0</v>
      </c>
      <c r="T1390" t="s">
        <v>778</v>
      </c>
      <c r="U1390" s="2">
        <v>0</v>
      </c>
      <c r="V1390" s="2">
        <v>54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</row>
    <row r="1391" spans="1:28" hidden="1" x14ac:dyDescent="0.25">
      <c r="A1391" t="s">
        <v>25</v>
      </c>
      <c r="B1391" t="s">
        <v>26</v>
      </c>
      <c r="C1391" t="s">
        <v>27</v>
      </c>
      <c r="D1391" s="1">
        <v>45923</v>
      </c>
      <c r="E1391" s="1">
        <v>45923</v>
      </c>
      <c r="F1391" s="2">
        <v>24</v>
      </c>
      <c r="G1391" s="3" t="s">
        <v>23</v>
      </c>
      <c r="H1391">
        <v>20</v>
      </c>
      <c r="I1391" s="2">
        <v>0</v>
      </c>
      <c r="J1391" s="2">
        <v>0</v>
      </c>
      <c r="K1391" s="2">
        <v>1</v>
      </c>
      <c r="L1391" s="2">
        <v>0</v>
      </c>
      <c r="M1391">
        <v>0</v>
      </c>
      <c r="N1391">
        <v>0</v>
      </c>
      <c r="O1391" s="2">
        <v>0</v>
      </c>
      <c r="P1391" s="2">
        <v>0</v>
      </c>
      <c r="Q1391">
        <v>0</v>
      </c>
      <c r="R1391" s="2">
        <v>0</v>
      </c>
      <c r="S1391" s="2">
        <v>0</v>
      </c>
      <c r="T1391" t="s">
        <v>779</v>
      </c>
      <c r="U1391" s="2">
        <v>0</v>
      </c>
      <c r="V1391" s="2">
        <v>14</v>
      </c>
      <c r="W1391" s="2">
        <v>6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</row>
    <row r="1392" spans="1:28" hidden="1" x14ac:dyDescent="0.25">
      <c r="A1392" t="s">
        <v>29</v>
      </c>
      <c r="B1392" t="s">
        <v>30</v>
      </c>
      <c r="C1392" t="s">
        <v>31</v>
      </c>
      <c r="D1392" s="1">
        <v>45923</v>
      </c>
      <c r="E1392" s="1">
        <v>45923</v>
      </c>
      <c r="F1392" s="14">
        <v>12686</v>
      </c>
      <c r="G1392" s="3" t="s">
        <v>23</v>
      </c>
      <c r="H1392">
        <v>32</v>
      </c>
      <c r="I1392" s="2">
        <v>0</v>
      </c>
      <c r="J1392" s="2">
        <v>0</v>
      </c>
      <c r="K1392" s="2">
        <v>1</v>
      </c>
      <c r="L1392" s="2">
        <v>0</v>
      </c>
      <c r="M1392">
        <v>0</v>
      </c>
      <c r="N1392">
        <v>0</v>
      </c>
      <c r="O1392" s="2">
        <v>0</v>
      </c>
      <c r="P1392" s="2">
        <v>0</v>
      </c>
      <c r="Q1392">
        <v>0</v>
      </c>
      <c r="R1392" s="2">
        <v>0</v>
      </c>
      <c r="S1392" s="2">
        <v>0</v>
      </c>
      <c r="T1392" t="s">
        <v>780</v>
      </c>
      <c r="U1392" s="2">
        <v>0</v>
      </c>
      <c r="V1392" s="2">
        <v>30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</row>
    <row r="1393" spans="1:28" hidden="1" x14ac:dyDescent="0.25">
      <c r="A1393" t="s">
        <v>568</v>
      </c>
      <c r="B1393" t="s">
        <v>373</v>
      </c>
      <c r="C1393" t="s">
        <v>670</v>
      </c>
      <c r="D1393" s="1">
        <v>45923</v>
      </c>
      <c r="E1393" s="1">
        <v>45923</v>
      </c>
      <c r="F1393" s="2">
        <v>296</v>
      </c>
      <c r="G1393" s="3" t="s">
        <v>23</v>
      </c>
      <c r="H1393">
        <v>0</v>
      </c>
      <c r="I1393" s="2">
        <v>0</v>
      </c>
      <c r="J1393" s="2">
        <v>0</v>
      </c>
      <c r="K1393" s="2">
        <v>0</v>
      </c>
      <c r="L1393" s="2">
        <v>0</v>
      </c>
      <c r="M1393">
        <v>0</v>
      </c>
      <c r="N1393">
        <v>0</v>
      </c>
      <c r="O1393" s="2">
        <v>0</v>
      </c>
      <c r="P1393" s="2">
        <v>0</v>
      </c>
      <c r="Q1393">
        <v>1</v>
      </c>
      <c r="R1393" s="2">
        <v>0</v>
      </c>
      <c r="S1393" s="2">
        <v>0</v>
      </c>
      <c r="T1393" t="s">
        <v>781</v>
      </c>
      <c r="U1393" s="2">
        <v>0</v>
      </c>
      <c r="V1393" s="2">
        <v>14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</row>
    <row r="1394" spans="1:28" hidden="1" x14ac:dyDescent="0.25">
      <c r="A1394" t="s">
        <v>33</v>
      </c>
      <c r="B1394" t="s">
        <v>34</v>
      </c>
      <c r="C1394" t="s">
        <v>35</v>
      </c>
      <c r="D1394" s="1">
        <v>45923</v>
      </c>
      <c r="E1394" s="1">
        <v>45923</v>
      </c>
      <c r="F1394" s="2">
        <v>27</v>
      </c>
      <c r="G1394" s="3" t="s">
        <v>23</v>
      </c>
      <c r="H1394">
        <v>21</v>
      </c>
      <c r="I1394" s="2">
        <v>0</v>
      </c>
      <c r="J1394" s="2">
        <v>0</v>
      </c>
      <c r="K1394" s="2">
        <v>1</v>
      </c>
      <c r="L1394" s="2">
        <v>0</v>
      </c>
      <c r="M1394">
        <v>1</v>
      </c>
      <c r="N1394">
        <v>0</v>
      </c>
      <c r="O1394" s="2">
        <v>0</v>
      </c>
      <c r="P1394" s="2">
        <v>0</v>
      </c>
      <c r="Q1394">
        <v>0</v>
      </c>
      <c r="R1394" s="2">
        <v>0</v>
      </c>
      <c r="S1394" s="2">
        <v>0</v>
      </c>
      <c r="T1394" t="s">
        <v>782</v>
      </c>
      <c r="U1394" s="2">
        <v>0</v>
      </c>
      <c r="V1394" s="2">
        <v>20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</row>
    <row r="1395" spans="1:28" hidden="1" x14ac:dyDescent="0.25">
      <c r="A1395" t="s">
        <v>37</v>
      </c>
      <c r="B1395" t="s">
        <v>57</v>
      </c>
      <c r="C1395" t="s">
        <v>39</v>
      </c>
      <c r="D1395" s="1">
        <v>45923</v>
      </c>
      <c r="E1395" s="1">
        <v>45923</v>
      </c>
      <c r="F1395" s="2">
        <v>127</v>
      </c>
      <c r="G1395" s="3" t="s">
        <v>23</v>
      </c>
      <c r="H1395">
        <v>14</v>
      </c>
      <c r="I1395" s="2">
        <v>0</v>
      </c>
      <c r="J1395" s="2">
        <v>0</v>
      </c>
      <c r="K1395" s="2">
        <v>0</v>
      </c>
      <c r="L1395" s="2">
        <v>1</v>
      </c>
      <c r="M1395">
        <v>0</v>
      </c>
      <c r="N1395">
        <v>0</v>
      </c>
      <c r="O1395" s="2">
        <v>0</v>
      </c>
      <c r="P1395" s="2">
        <v>0</v>
      </c>
      <c r="Q1395">
        <v>0</v>
      </c>
      <c r="R1395" s="2">
        <v>0</v>
      </c>
      <c r="S1395" s="2">
        <v>0</v>
      </c>
      <c r="T1395" t="s">
        <v>783</v>
      </c>
      <c r="U1395" s="2">
        <v>0</v>
      </c>
      <c r="V1395" s="2">
        <v>38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</row>
    <row r="1396" spans="1:28" hidden="1" x14ac:dyDescent="0.25">
      <c r="A1396" t="s">
        <v>53</v>
      </c>
      <c r="B1396" t="s">
        <v>38</v>
      </c>
      <c r="C1396" t="s">
        <v>39</v>
      </c>
      <c r="D1396" s="1">
        <v>45923</v>
      </c>
      <c r="E1396" s="1">
        <v>45923</v>
      </c>
      <c r="F1396" s="2">
        <v>127</v>
      </c>
      <c r="G1396" s="3" t="s">
        <v>23</v>
      </c>
      <c r="H1396">
        <v>7</v>
      </c>
      <c r="I1396" s="2">
        <v>0</v>
      </c>
      <c r="J1396" s="2">
        <v>0</v>
      </c>
      <c r="K1396" s="2">
        <v>0</v>
      </c>
      <c r="L1396" s="2">
        <v>0</v>
      </c>
      <c r="M1396">
        <v>0</v>
      </c>
      <c r="N1396">
        <v>0</v>
      </c>
      <c r="O1396" s="2">
        <v>0</v>
      </c>
      <c r="P1396" s="2">
        <v>0</v>
      </c>
      <c r="Q1396">
        <v>1</v>
      </c>
      <c r="R1396" s="2">
        <v>0</v>
      </c>
      <c r="S1396" s="2">
        <v>0</v>
      </c>
      <c r="T1396" t="s">
        <v>783</v>
      </c>
      <c r="U1396" s="2">
        <v>0</v>
      </c>
      <c r="V1396" s="2">
        <v>21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</row>
    <row r="1397" spans="1:28" hidden="1" x14ac:dyDescent="0.25">
      <c r="A1397" t="s">
        <v>47</v>
      </c>
      <c r="B1397" t="s">
        <v>52</v>
      </c>
      <c r="C1397" t="s">
        <v>212</v>
      </c>
      <c r="D1397" s="1">
        <v>45923</v>
      </c>
      <c r="E1397" s="1">
        <v>45923</v>
      </c>
      <c r="F1397" s="2">
        <v>0</v>
      </c>
      <c r="G1397" s="3" t="s">
        <v>572</v>
      </c>
      <c r="H1397">
        <v>0</v>
      </c>
      <c r="I1397" s="2">
        <v>0</v>
      </c>
      <c r="J1397" s="2">
        <v>0</v>
      </c>
      <c r="K1397" s="2">
        <v>0</v>
      </c>
      <c r="L1397" s="2">
        <v>0</v>
      </c>
      <c r="M1397">
        <v>0</v>
      </c>
      <c r="N1397">
        <v>0</v>
      </c>
      <c r="O1397" s="2">
        <v>0</v>
      </c>
      <c r="P1397" s="2">
        <v>0</v>
      </c>
      <c r="Q1397">
        <v>0</v>
      </c>
      <c r="R1397" s="2">
        <v>0</v>
      </c>
      <c r="S1397" s="2">
        <v>0</v>
      </c>
      <c r="T1397" t="s">
        <v>377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</row>
    <row r="1398" spans="1:28" hidden="1" x14ac:dyDescent="0.25">
      <c r="A1398" t="s">
        <v>20</v>
      </c>
      <c r="B1398" t="s">
        <v>21</v>
      </c>
      <c r="C1398" t="s">
        <v>22</v>
      </c>
      <c r="D1398" s="1">
        <v>45924</v>
      </c>
      <c r="E1398" s="1">
        <v>45924</v>
      </c>
      <c r="F1398" s="2">
        <v>22</v>
      </c>
      <c r="G1398" s="3" t="s">
        <v>23</v>
      </c>
      <c r="H1398">
        <v>42</v>
      </c>
      <c r="I1398" s="2">
        <v>0</v>
      </c>
      <c r="J1398" s="2">
        <v>0</v>
      </c>
      <c r="K1398" s="2">
        <v>1</v>
      </c>
      <c r="L1398" s="2">
        <v>0</v>
      </c>
      <c r="M1398">
        <v>0</v>
      </c>
      <c r="N1398">
        <v>0</v>
      </c>
      <c r="O1398" s="2">
        <v>0</v>
      </c>
      <c r="P1398" s="2">
        <v>0</v>
      </c>
      <c r="Q1398">
        <v>1</v>
      </c>
      <c r="R1398" s="2">
        <v>0</v>
      </c>
      <c r="S1398" s="2">
        <v>0</v>
      </c>
      <c r="T1398" t="s">
        <v>784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</row>
    <row r="1399" spans="1:28" hidden="1" x14ac:dyDescent="0.25">
      <c r="A1399" t="s">
        <v>25</v>
      </c>
      <c r="B1399" t="s">
        <v>26</v>
      </c>
      <c r="C1399" t="s">
        <v>27</v>
      </c>
      <c r="D1399" s="1">
        <v>45924</v>
      </c>
      <c r="E1399" s="1">
        <v>45924</v>
      </c>
      <c r="F1399" s="2">
        <v>19</v>
      </c>
      <c r="G1399" s="3" t="s">
        <v>23</v>
      </c>
      <c r="H1399">
        <v>28</v>
      </c>
      <c r="I1399" s="2">
        <v>0</v>
      </c>
      <c r="J1399" s="2">
        <v>0</v>
      </c>
      <c r="K1399" s="2">
        <v>1</v>
      </c>
      <c r="L1399" s="2">
        <v>0</v>
      </c>
      <c r="M1399">
        <v>0</v>
      </c>
      <c r="N1399">
        <v>0</v>
      </c>
      <c r="O1399" s="2">
        <v>0</v>
      </c>
      <c r="P1399" s="2">
        <v>0</v>
      </c>
      <c r="Q1399">
        <v>0</v>
      </c>
      <c r="R1399" s="2">
        <v>0</v>
      </c>
      <c r="S1399" s="2">
        <v>0</v>
      </c>
      <c r="T1399" t="s">
        <v>785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</row>
    <row r="1400" spans="1:28" hidden="1" x14ac:dyDescent="0.25">
      <c r="A1400" t="s">
        <v>37</v>
      </c>
      <c r="B1400" t="s">
        <v>57</v>
      </c>
      <c r="C1400" t="s">
        <v>39</v>
      </c>
      <c r="D1400" s="1">
        <v>45924</v>
      </c>
      <c r="E1400" s="1">
        <v>45924</v>
      </c>
      <c r="F1400" s="2">
        <v>17</v>
      </c>
      <c r="G1400" s="3" t="s">
        <v>23</v>
      </c>
      <c r="H1400">
        <v>12</v>
      </c>
      <c r="I1400" s="2">
        <v>0</v>
      </c>
      <c r="J1400" s="2">
        <v>0</v>
      </c>
      <c r="K1400" s="2">
        <v>0</v>
      </c>
      <c r="L1400" s="2">
        <v>1</v>
      </c>
      <c r="M1400">
        <v>0</v>
      </c>
      <c r="N1400">
        <v>0</v>
      </c>
      <c r="O1400" s="2">
        <v>0</v>
      </c>
      <c r="P1400" s="2">
        <v>0</v>
      </c>
      <c r="Q1400">
        <v>0</v>
      </c>
      <c r="R1400" s="2">
        <v>0</v>
      </c>
      <c r="S1400" s="2">
        <v>0</v>
      </c>
      <c r="T1400" t="s">
        <v>786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</row>
    <row r="1401" spans="1:28" hidden="1" x14ac:dyDescent="0.25">
      <c r="A1401" t="s">
        <v>53</v>
      </c>
      <c r="B1401" t="s">
        <v>38</v>
      </c>
      <c r="C1401" t="s">
        <v>39</v>
      </c>
      <c r="D1401" s="1">
        <v>45924</v>
      </c>
      <c r="E1401" s="1">
        <v>45924</v>
      </c>
      <c r="F1401" s="2">
        <v>17</v>
      </c>
      <c r="G1401" s="3" t="s">
        <v>23</v>
      </c>
      <c r="H1401">
        <f>12+12+2+6</f>
        <v>32</v>
      </c>
      <c r="I1401" s="2">
        <v>0</v>
      </c>
      <c r="J1401" s="2">
        <v>0</v>
      </c>
      <c r="K1401" s="2">
        <v>1</v>
      </c>
      <c r="L1401" s="2">
        <v>0</v>
      </c>
      <c r="M1401">
        <v>0</v>
      </c>
      <c r="N1401">
        <v>0</v>
      </c>
      <c r="O1401" s="2">
        <v>0</v>
      </c>
      <c r="P1401" s="2">
        <v>0</v>
      </c>
      <c r="Q1401">
        <v>0</v>
      </c>
      <c r="R1401" s="2">
        <v>0</v>
      </c>
      <c r="S1401" s="2">
        <v>0</v>
      </c>
      <c r="T1401" t="s">
        <v>786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</row>
    <row r="1402" spans="1:28" hidden="1" x14ac:dyDescent="0.25">
      <c r="A1402" t="s">
        <v>29</v>
      </c>
      <c r="B1402" t="s">
        <v>30</v>
      </c>
      <c r="C1402" t="s">
        <v>39</v>
      </c>
      <c r="D1402" s="1">
        <v>45924</v>
      </c>
      <c r="E1402" s="1">
        <v>45924</v>
      </c>
      <c r="F1402" s="2">
        <v>17</v>
      </c>
      <c r="G1402" s="3" t="s">
        <v>23</v>
      </c>
      <c r="H1402">
        <f>20+20+3+3</f>
        <v>46</v>
      </c>
      <c r="I1402" s="2">
        <v>0</v>
      </c>
      <c r="J1402" s="2">
        <v>0</v>
      </c>
      <c r="K1402" s="2">
        <v>1</v>
      </c>
      <c r="L1402" s="2">
        <v>0</v>
      </c>
      <c r="M1402">
        <v>0</v>
      </c>
      <c r="N1402">
        <v>0</v>
      </c>
      <c r="O1402" s="2">
        <v>0</v>
      </c>
      <c r="P1402" s="2">
        <v>0</v>
      </c>
      <c r="Q1402">
        <v>0</v>
      </c>
      <c r="R1402" s="2">
        <v>0</v>
      </c>
      <c r="S1402" s="2">
        <v>0</v>
      </c>
      <c r="T1402" t="s">
        <v>786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</row>
    <row r="1403" spans="1:28" hidden="1" x14ac:dyDescent="0.25">
      <c r="A1403" t="s">
        <v>678</v>
      </c>
      <c r="B1403" t="s">
        <v>47</v>
      </c>
      <c r="C1403" t="s">
        <v>39</v>
      </c>
      <c r="D1403" s="1">
        <v>45924</v>
      </c>
      <c r="E1403" s="1">
        <v>45924</v>
      </c>
      <c r="F1403" s="2">
        <v>17</v>
      </c>
      <c r="G1403" s="3" t="s">
        <v>23</v>
      </c>
      <c r="H1403">
        <v>0</v>
      </c>
      <c r="I1403" s="2">
        <v>0</v>
      </c>
      <c r="J1403" s="2">
        <v>0</v>
      </c>
      <c r="K1403" s="2">
        <v>0</v>
      </c>
      <c r="L1403" s="2">
        <v>0</v>
      </c>
      <c r="M1403">
        <v>0</v>
      </c>
      <c r="N1403">
        <v>0</v>
      </c>
      <c r="O1403" s="2">
        <v>0</v>
      </c>
      <c r="P1403" s="2">
        <v>0</v>
      </c>
      <c r="Q1403">
        <v>1</v>
      </c>
      <c r="R1403" s="2">
        <v>0</v>
      </c>
      <c r="S1403" s="2">
        <v>0</v>
      </c>
      <c r="T1403" t="s">
        <v>377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</row>
    <row r="1404" spans="1:28" hidden="1" x14ac:dyDescent="0.25">
      <c r="A1404" t="s">
        <v>568</v>
      </c>
      <c r="B1404" t="s">
        <v>47</v>
      </c>
      <c r="C1404" t="s">
        <v>39</v>
      </c>
      <c r="D1404" s="1">
        <v>45924</v>
      </c>
      <c r="E1404" s="1">
        <v>45924</v>
      </c>
      <c r="F1404" s="2">
        <v>17</v>
      </c>
      <c r="G1404" s="3" t="s">
        <v>787</v>
      </c>
      <c r="H1404">
        <v>0</v>
      </c>
      <c r="I1404" s="2">
        <v>0</v>
      </c>
      <c r="J1404" s="2">
        <v>0</v>
      </c>
      <c r="K1404" s="2">
        <v>0</v>
      </c>
      <c r="L1404" s="2">
        <v>0</v>
      </c>
      <c r="M1404">
        <v>0</v>
      </c>
      <c r="N1404">
        <v>0</v>
      </c>
      <c r="O1404" s="2">
        <v>0</v>
      </c>
      <c r="P1404" s="2">
        <v>0</v>
      </c>
      <c r="Q1404">
        <v>0</v>
      </c>
      <c r="R1404" s="2">
        <v>0</v>
      </c>
      <c r="S1404" s="2">
        <v>0</v>
      </c>
      <c r="T1404" t="s">
        <v>377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</row>
    <row r="1405" spans="1:28" hidden="1" x14ac:dyDescent="0.25">
      <c r="A1405" t="s">
        <v>33</v>
      </c>
      <c r="B1405" t="s">
        <v>34</v>
      </c>
      <c r="C1405" t="s">
        <v>212</v>
      </c>
      <c r="D1405" s="1">
        <v>45924</v>
      </c>
      <c r="E1405" s="1">
        <v>45924</v>
      </c>
      <c r="F1405" s="2">
        <v>0</v>
      </c>
      <c r="G1405" s="3" t="s">
        <v>48</v>
      </c>
      <c r="H1405">
        <v>0</v>
      </c>
      <c r="I1405" s="2">
        <v>0</v>
      </c>
      <c r="J1405" s="2">
        <v>0</v>
      </c>
      <c r="K1405" s="2">
        <v>0</v>
      </c>
      <c r="L1405" s="2">
        <v>0</v>
      </c>
      <c r="M1405">
        <v>0</v>
      </c>
      <c r="N1405">
        <v>0</v>
      </c>
      <c r="O1405" s="2">
        <v>0</v>
      </c>
      <c r="P1405" s="2">
        <v>0</v>
      </c>
      <c r="Q1405">
        <v>0</v>
      </c>
      <c r="R1405" s="2">
        <v>0</v>
      </c>
      <c r="S1405" s="2">
        <v>0</v>
      </c>
      <c r="T1405" t="s">
        <v>377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</row>
    <row r="1406" spans="1:28" hidden="1" x14ac:dyDescent="0.25">
      <c r="A1406" t="s">
        <v>56</v>
      </c>
      <c r="B1406" t="s">
        <v>47</v>
      </c>
      <c r="C1406" t="s">
        <v>212</v>
      </c>
      <c r="D1406" s="1">
        <v>45924</v>
      </c>
      <c r="E1406" s="1">
        <v>45924</v>
      </c>
      <c r="F1406" s="2">
        <v>0</v>
      </c>
      <c r="G1406" s="3" t="s">
        <v>48</v>
      </c>
      <c r="H1406">
        <v>0</v>
      </c>
      <c r="I1406" s="2">
        <v>0</v>
      </c>
      <c r="J1406" s="2">
        <v>0</v>
      </c>
      <c r="K1406" s="2">
        <v>0</v>
      </c>
      <c r="L1406" s="2">
        <v>0</v>
      </c>
      <c r="M1406">
        <v>0</v>
      </c>
      <c r="N1406">
        <v>0</v>
      </c>
      <c r="O1406" s="2">
        <v>0</v>
      </c>
      <c r="P1406" s="2">
        <v>0</v>
      </c>
      <c r="Q1406">
        <v>0</v>
      </c>
      <c r="R1406" s="2">
        <v>0</v>
      </c>
      <c r="S1406" s="2">
        <v>0</v>
      </c>
      <c r="T1406" t="s">
        <v>377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</row>
    <row r="1407" spans="1:28" hidden="1" x14ac:dyDescent="0.25">
      <c r="A1407" t="s">
        <v>730</v>
      </c>
      <c r="B1407" t="s">
        <v>47</v>
      </c>
      <c r="C1407" t="s">
        <v>212</v>
      </c>
      <c r="D1407" s="1">
        <v>45924</v>
      </c>
      <c r="E1407" s="1">
        <v>45924</v>
      </c>
      <c r="F1407" s="2">
        <v>0</v>
      </c>
      <c r="G1407" s="3" t="s">
        <v>48</v>
      </c>
      <c r="H1407">
        <v>0</v>
      </c>
      <c r="I1407" s="2">
        <v>0</v>
      </c>
      <c r="J1407" s="2">
        <v>0</v>
      </c>
      <c r="K1407" s="2">
        <v>0</v>
      </c>
      <c r="L1407" s="2">
        <v>0</v>
      </c>
      <c r="M1407">
        <v>0</v>
      </c>
      <c r="N1407">
        <v>0</v>
      </c>
      <c r="O1407" s="2">
        <v>0</v>
      </c>
      <c r="P1407" s="2">
        <v>0</v>
      </c>
      <c r="Q1407">
        <v>0</v>
      </c>
      <c r="R1407" s="2">
        <v>0</v>
      </c>
      <c r="S1407" s="2">
        <v>0</v>
      </c>
      <c r="T1407" t="s">
        <v>377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</row>
    <row r="1408" spans="1:28" hidden="1" x14ac:dyDescent="0.25">
      <c r="A1408" t="s">
        <v>47</v>
      </c>
      <c r="B1408" t="s">
        <v>52</v>
      </c>
      <c r="C1408" t="s">
        <v>212</v>
      </c>
      <c r="D1408" s="1">
        <v>45924</v>
      </c>
      <c r="E1408" s="1">
        <v>45924</v>
      </c>
      <c r="F1408" s="2">
        <v>0</v>
      </c>
      <c r="G1408" s="3" t="s">
        <v>572</v>
      </c>
      <c r="H1408">
        <v>0</v>
      </c>
      <c r="I1408" s="2">
        <v>0</v>
      </c>
      <c r="J1408" s="2">
        <v>0</v>
      </c>
      <c r="K1408" s="2">
        <v>0</v>
      </c>
      <c r="L1408" s="2">
        <v>0</v>
      </c>
      <c r="M1408">
        <v>0</v>
      </c>
      <c r="N1408">
        <v>0</v>
      </c>
      <c r="O1408" s="2">
        <v>0</v>
      </c>
      <c r="P1408" s="2">
        <v>0</v>
      </c>
      <c r="Q1408">
        <v>0</v>
      </c>
      <c r="R1408" s="2">
        <v>0</v>
      </c>
      <c r="S1408" s="2">
        <v>0</v>
      </c>
      <c r="T1408" t="s">
        <v>377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</row>
    <row r="1409" spans="1:28" hidden="1" x14ac:dyDescent="0.25">
      <c r="A1409" t="s">
        <v>56</v>
      </c>
      <c r="B1409" t="s">
        <v>47</v>
      </c>
      <c r="C1409" t="s">
        <v>64</v>
      </c>
      <c r="D1409" s="1">
        <v>45925</v>
      </c>
      <c r="E1409" s="1">
        <v>45925</v>
      </c>
      <c r="F1409" s="2">
        <v>42</v>
      </c>
      <c r="G1409" s="3" t="s">
        <v>23</v>
      </c>
      <c r="H1409">
        <f>36+7</f>
        <v>43</v>
      </c>
      <c r="I1409" s="2">
        <v>0</v>
      </c>
      <c r="J1409" s="2">
        <v>0</v>
      </c>
      <c r="K1409" s="2">
        <v>1</v>
      </c>
      <c r="L1409" s="2">
        <v>0</v>
      </c>
      <c r="M1409">
        <v>0</v>
      </c>
      <c r="N1409">
        <v>0</v>
      </c>
      <c r="O1409" s="2">
        <v>0</v>
      </c>
      <c r="P1409" s="2">
        <v>0</v>
      </c>
      <c r="Q1409">
        <v>0</v>
      </c>
      <c r="R1409" s="2">
        <v>0</v>
      </c>
      <c r="S1409" s="2">
        <v>0</v>
      </c>
      <c r="T1409" t="s">
        <v>788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</row>
    <row r="1410" spans="1:28" hidden="1" x14ac:dyDescent="0.25">
      <c r="A1410" t="s">
        <v>730</v>
      </c>
      <c r="B1410" t="s">
        <v>47</v>
      </c>
      <c r="C1410" t="s">
        <v>64</v>
      </c>
      <c r="D1410" s="1">
        <v>45925</v>
      </c>
      <c r="E1410" s="1">
        <v>45925</v>
      </c>
      <c r="F1410" s="2">
        <v>42</v>
      </c>
      <c r="G1410" s="3" t="s">
        <v>23</v>
      </c>
      <c r="H1410">
        <f>36+7</f>
        <v>43</v>
      </c>
      <c r="I1410" s="2">
        <v>0</v>
      </c>
      <c r="J1410" s="2">
        <v>0</v>
      </c>
      <c r="K1410" s="2">
        <v>1</v>
      </c>
      <c r="L1410" s="2">
        <v>0</v>
      </c>
      <c r="M1410">
        <v>0</v>
      </c>
      <c r="N1410">
        <v>0</v>
      </c>
      <c r="O1410" s="2">
        <v>0</v>
      </c>
      <c r="P1410" s="2">
        <v>0</v>
      </c>
      <c r="Q1410">
        <v>0</v>
      </c>
      <c r="R1410" s="2">
        <v>0</v>
      </c>
      <c r="S1410" s="2">
        <v>0</v>
      </c>
      <c r="T1410" t="s">
        <v>788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</row>
    <row r="1411" spans="1:28" hidden="1" x14ac:dyDescent="0.25">
      <c r="A1411" t="s">
        <v>20</v>
      </c>
      <c r="B1411" t="s">
        <v>21</v>
      </c>
      <c r="C1411" t="s">
        <v>22</v>
      </c>
      <c r="D1411" s="1">
        <v>45925</v>
      </c>
      <c r="E1411" s="1">
        <v>45925</v>
      </c>
      <c r="F1411" s="2">
        <v>25</v>
      </c>
      <c r="G1411" s="3" t="s">
        <v>23</v>
      </c>
      <c r="H1411">
        <f>8+8</f>
        <v>16</v>
      </c>
      <c r="I1411" s="2">
        <v>0</v>
      </c>
      <c r="J1411" s="2">
        <v>0</v>
      </c>
      <c r="K1411" s="2">
        <v>0</v>
      </c>
      <c r="L1411" s="2">
        <v>1</v>
      </c>
      <c r="M1411">
        <v>0</v>
      </c>
      <c r="N1411">
        <v>0</v>
      </c>
      <c r="O1411" s="2">
        <v>0</v>
      </c>
      <c r="P1411" s="2">
        <v>0</v>
      </c>
      <c r="Q1411">
        <v>0</v>
      </c>
      <c r="R1411" s="2">
        <v>0</v>
      </c>
      <c r="S1411" s="2">
        <v>0</v>
      </c>
      <c r="T1411" t="s">
        <v>789</v>
      </c>
      <c r="U1411" s="2">
        <v>0</v>
      </c>
      <c r="V1411" s="2">
        <f>20+7</f>
        <v>27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</row>
    <row r="1412" spans="1:28" hidden="1" x14ac:dyDescent="0.25">
      <c r="A1412" t="s">
        <v>47</v>
      </c>
      <c r="B1412" t="s">
        <v>26</v>
      </c>
      <c r="C1412" t="s">
        <v>27</v>
      </c>
      <c r="D1412" s="1">
        <v>45925</v>
      </c>
      <c r="E1412" s="1">
        <v>45925</v>
      </c>
      <c r="F1412" s="2">
        <v>22</v>
      </c>
      <c r="G1412" s="3" t="s">
        <v>23</v>
      </c>
      <c r="H1412">
        <v>14</v>
      </c>
      <c r="I1412" s="2">
        <v>0</v>
      </c>
      <c r="J1412" s="2">
        <v>0</v>
      </c>
      <c r="K1412" s="2">
        <v>1</v>
      </c>
      <c r="L1412" s="2">
        <v>0</v>
      </c>
      <c r="M1412">
        <v>0</v>
      </c>
      <c r="N1412">
        <v>0</v>
      </c>
      <c r="O1412" s="2">
        <v>0</v>
      </c>
      <c r="P1412" s="2">
        <v>0</v>
      </c>
      <c r="Q1412">
        <v>0</v>
      </c>
      <c r="R1412" s="2">
        <v>0</v>
      </c>
      <c r="S1412" s="2">
        <v>0</v>
      </c>
      <c r="T1412" t="s">
        <v>790</v>
      </c>
      <c r="U1412" s="2">
        <v>0</v>
      </c>
      <c r="V1412" s="2">
        <f>20+7+3</f>
        <v>30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</row>
    <row r="1413" spans="1:28" hidden="1" x14ac:dyDescent="0.25">
      <c r="A1413" t="s">
        <v>25</v>
      </c>
      <c r="B1413" t="s">
        <v>47</v>
      </c>
      <c r="C1413" t="s">
        <v>27</v>
      </c>
      <c r="D1413" s="1">
        <v>45925</v>
      </c>
      <c r="E1413" s="1">
        <v>45925</v>
      </c>
      <c r="F1413" s="2">
        <v>22</v>
      </c>
      <c r="G1413" s="3" t="s">
        <v>23</v>
      </c>
      <c r="H1413">
        <v>14</v>
      </c>
      <c r="I1413" s="2">
        <v>0</v>
      </c>
      <c r="J1413" s="2">
        <v>0</v>
      </c>
      <c r="K1413" s="2">
        <v>1</v>
      </c>
      <c r="L1413" s="2">
        <v>0</v>
      </c>
      <c r="M1413">
        <v>0</v>
      </c>
      <c r="N1413">
        <v>0</v>
      </c>
      <c r="O1413" s="2">
        <v>0</v>
      </c>
      <c r="P1413" s="2">
        <v>0</v>
      </c>
      <c r="Q1413">
        <v>0</v>
      </c>
      <c r="R1413" s="2">
        <v>0</v>
      </c>
      <c r="S1413" s="2">
        <v>0</v>
      </c>
      <c r="T1413" t="s">
        <v>790</v>
      </c>
      <c r="U1413" s="2">
        <v>0</v>
      </c>
      <c r="V1413" s="2">
        <v>3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</row>
    <row r="1414" spans="1:28" hidden="1" x14ac:dyDescent="0.25">
      <c r="A1414" t="s">
        <v>33</v>
      </c>
      <c r="B1414" t="s">
        <v>34</v>
      </c>
      <c r="C1414" t="s">
        <v>35</v>
      </c>
      <c r="D1414" s="1">
        <v>45925</v>
      </c>
      <c r="E1414" s="1">
        <v>45925</v>
      </c>
      <c r="F1414" s="2">
        <v>29</v>
      </c>
      <c r="G1414" s="3" t="s">
        <v>23</v>
      </c>
      <c r="H1414">
        <v>32</v>
      </c>
      <c r="I1414" s="2">
        <v>0</v>
      </c>
      <c r="J1414" s="2">
        <v>0</v>
      </c>
      <c r="K1414" s="2">
        <v>1</v>
      </c>
      <c r="L1414" s="2">
        <v>0</v>
      </c>
      <c r="M1414">
        <v>0</v>
      </c>
      <c r="N1414">
        <v>0</v>
      </c>
      <c r="O1414" s="2">
        <v>0</v>
      </c>
      <c r="P1414" s="2">
        <v>0</v>
      </c>
      <c r="Q1414">
        <v>0</v>
      </c>
      <c r="R1414" s="2">
        <v>0</v>
      </c>
      <c r="S1414" s="2">
        <v>0</v>
      </c>
      <c r="T1414" t="s">
        <v>791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</row>
    <row r="1415" spans="1:28" hidden="1" x14ac:dyDescent="0.25">
      <c r="A1415" t="s">
        <v>53</v>
      </c>
      <c r="B1415" t="s">
        <v>38</v>
      </c>
      <c r="C1415" t="s">
        <v>35</v>
      </c>
      <c r="D1415" s="1">
        <v>45925</v>
      </c>
      <c r="E1415" s="1">
        <v>45925</v>
      </c>
      <c r="F1415" s="2">
        <v>29</v>
      </c>
      <c r="G1415" s="3" t="s">
        <v>23</v>
      </c>
      <c r="H1415">
        <f>20+20+3+3</f>
        <v>46</v>
      </c>
      <c r="I1415" s="2">
        <v>0</v>
      </c>
      <c r="J1415" s="2">
        <v>0</v>
      </c>
      <c r="K1415" s="2">
        <v>1</v>
      </c>
      <c r="L1415" s="2">
        <v>0</v>
      </c>
      <c r="M1415">
        <v>1</v>
      </c>
      <c r="N1415">
        <v>0</v>
      </c>
      <c r="O1415" s="2">
        <v>0</v>
      </c>
      <c r="P1415" s="2">
        <v>0</v>
      </c>
      <c r="Q1415">
        <v>0</v>
      </c>
      <c r="R1415" s="2">
        <v>0</v>
      </c>
      <c r="S1415" s="2">
        <v>0</v>
      </c>
      <c r="T1415" t="s">
        <v>791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</row>
    <row r="1416" spans="1:28" hidden="1" x14ac:dyDescent="0.25">
      <c r="A1416" t="s">
        <v>678</v>
      </c>
      <c r="B1416" t="s">
        <v>47</v>
      </c>
      <c r="C1416" t="s">
        <v>39</v>
      </c>
      <c r="D1416" s="1">
        <v>45925</v>
      </c>
      <c r="E1416" s="1">
        <v>45925</v>
      </c>
      <c r="F1416" s="2">
        <v>17</v>
      </c>
      <c r="G1416" s="3" t="s">
        <v>23</v>
      </c>
      <c r="H1416">
        <v>0</v>
      </c>
      <c r="I1416" s="2">
        <v>0</v>
      </c>
      <c r="J1416" s="2">
        <v>0</v>
      </c>
      <c r="K1416" s="2">
        <v>0</v>
      </c>
      <c r="L1416" s="2">
        <v>0</v>
      </c>
      <c r="M1416">
        <v>0</v>
      </c>
      <c r="N1416">
        <v>0</v>
      </c>
      <c r="O1416" s="2">
        <v>0</v>
      </c>
      <c r="P1416" s="2">
        <v>0</v>
      </c>
      <c r="Q1416">
        <v>1</v>
      </c>
      <c r="R1416" s="2">
        <v>0</v>
      </c>
      <c r="S1416" s="2">
        <v>0</v>
      </c>
      <c r="T1416" t="s">
        <v>377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</row>
    <row r="1417" spans="1:28" hidden="1" x14ac:dyDescent="0.25">
      <c r="A1417" t="s">
        <v>568</v>
      </c>
      <c r="B1417" t="s">
        <v>47</v>
      </c>
      <c r="C1417" t="s">
        <v>39</v>
      </c>
      <c r="D1417" s="1">
        <v>45925</v>
      </c>
      <c r="E1417" s="1">
        <v>45925</v>
      </c>
      <c r="F1417" s="2">
        <v>17</v>
      </c>
      <c r="G1417" s="3" t="s">
        <v>787</v>
      </c>
      <c r="H1417">
        <v>0</v>
      </c>
      <c r="I1417" s="2">
        <v>0</v>
      </c>
      <c r="J1417" s="2">
        <v>0</v>
      </c>
      <c r="K1417" s="2">
        <v>0</v>
      </c>
      <c r="L1417" s="2">
        <v>0</v>
      </c>
      <c r="M1417">
        <v>0</v>
      </c>
      <c r="N1417">
        <v>0</v>
      </c>
      <c r="O1417" s="2">
        <v>0</v>
      </c>
      <c r="P1417" s="2">
        <v>0</v>
      </c>
      <c r="Q1417">
        <v>0</v>
      </c>
      <c r="R1417" s="2">
        <v>0</v>
      </c>
      <c r="S1417" s="2">
        <v>0</v>
      </c>
      <c r="T1417" t="s">
        <v>377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</row>
    <row r="1418" spans="1:28" hidden="1" x14ac:dyDescent="0.25">
      <c r="A1418" t="s">
        <v>37</v>
      </c>
      <c r="B1418" t="s">
        <v>57</v>
      </c>
      <c r="C1418" t="s">
        <v>212</v>
      </c>
      <c r="D1418" s="1">
        <v>45925</v>
      </c>
      <c r="E1418" s="1">
        <v>45925</v>
      </c>
      <c r="F1418" s="2">
        <v>0</v>
      </c>
      <c r="G1418" s="3" t="s">
        <v>48</v>
      </c>
      <c r="H1418">
        <v>0</v>
      </c>
      <c r="I1418" s="2">
        <v>0</v>
      </c>
      <c r="J1418" s="2">
        <v>0</v>
      </c>
      <c r="K1418" s="2">
        <v>0</v>
      </c>
      <c r="L1418" s="2">
        <v>0</v>
      </c>
      <c r="M1418">
        <v>0</v>
      </c>
      <c r="N1418">
        <v>0</v>
      </c>
      <c r="O1418" s="2">
        <v>0</v>
      </c>
      <c r="P1418" s="2">
        <v>0</v>
      </c>
      <c r="Q1418">
        <v>0</v>
      </c>
      <c r="R1418" s="2">
        <v>0</v>
      </c>
      <c r="S1418" s="2">
        <v>0</v>
      </c>
      <c r="T1418" t="s">
        <v>377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</row>
    <row r="1419" spans="1:28" hidden="1" x14ac:dyDescent="0.25">
      <c r="A1419" t="s">
        <v>29</v>
      </c>
      <c r="B1419" t="s">
        <v>30</v>
      </c>
      <c r="C1419" t="s">
        <v>212</v>
      </c>
      <c r="D1419" s="1">
        <v>45925</v>
      </c>
      <c r="E1419" s="1">
        <v>45925</v>
      </c>
      <c r="F1419" s="2">
        <v>0</v>
      </c>
      <c r="G1419" s="3" t="s">
        <v>48</v>
      </c>
      <c r="H1419">
        <v>0</v>
      </c>
      <c r="I1419" s="2">
        <v>0</v>
      </c>
      <c r="J1419" s="2">
        <v>0</v>
      </c>
      <c r="K1419" s="2">
        <v>0</v>
      </c>
      <c r="L1419" s="2">
        <v>0</v>
      </c>
      <c r="M1419">
        <v>0</v>
      </c>
      <c r="N1419">
        <v>0</v>
      </c>
      <c r="O1419" s="2">
        <v>0</v>
      </c>
      <c r="P1419" s="2">
        <v>0</v>
      </c>
      <c r="Q1419">
        <v>0</v>
      </c>
      <c r="R1419" s="2">
        <v>0</v>
      </c>
      <c r="S1419" s="2">
        <v>0</v>
      </c>
      <c r="T1419" t="s">
        <v>377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</row>
    <row r="1420" spans="1:28" hidden="1" x14ac:dyDescent="0.25">
      <c r="A1420" t="s">
        <v>47</v>
      </c>
      <c r="B1420" t="s">
        <v>52</v>
      </c>
      <c r="C1420" t="s">
        <v>212</v>
      </c>
      <c r="D1420" s="1">
        <v>45925</v>
      </c>
      <c r="E1420" s="1">
        <v>45925</v>
      </c>
      <c r="F1420" s="2">
        <v>0</v>
      </c>
      <c r="G1420" s="3" t="s">
        <v>572</v>
      </c>
      <c r="H1420">
        <v>0</v>
      </c>
      <c r="I1420" s="2">
        <v>0</v>
      </c>
      <c r="J1420" s="2">
        <v>0</v>
      </c>
      <c r="K1420" s="2">
        <v>0</v>
      </c>
      <c r="L1420" s="2">
        <v>0</v>
      </c>
      <c r="M1420">
        <v>0</v>
      </c>
      <c r="N1420">
        <v>0</v>
      </c>
      <c r="O1420" s="2">
        <v>0</v>
      </c>
      <c r="P1420" s="2">
        <v>0</v>
      </c>
      <c r="Q1420">
        <v>0</v>
      </c>
      <c r="R1420" s="2">
        <v>0</v>
      </c>
      <c r="S1420" s="2">
        <v>0</v>
      </c>
      <c r="T1420" t="s">
        <v>377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</row>
    <row r="1421" spans="1:28" hidden="1" x14ac:dyDescent="0.25">
      <c r="A1421" t="s">
        <v>56</v>
      </c>
      <c r="B1421" t="s">
        <v>47</v>
      </c>
      <c r="C1421" t="s">
        <v>64</v>
      </c>
      <c r="D1421" s="1">
        <v>45926</v>
      </c>
      <c r="E1421" s="1">
        <v>45926</v>
      </c>
      <c r="F1421" s="2">
        <v>40</v>
      </c>
      <c r="G1421" s="3" t="s">
        <v>23</v>
      </c>
      <c r="H1421">
        <v>36</v>
      </c>
      <c r="I1421" s="2">
        <v>0</v>
      </c>
      <c r="J1421" s="2">
        <v>0</v>
      </c>
      <c r="K1421" s="2">
        <v>1</v>
      </c>
      <c r="L1421" s="2">
        <v>0</v>
      </c>
      <c r="M1421">
        <v>0</v>
      </c>
      <c r="N1421">
        <v>0</v>
      </c>
      <c r="O1421" s="2">
        <v>0</v>
      </c>
      <c r="P1421" s="2">
        <v>0</v>
      </c>
      <c r="Q1421">
        <v>2</v>
      </c>
      <c r="R1421" s="2">
        <v>0</v>
      </c>
      <c r="S1421" s="2">
        <v>0</v>
      </c>
      <c r="T1421" t="s">
        <v>792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</row>
    <row r="1422" spans="1:28" hidden="1" x14ac:dyDescent="0.25">
      <c r="A1422" t="s">
        <v>730</v>
      </c>
      <c r="B1422" t="s">
        <v>47</v>
      </c>
      <c r="C1422" t="s">
        <v>64</v>
      </c>
      <c r="D1422" s="1">
        <v>45926</v>
      </c>
      <c r="E1422" s="1">
        <v>45926</v>
      </c>
      <c r="F1422" s="2">
        <v>40</v>
      </c>
      <c r="G1422" s="3" t="s">
        <v>23</v>
      </c>
      <c r="H1422">
        <v>36</v>
      </c>
      <c r="I1422" s="2">
        <v>0</v>
      </c>
      <c r="J1422" s="2">
        <v>0</v>
      </c>
      <c r="K1422" s="2">
        <v>1</v>
      </c>
      <c r="L1422" s="2">
        <v>0</v>
      </c>
      <c r="M1422">
        <v>0</v>
      </c>
      <c r="N1422">
        <v>0</v>
      </c>
      <c r="O1422" s="2">
        <v>0</v>
      </c>
      <c r="P1422" s="2">
        <v>0</v>
      </c>
      <c r="Q1422">
        <v>2</v>
      </c>
      <c r="R1422" s="2">
        <v>0</v>
      </c>
      <c r="S1422" s="2">
        <v>0</v>
      </c>
      <c r="T1422" t="s">
        <v>792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</row>
    <row r="1423" spans="1:28" hidden="1" x14ac:dyDescent="0.25">
      <c r="A1423" t="s">
        <v>29</v>
      </c>
      <c r="B1423" t="s">
        <v>30</v>
      </c>
      <c r="C1423" t="s">
        <v>31</v>
      </c>
      <c r="D1423" s="1">
        <v>45926</v>
      </c>
      <c r="E1423" s="1">
        <v>45926</v>
      </c>
      <c r="F1423" s="2">
        <v>19</v>
      </c>
      <c r="G1423" s="3" t="s">
        <v>23</v>
      </c>
      <c r="H1423">
        <v>28</v>
      </c>
      <c r="I1423" s="2">
        <v>0</v>
      </c>
      <c r="J1423" s="2">
        <v>1</v>
      </c>
      <c r="K1423" s="2">
        <v>1</v>
      </c>
      <c r="L1423" s="2">
        <v>0</v>
      </c>
      <c r="M1423">
        <v>0</v>
      </c>
      <c r="N1423">
        <v>0</v>
      </c>
      <c r="O1423" s="2">
        <v>0</v>
      </c>
      <c r="P1423" s="2">
        <v>0</v>
      </c>
      <c r="Q1423">
        <f>1+2</f>
        <v>3</v>
      </c>
      <c r="R1423" s="2">
        <v>0</v>
      </c>
      <c r="S1423" s="2">
        <v>0</v>
      </c>
      <c r="T1423" t="s">
        <v>793</v>
      </c>
      <c r="U1423" s="2">
        <v>0</v>
      </c>
      <c r="V1423" s="2">
        <v>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</row>
    <row r="1424" spans="1:28" hidden="1" x14ac:dyDescent="0.25">
      <c r="A1424" t="s">
        <v>568</v>
      </c>
      <c r="B1424" t="s">
        <v>26</v>
      </c>
      <c r="C1424" t="s">
        <v>670</v>
      </c>
      <c r="D1424" s="1">
        <v>45926</v>
      </c>
      <c r="E1424" s="1">
        <v>45926</v>
      </c>
      <c r="F1424" s="2">
        <v>85</v>
      </c>
      <c r="G1424" s="3" t="s">
        <v>23</v>
      </c>
      <c r="H1424">
        <v>31</v>
      </c>
      <c r="I1424" s="2">
        <v>0</v>
      </c>
      <c r="J1424" s="2">
        <v>0</v>
      </c>
      <c r="K1424" s="2">
        <v>1</v>
      </c>
      <c r="L1424" s="2">
        <v>0</v>
      </c>
      <c r="M1424">
        <v>0</v>
      </c>
      <c r="N1424">
        <v>0</v>
      </c>
      <c r="O1424" s="2">
        <v>0</v>
      </c>
      <c r="P1424" s="2">
        <v>0</v>
      </c>
      <c r="Q1424">
        <v>2</v>
      </c>
      <c r="R1424" s="2">
        <v>0</v>
      </c>
      <c r="S1424" s="2">
        <v>0</v>
      </c>
      <c r="T1424" t="s">
        <v>794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</row>
    <row r="1425" spans="1:28" hidden="1" x14ac:dyDescent="0.25">
      <c r="A1425" t="s">
        <v>33</v>
      </c>
      <c r="B1425" t="s">
        <v>34</v>
      </c>
      <c r="C1425" t="s">
        <v>35</v>
      </c>
      <c r="D1425" s="1">
        <v>45926</v>
      </c>
      <c r="E1425" s="1">
        <v>45926</v>
      </c>
      <c r="F1425" s="2">
        <v>29</v>
      </c>
      <c r="G1425" s="3" t="s">
        <v>23</v>
      </c>
      <c r="H1425">
        <v>24</v>
      </c>
      <c r="I1425" s="2">
        <v>0</v>
      </c>
      <c r="J1425" s="2">
        <v>0</v>
      </c>
      <c r="K1425" s="2">
        <v>1</v>
      </c>
      <c r="L1425" s="2">
        <v>0</v>
      </c>
      <c r="M1425">
        <v>1</v>
      </c>
      <c r="N1425">
        <v>0</v>
      </c>
      <c r="O1425" s="2">
        <v>0</v>
      </c>
      <c r="P1425" s="2">
        <v>0</v>
      </c>
      <c r="Q1425">
        <v>0</v>
      </c>
      <c r="R1425" s="2">
        <v>0</v>
      </c>
      <c r="S1425" s="2">
        <v>0</v>
      </c>
      <c r="T1425" t="s">
        <v>795</v>
      </c>
      <c r="U1425" s="2">
        <v>0</v>
      </c>
      <c r="V1425" s="2">
        <v>2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</row>
    <row r="1426" spans="1:28" hidden="1" x14ac:dyDescent="0.25">
      <c r="A1426" t="s">
        <v>37</v>
      </c>
      <c r="B1426" t="s">
        <v>57</v>
      </c>
      <c r="C1426" t="s">
        <v>39</v>
      </c>
      <c r="D1426" s="1">
        <v>45926</v>
      </c>
      <c r="E1426" s="1">
        <v>45926</v>
      </c>
      <c r="F1426" s="2">
        <v>16</v>
      </c>
      <c r="G1426" s="3" t="s">
        <v>23</v>
      </c>
      <c r="H1426">
        <v>28</v>
      </c>
      <c r="I1426" s="2">
        <v>0</v>
      </c>
      <c r="J1426" s="2">
        <v>0</v>
      </c>
      <c r="K1426" s="2">
        <v>0</v>
      </c>
      <c r="L1426" s="2">
        <v>1</v>
      </c>
      <c r="M1426">
        <v>0</v>
      </c>
      <c r="N1426">
        <v>0</v>
      </c>
      <c r="O1426" s="2">
        <v>0</v>
      </c>
      <c r="P1426" s="2">
        <v>0</v>
      </c>
      <c r="Q1426">
        <v>0</v>
      </c>
      <c r="R1426" s="2">
        <v>0</v>
      </c>
      <c r="S1426" s="2">
        <v>0</v>
      </c>
      <c r="T1426" t="s">
        <v>796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</row>
    <row r="1427" spans="1:28" hidden="1" x14ac:dyDescent="0.25">
      <c r="A1427" t="s">
        <v>20</v>
      </c>
      <c r="B1427" t="s">
        <v>21</v>
      </c>
      <c r="C1427" t="s">
        <v>39</v>
      </c>
      <c r="D1427" s="1">
        <v>45926</v>
      </c>
      <c r="E1427" s="1">
        <v>45926</v>
      </c>
      <c r="F1427" s="2">
        <v>16</v>
      </c>
      <c r="G1427" s="3" t="s">
        <v>23</v>
      </c>
      <c r="H1427">
        <v>0</v>
      </c>
      <c r="I1427" s="2">
        <v>0</v>
      </c>
      <c r="J1427" s="2">
        <v>0</v>
      </c>
      <c r="K1427" s="2">
        <v>0</v>
      </c>
      <c r="L1427" s="2">
        <v>0</v>
      </c>
      <c r="M1427">
        <v>0</v>
      </c>
      <c r="N1427">
        <v>0</v>
      </c>
      <c r="O1427" s="2">
        <v>0</v>
      </c>
      <c r="P1427" s="2">
        <v>0</v>
      </c>
      <c r="Q1427">
        <v>2</v>
      </c>
      <c r="R1427" s="2">
        <v>0</v>
      </c>
      <c r="S1427" s="2">
        <v>0</v>
      </c>
      <c r="T1427" t="s">
        <v>796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</row>
    <row r="1428" spans="1:28" hidden="1" x14ac:dyDescent="0.25">
      <c r="A1428" t="s">
        <v>25</v>
      </c>
      <c r="B1428" t="s">
        <v>47</v>
      </c>
      <c r="C1428" t="s">
        <v>212</v>
      </c>
      <c r="D1428" s="1">
        <v>45926</v>
      </c>
      <c r="E1428" s="1">
        <v>45926</v>
      </c>
      <c r="F1428" s="2">
        <v>0</v>
      </c>
      <c r="G1428" s="3" t="s">
        <v>48</v>
      </c>
      <c r="H1428">
        <v>0</v>
      </c>
      <c r="I1428" s="2">
        <v>0</v>
      </c>
      <c r="J1428" s="2">
        <v>0</v>
      </c>
      <c r="K1428" s="2">
        <v>0</v>
      </c>
      <c r="L1428" s="2">
        <v>0</v>
      </c>
      <c r="M1428">
        <v>0</v>
      </c>
      <c r="N1428">
        <v>0</v>
      </c>
      <c r="O1428" s="2">
        <v>0</v>
      </c>
      <c r="P1428" s="2">
        <v>0</v>
      </c>
      <c r="Q1428">
        <v>0</v>
      </c>
      <c r="R1428" s="2">
        <v>0</v>
      </c>
      <c r="S1428" s="2">
        <v>0</v>
      </c>
      <c r="T1428" t="s">
        <v>377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</row>
    <row r="1429" spans="1:28" hidden="1" x14ac:dyDescent="0.25">
      <c r="A1429" t="s">
        <v>53</v>
      </c>
      <c r="B1429" t="s">
        <v>38</v>
      </c>
      <c r="C1429" t="s">
        <v>212</v>
      </c>
      <c r="D1429" s="1">
        <v>45926</v>
      </c>
      <c r="E1429" s="1">
        <v>45926</v>
      </c>
      <c r="F1429" s="2">
        <v>0</v>
      </c>
      <c r="G1429" s="3" t="s">
        <v>572</v>
      </c>
      <c r="H1429">
        <v>0</v>
      </c>
      <c r="I1429" s="2">
        <v>0</v>
      </c>
      <c r="J1429" s="2">
        <v>0</v>
      </c>
      <c r="K1429" s="2">
        <v>0</v>
      </c>
      <c r="L1429" s="2">
        <v>0</v>
      </c>
      <c r="M1429">
        <v>0</v>
      </c>
      <c r="N1429">
        <v>0</v>
      </c>
      <c r="O1429" s="2">
        <v>0</v>
      </c>
      <c r="P1429" s="2">
        <v>0</v>
      </c>
      <c r="Q1429">
        <v>0</v>
      </c>
      <c r="R1429" s="2">
        <v>0</v>
      </c>
      <c r="S1429" s="2">
        <v>0</v>
      </c>
      <c r="T1429" t="s">
        <v>377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</row>
    <row r="1430" spans="1:28" hidden="1" x14ac:dyDescent="0.25">
      <c r="A1430" t="s">
        <v>47</v>
      </c>
      <c r="B1430" t="s">
        <v>52</v>
      </c>
      <c r="C1430" t="s">
        <v>212</v>
      </c>
      <c r="D1430" s="1">
        <v>45926</v>
      </c>
      <c r="E1430" s="1">
        <v>45926</v>
      </c>
      <c r="F1430" s="2">
        <v>0</v>
      </c>
      <c r="G1430" s="3" t="s">
        <v>572</v>
      </c>
      <c r="H1430">
        <v>0</v>
      </c>
      <c r="I1430" s="2">
        <v>0</v>
      </c>
      <c r="J1430" s="2">
        <v>0</v>
      </c>
      <c r="K1430" s="2">
        <v>0</v>
      </c>
      <c r="L1430" s="2">
        <v>0</v>
      </c>
      <c r="M1430">
        <v>0</v>
      </c>
      <c r="N1430">
        <v>0</v>
      </c>
      <c r="O1430" s="2">
        <v>0</v>
      </c>
      <c r="P1430" s="2">
        <v>0</v>
      </c>
      <c r="Q1430">
        <v>0</v>
      </c>
      <c r="R1430" s="2">
        <v>0</v>
      </c>
      <c r="S1430" s="2">
        <v>0</v>
      </c>
      <c r="T1430" t="s">
        <v>377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</row>
    <row r="1431" spans="1:28" hidden="1" x14ac:dyDescent="0.25">
      <c r="A1431" t="s">
        <v>56</v>
      </c>
      <c r="B1431" t="s">
        <v>47</v>
      </c>
      <c r="C1431" t="s">
        <v>64</v>
      </c>
      <c r="D1431" s="9">
        <v>45927</v>
      </c>
      <c r="E1431" s="9">
        <v>45927</v>
      </c>
      <c r="F1431" s="2">
        <v>23</v>
      </c>
      <c r="G1431" s="3" t="s">
        <v>23</v>
      </c>
      <c r="H1431">
        <v>36</v>
      </c>
      <c r="I1431" s="2">
        <v>0</v>
      </c>
      <c r="J1431" s="2">
        <v>0</v>
      </c>
      <c r="K1431" s="2">
        <v>0</v>
      </c>
      <c r="L1431" s="2">
        <v>0</v>
      </c>
      <c r="M1431">
        <v>0</v>
      </c>
      <c r="N1431">
        <v>0</v>
      </c>
      <c r="O1431" s="2">
        <v>1</v>
      </c>
      <c r="P1431" s="2">
        <v>0</v>
      </c>
      <c r="Q1431">
        <v>2</v>
      </c>
      <c r="R1431" s="2">
        <v>1</v>
      </c>
      <c r="S1431" s="2">
        <v>0</v>
      </c>
      <c r="T1431" t="s">
        <v>797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</row>
    <row r="1432" spans="1:28" hidden="1" x14ac:dyDescent="0.25">
      <c r="A1432" t="s">
        <v>730</v>
      </c>
      <c r="B1432" t="s">
        <v>47</v>
      </c>
      <c r="C1432" t="s">
        <v>64</v>
      </c>
      <c r="D1432" s="9">
        <v>45927</v>
      </c>
      <c r="E1432" s="9">
        <v>45927</v>
      </c>
      <c r="F1432" s="2">
        <v>23</v>
      </c>
      <c r="G1432" s="3" t="s">
        <v>23</v>
      </c>
      <c r="H1432">
        <v>36</v>
      </c>
      <c r="I1432" s="2">
        <v>0</v>
      </c>
      <c r="J1432" s="2">
        <v>0</v>
      </c>
      <c r="K1432" s="2">
        <v>0</v>
      </c>
      <c r="L1432" s="2">
        <v>0</v>
      </c>
      <c r="M1432">
        <v>0</v>
      </c>
      <c r="N1432">
        <v>0</v>
      </c>
      <c r="O1432" s="2">
        <v>1</v>
      </c>
      <c r="P1432" s="2">
        <v>0</v>
      </c>
      <c r="Q1432">
        <v>2</v>
      </c>
      <c r="R1432" s="2">
        <v>1</v>
      </c>
      <c r="S1432" s="2">
        <v>0</v>
      </c>
      <c r="T1432" t="s">
        <v>797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</row>
    <row r="1433" spans="1:28" hidden="1" x14ac:dyDescent="0.25">
      <c r="A1433" t="s">
        <v>25</v>
      </c>
      <c r="B1433" t="s">
        <v>26</v>
      </c>
      <c r="C1433" t="s">
        <v>27</v>
      </c>
      <c r="D1433" s="9">
        <v>45927</v>
      </c>
      <c r="E1433" s="9">
        <v>45927</v>
      </c>
      <c r="F1433" s="2">
        <v>22</v>
      </c>
      <c r="G1433" s="3" t="s">
        <v>23</v>
      </c>
      <c r="H1433">
        <v>0</v>
      </c>
      <c r="I1433" s="2">
        <v>0</v>
      </c>
      <c r="J1433" s="2">
        <v>0</v>
      </c>
      <c r="K1433" s="2">
        <v>0</v>
      </c>
      <c r="L1433" s="2">
        <v>0</v>
      </c>
      <c r="M1433">
        <v>0</v>
      </c>
      <c r="N1433">
        <v>0</v>
      </c>
      <c r="O1433" s="2">
        <v>1</v>
      </c>
      <c r="P1433" s="2">
        <v>0</v>
      </c>
      <c r="Q1433">
        <v>1</v>
      </c>
      <c r="R1433" s="2">
        <v>1</v>
      </c>
      <c r="S1433" s="2">
        <v>0</v>
      </c>
      <c r="T1433" t="s">
        <v>798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</row>
    <row r="1434" spans="1:28" hidden="1" x14ac:dyDescent="0.25">
      <c r="A1434" t="s">
        <v>33</v>
      </c>
      <c r="B1434" t="s">
        <v>34</v>
      </c>
      <c r="C1434" t="s">
        <v>35</v>
      </c>
      <c r="D1434" s="9">
        <v>45927</v>
      </c>
      <c r="E1434" s="9">
        <v>45927</v>
      </c>
      <c r="F1434" s="2">
        <v>38</v>
      </c>
      <c r="G1434" s="3" t="s">
        <v>23</v>
      </c>
      <c r="H1434">
        <v>0</v>
      </c>
      <c r="I1434" s="2">
        <v>0</v>
      </c>
      <c r="J1434" s="2">
        <v>0</v>
      </c>
      <c r="K1434" s="2">
        <v>0</v>
      </c>
      <c r="L1434" s="2">
        <v>0</v>
      </c>
      <c r="M1434">
        <v>0</v>
      </c>
      <c r="N1434">
        <v>1</v>
      </c>
      <c r="O1434" s="2">
        <v>1</v>
      </c>
      <c r="P1434" s="2">
        <v>0</v>
      </c>
      <c r="Q1434">
        <v>1</v>
      </c>
      <c r="R1434" s="2">
        <v>1</v>
      </c>
      <c r="S1434" s="2">
        <v>0</v>
      </c>
      <c r="T1434" t="s">
        <v>799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</row>
    <row r="1435" spans="1:28" hidden="1" x14ac:dyDescent="0.25">
      <c r="A1435" t="s">
        <v>37</v>
      </c>
      <c r="B1435" t="s">
        <v>57</v>
      </c>
      <c r="C1435" t="s">
        <v>39</v>
      </c>
      <c r="D1435" s="9">
        <v>45927</v>
      </c>
      <c r="E1435" s="9">
        <v>45927</v>
      </c>
      <c r="F1435" s="2">
        <v>73</v>
      </c>
      <c r="G1435" s="3" t="s">
        <v>23</v>
      </c>
      <c r="H1435">
        <v>0</v>
      </c>
      <c r="I1435" s="2">
        <v>0</v>
      </c>
      <c r="J1435" s="2">
        <v>0</v>
      </c>
      <c r="K1435" s="2">
        <v>0</v>
      </c>
      <c r="L1435" s="2">
        <v>0</v>
      </c>
      <c r="M1435">
        <v>0</v>
      </c>
      <c r="N1435">
        <v>0</v>
      </c>
      <c r="O1435" s="2">
        <v>0</v>
      </c>
      <c r="P1435" s="2">
        <v>0</v>
      </c>
      <c r="Q1435">
        <v>9</v>
      </c>
      <c r="R1435" s="2">
        <v>1</v>
      </c>
      <c r="S1435" s="2">
        <v>0</v>
      </c>
      <c r="T1435" t="s">
        <v>800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1</v>
      </c>
      <c r="AB1435" s="2">
        <v>0</v>
      </c>
    </row>
    <row r="1436" spans="1:28" hidden="1" x14ac:dyDescent="0.25">
      <c r="A1436" t="s">
        <v>29</v>
      </c>
      <c r="B1436" t="s">
        <v>30</v>
      </c>
      <c r="C1436" t="s">
        <v>39</v>
      </c>
      <c r="D1436" s="9">
        <v>45927</v>
      </c>
      <c r="E1436" s="9">
        <v>45927</v>
      </c>
      <c r="F1436" s="2">
        <v>73</v>
      </c>
      <c r="G1436" s="3" t="s">
        <v>23</v>
      </c>
      <c r="H1436">
        <v>0</v>
      </c>
      <c r="I1436" s="2">
        <v>0</v>
      </c>
      <c r="J1436" s="2">
        <v>0</v>
      </c>
      <c r="K1436" s="2">
        <v>0</v>
      </c>
      <c r="L1436" s="2">
        <v>0</v>
      </c>
      <c r="M1436">
        <v>0</v>
      </c>
      <c r="N1436">
        <v>0</v>
      </c>
      <c r="O1436" s="2">
        <v>1</v>
      </c>
      <c r="P1436" s="2">
        <v>0</v>
      </c>
      <c r="Q1436">
        <v>2</v>
      </c>
      <c r="R1436" s="2">
        <v>1</v>
      </c>
      <c r="S1436" s="2">
        <v>0</v>
      </c>
      <c r="T1436" t="s">
        <v>800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</row>
    <row r="1437" spans="1:28" hidden="1" x14ac:dyDescent="0.25">
      <c r="A1437" t="s">
        <v>568</v>
      </c>
      <c r="B1437" t="s">
        <v>47</v>
      </c>
      <c r="C1437" t="s">
        <v>212</v>
      </c>
      <c r="D1437" s="9">
        <v>45927</v>
      </c>
      <c r="E1437" s="9">
        <v>45927</v>
      </c>
      <c r="F1437" s="2">
        <v>0</v>
      </c>
      <c r="G1437" s="3" t="s">
        <v>378</v>
      </c>
      <c r="H1437">
        <v>0</v>
      </c>
      <c r="I1437" s="2">
        <v>0</v>
      </c>
      <c r="J1437" s="2">
        <v>0</v>
      </c>
      <c r="K1437" s="2">
        <v>0</v>
      </c>
      <c r="L1437" s="2">
        <v>0</v>
      </c>
      <c r="M1437">
        <v>0</v>
      </c>
      <c r="N1437">
        <v>0</v>
      </c>
      <c r="O1437" s="2">
        <v>0</v>
      </c>
      <c r="P1437" s="2">
        <v>0</v>
      </c>
      <c r="Q1437">
        <v>0</v>
      </c>
      <c r="R1437" s="2">
        <v>0</v>
      </c>
      <c r="S1437" s="2">
        <v>0</v>
      </c>
      <c r="T1437" t="s">
        <v>377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</row>
    <row r="1438" spans="1:28" hidden="1" x14ac:dyDescent="0.25">
      <c r="A1438" t="s">
        <v>20</v>
      </c>
      <c r="B1438" t="s">
        <v>21</v>
      </c>
      <c r="C1438" t="s">
        <v>212</v>
      </c>
      <c r="D1438" s="9">
        <v>45927</v>
      </c>
      <c r="E1438" s="9">
        <v>45927</v>
      </c>
      <c r="F1438" s="2">
        <v>0</v>
      </c>
      <c r="G1438" s="3" t="s">
        <v>378</v>
      </c>
      <c r="H1438">
        <v>0</v>
      </c>
      <c r="I1438" s="2">
        <v>0</v>
      </c>
      <c r="J1438" s="2">
        <v>0</v>
      </c>
      <c r="K1438" s="2">
        <v>0</v>
      </c>
      <c r="L1438" s="2">
        <v>0</v>
      </c>
      <c r="M1438">
        <v>0</v>
      </c>
      <c r="N1438">
        <v>0</v>
      </c>
      <c r="O1438" s="2">
        <v>0</v>
      </c>
      <c r="P1438" s="2">
        <v>0</v>
      </c>
      <c r="Q1438">
        <v>0</v>
      </c>
      <c r="R1438" s="2">
        <v>0</v>
      </c>
      <c r="S1438" s="2">
        <v>0</v>
      </c>
      <c r="T1438" t="s">
        <v>377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</row>
    <row r="1439" spans="1:28" hidden="1" x14ac:dyDescent="0.25">
      <c r="A1439" t="s">
        <v>53</v>
      </c>
      <c r="B1439" t="s">
        <v>38</v>
      </c>
      <c r="C1439" t="s">
        <v>212</v>
      </c>
      <c r="D1439" s="9">
        <v>45927</v>
      </c>
      <c r="E1439" s="9">
        <v>45927</v>
      </c>
      <c r="F1439" s="2">
        <v>0</v>
      </c>
      <c r="G1439" s="3" t="s">
        <v>378</v>
      </c>
      <c r="H1439">
        <v>0</v>
      </c>
      <c r="I1439" s="2">
        <v>0</v>
      </c>
      <c r="J1439" s="2">
        <v>0</v>
      </c>
      <c r="K1439" s="2">
        <v>0</v>
      </c>
      <c r="L1439" s="2">
        <v>0</v>
      </c>
      <c r="M1439">
        <v>0</v>
      </c>
      <c r="N1439">
        <v>0</v>
      </c>
      <c r="O1439" s="2">
        <v>0</v>
      </c>
      <c r="P1439" s="2">
        <v>0</v>
      </c>
      <c r="Q1439">
        <v>0</v>
      </c>
      <c r="R1439" s="2">
        <v>0</v>
      </c>
      <c r="S1439" s="2">
        <v>0</v>
      </c>
      <c r="T1439" t="s">
        <v>377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</row>
    <row r="1440" spans="1:28" hidden="1" x14ac:dyDescent="0.25">
      <c r="A1440" t="s">
        <v>47</v>
      </c>
      <c r="B1440" t="s">
        <v>52</v>
      </c>
      <c r="C1440" t="s">
        <v>212</v>
      </c>
      <c r="D1440" s="9">
        <v>45927</v>
      </c>
      <c r="E1440" s="9">
        <v>45927</v>
      </c>
      <c r="F1440" s="2">
        <v>0</v>
      </c>
      <c r="G1440" s="3" t="s">
        <v>378</v>
      </c>
      <c r="H1440">
        <v>0</v>
      </c>
      <c r="I1440" s="2">
        <v>0</v>
      </c>
      <c r="J1440" s="2">
        <v>0</v>
      </c>
      <c r="K1440" s="2">
        <v>0</v>
      </c>
      <c r="L1440" s="2">
        <v>0</v>
      </c>
      <c r="M1440">
        <v>0</v>
      </c>
      <c r="N1440">
        <v>0</v>
      </c>
      <c r="O1440" s="2">
        <v>0</v>
      </c>
      <c r="P1440" s="2">
        <v>0</v>
      </c>
      <c r="Q1440">
        <v>0</v>
      </c>
      <c r="R1440" s="2">
        <v>0</v>
      </c>
      <c r="S1440" s="2">
        <v>0</v>
      </c>
      <c r="T1440" t="s">
        <v>377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</row>
    <row r="1441" spans="1:28" hidden="1" x14ac:dyDescent="0.25">
      <c r="A1441" t="s">
        <v>56</v>
      </c>
      <c r="B1441" t="s">
        <v>47</v>
      </c>
      <c r="C1441" t="s">
        <v>64</v>
      </c>
      <c r="D1441" s="9">
        <v>45928</v>
      </c>
      <c r="E1441" s="9">
        <v>45928</v>
      </c>
      <c r="F1441" s="2">
        <v>17</v>
      </c>
      <c r="G1441" t="s">
        <v>23</v>
      </c>
      <c r="H1441">
        <v>0</v>
      </c>
      <c r="I1441" s="2">
        <v>0</v>
      </c>
      <c r="J1441" s="2">
        <v>0</v>
      </c>
      <c r="K1441" s="2">
        <v>0</v>
      </c>
      <c r="L1441" s="2">
        <v>0</v>
      </c>
      <c r="M1441">
        <v>0</v>
      </c>
      <c r="N1441">
        <v>0</v>
      </c>
      <c r="O1441" s="2">
        <v>0</v>
      </c>
      <c r="P1441" s="2">
        <v>1</v>
      </c>
      <c r="Q1441">
        <v>2</v>
      </c>
      <c r="R1441" s="2">
        <v>0</v>
      </c>
      <c r="S1441" s="2">
        <v>1</v>
      </c>
      <c r="T1441" t="s">
        <v>801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</row>
    <row r="1442" spans="1:28" hidden="1" x14ac:dyDescent="0.25">
      <c r="A1442" t="s">
        <v>730</v>
      </c>
      <c r="B1442" t="s">
        <v>47</v>
      </c>
      <c r="C1442" t="s">
        <v>64</v>
      </c>
      <c r="D1442" s="9">
        <v>45928</v>
      </c>
      <c r="E1442" s="9">
        <v>45928</v>
      </c>
      <c r="F1442" s="2">
        <v>17</v>
      </c>
      <c r="G1442" t="s">
        <v>23</v>
      </c>
      <c r="H1442">
        <v>0</v>
      </c>
      <c r="I1442" s="2">
        <v>0</v>
      </c>
      <c r="J1442" s="2">
        <v>0</v>
      </c>
      <c r="K1442" s="2">
        <v>0</v>
      </c>
      <c r="L1442" s="2">
        <v>0</v>
      </c>
      <c r="M1442">
        <v>0</v>
      </c>
      <c r="N1442">
        <v>0</v>
      </c>
      <c r="O1442" s="2">
        <v>0</v>
      </c>
      <c r="P1442" s="2">
        <v>1</v>
      </c>
      <c r="Q1442">
        <v>2</v>
      </c>
      <c r="R1442" s="2">
        <v>0</v>
      </c>
      <c r="S1442" s="2">
        <v>1</v>
      </c>
      <c r="T1442" t="s">
        <v>801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</row>
    <row r="1443" spans="1:28" hidden="1" x14ac:dyDescent="0.25">
      <c r="A1443" t="s">
        <v>25</v>
      </c>
      <c r="B1443" t="s">
        <v>26</v>
      </c>
      <c r="C1443" t="s">
        <v>27</v>
      </c>
      <c r="D1443" s="9">
        <v>45928</v>
      </c>
      <c r="E1443" s="9">
        <v>45928</v>
      </c>
      <c r="F1443" s="2">
        <v>29</v>
      </c>
      <c r="G1443" t="s">
        <v>23</v>
      </c>
      <c r="H1443">
        <v>0</v>
      </c>
      <c r="I1443" s="2">
        <v>0</v>
      </c>
      <c r="J1443" s="2">
        <v>0</v>
      </c>
      <c r="K1443" s="2">
        <v>0</v>
      </c>
      <c r="L1443" s="2">
        <v>0</v>
      </c>
      <c r="M1443">
        <v>0</v>
      </c>
      <c r="N1443">
        <v>0</v>
      </c>
      <c r="O1443" s="2">
        <v>0</v>
      </c>
      <c r="P1443" s="2">
        <v>1</v>
      </c>
      <c r="Q1443">
        <v>3</v>
      </c>
      <c r="R1443" s="2">
        <v>0</v>
      </c>
      <c r="S1443" s="2">
        <v>1</v>
      </c>
      <c r="T1443" t="s">
        <v>802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</row>
    <row r="1444" spans="1:28" hidden="1" x14ac:dyDescent="0.25">
      <c r="A1444" t="s">
        <v>29</v>
      </c>
      <c r="B1444" t="s">
        <v>30</v>
      </c>
      <c r="C1444" t="s">
        <v>31</v>
      </c>
      <c r="D1444" s="9">
        <v>45928</v>
      </c>
      <c r="E1444" s="9">
        <v>45928</v>
      </c>
      <c r="F1444" s="2">
        <v>24</v>
      </c>
      <c r="G1444" t="s">
        <v>23</v>
      </c>
      <c r="H1444">
        <v>0</v>
      </c>
      <c r="I1444" s="2">
        <v>0</v>
      </c>
      <c r="J1444" s="2">
        <v>0</v>
      </c>
      <c r="K1444" s="2">
        <v>0</v>
      </c>
      <c r="L1444" s="2">
        <v>0</v>
      </c>
      <c r="M1444">
        <v>0</v>
      </c>
      <c r="N1444">
        <v>0</v>
      </c>
      <c r="O1444" s="2">
        <v>0</v>
      </c>
      <c r="P1444" s="2">
        <v>1</v>
      </c>
      <c r="Q1444">
        <v>1</v>
      </c>
      <c r="R1444" s="2">
        <v>0</v>
      </c>
      <c r="S1444" s="2">
        <v>1</v>
      </c>
      <c r="T1444" t="s">
        <v>803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</row>
    <row r="1445" spans="1:28" hidden="1" x14ac:dyDescent="0.25">
      <c r="A1445" t="s">
        <v>33</v>
      </c>
      <c r="B1445" t="s">
        <v>34</v>
      </c>
      <c r="C1445" t="s">
        <v>35</v>
      </c>
      <c r="D1445" s="9">
        <v>45928</v>
      </c>
      <c r="E1445" s="9">
        <v>45928</v>
      </c>
      <c r="F1445" s="2">
        <v>35</v>
      </c>
      <c r="G1445" t="s">
        <v>23</v>
      </c>
      <c r="H1445">
        <v>0</v>
      </c>
      <c r="I1445" s="2">
        <v>0</v>
      </c>
      <c r="J1445" s="2">
        <v>0</v>
      </c>
      <c r="K1445" s="2">
        <v>0</v>
      </c>
      <c r="L1445" s="2">
        <v>0</v>
      </c>
      <c r="M1445">
        <v>0</v>
      </c>
      <c r="N1445">
        <v>0</v>
      </c>
      <c r="O1445" s="2">
        <v>0</v>
      </c>
      <c r="P1445" s="2">
        <v>1</v>
      </c>
      <c r="Q1445">
        <v>0</v>
      </c>
      <c r="R1445" s="2">
        <v>0</v>
      </c>
      <c r="S1445" s="2">
        <v>1</v>
      </c>
      <c r="T1445" t="s">
        <v>804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</row>
    <row r="1446" spans="1:28" hidden="1" x14ac:dyDescent="0.25">
      <c r="A1446" t="s">
        <v>37</v>
      </c>
      <c r="B1446" t="s">
        <v>57</v>
      </c>
      <c r="C1446" t="s">
        <v>39</v>
      </c>
      <c r="D1446" s="9">
        <v>45928</v>
      </c>
      <c r="E1446" s="9">
        <v>45928</v>
      </c>
      <c r="F1446" s="2">
        <v>22</v>
      </c>
      <c r="G1446" t="s">
        <v>23</v>
      </c>
      <c r="H1446">
        <v>0</v>
      </c>
      <c r="I1446" s="2">
        <v>0</v>
      </c>
      <c r="J1446" s="2">
        <v>0</v>
      </c>
      <c r="K1446" s="2">
        <v>0</v>
      </c>
      <c r="L1446" s="2">
        <v>0</v>
      </c>
      <c r="M1446">
        <v>0</v>
      </c>
      <c r="N1446">
        <v>0</v>
      </c>
      <c r="O1446" s="2">
        <v>0</v>
      </c>
      <c r="P1446" s="2">
        <v>0</v>
      </c>
      <c r="Q1446">
        <v>5</v>
      </c>
      <c r="R1446" s="2">
        <v>0</v>
      </c>
      <c r="S1446" s="2">
        <v>1</v>
      </c>
      <c r="T1446" t="s">
        <v>805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1</v>
      </c>
    </row>
    <row r="1447" spans="1:28" hidden="1" x14ac:dyDescent="0.25">
      <c r="A1447" t="s">
        <v>568</v>
      </c>
      <c r="B1447" t="s">
        <v>47</v>
      </c>
      <c r="C1447" t="s">
        <v>212</v>
      </c>
      <c r="D1447" s="9">
        <v>45928</v>
      </c>
      <c r="E1447" s="9">
        <v>45928</v>
      </c>
      <c r="F1447" s="2">
        <v>0</v>
      </c>
      <c r="G1447" s="3" t="s">
        <v>378</v>
      </c>
      <c r="H1447">
        <v>0</v>
      </c>
      <c r="I1447" s="2">
        <v>0</v>
      </c>
      <c r="J1447" s="2">
        <v>0</v>
      </c>
      <c r="K1447" s="2">
        <v>0</v>
      </c>
      <c r="L1447" s="2">
        <v>0</v>
      </c>
      <c r="M1447">
        <v>0</v>
      </c>
      <c r="N1447">
        <v>0</v>
      </c>
      <c r="O1447" s="2">
        <v>0</v>
      </c>
      <c r="P1447" s="2">
        <v>0</v>
      </c>
      <c r="Q1447">
        <v>0</v>
      </c>
      <c r="R1447" s="2">
        <v>0</v>
      </c>
      <c r="S1447" s="2">
        <v>0</v>
      </c>
      <c r="T1447" t="s">
        <v>377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</row>
    <row r="1448" spans="1:28" hidden="1" x14ac:dyDescent="0.25">
      <c r="A1448" t="s">
        <v>20</v>
      </c>
      <c r="B1448" t="s">
        <v>21</v>
      </c>
      <c r="C1448" t="s">
        <v>212</v>
      </c>
      <c r="D1448" s="9">
        <v>45928</v>
      </c>
      <c r="E1448" s="9">
        <v>45928</v>
      </c>
      <c r="F1448" s="2">
        <v>0</v>
      </c>
      <c r="G1448" s="3" t="s">
        <v>378</v>
      </c>
      <c r="H1448">
        <v>0</v>
      </c>
      <c r="I1448" s="2">
        <v>0</v>
      </c>
      <c r="J1448" s="2">
        <v>0</v>
      </c>
      <c r="K1448" s="2">
        <v>0</v>
      </c>
      <c r="L1448" s="2">
        <v>0</v>
      </c>
      <c r="M1448">
        <v>0</v>
      </c>
      <c r="N1448">
        <v>0</v>
      </c>
      <c r="O1448" s="2">
        <v>0</v>
      </c>
      <c r="P1448" s="2">
        <v>0</v>
      </c>
      <c r="Q1448">
        <v>0</v>
      </c>
      <c r="R1448" s="2">
        <v>0</v>
      </c>
      <c r="S1448" s="2">
        <v>0</v>
      </c>
      <c r="T1448" t="s">
        <v>377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</row>
    <row r="1449" spans="1:28" hidden="1" x14ac:dyDescent="0.25">
      <c r="A1449" t="s">
        <v>53</v>
      </c>
      <c r="B1449" t="s">
        <v>38</v>
      </c>
      <c r="C1449" t="s">
        <v>212</v>
      </c>
      <c r="D1449" s="9">
        <v>45928</v>
      </c>
      <c r="E1449" s="9">
        <v>45928</v>
      </c>
      <c r="F1449" s="2">
        <v>0</v>
      </c>
      <c r="G1449" s="3" t="s">
        <v>378</v>
      </c>
      <c r="H1449">
        <v>0</v>
      </c>
      <c r="I1449" s="2">
        <v>0</v>
      </c>
      <c r="J1449" s="2">
        <v>0</v>
      </c>
      <c r="K1449" s="2">
        <v>0</v>
      </c>
      <c r="L1449" s="2">
        <v>0</v>
      </c>
      <c r="M1449">
        <v>0</v>
      </c>
      <c r="N1449">
        <v>0</v>
      </c>
      <c r="O1449" s="2">
        <v>0</v>
      </c>
      <c r="P1449" s="2">
        <v>0</v>
      </c>
      <c r="Q1449">
        <v>0</v>
      </c>
      <c r="R1449" s="2">
        <v>0</v>
      </c>
      <c r="S1449" s="2">
        <v>0</v>
      </c>
      <c r="T1449" t="s">
        <v>377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</row>
    <row r="1450" spans="1:28" hidden="1" x14ac:dyDescent="0.25">
      <c r="A1450" t="s">
        <v>47</v>
      </c>
      <c r="B1450" t="s">
        <v>52</v>
      </c>
      <c r="C1450" t="s">
        <v>212</v>
      </c>
      <c r="D1450" s="9">
        <v>45928</v>
      </c>
      <c r="E1450" s="9">
        <v>45928</v>
      </c>
      <c r="F1450" s="2">
        <v>0</v>
      </c>
      <c r="G1450" s="3" t="s">
        <v>378</v>
      </c>
      <c r="H1450">
        <v>0</v>
      </c>
      <c r="I1450" s="2">
        <v>0</v>
      </c>
      <c r="J1450" s="2">
        <v>0</v>
      </c>
      <c r="K1450" s="2">
        <v>0</v>
      </c>
      <c r="L1450" s="2">
        <v>0</v>
      </c>
      <c r="M1450">
        <v>0</v>
      </c>
      <c r="N1450">
        <v>0</v>
      </c>
      <c r="O1450" s="2">
        <v>0</v>
      </c>
      <c r="P1450" s="2">
        <v>0</v>
      </c>
      <c r="Q1450">
        <v>0</v>
      </c>
      <c r="R1450" s="2">
        <v>0</v>
      </c>
      <c r="S1450" s="2">
        <v>0</v>
      </c>
      <c r="T1450" t="s">
        <v>377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</row>
    <row r="1451" spans="1:28" hidden="1" x14ac:dyDescent="0.25">
      <c r="A1451" t="s">
        <v>20</v>
      </c>
      <c r="B1451" t="s">
        <v>21</v>
      </c>
      <c r="C1451" t="s">
        <v>22</v>
      </c>
      <c r="D1451" s="1">
        <v>45929</v>
      </c>
      <c r="E1451" s="1">
        <v>45929</v>
      </c>
      <c r="F1451" s="2">
        <v>27</v>
      </c>
      <c r="G1451" s="3" t="s">
        <v>23</v>
      </c>
      <c r="H1451">
        <v>8</v>
      </c>
      <c r="I1451" s="2">
        <v>0</v>
      </c>
      <c r="J1451" s="2">
        <v>0</v>
      </c>
      <c r="K1451" s="2">
        <v>0</v>
      </c>
      <c r="L1451" s="2">
        <v>0</v>
      </c>
      <c r="M1451">
        <v>0</v>
      </c>
      <c r="N1451">
        <v>0</v>
      </c>
      <c r="O1451" s="2">
        <v>0</v>
      </c>
      <c r="P1451" s="2">
        <v>0</v>
      </c>
      <c r="Q1451">
        <v>0</v>
      </c>
      <c r="R1451" s="2">
        <v>0</v>
      </c>
      <c r="S1451" s="2">
        <v>0</v>
      </c>
      <c r="T1451" t="s">
        <v>806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</row>
    <row r="1452" spans="1:28" hidden="1" x14ac:dyDescent="0.25">
      <c r="A1452" t="s">
        <v>33</v>
      </c>
      <c r="B1452" t="s">
        <v>34</v>
      </c>
      <c r="C1452" t="s">
        <v>35</v>
      </c>
      <c r="D1452" s="1">
        <v>45929</v>
      </c>
      <c r="E1452" s="1">
        <v>45929</v>
      </c>
      <c r="F1452" s="2">
        <v>27</v>
      </c>
      <c r="G1452" s="3" t="s">
        <v>23</v>
      </c>
      <c r="H1452">
        <v>2</v>
      </c>
      <c r="I1452" s="2">
        <v>0</v>
      </c>
      <c r="J1452" s="2">
        <v>0</v>
      </c>
      <c r="K1452" s="2">
        <v>0</v>
      </c>
      <c r="L1452" s="2">
        <v>0</v>
      </c>
      <c r="M1452">
        <v>1</v>
      </c>
      <c r="N1452">
        <v>1</v>
      </c>
      <c r="O1452" s="2">
        <v>0</v>
      </c>
      <c r="P1452" s="2">
        <v>0</v>
      </c>
      <c r="Q1452">
        <v>0</v>
      </c>
      <c r="R1452" s="2">
        <v>0</v>
      </c>
      <c r="S1452" s="2">
        <v>0</v>
      </c>
      <c r="T1452" t="s">
        <v>807</v>
      </c>
      <c r="U1452" s="2">
        <v>0</v>
      </c>
      <c r="V1452" s="2">
        <v>10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</row>
    <row r="1453" spans="1:28" hidden="1" x14ac:dyDescent="0.25">
      <c r="A1453" t="s">
        <v>25</v>
      </c>
      <c r="B1453" t="s">
        <v>26</v>
      </c>
      <c r="C1453" t="s">
        <v>35</v>
      </c>
      <c r="D1453" s="1">
        <v>45929</v>
      </c>
      <c r="E1453" s="1">
        <v>45929</v>
      </c>
      <c r="F1453" s="2">
        <v>27</v>
      </c>
      <c r="G1453" s="3" t="s">
        <v>23</v>
      </c>
      <c r="H1453">
        <v>13</v>
      </c>
      <c r="I1453" s="2">
        <v>0</v>
      </c>
      <c r="J1453" s="2">
        <v>0</v>
      </c>
      <c r="K1453" s="2">
        <v>0</v>
      </c>
      <c r="L1453" s="2">
        <v>0</v>
      </c>
      <c r="M1453">
        <v>0</v>
      </c>
      <c r="N1453">
        <v>0</v>
      </c>
      <c r="O1453" s="2">
        <v>0</v>
      </c>
      <c r="P1453" s="2">
        <v>0</v>
      </c>
      <c r="Q1453">
        <v>0</v>
      </c>
      <c r="R1453" s="2">
        <v>0</v>
      </c>
      <c r="S1453" s="2">
        <v>0</v>
      </c>
      <c r="T1453" t="s">
        <v>807</v>
      </c>
      <c r="U1453" s="2">
        <v>0</v>
      </c>
      <c r="V1453" s="2">
        <v>4</v>
      </c>
      <c r="W1453" s="2">
        <v>1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</row>
    <row r="1454" spans="1:28" hidden="1" x14ac:dyDescent="0.25">
      <c r="A1454" t="s">
        <v>53</v>
      </c>
      <c r="B1454" t="s">
        <v>47</v>
      </c>
      <c r="C1454" t="s">
        <v>35</v>
      </c>
      <c r="D1454" s="1">
        <v>45929</v>
      </c>
      <c r="E1454" s="1">
        <v>45929</v>
      </c>
      <c r="F1454" s="2">
        <v>27</v>
      </c>
      <c r="G1454" s="3" t="s">
        <v>23</v>
      </c>
      <c r="H1454">
        <v>7</v>
      </c>
      <c r="I1454" s="2">
        <v>0</v>
      </c>
      <c r="J1454" s="2">
        <v>0</v>
      </c>
      <c r="K1454" s="2">
        <v>0</v>
      </c>
      <c r="L1454" s="2">
        <v>0</v>
      </c>
      <c r="M1454">
        <v>0</v>
      </c>
      <c r="N1454">
        <v>0</v>
      </c>
      <c r="O1454" s="2">
        <v>0</v>
      </c>
      <c r="P1454" s="2">
        <v>0</v>
      </c>
      <c r="Q1454">
        <v>0</v>
      </c>
      <c r="R1454" s="2">
        <v>0</v>
      </c>
      <c r="S1454" s="2">
        <v>0</v>
      </c>
      <c r="T1454" t="s">
        <v>807</v>
      </c>
      <c r="U1454" s="2">
        <v>0</v>
      </c>
      <c r="V1454" s="2">
        <v>6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</row>
    <row r="1455" spans="1:28" hidden="1" x14ac:dyDescent="0.25">
      <c r="A1455" t="s">
        <v>568</v>
      </c>
      <c r="B1455" t="s">
        <v>47</v>
      </c>
      <c r="C1455" t="s">
        <v>35</v>
      </c>
      <c r="D1455" s="1">
        <v>45929</v>
      </c>
      <c r="E1455" s="1">
        <v>45929</v>
      </c>
      <c r="F1455" s="2">
        <v>27</v>
      </c>
      <c r="G1455" s="3" t="s">
        <v>23</v>
      </c>
      <c r="H1455">
        <v>7</v>
      </c>
      <c r="I1455" s="2">
        <v>0</v>
      </c>
      <c r="J1455" s="2">
        <v>0</v>
      </c>
      <c r="K1455" s="2">
        <v>0</v>
      </c>
      <c r="L1455" s="2">
        <v>0</v>
      </c>
      <c r="M1455">
        <v>0</v>
      </c>
      <c r="N1455">
        <v>0</v>
      </c>
      <c r="O1455" s="2">
        <v>0</v>
      </c>
      <c r="P1455" s="2">
        <v>0</v>
      </c>
      <c r="Q1455">
        <v>0</v>
      </c>
      <c r="R1455" s="2">
        <v>0</v>
      </c>
      <c r="S1455" s="2">
        <v>0</v>
      </c>
      <c r="T1455" t="s">
        <v>807</v>
      </c>
      <c r="U1455" s="2">
        <v>0</v>
      </c>
      <c r="V1455" s="2">
        <v>6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</row>
    <row r="1456" spans="1:28" hidden="1" x14ac:dyDescent="0.25">
      <c r="A1456" t="s">
        <v>56</v>
      </c>
      <c r="B1456" t="s">
        <v>47</v>
      </c>
      <c r="C1456" t="s">
        <v>35</v>
      </c>
      <c r="D1456" s="1">
        <v>45929</v>
      </c>
      <c r="E1456" s="1">
        <v>45929</v>
      </c>
      <c r="F1456" s="2">
        <v>27</v>
      </c>
      <c r="G1456" s="3" t="s">
        <v>572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t="s">
        <v>807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</row>
    <row r="1457" spans="1:28" hidden="1" x14ac:dyDescent="0.25">
      <c r="A1457" t="s">
        <v>730</v>
      </c>
      <c r="B1457" t="s">
        <v>47</v>
      </c>
      <c r="C1457" t="s">
        <v>35</v>
      </c>
      <c r="D1457" s="1">
        <v>45929</v>
      </c>
      <c r="E1457" s="1">
        <v>45929</v>
      </c>
      <c r="F1457" s="2">
        <v>27</v>
      </c>
      <c r="G1457" s="3" t="s">
        <v>572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t="s">
        <v>807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</row>
    <row r="1458" spans="1:28" hidden="1" x14ac:dyDescent="0.25">
      <c r="A1458" t="s">
        <v>37</v>
      </c>
      <c r="B1458" t="s">
        <v>57</v>
      </c>
      <c r="C1458" t="s">
        <v>35</v>
      </c>
      <c r="D1458" s="1">
        <v>45929</v>
      </c>
      <c r="E1458" s="1">
        <v>45929</v>
      </c>
      <c r="F1458" s="2">
        <v>27</v>
      </c>
      <c r="G1458" s="3" t="s">
        <v>572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t="s">
        <v>807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</row>
    <row r="1459" spans="1:28" hidden="1" x14ac:dyDescent="0.25">
      <c r="A1459" t="s">
        <v>29</v>
      </c>
      <c r="B1459" t="s">
        <v>30</v>
      </c>
      <c r="C1459" t="s">
        <v>35</v>
      </c>
      <c r="D1459" s="1">
        <v>45929</v>
      </c>
      <c r="E1459" s="1">
        <v>45929</v>
      </c>
      <c r="F1459" s="2">
        <v>27</v>
      </c>
      <c r="G1459" s="3" t="s">
        <v>572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t="s">
        <v>807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</row>
    <row r="1460" spans="1:28" hidden="1" x14ac:dyDescent="0.25">
      <c r="A1460" t="s">
        <v>47</v>
      </c>
      <c r="B1460" t="s">
        <v>38</v>
      </c>
      <c r="C1460" t="s">
        <v>212</v>
      </c>
      <c r="D1460" s="1">
        <v>45929</v>
      </c>
      <c r="E1460" s="1">
        <v>45929</v>
      </c>
      <c r="F1460" s="2">
        <v>0</v>
      </c>
      <c r="G1460" s="3" t="s">
        <v>808</v>
      </c>
      <c r="H1460">
        <v>0</v>
      </c>
      <c r="I1460" s="2">
        <v>0</v>
      </c>
      <c r="J1460" s="2">
        <v>0</v>
      </c>
      <c r="K1460" s="2">
        <v>0</v>
      </c>
      <c r="L1460" s="2">
        <v>0</v>
      </c>
      <c r="M1460">
        <v>0</v>
      </c>
      <c r="N1460">
        <v>0</v>
      </c>
      <c r="O1460" s="2">
        <v>0</v>
      </c>
      <c r="P1460" s="2">
        <v>0</v>
      </c>
      <c r="Q1460">
        <v>0</v>
      </c>
      <c r="R1460" s="2">
        <v>0</v>
      </c>
      <c r="S1460" s="2">
        <v>0</v>
      </c>
      <c r="T1460" t="s">
        <v>377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</row>
    <row r="1461" spans="1:28" hidden="1" x14ac:dyDescent="0.25">
      <c r="A1461" t="s">
        <v>47</v>
      </c>
      <c r="B1461" t="s">
        <v>52</v>
      </c>
      <c r="C1461" t="s">
        <v>212</v>
      </c>
      <c r="D1461" s="1">
        <v>45929</v>
      </c>
      <c r="E1461" s="1">
        <v>45929</v>
      </c>
      <c r="F1461" s="2">
        <v>0</v>
      </c>
      <c r="G1461" s="3" t="s">
        <v>572</v>
      </c>
      <c r="H1461">
        <v>0</v>
      </c>
      <c r="I1461" s="2">
        <v>0</v>
      </c>
      <c r="J1461" s="2">
        <v>0</v>
      </c>
      <c r="K1461" s="2">
        <v>0</v>
      </c>
      <c r="L1461" s="2">
        <v>0</v>
      </c>
      <c r="M1461">
        <v>0</v>
      </c>
      <c r="N1461">
        <v>0</v>
      </c>
      <c r="O1461" s="2">
        <v>0</v>
      </c>
      <c r="P1461" s="2">
        <v>0</v>
      </c>
      <c r="Q1461">
        <v>0</v>
      </c>
      <c r="R1461" s="2">
        <v>0</v>
      </c>
      <c r="S1461" s="2">
        <v>0</v>
      </c>
      <c r="T1461" t="s">
        <v>377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</row>
    <row r="1462" spans="1:28" hidden="1" x14ac:dyDescent="0.25">
      <c r="A1462" t="s">
        <v>56</v>
      </c>
      <c r="B1462" t="s">
        <v>47</v>
      </c>
      <c r="C1462" t="s">
        <v>64</v>
      </c>
      <c r="D1462" s="1">
        <v>45930</v>
      </c>
      <c r="E1462" s="1">
        <v>45930</v>
      </c>
      <c r="F1462" s="2">
        <v>27</v>
      </c>
      <c r="G1462" s="3" t="s">
        <v>23</v>
      </c>
      <c r="H1462">
        <v>18</v>
      </c>
      <c r="I1462" s="2">
        <v>0</v>
      </c>
      <c r="J1462" s="2">
        <v>0</v>
      </c>
      <c r="K1462" s="2">
        <v>1</v>
      </c>
      <c r="L1462" s="2">
        <v>0</v>
      </c>
      <c r="M1462">
        <v>1</v>
      </c>
      <c r="N1462">
        <v>0</v>
      </c>
      <c r="O1462" s="2">
        <v>0</v>
      </c>
      <c r="P1462" s="2">
        <v>0</v>
      </c>
      <c r="Q1462">
        <v>0</v>
      </c>
      <c r="R1462" s="2">
        <v>0</v>
      </c>
      <c r="S1462" s="2">
        <v>0</v>
      </c>
      <c r="T1462" t="s">
        <v>809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</row>
    <row r="1463" spans="1:28" hidden="1" x14ac:dyDescent="0.25">
      <c r="A1463" t="s">
        <v>730</v>
      </c>
      <c r="B1463" t="s">
        <v>47</v>
      </c>
      <c r="C1463" t="s">
        <v>64</v>
      </c>
      <c r="D1463" s="1">
        <v>45930</v>
      </c>
      <c r="E1463" s="1">
        <v>45930</v>
      </c>
      <c r="F1463" s="2">
        <v>27</v>
      </c>
      <c r="G1463" s="3" t="s">
        <v>23</v>
      </c>
      <c r="H1463">
        <v>18</v>
      </c>
      <c r="I1463" s="2">
        <v>0</v>
      </c>
      <c r="J1463" s="2">
        <v>0</v>
      </c>
      <c r="K1463" s="2">
        <v>1</v>
      </c>
      <c r="L1463" s="2">
        <v>0</v>
      </c>
      <c r="M1463">
        <v>1</v>
      </c>
      <c r="N1463">
        <v>0</v>
      </c>
      <c r="O1463" s="2">
        <v>0</v>
      </c>
      <c r="P1463" s="2">
        <v>0</v>
      </c>
      <c r="Q1463">
        <v>0</v>
      </c>
      <c r="R1463" s="2">
        <v>0</v>
      </c>
      <c r="S1463" s="2">
        <v>0</v>
      </c>
      <c r="T1463" t="s">
        <v>809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</row>
    <row r="1464" spans="1:28" hidden="1" x14ac:dyDescent="0.25">
      <c r="A1464" t="s">
        <v>25</v>
      </c>
      <c r="B1464" t="s">
        <v>26</v>
      </c>
      <c r="C1464" t="s">
        <v>27</v>
      </c>
      <c r="D1464" s="1">
        <v>45930</v>
      </c>
      <c r="E1464" s="1">
        <v>45930</v>
      </c>
      <c r="F1464" s="2">
        <v>22</v>
      </c>
      <c r="G1464" s="3" t="s">
        <v>23</v>
      </c>
      <c r="H1464">
        <v>16</v>
      </c>
      <c r="I1464" s="2">
        <v>0</v>
      </c>
      <c r="J1464" s="2">
        <v>0</v>
      </c>
      <c r="K1464" s="2">
        <v>1</v>
      </c>
      <c r="L1464" s="2">
        <v>0</v>
      </c>
      <c r="M1464">
        <v>0</v>
      </c>
      <c r="N1464">
        <v>0</v>
      </c>
      <c r="O1464" s="2">
        <v>0</v>
      </c>
      <c r="P1464" s="2">
        <v>0</v>
      </c>
      <c r="Q1464">
        <v>0</v>
      </c>
      <c r="R1464" s="2">
        <v>0</v>
      </c>
      <c r="S1464" s="2">
        <v>0</v>
      </c>
      <c r="T1464" t="s">
        <v>810</v>
      </c>
      <c r="U1464" s="2">
        <v>0</v>
      </c>
      <c r="V1464" s="2">
        <v>22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</row>
    <row r="1465" spans="1:28" hidden="1" x14ac:dyDescent="0.25">
      <c r="A1465" t="s">
        <v>33</v>
      </c>
      <c r="B1465" t="s">
        <v>34</v>
      </c>
      <c r="C1465" t="s">
        <v>35</v>
      </c>
      <c r="D1465" s="1">
        <v>45930</v>
      </c>
      <c r="E1465" s="1">
        <v>45930</v>
      </c>
      <c r="F1465" s="2">
        <v>29</v>
      </c>
      <c r="G1465" s="3" t="s">
        <v>23</v>
      </c>
      <c r="H1465">
        <v>28</v>
      </c>
      <c r="I1465" s="2">
        <v>0</v>
      </c>
      <c r="J1465" s="2">
        <v>0</v>
      </c>
      <c r="K1465" s="2">
        <v>1</v>
      </c>
      <c r="L1465" s="2">
        <v>0</v>
      </c>
      <c r="M1465">
        <v>0</v>
      </c>
      <c r="N1465">
        <v>0</v>
      </c>
      <c r="O1465" s="2">
        <v>0</v>
      </c>
      <c r="P1465" s="2">
        <v>0</v>
      </c>
      <c r="Q1465">
        <v>0</v>
      </c>
      <c r="R1465" s="2">
        <v>0</v>
      </c>
      <c r="S1465" s="2">
        <v>0</v>
      </c>
      <c r="T1465" t="s">
        <v>811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</row>
    <row r="1466" spans="1:28" hidden="1" x14ac:dyDescent="0.25">
      <c r="A1466" t="s">
        <v>37</v>
      </c>
      <c r="B1466" t="s">
        <v>57</v>
      </c>
      <c r="C1466" t="s">
        <v>39</v>
      </c>
      <c r="D1466" s="1">
        <v>45930</v>
      </c>
      <c r="E1466" s="1">
        <v>45930</v>
      </c>
      <c r="F1466" s="2">
        <v>30</v>
      </c>
      <c r="G1466" s="3" t="s">
        <v>23</v>
      </c>
      <c r="H1466">
        <v>47</v>
      </c>
      <c r="I1466" s="2">
        <v>0</v>
      </c>
      <c r="J1466" s="2">
        <v>0</v>
      </c>
      <c r="K1466" s="2">
        <v>1</v>
      </c>
      <c r="L1466" s="2">
        <v>0</v>
      </c>
      <c r="M1466">
        <v>0</v>
      </c>
      <c r="N1466">
        <v>1</v>
      </c>
      <c r="O1466" s="2">
        <v>0</v>
      </c>
      <c r="P1466" s="2">
        <v>0</v>
      </c>
      <c r="Q1466">
        <v>0</v>
      </c>
      <c r="R1466" s="2">
        <v>0</v>
      </c>
      <c r="S1466" s="2">
        <v>0</v>
      </c>
      <c r="T1466" t="s">
        <v>812</v>
      </c>
      <c r="U1466" s="2">
        <v>0</v>
      </c>
      <c r="V1466" s="2">
        <v>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</row>
    <row r="1467" spans="1:28" hidden="1" x14ac:dyDescent="0.25">
      <c r="A1467" t="s">
        <v>29</v>
      </c>
      <c r="B1467" t="s">
        <v>30</v>
      </c>
      <c r="C1467" t="s">
        <v>39</v>
      </c>
      <c r="D1467" s="1">
        <v>45930</v>
      </c>
      <c r="E1467" s="1">
        <v>45930</v>
      </c>
      <c r="F1467" s="2">
        <v>30</v>
      </c>
      <c r="G1467" s="3" t="s">
        <v>23</v>
      </c>
      <c r="H1467">
        <v>22</v>
      </c>
      <c r="I1467" s="2">
        <v>0</v>
      </c>
      <c r="J1467" s="2">
        <v>0</v>
      </c>
      <c r="K1467" s="2">
        <v>0</v>
      </c>
      <c r="L1467" s="2">
        <v>1</v>
      </c>
      <c r="M1467">
        <v>0</v>
      </c>
      <c r="N1467">
        <v>0</v>
      </c>
      <c r="O1467" s="2">
        <v>0</v>
      </c>
      <c r="P1467" s="2">
        <v>0</v>
      </c>
      <c r="Q1467">
        <v>0</v>
      </c>
      <c r="R1467" s="2">
        <v>0</v>
      </c>
      <c r="S1467" s="2">
        <v>0</v>
      </c>
      <c r="T1467" t="s">
        <v>812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</row>
    <row r="1468" spans="1:28" hidden="1" x14ac:dyDescent="0.25">
      <c r="A1468" t="s">
        <v>53</v>
      </c>
      <c r="B1468" t="s">
        <v>568</v>
      </c>
      <c r="C1468" t="s">
        <v>35</v>
      </c>
      <c r="D1468" s="1">
        <v>45930</v>
      </c>
      <c r="E1468" s="1">
        <v>45930</v>
      </c>
      <c r="F1468" s="2">
        <v>27</v>
      </c>
      <c r="G1468" s="3" t="s">
        <v>48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t="s">
        <v>807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</row>
    <row r="1469" spans="1:28" hidden="1" x14ac:dyDescent="0.25">
      <c r="A1469" t="s">
        <v>568</v>
      </c>
      <c r="B1469" t="s">
        <v>47</v>
      </c>
      <c r="C1469" t="s">
        <v>35</v>
      </c>
      <c r="D1469" s="1">
        <v>45930</v>
      </c>
      <c r="E1469" s="1">
        <v>45930</v>
      </c>
      <c r="F1469" s="2">
        <v>27</v>
      </c>
      <c r="G1469" s="3" t="s">
        <v>48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t="s">
        <v>807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</row>
    <row r="1470" spans="1:28" hidden="1" x14ac:dyDescent="0.25">
      <c r="A1470" t="s">
        <v>20</v>
      </c>
      <c r="B1470" t="s">
        <v>21</v>
      </c>
      <c r="C1470" t="s">
        <v>35</v>
      </c>
      <c r="D1470" s="1">
        <v>45930</v>
      </c>
      <c r="E1470" s="1">
        <v>45930</v>
      </c>
      <c r="F1470" s="2">
        <v>27</v>
      </c>
      <c r="G1470" s="3" t="s">
        <v>48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t="s">
        <v>807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</row>
    <row r="1471" spans="1:28" hidden="1" x14ac:dyDescent="0.25">
      <c r="A1471" t="s">
        <v>47</v>
      </c>
      <c r="B1471" t="s">
        <v>38</v>
      </c>
      <c r="C1471" t="s">
        <v>212</v>
      </c>
      <c r="D1471" s="1">
        <v>45930</v>
      </c>
      <c r="E1471" s="1">
        <v>45930</v>
      </c>
      <c r="F1471" s="2">
        <v>0</v>
      </c>
      <c r="G1471" s="3" t="s">
        <v>808</v>
      </c>
      <c r="H1471">
        <v>0</v>
      </c>
      <c r="I1471" s="2">
        <v>0</v>
      </c>
      <c r="J1471" s="2">
        <v>0</v>
      </c>
      <c r="K1471" s="2">
        <v>0</v>
      </c>
      <c r="L1471" s="2">
        <v>0</v>
      </c>
      <c r="M1471">
        <v>0</v>
      </c>
      <c r="N1471">
        <v>0</v>
      </c>
      <c r="O1471" s="2">
        <v>0</v>
      </c>
      <c r="P1471" s="2">
        <v>0</v>
      </c>
      <c r="Q1471">
        <v>0</v>
      </c>
      <c r="R1471" s="2">
        <v>0</v>
      </c>
      <c r="S1471" s="2">
        <v>0</v>
      </c>
      <c r="T1471" t="s">
        <v>377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</row>
    <row r="1472" spans="1:28" hidden="1" x14ac:dyDescent="0.25">
      <c r="A1472" t="s">
        <v>47</v>
      </c>
      <c r="B1472" t="s">
        <v>52</v>
      </c>
      <c r="C1472" t="s">
        <v>212</v>
      </c>
      <c r="D1472" s="1">
        <v>45930</v>
      </c>
      <c r="E1472" s="1">
        <v>45930</v>
      </c>
      <c r="F1472" s="2">
        <v>0</v>
      </c>
      <c r="G1472" s="3" t="s">
        <v>572</v>
      </c>
      <c r="H1472">
        <v>0</v>
      </c>
      <c r="I1472" s="2">
        <v>0</v>
      </c>
      <c r="J1472" s="2">
        <v>0</v>
      </c>
      <c r="K1472" s="2">
        <v>0</v>
      </c>
      <c r="L1472" s="2">
        <v>0</v>
      </c>
      <c r="M1472">
        <v>0</v>
      </c>
      <c r="N1472">
        <v>0</v>
      </c>
      <c r="O1472" s="2">
        <v>0</v>
      </c>
      <c r="P1472" s="2">
        <v>0</v>
      </c>
      <c r="Q1472">
        <v>0</v>
      </c>
      <c r="R1472" s="2">
        <v>0</v>
      </c>
      <c r="S1472" s="2">
        <v>0</v>
      </c>
      <c r="T1472" t="s">
        <v>377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</row>
    <row r="1473" spans="1:28" hidden="1" x14ac:dyDescent="0.25">
      <c r="A1473" t="s">
        <v>53</v>
      </c>
      <c r="B1473" t="s">
        <v>47</v>
      </c>
      <c r="C1473" t="s">
        <v>54</v>
      </c>
      <c r="D1473" s="1">
        <v>45931</v>
      </c>
      <c r="E1473" s="1">
        <v>45931</v>
      </c>
      <c r="F1473" s="2">
        <v>53</v>
      </c>
      <c r="G1473" s="3" t="s">
        <v>23</v>
      </c>
      <c r="H1473">
        <v>60</v>
      </c>
      <c r="I1473" s="2">
        <v>0</v>
      </c>
      <c r="J1473" s="2">
        <v>0</v>
      </c>
      <c r="K1473" s="2">
        <v>1</v>
      </c>
      <c r="L1473" s="2">
        <v>0</v>
      </c>
      <c r="M1473">
        <v>0</v>
      </c>
      <c r="N1473">
        <v>0</v>
      </c>
      <c r="O1473" s="2">
        <v>0</v>
      </c>
      <c r="P1473" s="2">
        <v>0</v>
      </c>
      <c r="Q1473">
        <v>0</v>
      </c>
      <c r="R1473" s="2">
        <v>0</v>
      </c>
      <c r="S1473" s="2">
        <v>0</v>
      </c>
      <c r="T1473" t="s">
        <v>813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</row>
    <row r="1474" spans="1:28" hidden="1" x14ac:dyDescent="0.25">
      <c r="A1474" t="s">
        <v>730</v>
      </c>
      <c r="B1474" t="s">
        <v>47</v>
      </c>
      <c r="C1474" t="s">
        <v>54</v>
      </c>
      <c r="D1474" s="1">
        <v>45931</v>
      </c>
      <c r="E1474" s="1">
        <v>45931</v>
      </c>
      <c r="F1474" s="2">
        <v>53</v>
      </c>
      <c r="G1474" s="3" t="s">
        <v>23</v>
      </c>
      <c r="H1474">
        <v>60</v>
      </c>
      <c r="I1474" s="2">
        <v>0</v>
      </c>
      <c r="J1474" s="2">
        <v>0</v>
      </c>
      <c r="K1474" s="2">
        <v>1</v>
      </c>
      <c r="L1474" s="2">
        <v>0</v>
      </c>
      <c r="M1474">
        <v>0</v>
      </c>
      <c r="N1474">
        <v>0</v>
      </c>
      <c r="O1474" s="2">
        <v>0</v>
      </c>
      <c r="P1474" s="2">
        <v>0</v>
      </c>
      <c r="Q1474">
        <v>0</v>
      </c>
      <c r="R1474" s="2">
        <v>0</v>
      </c>
      <c r="S1474" s="2">
        <v>0</v>
      </c>
      <c r="T1474" t="s">
        <v>813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</row>
    <row r="1475" spans="1:28" hidden="1" x14ac:dyDescent="0.25">
      <c r="A1475" t="s">
        <v>20</v>
      </c>
      <c r="B1475" t="s">
        <v>21</v>
      </c>
      <c r="C1475" t="s">
        <v>22</v>
      </c>
      <c r="D1475" s="1">
        <v>45931</v>
      </c>
      <c r="E1475" s="1">
        <v>45931</v>
      </c>
      <c r="F1475" s="2">
        <v>28</v>
      </c>
      <c r="G1475" s="3" t="s">
        <v>23</v>
      </c>
      <c r="H1475">
        <v>56</v>
      </c>
      <c r="I1475" s="2">
        <v>0</v>
      </c>
      <c r="J1475" s="2">
        <v>0</v>
      </c>
      <c r="K1475" s="2">
        <v>1</v>
      </c>
      <c r="L1475" s="2">
        <v>0</v>
      </c>
      <c r="M1475">
        <v>0</v>
      </c>
      <c r="N1475">
        <v>0</v>
      </c>
      <c r="O1475" s="2">
        <v>0</v>
      </c>
      <c r="P1475" s="2">
        <v>0</v>
      </c>
      <c r="Q1475">
        <v>0</v>
      </c>
      <c r="R1475" s="2">
        <v>0</v>
      </c>
      <c r="S1475" s="2">
        <v>0</v>
      </c>
      <c r="T1475" t="s">
        <v>814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</row>
    <row r="1476" spans="1:28" hidden="1" x14ac:dyDescent="0.25">
      <c r="A1476" t="s">
        <v>25</v>
      </c>
      <c r="B1476" t="s">
        <v>26</v>
      </c>
      <c r="C1476" t="s">
        <v>27</v>
      </c>
      <c r="D1476" s="1">
        <v>45931</v>
      </c>
      <c r="E1476" s="1">
        <v>45931</v>
      </c>
      <c r="F1476" s="2">
        <v>111</v>
      </c>
      <c r="G1476" s="3" t="s">
        <v>23</v>
      </c>
      <c r="H1476">
        <v>3</v>
      </c>
      <c r="I1476" s="2">
        <v>0</v>
      </c>
      <c r="J1476" s="2">
        <v>0</v>
      </c>
      <c r="K1476" s="2">
        <v>0</v>
      </c>
      <c r="L1476" s="2">
        <v>0</v>
      </c>
      <c r="M1476">
        <v>1</v>
      </c>
      <c r="N1476">
        <v>0</v>
      </c>
      <c r="O1476" s="2">
        <v>0</v>
      </c>
      <c r="P1476" s="2">
        <v>0</v>
      </c>
      <c r="Q1476">
        <v>1</v>
      </c>
      <c r="R1476" s="2">
        <v>0</v>
      </c>
      <c r="S1476" s="2">
        <v>0</v>
      </c>
      <c r="T1476" t="s">
        <v>815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</row>
    <row r="1477" spans="1:28" hidden="1" x14ac:dyDescent="0.25">
      <c r="A1477" t="s">
        <v>29</v>
      </c>
      <c r="B1477" t="s">
        <v>30</v>
      </c>
      <c r="C1477" t="s">
        <v>31</v>
      </c>
      <c r="D1477" s="1">
        <v>45931</v>
      </c>
      <c r="E1477" s="1">
        <v>45931</v>
      </c>
      <c r="F1477" s="2">
        <v>21</v>
      </c>
      <c r="G1477" s="3" t="s">
        <v>23</v>
      </c>
      <c r="H1477">
        <v>12</v>
      </c>
      <c r="I1477" s="2">
        <v>0</v>
      </c>
      <c r="J1477" s="2">
        <v>0</v>
      </c>
      <c r="K1477" s="2">
        <v>0</v>
      </c>
      <c r="L1477" s="2">
        <v>1</v>
      </c>
      <c r="M1477">
        <v>0</v>
      </c>
      <c r="N1477">
        <v>0</v>
      </c>
      <c r="O1477" s="2">
        <v>0</v>
      </c>
      <c r="P1477" s="2">
        <v>0</v>
      </c>
      <c r="Q1477">
        <v>0</v>
      </c>
      <c r="R1477" s="2">
        <v>0</v>
      </c>
      <c r="S1477" s="2">
        <v>0</v>
      </c>
      <c r="T1477" t="s">
        <v>816</v>
      </c>
      <c r="U1477" s="2">
        <v>0</v>
      </c>
      <c r="V1477" s="2">
        <v>13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</row>
    <row r="1478" spans="1:28" hidden="1" x14ac:dyDescent="0.25">
      <c r="A1478" t="s">
        <v>568</v>
      </c>
      <c r="B1478" t="s">
        <v>47</v>
      </c>
      <c r="C1478" t="s">
        <v>670</v>
      </c>
      <c r="D1478" s="1">
        <v>45931</v>
      </c>
      <c r="E1478" s="1">
        <v>45931</v>
      </c>
      <c r="F1478" s="2">
        <v>20</v>
      </c>
      <c r="G1478" s="3" t="s">
        <v>23</v>
      </c>
      <c r="H1478">
        <v>32</v>
      </c>
      <c r="I1478" s="2">
        <v>0</v>
      </c>
      <c r="J1478" s="2">
        <v>0</v>
      </c>
      <c r="K1478" s="2">
        <v>1</v>
      </c>
      <c r="L1478" s="2">
        <v>0</v>
      </c>
      <c r="M1478">
        <v>0</v>
      </c>
      <c r="N1478">
        <v>0</v>
      </c>
      <c r="O1478" s="2">
        <v>0</v>
      </c>
      <c r="P1478" s="2">
        <v>0</v>
      </c>
      <c r="Q1478">
        <v>0</v>
      </c>
      <c r="R1478" s="2">
        <v>0</v>
      </c>
      <c r="S1478" s="2">
        <v>0</v>
      </c>
      <c r="T1478" t="s">
        <v>817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</row>
    <row r="1479" spans="1:28" hidden="1" x14ac:dyDescent="0.25">
      <c r="A1479" t="s">
        <v>56</v>
      </c>
      <c r="B1479" t="s">
        <v>47</v>
      </c>
      <c r="C1479" t="s">
        <v>670</v>
      </c>
      <c r="D1479" s="1">
        <v>45931</v>
      </c>
      <c r="E1479" s="1">
        <v>45931</v>
      </c>
      <c r="F1479" s="2">
        <v>20</v>
      </c>
      <c r="G1479" s="3" t="s">
        <v>23</v>
      </c>
      <c r="H1479">
        <v>32</v>
      </c>
      <c r="I1479" s="2">
        <v>0</v>
      </c>
      <c r="J1479" s="2">
        <v>0</v>
      </c>
      <c r="K1479" s="2">
        <v>1</v>
      </c>
      <c r="L1479" s="2">
        <v>0</v>
      </c>
      <c r="M1479">
        <v>0</v>
      </c>
      <c r="N1479">
        <v>0</v>
      </c>
      <c r="O1479" s="2">
        <v>0</v>
      </c>
      <c r="P1479" s="2">
        <v>0</v>
      </c>
      <c r="Q1479">
        <v>0</v>
      </c>
      <c r="R1479" s="2">
        <v>0</v>
      </c>
      <c r="S1479" s="2">
        <v>0</v>
      </c>
      <c r="T1479" t="s">
        <v>817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</row>
    <row r="1480" spans="1:28" hidden="1" x14ac:dyDescent="0.25">
      <c r="A1480" t="s">
        <v>33</v>
      </c>
      <c r="B1480" t="s">
        <v>34</v>
      </c>
      <c r="C1480" t="s">
        <v>35</v>
      </c>
      <c r="D1480" s="1">
        <v>45931</v>
      </c>
      <c r="E1480" s="1">
        <v>45931</v>
      </c>
      <c r="F1480" s="2">
        <v>27</v>
      </c>
      <c r="G1480" s="3" t="s">
        <v>23</v>
      </c>
      <c r="H1480">
        <v>25</v>
      </c>
      <c r="I1480" s="2">
        <v>0</v>
      </c>
      <c r="J1480" s="2">
        <v>0</v>
      </c>
      <c r="K1480" s="2">
        <v>1</v>
      </c>
      <c r="L1480" s="2">
        <v>0</v>
      </c>
      <c r="M1480">
        <v>0</v>
      </c>
      <c r="N1480">
        <v>0</v>
      </c>
      <c r="O1480" s="2">
        <v>0</v>
      </c>
      <c r="P1480" s="2">
        <v>0</v>
      </c>
      <c r="Q1480">
        <v>0</v>
      </c>
      <c r="R1480" s="2">
        <v>0</v>
      </c>
      <c r="S1480" s="2">
        <v>0</v>
      </c>
      <c r="T1480" t="s">
        <v>818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</row>
    <row r="1481" spans="1:28" hidden="1" x14ac:dyDescent="0.25">
      <c r="A1481" t="s">
        <v>37</v>
      </c>
      <c r="B1481" t="s">
        <v>57</v>
      </c>
      <c r="C1481" t="s">
        <v>35</v>
      </c>
      <c r="D1481" s="1">
        <v>45931</v>
      </c>
      <c r="E1481" s="1">
        <v>45931</v>
      </c>
      <c r="F1481" s="2">
        <v>27</v>
      </c>
      <c r="G1481" s="3" t="s">
        <v>572</v>
      </c>
      <c r="H1481">
        <v>0</v>
      </c>
      <c r="I1481" s="2">
        <v>0</v>
      </c>
      <c r="J1481" s="2">
        <v>0</v>
      </c>
      <c r="K1481" s="2">
        <v>0</v>
      </c>
      <c r="L1481" s="2">
        <v>0</v>
      </c>
      <c r="M1481">
        <v>0</v>
      </c>
      <c r="N1481">
        <v>0</v>
      </c>
      <c r="O1481" s="2">
        <v>0</v>
      </c>
      <c r="P1481" s="2">
        <v>0</v>
      </c>
      <c r="Q1481">
        <v>0</v>
      </c>
      <c r="R1481" s="2">
        <v>0</v>
      </c>
      <c r="S1481" s="2">
        <v>0</v>
      </c>
      <c r="T1481" t="s">
        <v>377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</row>
    <row r="1482" spans="1:28" hidden="1" x14ac:dyDescent="0.25">
      <c r="A1482" t="s">
        <v>47</v>
      </c>
      <c r="B1482" t="s">
        <v>38</v>
      </c>
      <c r="C1482" t="s">
        <v>212</v>
      </c>
      <c r="D1482" s="1">
        <v>45931</v>
      </c>
      <c r="E1482" s="1">
        <v>45931</v>
      </c>
      <c r="F1482" s="2">
        <v>0</v>
      </c>
      <c r="G1482" s="3" t="s">
        <v>808</v>
      </c>
      <c r="H1482">
        <v>0</v>
      </c>
      <c r="I1482" s="2">
        <v>0</v>
      </c>
      <c r="J1482" s="2">
        <v>0</v>
      </c>
      <c r="K1482" s="2">
        <v>0</v>
      </c>
      <c r="L1482" s="2">
        <v>0</v>
      </c>
      <c r="M1482">
        <v>0</v>
      </c>
      <c r="N1482">
        <v>0</v>
      </c>
      <c r="O1482" s="2">
        <v>0</v>
      </c>
      <c r="P1482" s="2">
        <v>0</v>
      </c>
      <c r="Q1482">
        <v>0</v>
      </c>
      <c r="R1482" s="2">
        <v>0</v>
      </c>
      <c r="S1482" s="2">
        <v>0</v>
      </c>
      <c r="T1482" t="s">
        <v>377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</row>
    <row r="1483" spans="1:28" hidden="1" x14ac:dyDescent="0.25">
      <c r="A1483" t="s">
        <v>47</v>
      </c>
      <c r="B1483" t="s">
        <v>52</v>
      </c>
      <c r="C1483" t="s">
        <v>212</v>
      </c>
      <c r="D1483" s="1">
        <v>45931</v>
      </c>
      <c r="E1483" s="1">
        <v>45931</v>
      </c>
      <c r="F1483" s="2">
        <v>0</v>
      </c>
      <c r="G1483" s="3" t="s">
        <v>572</v>
      </c>
      <c r="H1483">
        <v>0</v>
      </c>
      <c r="I1483" s="2">
        <v>0</v>
      </c>
      <c r="J1483" s="2">
        <v>0</v>
      </c>
      <c r="K1483" s="2">
        <v>0</v>
      </c>
      <c r="L1483" s="2">
        <v>0</v>
      </c>
      <c r="M1483">
        <v>0</v>
      </c>
      <c r="N1483">
        <v>0</v>
      </c>
      <c r="O1483" s="2">
        <v>0</v>
      </c>
      <c r="P1483" s="2">
        <v>0</v>
      </c>
      <c r="Q1483">
        <v>0</v>
      </c>
      <c r="R1483" s="2">
        <v>0</v>
      </c>
      <c r="S1483" s="2">
        <v>0</v>
      </c>
      <c r="T1483" t="s">
        <v>377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</row>
    <row r="1484" spans="1:28" hidden="1" x14ac:dyDescent="0.25">
      <c r="A1484" t="s">
        <v>53</v>
      </c>
      <c r="B1484" t="s">
        <v>47</v>
      </c>
      <c r="C1484" t="s">
        <v>54</v>
      </c>
      <c r="D1484" s="1">
        <v>45932</v>
      </c>
      <c r="E1484" s="1">
        <v>45932</v>
      </c>
      <c r="F1484" s="2">
        <v>55</v>
      </c>
      <c r="G1484" s="3" t="s">
        <v>23</v>
      </c>
      <c r="H1484">
        <v>48</v>
      </c>
      <c r="I1484" s="2">
        <v>0</v>
      </c>
      <c r="J1484" s="2">
        <v>0</v>
      </c>
      <c r="K1484" s="2">
        <v>1</v>
      </c>
      <c r="L1484" s="2">
        <v>0</v>
      </c>
      <c r="M1484">
        <v>0</v>
      </c>
      <c r="N1484">
        <v>0</v>
      </c>
      <c r="O1484" s="2">
        <v>0</v>
      </c>
      <c r="P1484" s="2">
        <v>0</v>
      </c>
      <c r="Q1484">
        <v>0</v>
      </c>
      <c r="R1484" s="2">
        <v>0</v>
      </c>
      <c r="S1484" s="2">
        <v>0</v>
      </c>
      <c r="T1484" t="s">
        <v>819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</row>
    <row r="1485" spans="1:28" hidden="1" x14ac:dyDescent="0.25">
      <c r="A1485" t="s">
        <v>730</v>
      </c>
      <c r="B1485" t="s">
        <v>47</v>
      </c>
      <c r="C1485" t="s">
        <v>54</v>
      </c>
      <c r="D1485" s="1">
        <v>45932</v>
      </c>
      <c r="E1485" s="1">
        <v>45932</v>
      </c>
      <c r="F1485" s="2">
        <v>55</v>
      </c>
      <c r="G1485" s="3" t="s">
        <v>23</v>
      </c>
      <c r="H1485">
        <v>48</v>
      </c>
      <c r="I1485" s="2">
        <v>0</v>
      </c>
      <c r="J1485" s="2">
        <v>0</v>
      </c>
      <c r="K1485" s="2">
        <v>1</v>
      </c>
      <c r="L1485" s="2">
        <v>0</v>
      </c>
      <c r="M1485">
        <v>0</v>
      </c>
      <c r="N1485">
        <v>0</v>
      </c>
      <c r="O1485" s="2">
        <v>0</v>
      </c>
      <c r="P1485" s="2">
        <v>0</v>
      </c>
      <c r="Q1485">
        <v>0</v>
      </c>
      <c r="R1485" s="2">
        <v>0</v>
      </c>
      <c r="S1485" s="2">
        <v>0</v>
      </c>
      <c r="T1485" t="s">
        <v>819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</row>
    <row r="1486" spans="1:28" hidden="1" x14ac:dyDescent="0.25">
      <c r="A1486" t="s">
        <v>20</v>
      </c>
      <c r="B1486" t="s">
        <v>21</v>
      </c>
      <c r="C1486" t="s">
        <v>22</v>
      </c>
      <c r="D1486" s="1">
        <v>45932</v>
      </c>
      <c r="E1486" s="1">
        <v>45932</v>
      </c>
      <c r="F1486" s="2">
        <v>40</v>
      </c>
      <c r="G1486" s="3" t="s">
        <v>23</v>
      </c>
      <c r="H1486">
        <f>18*2+12+6</f>
        <v>54</v>
      </c>
      <c r="I1486" s="2">
        <v>0</v>
      </c>
      <c r="J1486" s="2">
        <v>1</v>
      </c>
      <c r="K1486" s="2">
        <v>1</v>
      </c>
      <c r="L1486" s="2">
        <v>0</v>
      </c>
      <c r="M1486">
        <v>1</v>
      </c>
      <c r="N1486">
        <v>0</v>
      </c>
      <c r="O1486" s="2">
        <v>0</v>
      </c>
      <c r="P1486" s="2">
        <v>0</v>
      </c>
      <c r="Q1486">
        <v>0</v>
      </c>
      <c r="R1486" s="2">
        <v>0</v>
      </c>
      <c r="S1486" s="2">
        <v>0</v>
      </c>
      <c r="T1486" t="s">
        <v>820</v>
      </c>
      <c r="U1486" s="2">
        <v>0</v>
      </c>
      <c r="V1486" s="2">
        <v>4</v>
      </c>
      <c r="W1486" s="2">
        <v>5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</row>
    <row r="1487" spans="1:28" hidden="1" x14ac:dyDescent="0.25">
      <c r="A1487" t="s">
        <v>568</v>
      </c>
      <c r="B1487" t="s">
        <v>47</v>
      </c>
      <c r="C1487" t="s">
        <v>670</v>
      </c>
      <c r="D1487" s="1">
        <v>45932</v>
      </c>
      <c r="E1487" s="1">
        <v>45932</v>
      </c>
      <c r="F1487" s="2">
        <v>22</v>
      </c>
      <c r="G1487" s="3" t="s">
        <v>23</v>
      </c>
      <c r="H1487">
        <v>19</v>
      </c>
      <c r="I1487" s="2">
        <v>0</v>
      </c>
      <c r="J1487" s="2">
        <v>0</v>
      </c>
      <c r="K1487" s="2">
        <v>1</v>
      </c>
      <c r="L1487" s="2">
        <v>0</v>
      </c>
      <c r="M1487">
        <v>0</v>
      </c>
      <c r="N1487">
        <v>0</v>
      </c>
      <c r="O1487" s="2">
        <v>0</v>
      </c>
      <c r="P1487" s="2">
        <v>0</v>
      </c>
      <c r="Q1487">
        <v>0</v>
      </c>
      <c r="R1487" s="2">
        <v>0</v>
      </c>
      <c r="S1487" s="2">
        <v>0</v>
      </c>
      <c r="T1487" t="s">
        <v>821</v>
      </c>
      <c r="U1487" s="2">
        <v>0</v>
      </c>
      <c r="V1487" s="2">
        <v>15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</row>
    <row r="1488" spans="1:28" hidden="1" x14ac:dyDescent="0.25">
      <c r="A1488" t="s">
        <v>56</v>
      </c>
      <c r="B1488" t="s">
        <v>47</v>
      </c>
      <c r="C1488" t="s">
        <v>670</v>
      </c>
      <c r="D1488" s="1">
        <v>45932</v>
      </c>
      <c r="E1488" s="1">
        <v>45932</v>
      </c>
      <c r="F1488" s="2">
        <v>22</v>
      </c>
      <c r="G1488" s="3" t="s">
        <v>23</v>
      </c>
      <c r="H1488">
        <v>19</v>
      </c>
      <c r="I1488" s="2">
        <v>0</v>
      </c>
      <c r="J1488" s="2">
        <v>0</v>
      </c>
      <c r="K1488" s="2">
        <v>1</v>
      </c>
      <c r="L1488" s="2">
        <v>0</v>
      </c>
      <c r="M1488">
        <v>0</v>
      </c>
      <c r="N1488">
        <v>0</v>
      </c>
      <c r="O1488" s="2">
        <v>0</v>
      </c>
      <c r="P1488" s="2">
        <v>0</v>
      </c>
      <c r="Q1488">
        <v>0</v>
      </c>
      <c r="R1488" s="2">
        <v>0</v>
      </c>
      <c r="S1488" s="2">
        <v>0</v>
      </c>
      <c r="T1488" t="s">
        <v>821</v>
      </c>
      <c r="U1488" s="2">
        <v>0</v>
      </c>
      <c r="V1488" s="2">
        <v>15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</row>
    <row r="1489" spans="1:28" hidden="1" x14ac:dyDescent="0.25">
      <c r="A1489" t="s">
        <v>33</v>
      </c>
      <c r="B1489" t="s">
        <v>34</v>
      </c>
      <c r="C1489" t="s">
        <v>35</v>
      </c>
      <c r="D1489" s="1">
        <v>45932</v>
      </c>
      <c r="E1489" s="1">
        <v>45932</v>
      </c>
      <c r="F1489" s="2">
        <v>44</v>
      </c>
      <c r="G1489" s="3" t="s">
        <v>23</v>
      </c>
      <c r="H1489">
        <v>16</v>
      </c>
      <c r="I1489" s="2">
        <v>1</v>
      </c>
      <c r="J1489" s="2">
        <v>0</v>
      </c>
      <c r="K1489" s="2">
        <v>0</v>
      </c>
      <c r="L1489" s="2">
        <v>0</v>
      </c>
      <c r="M1489">
        <v>0</v>
      </c>
      <c r="N1489">
        <v>1</v>
      </c>
      <c r="O1489" s="2">
        <v>0</v>
      </c>
      <c r="P1489" s="2">
        <v>0</v>
      </c>
      <c r="Q1489">
        <v>0</v>
      </c>
      <c r="R1489" s="2">
        <v>0</v>
      </c>
      <c r="S1489" s="2">
        <v>0</v>
      </c>
      <c r="T1489" t="s">
        <v>822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</row>
    <row r="1490" spans="1:28" hidden="1" x14ac:dyDescent="0.25">
      <c r="A1490" t="s">
        <v>29</v>
      </c>
      <c r="B1490" t="s">
        <v>30</v>
      </c>
      <c r="C1490" t="s">
        <v>35</v>
      </c>
      <c r="D1490" s="1">
        <v>45932</v>
      </c>
      <c r="E1490" s="1">
        <v>45932</v>
      </c>
      <c r="F1490" s="2">
        <v>44</v>
      </c>
      <c r="G1490" s="3" t="s">
        <v>23</v>
      </c>
      <c r="H1490">
        <v>18</v>
      </c>
      <c r="I1490" s="2">
        <v>0</v>
      </c>
      <c r="J1490" s="2">
        <v>0</v>
      </c>
      <c r="K1490" s="2">
        <v>0</v>
      </c>
      <c r="L1490" s="2">
        <v>1</v>
      </c>
      <c r="M1490">
        <v>0</v>
      </c>
      <c r="N1490">
        <v>0</v>
      </c>
      <c r="O1490" s="2">
        <v>0</v>
      </c>
      <c r="P1490" s="2">
        <v>0</v>
      </c>
      <c r="Q1490">
        <v>0</v>
      </c>
      <c r="R1490" s="2">
        <v>0</v>
      </c>
      <c r="S1490" s="2">
        <v>0</v>
      </c>
      <c r="T1490" t="s">
        <v>822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</row>
    <row r="1491" spans="1:28" hidden="1" x14ac:dyDescent="0.25">
      <c r="A1491" t="s">
        <v>25</v>
      </c>
      <c r="B1491" t="s">
        <v>26</v>
      </c>
      <c r="C1491" t="s">
        <v>35</v>
      </c>
      <c r="D1491" s="1">
        <v>45932</v>
      </c>
      <c r="E1491" s="1">
        <v>45932</v>
      </c>
      <c r="F1491" s="2">
        <v>44</v>
      </c>
      <c r="G1491" s="3" t="s">
        <v>23</v>
      </c>
      <c r="H1491">
        <f>16*2+6</f>
        <v>38</v>
      </c>
      <c r="I1491" s="2">
        <v>0</v>
      </c>
      <c r="J1491" s="2">
        <v>0</v>
      </c>
      <c r="K1491" s="2">
        <v>1</v>
      </c>
      <c r="L1491" s="2">
        <v>0</v>
      </c>
      <c r="M1491">
        <v>0</v>
      </c>
      <c r="N1491">
        <v>0</v>
      </c>
      <c r="O1491" s="2">
        <v>0</v>
      </c>
      <c r="P1491" s="2">
        <v>0</v>
      </c>
      <c r="Q1491">
        <v>0</v>
      </c>
      <c r="R1491" s="2">
        <v>0</v>
      </c>
      <c r="S1491" s="2">
        <v>0</v>
      </c>
      <c r="T1491" t="s">
        <v>822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</row>
    <row r="1492" spans="1:28" hidden="1" x14ac:dyDescent="0.25">
      <c r="A1492" t="s">
        <v>37</v>
      </c>
      <c r="B1492" t="s">
        <v>57</v>
      </c>
      <c r="C1492" t="s">
        <v>35</v>
      </c>
      <c r="D1492" s="1">
        <v>45932</v>
      </c>
      <c r="E1492" s="1">
        <v>45932</v>
      </c>
      <c r="F1492" s="2">
        <v>44</v>
      </c>
      <c r="G1492" s="3" t="s">
        <v>23</v>
      </c>
      <c r="H1492">
        <v>0</v>
      </c>
      <c r="I1492" s="2">
        <v>0</v>
      </c>
      <c r="J1492" s="2">
        <v>0</v>
      </c>
      <c r="K1492" s="2">
        <v>0</v>
      </c>
      <c r="L1492" s="2">
        <v>0</v>
      </c>
      <c r="M1492">
        <v>0</v>
      </c>
      <c r="N1492">
        <v>0</v>
      </c>
      <c r="O1492" s="2">
        <v>0</v>
      </c>
      <c r="P1492" s="2">
        <v>0</v>
      </c>
      <c r="Q1492">
        <v>2</v>
      </c>
      <c r="R1492" s="2">
        <v>0</v>
      </c>
      <c r="S1492" s="2">
        <v>0</v>
      </c>
      <c r="T1492" t="s">
        <v>822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</row>
    <row r="1493" spans="1:28" hidden="1" x14ac:dyDescent="0.25">
      <c r="A1493" t="s">
        <v>47</v>
      </c>
      <c r="B1493" t="s">
        <v>38</v>
      </c>
      <c r="C1493" t="s">
        <v>212</v>
      </c>
      <c r="D1493" s="1">
        <v>45932</v>
      </c>
      <c r="E1493" s="1">
        <v>45932</v>
      </c>
      <c r="F1493" s="2">
        <v>0</v>
      </c>
      <c r="G1493" s="3" t="s">
        <v>808</v>
      </c>
      <c r="H1493">
        <v>0</v>
      </c>
      <c r="I1493" s="2">
        <v>0</v>
      </c>
      <c r="J1493" s="2">
        <v>0</v>
      </c>
      <c r="K1493" s="2">
        <v>0</v>
      </c>
      <c r="L1493" s="2">
        <v>0</v>
      </c>
      <c r="M1493">
        <v>0</v>
      </c>
      <c r="N1493">
        <v>0</v>
      </c>
      <c r="O1493" s="2">
        <v>0</v>
      </c>
      <c r="P1493" s="2">
        <v>0</v>
      </c>
      <c r="Q1493">
        <v>0</v>
      </c>
      <c r="R1493" s="2">
        <v>0</v>
      </c>
      <c r="S1493" s="2">
        <v>0</v>
      </c>
      <c r="T1493" t="s">
        <v>377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</row>
    <row r="1494" spans="1:28" hidden="1" x14ac:dyDescent="0.25">
      <c r="A1494" t="s">
        <v>47</v>
      </c>
      <c r="B1494" t="s">
        <v>52</v>
      </c>
      <c r="C1494" t="s">
        <v>212</v>
      </c>
      <c r="D1494" s="1">
        <v>45932</v>
      </c>
      <c r="E1494" s="1">
        <v>45932</v>
      </c>
      <c r="F1494" s="2">
        <v>0</v>
      </c>
      <c r="G1494" s="3" t="s">
        <v>572</v>
      </c>
      <c r="H1494">
        <v>0</v>
      </c>
      <c r="I1494" s="2">
        <v>0</v>
      </c>
      <c r="J1494" s="2">
        <v>0</v>
      </c>
      <c r="K1494" s="2">
        <v>0</v>
      </c>
      <c r="L1494" s="2">
        <v>0</v>
      </c>
      <c r="M1494">
        <v>0</v>
      </c>
      <c r="N1494">
        <v>0</v>
      </c>
      <c r="O1494" s="2">
        <v>0</v>
      </c>
      <c r="P1494" s="2">
        <v>0</v>
      </c>
      <c r="Q1494">
        <v>0</v>
      </c>
      <c r="R1494" s="2">
        <v>0</v>
      </c>
      <c r="S1494" s="2">
        <v>0</v>
      </c>
      <c r="T1494" t="s">
        <v>377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</row>
    <row r="1495" spans="1:28" hidden="1" x14ac:dyDescent="0.25">
      <c r="A1495" t="s">
        <v>53</v>
      </c>
      <c r="B1495" t="s">
        <v>38</v>
      </c>
      <c r="C1495" t="s">
        <v>54</v>
      </c>
      <c r="D1495" s="1">
        <v>45933</v>
      </c>
      <c r="E1495" s="1">
        <v>45933</v>
      </c>
      <c r="F1495" s="2">
        <v>70</v>
      </c>
      <c r="G1495" s="3" t="s">
        <v>23</v>
      </c>
      <c r="H1495">
        <f>14+14+1</f>
        <v>29</v>
      </c>
      <c r="I1495" s="2">
        <v>0</v>
      </c>
      <c r="J1495" s="2">
        <v>1</v>
      </c>
      <c r="K1495" s="2">
        <v>1</v>
      </c>
      <c r="L1495" s="2">
        <v>0</v>
      </c>
      <c r="M1495">
        <v>1</v>
      </c>
      <c r="N1495">
        <v>0</v>
      </c>
      <c r="O1495" s="2">
        <v>0</v>
      </c>
      <c r="P1495" s="2">
        <v>0</v>
      </c>
      <c r="Q1495">
        <v>0</v>
      </c>
      <c r="R1495" s="2">
        <v>0</v>
      </c>
      <c r="S1495" s="2">
        <v>0</v>
      </c>
      <c r="T1495" t="s">
        <v>823</v>
      </c>
      <c r="U1495" s="2">
        <v>0</v>
      </c>
      <c r="V1495" s="2">
        <f>4+2+1+10+4+19</f>
        <v>40</v>
      </c>
      <c r="W1495" s="2">
        <v>10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</row>
    <row r="1496" spans="1:28" hidden="1" x14ac:dyDescent="0.25">
      <c r="A1496" t="s">
        <v>20</v>
      </c>
      <c r="B1496" t="s">
        <v>21</v>
      </c>
      <c r="C1496" t="s">
        <v>22</v>
      </c>
      <c r="D1496" s="1">
        <v>45933</v>
      </c>
      <c r="E1496" s="1">
        <v>45933</v>
      </c>
      <c r="F1496" s="2">
        <v>38</v>
      </c>
      <c r="G1496" s="3" t="s">
        <v>23</v>
      </c>
      <c r="H1496">
        <f>18+18+3</f>
        <v>39</v>
      </c>
      <c r="I1496" s="2">
        <v>0</v>
      </c>
      <c r="J1496" s="2">
        <v>1</v>
      </c>
      <c r="K1496" s="2">
        <v>1</v>
      </c>
      <c r="L1496" s="2">
        <v>0</v>
      </c>
      <c r="M1496">
        <v>0</v>
      </c>
      <c r="N1496">
        <v>0</v>
      </c>
      <c r="O1496" s="2">
        <v>0</v>
      </c>
      <c r="P1496" s="2">
        <v>0</v>
      </c>
      <c r="Q1496">
        <v>0</v>
      </c>
      <c r="R1496" s="2">
        <v>0</v>
      </c>
      <c r="S1496" s="2">
        <v>0</v>
      </c>
      <c r="T1496" t="s">
        <v>824</v>
      </c>
      <c r="U1496" s="2">
        <v>0</v>
      </c>
      <c r="V1496" s="2">
        <v>8</v>
      </c>
      <c r="W1496" s="2">
        <v>1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</row>
    <row r="1497" spans="1:28" hidden="1" x14ac:dyDescent="0.25">
      <c r="A1497" t="s">
        <v>25</v>
      </c>
      <c r="B1497" t="s">
        <v>26</v>
      </c>
      <c r="C1497" t="s">
        <v>27</v>
      </c>
      <c r="D1497" s="1">
        <v>45933</v>
      </c>
      <c r="E1497" s="1">
        <v>45933</v>
      </c>
      <c r="F1497" s="2">
        <v>41</v>
      </c>
      <c r="G1497" s="3" t="s">
        <v>23</v>
      </c>
      <c r="H1497">
        <v>6</v>
      </c>
      <c r="I1497" s="2">
        <v>0</v>
      </c>
      <c r="J1497" s="2">
        <v>0</v>
      </c>
      <c r="K1497" s="2">
        <v>0</v>
      </c>
      <c r="L1497" s="2">
        <v>0</v>
      </c>
      <c r="M1497">
        <v>0</v>
      </c>
      <c r="N1497">
        <v>0</v>
      </c>
      <c r="O1497" s="2">
        <v>0</v>
      </c>
      <c r="P1497" s="2">
        <v>0</v>
      </c>
      <c r="Q1497">
        <v>0</v>
      </c>
      <c r="R1497" s="2">
        <v>0</v>
      </c>
      <c r="S1497" s="2">
        <v>0</v>
      </c>
      <c r="T1497" t="s">
        <v>825</v>
      </c>
      <c r="U1497" s="2">
        <v>0</v>
      </c>
      <c r="V1497" s="2">
        <f>20+20+17+4</f>
        <v>61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</row>
    <row r="1498" spans="1:28" hidden="1" x14ac:dyDescent="0.25">
      <c r="A1498" t="s">
        <v>568</v>
      </c>
      <c r="B1498" t="s">
        <v>47</v>
      </c>
      <c r="C1498" t="s">
        <v>670</v>
      </c>
      <c r="D1498" s="1">
        <v>45933</v>
      </c>
      <c r="E1498" s="1">
        <v>45933</v>
      </c>
      <c r="F1498" s="2">
        <v>48</v>
      </c>
      <c r="G1498" s="3" t="s">
        <v>23</v>
      </c>
      <c r="H1498">
        <f>9+9+4</f>
        <v>22</v>
      </c>
      <c r="I1498" s="2">
        <v>0</v>
      </c>
      <c r="J1498" s="2">
        <v>1</v>
      </c>
      <c r="K1498" s="2">
        <v>1</v>
      </c>
      <c r="L1498" s="2">
        <v>0</v>
      </c>
      <c r="M1498">
        <v>0</v>
      </c>
      <c r="N1498">
        <v>0</v>
      </c>
      <c r="O1498" s="2">
        <v>0</v>
      </c>
      <c r="P1498" s="2">
        <v>0</v>
      </c>
      <c r="Q1498">
        <v>0</v>
      </c>
      <c r="R1498" s="2">
        <v>0</v>
      </c>
      <c r="S1498" s="2">
        <v>0</v>
      </c>
      <c r="T1498" t="s">
        <v>826</v>
      </c>
      <c r="U1498" s="2">
        <v>0</v>
      </c>
      <c r="V1498" s="2">
        <f>2+10+2+1+14+9</f>
        <v>38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</row>
    <row r="1499" spans="1:28" hidden="1" x14ac:dyDescent="0.25">
      <c r="A1499" t="s">
        <v>56</v>
      </c>
      <c r="B1499" t="s">
        <v>47</v>
      </c>
      <c r="C1499" t="s">
        <v>670</v>
      </c>
      <c r="D1499" s="1">
        <v>45933</v>
      </c>
      <c r="E1499" s="1">
        <v>45933</v>
      </c>
      <c r="F1499" s="2">
        <v>48</v>
      </c>
      <c r="G1499" s="3" t="s">
        <v>23</v>
      </c>
      <c r="H1499">
        <f>9+9+4</f>
        <v>22</v>
      </c>
      <c r="I1499" s="2">
        <v>0</v>
      </c>
      <c r="J1499" s="2">
        <v>1</v>
      </c>
      <c r="K1499" s="2">
        <v>1</v>
      </c>
      <c r="L1499" s="2">
        <v>0</v>
      </c>
      <c r="M1499">
        <v>0</v>
      </c>
      <c r="N1499">
        <v>0</v>
      </c>
      <c r="O1499" s="2">
        <v>0</v>
      </c>
      <c r="P1499" s="2">
        <v>0</v>
      </c>
      <c r="Q1499">
        <v>0</v>
      </c>
      <c r="R1499" s="2">
        <v>0</v>
      </c>
      <c r="S1499" s="2">
        <v>0</v>
      </c>
      <c r="T1499" t="s">
        <v>826</v>
      </c>
      <c r="U1499" s="2">
        <v>0</v>
      </c>
      <c r="V1499" s="2">
        <f>2+10+2+1+14+9</f>
        <v>38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</row>
    <row r="1500" spans="1:28" hidden="1" x14ac:dyDescent="0.25">
      <c r="A1500" t="s">
        <v>33</v>
      </c>
      <c r="B1500" t="s">
        <v>34</v>
      </c>
      <c r="C1500" t="s">
        <v>35</v>
      </c>
      <c r="D1500" s="1">
        <v>45933</v>
      </c>
      <c r="E1500" s="1">
        <v>45933</v>
      </c>
      <c r="F1500" s="2">
        <v>60</v>
      </c>
      <c r="G1500" s="3" t="s">
        <v>23</v>
      </c>
      <c r="H1500">
        <f>9+9+7</f>
        <v>25</v>
      </c>
      <c r="I1500" s="2">
        <v>0</v>
      </c>
      <c r="J1500" s="2">
        <v>0</v>
      </c>
      <c r="K1500" s="2">
        <v>1</v>
      </c>
      <c r="L1500" s="2">
        <v>1</v>
      </c>
      <c r="M1500">
        <v>0</v>
      </c>
      <c r="N1500">
        <v>0</v>
      </c>
      <c r="O1500" s="2">
        <v>0</v>
      </c>
      <c r="P1500" s="2">
        <v>0</v>
      </c>
      <c r="Q1500">
        <v>0</v>
      </c>
      <c r="R1500" s="2">
        <v>0</v>
      </c>
      <c r="S1500" s="2">
        <v>0</v>
      </c>
      <c r="T1500" t="s">
        <v>827</v>
      </c>
      <c r="U1500" s="2">
        <v>0</v>
      </c>
      <c r="V1500" s="2">
        <f>10+19</f>
        <v>29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</row>
    <row r="1501" spans="1:28" hidden="1" x14ac:dyDescent="0.25">
      <c r="A1501" t="s">
        <v>37</v>
      </c>
      <c r="B1501" t="s">
        <v>57</v>
      </c>
      <c r="C1501" t="s">
        <v>39</v>
      </c>
      <c r="D1501" s="1">
        <v>45933</v>
      </c>
      <c r="E1501" s="1">
        <v>45933</v>
      </c>
      <c r="F1501" s="2">
        <v>32</v>
      </c>
      <c r="G1501" s="3" t="s">
        <v>23</v>
      </c>
      <c r="H1501">
        <f>8*2</f>
        <v>16</v>
      </c>
      <c r="I1501" s="2">
        <v>0</v>
      </c>
      <c r="J1501" s="2">
        <v>0</v>
      </c>
      <c r="K1501" s="2">
        <v>1</v>
      </c>
      <c r="L1501" s="2">
        <v>0</v>
      </c>
      <c r="M1501">
        <v>1</v>
      </c>
      <c r="N1501">
        <v>0</v>
      </c>
      <c r="O1501" s="2">
        <v>0</v>
      </c>
      <c r="P1501" s="2">
        <v>0</v>
      </c>
      <c r="Q1501">
        <v>0</v>
      </c>
      <c r="R1501" s="2">
        <v>0</v>
      </c>
      <c r="S1501" s="2">
        <v>0</v>
      </c>
      <c r="T1501" t="s">
        <v>828</v>
      </c>
      <c r="U1501" s="2">
        <v>0</v>
      </c>
      <c r="V1501" s="2">
        <f>22+6+18</f>
        <v>46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</row>
    <row r="1502" spans="1:28" hidden="1" x14ac:dyDescent="0.25">
      <c r="A1502" t="s">
        <v>730</v>
      </c>
      <c r="B1502" t="s">
        <v>47</v>
      </c>
      <c r="C1502" t="s">
        <v>39</v>
      </c>
      <c r="D1502" s="1">
        <v>45933</v>
      </c>
      <c r="E1502" s="1">
        <v>45933</v>
      </c>
      <c r="F1502" s="2">
        <v>32</v>
      </c>
      <c r="G1502" s="3" t="s">
        <v>572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t="s">
        <v>828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</row>
    <row r="1503" spans="1:28" hidden="1" x14ac:dyDescent="0.25">
      <c r="A1503" t="s">
        <v>29</v>
      </c>
      <c r="B1503" t="s">
        <v>30</v>
      </c>
      <c r="C1503" t="s">
        <v>212</v>
      </c>
      <c r="D1503" s="1">
        <v>45933</v>
      </c>
      <c r="E1503" s="1">
        <v>45933</v>
      </c>
      <c r="F1503" s="2">
        <v>0</v>
      </c>
      <c r="G1503" s="3" t="s">
        <v>48</v>
      </c>
      <c r="H1503">
        <v>0</v>
      </c>
      <c r="I1503" s="2">
        <v>0</v>
      </c>
      <c r="J1503" s="2">
        <v>0</v>
      </c>
      <c r="K1503" s="2">
        <v>0</v>
      </c>
      <c r="L1503" s="2">
        <v>0</v>
      </c>
      <c r="M1503">
        <v>0</v>
      </c>
      <c r="N1503">
        <v>0</v>
      </c>
      <c r="O1503" s="2">
        <v>0</v>
      </c>
      <c r="P1503" s="2">
        <v>0</v>
      </c>
      <c r="Q1503">
        <v>0</v>
      </c>
      <c r="R1503" s="2">
        <v>0</v>
      </c>
      <c r="S1503" s="2">
        <v>0</v>
      </c>
      <c r="T1503" t="s">
        <v>377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</row>
    <row r="1504" spans="1:28" hidden="1" x14ac:dyDescent="0.25">
      <c r="A1504" t="s">
        <v>47</v>
      </c>
      <c r="B1504" t="s">
        <v>52</v>
      </c>
      <c r="C1504" t="s">
        <v>212</v>
      </c>
      <c r="D1504" s="1">
        <v>45933</v>
      </c>
      <c r="E1504" s="1">
        <v>45933</v>
      </c>
      <c r="F1504" s="2">
        <v>0</v>
      </c>
      <c r="G1504" s="3" t="s">
        <v>572</v>
      </c>
      <c r="H1504">
        <v>0</v>
      </c>
      <c r="I1504" s="2">
        <v>0</v>
      </c>
      <c r="J1504" s="2">
        <v>0</v>
      </c>
      <c r="K1504" s="2">
        <v>0</v>
      </c>
      <c r="L1504" s="2">
        <v>0</v>
      </c>
      <c r="M1504">
        <v>0</v>
      </c>
      <c r="N1504">
        <v>0</v>
      </c>
      <c r="O1504" s="2">
        <v>0</v>
      </c>
      <c r="P1504" s="2">
        <v>0</v>
      </c>
      <c r="Q1504">
        <v>0</v>
      </c>
      <c r="R1504" s="2">
        <v>0</v>
      </c>
      <c r="S1504" s="2">
        <v>0</v>
      </c>
      <c r="T1504" t="s">
        <v>377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</row>
    <row r="1505" spans="1:28" hidden="1" x14ac:dyDescent="0.25">
      <c r="A1505" t="s">
        <v>63</v>
      </c>
      <c r="B1505" t="s">
        <v>38</v>
      </c>
      <c r="C1505" t="s">
        <v>102</v>
      </c>
      <c r="D1505" s="9">
        <v>45934</v>
      </c>
      <c r="E1505" s="9">
        <v>45934</v>
      </c>
      <c r="F1505" s="2">
        <v>27</v>
      </c>
      <c r="G1505" s="3" t="s">
        <v>23</v>
      </c>
      <c r="H1505">
        <v>0</v>
      </c>
      <c r="I1505" s="2">
        <v>0</v>
      </c>
      <c r="J1505" s="2">
        <v>1</v>
      </c>
      <c r="K1505" s="2">
        <v>0</v>
      </c>
      <c r="L1505" s="2">
        <v>0</v>
      </c>
      <c r="M1505">
        <v>0</v>
      </c>
      <c r="N1505">
        <v>0</v>
      </c>
      <c r="O1505" s="2">
        <v>1</v>
      </c>
      <c r="P1505" s="2">
        <v>0</v>
      </c>
      <c r="Q1505">
        <v>2</v>
      </c>
      <c r="R1505" s="2">
        <v>1</v>
      </c>
      <c r="S1505" s="2">
        <v>0</v>
      </c>
      <c r="T1505" t="s">
        <v>829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</row>
    <row r="1506" spans="1:28" hidden="1" x14ac:dyDescent="0.25">
      <c r="A1506" t="s">
        <v>20</v>
      </c>
      <c r="B1506" t="s">
        <v>47</v>
      </c>
      <c r="C1506" t="s">
        <v>31</v>
      </c>
      <c r="D1506" s="9">
        <v>45934</v>
      </c>
      <c r="E1506" s="9">
        <v>45934</v>
      </c>
      <c r="F1506" s="2">
        <v>22</v>
      </c>
      <c r="G1506" s="3" t="s">
        <v>23</v>
      </c>
      <c r="H1506">
        <v>0</v>
      </c>
      <c r="I1506" s="2">
        <v>0</v>
      </c>
      <c r="J1506" s="2">
        <v>1</v>
      </c>
      <c r="K1506" s="2">
        <v>0</v>
      </c>
      <c r="L1506" s="2">
        <v>0</v>
      </c>
      <c r="M1506">
        <v>0</v>
      </c>
      <c r="N1506">
        <v>0</v>
      </c>
      <c r="O1506" s="2">
        <v>0</v>
      </c>
      <c r="P1506" s="2">
        <v>0</v>
      </c>
      <c r="Q1506">
        <v>5</v>
      </c>
      <c r="R1506" s="2">
        <v>1</v>
      </c>
      <c r="S1506" s="2">
        <v>0</v>
      </c>
      <c r="T1506" t="s">
        <v>830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1</v>
      </c>
      <c r="AB1506" s="2">
        <v>0</v>
      </c>
    </row>
    <row r="1507" spans="1:28" hidden="1" x14ac:dyDescent="0.25">
      <c r="A1507" t="s">
        <v>53</v>
      </c>
      <c r="B1507" t="s">
        <v>47</v>
      </c>
      <c r="C1507" t="s">
        <v>670</v>
      </c>
      <c r="D1507" s="9">
        <v>45934</v>
      </c>
      <c r="E1507" s="9">
        <v>45934</v>
      </c>
      <c r="F1507" s="2">
        <v>154</v>
      </c>
      <c r="G1507" s="3" t="s">
        <v>23</v>
      </c>
      <c r="H1507">
        <v>0</v>
      </c>
      <c r="I1507" s="2">
        <v>0</v>
      </c>
      <c r="J1507" s="2">
        <v>1</v>
      </c>
      <c r="K1507" s="2">
        <v>0</v>
      </c>
      <c r="L1507" s="2">
        <v>0</v>
      </c>
      <c r="M1507">
        <v>0</v>
      </c>
      <c r="N1507">
        <v>0</v>
      </c>
      <c r="O1507" s="2">
        <v>0</v>
      </c>
      <c r="P1507" s="2">
        <v>0</v>
      </c>
      <c r="Q1507">
        <v>5</v>
      </c>
      <c r="R1507" s="2">
        <v>1</v>
      </c>
      <c r="S1507" s="2">
        <v>0</v>
      </c>
      <c r="T1507" t="s">
        <v>831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1</v>
      </c>
      <c r="AB1507" s="2">
        <v>0</v>
      </c>
    </row>
    <row r="1508" spans="1:28" hidden="1" x14ac:dyDescent="0.25">
      <c r="A1508" t="s">
        <v>29</v>
      </c>
      <c r="B1508" t="s">
        <v>30</v>
      </c>
      <c r="C1508" t="s">
        <v>31</v>
      </c>
      <c r="D1508" s="9">
        <v>45934</v>
      </c>
      <c r="E1508" s="9">
        <v>45934</v>
      </c>
      <c r="F1508" s="2">
        <v>26</v>
      </c>
      <c r="G1508" s="3" t="s">
        <v>23</v>
      </c>
      <c r="H1508">
        <v>0</v>
      </c>
      <c r="I1508" s="2">
        <v>0</v>
      </c>
      <c r="J1508" s="2">
        <v>0</v>
      </c>
      <c r="K1508" s="2">
        <v>0</v>
      </c>
      <c r="L1508" s="2">
        <v>0</v>
      </c>
      <c r="M1508">
        <v>0</v>
      </c>
      <c r="N1508">
        <v>0</v>
      </c>
      <c r="O1508" s="2">
        <v>0</v>
      </c>
      <c r="P1508" s="2">
        <v>0</v>
      </c>
      <c r="Q1508">
        <v>7</v>
      </c>
      <c r="R1508" s="2">
        <v>1</v>
      </c>
      <c r="S1508" s="2">
        <v>0</v>
      </c>
      <c r="T1508" t="s">
        <v>832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1</v>
      </c>
    </row>
    <row r="1509" spans="1:28" hidden="1" x14ac:dyDescent="0.25">
      <c r="A1509" t="s">
        <v>568</v>
      </c>
      <c r="B1509" t="s">
        <v>21</v>
      </c>
      <c r="C1509" t="s">
        <v>670</v>
      </c>
      <c r="D1509" s="9">
        <v>45934</v>
      </c>
      <c r="E1509" s="9">
        <v>45934</v>
      </c>
      <c r="F1509" s="2">
        <v>154</v>
      </c>
      <c r="G1509" s="3" t="s">
        <v>23</v>
      </c>
      <c r="H1509">
        <v>0</v>
      </c>
      <c r="I1509" s="2">
        <v>0</v>
      </c>
      <c r="J1509" s="2">
        <v>0</v>
      </c>
      <c r="K1509" s="2">
        <v>0</v>
      </c>
      <c r="L1509" s="2">
        <v>0</v>
      </c>
      <c r="M1509">
        <v>0</v>
      </c>
      <c r="N1509">
        <v>0</v>
      </c>
      <c r="O1509" s="2">
        <v>1</v>
      </c>
      <c r="P1509" s="2">
        <v>0</v>
      </c>
      <c r="Q1509">
        <v>2</v>
      </c>
      <c r="R1509" s="2">
        <v>1</v>
      </c>
      <c r="S1509" s="2">
        <v>0</v>
      </c>
      <c r="T1509" t="s">
        <v>831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</row>
    <row r="1510" spans="1:28" hidden="1" x14ac:dyDescent="0.25">
      <c r="A1510" t="s">
        <v>56</v>
      </c>
      <c r="B1510" t="s">
        <v>47</v>
      </c>
      <c r="C1510" t="s">
        <v>39</v>
      </c>
      <c r="D1510" s="9">
        <v>45934</v>
      </c>
      <c r="E1510" s="9">
        <v>45934</v>
      </c>
      <c r="F1510" s="2">
        <v>32</v>
      </c>
      <c r="G1510" s="3" t="s">
        <v>378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t="s">
        <v>828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</row>
    <row r="1511" spans="1:28" hidden="1" x14ac:dyDescent="0.25">
      <c r="A1511" t="s">
        <v>730</v>
      </c>
      <c r="B1511" t="s">
        <v>47</v>
      </c>
      <c r="C1511" t="s">
        <v>39</v>
      </c>
      <c r="D1511" s="9">
        <v>45934</v>
      </c>
      <c r="E1511" s="9">
        <v>45934</v>
      </c>
      <c r="F1511" s="2">
        <v>32</v>
      </c>
      <c r="G1511" s="3" t="s">
        <v>378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t="s">
        <v>828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</row>
    <row r="1512" spans="1:28" hidden="1" x14ac:dyDescent="0.25">
      <c r="A1512" t="s">
        <v>37</v>
      </c>
      <c r="B1512" t="s">
        <v>57</v>
      </c>
      <c r="C1512" t="s">
        <v>212</v>
      </c>
      <c r="D1512" s="9">
        <v>45934</v>
      </c>
      <c r="E1512" s="9">
        <v>45934</v>
      </c>
      <c r="F1512" s="2">
        <v>0</v>
      </c>
      <c r="G1512" s="3" t="s">
        <v>378</v>
      </c>
      <c r="H1512">
        <v>0</v>
      </c>
      <c r="I1512" s="2">
        <v>0</v>
      </c>
      <c r="J1512" s="2">
        <v>0</v>
      </c>
      <c r="K1512" s="2">
        <v>0</v>
      </c>
      <c r="L1512" s="2">
        <v>0</v>
      </c>
      <c r="M1512">
        <v>0</v>
      </c>
      <c r="N1512">
        <v>0</v>
      </c>
      <c r="O1512" s="2">
        <v>0</v>
      </c>
      <c r="P1512" s="2">
        <v>0</v>
      </c>
      <c r="Q1512">
        <v>0</v>
      </c>
      <c r="R1512" s="2">
        <v>0</v>
      </c>
      <c r="S1512" s="2">
        <v>0</v>
      </c>
      <c r="T1512" t="s">
        <v>377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</row>
    <row r="1513" spans="1:28" hidden="1" x14ac:dyDescent="0.25">
      <c r="A1513" t="s">
        <v>25</v>
      </c>
      <c r="B1513" t="s">
        <v>26</v>
      </c>
      <c r="C1513" t="s">
        <v>212</v>
      </c>
      <c r="D1513" s="9">
        <v>45934</v>
      </c>
      <c r="E1513" s="9">
        <v>45934</v>
      </c>
      <c r="F1513" s="2">
        <v>0</v>
      </c>
      <c r="G1513" s="3" t="s">
        <v>378</v>
      </c>
      <c r="H1513">
        <v>0</v>
      </c>
      <c r="I1513" s="2">
        <v>0</v>
      </c>
      <c r="J1513" s="2">
        <v>0</v>
      </c>
      <c r="K1513" s="2">
        <v>0</v>
      </c>
      <c r="L1513" s="2">
        <v>0</v>
      </c>
      <c r="M1513">
        <v>0</v>
      </c>
      <c r="N1513">
        <v>0</v>
      </c>
      <c r="O1513" s="2">
        <v>0</v>
      </c>
      <c r="P1513" s="2">
        <v>0</v>
      </c>
      <c r="Q1513">
        <v>0</v>
      </c>
      <c r="R1513" s="2">
        <v>0</v>
      </c>
      <c r="S1513" s="2">
        <v>0</v>
      </c>
      <c r="T1513" t="s">
        <v>377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</row>
    <row r="1514" spans="1:28" hidden="1" x14ac:dyDescent="0.25">
      <c r="A1514" t="s">
        <v>33</v>
      </c>
      <c r="B1514" t="s">
        <v>34</v>
      </c>
      <c r="C1514" t="s">
        <v>212</v>
      </c>
      <c r="D1514" s="9">
        <v>45934</v>
      </c>
      <c r="E1514" s="9">
        <v>45934</v>
      </c>
      <c r="F1514" s="2">
        <v>0</v>
      </c>
      <c r="G1514" s="3" t="s">
        <v>378</v>
      </c>
      <c r="H1514">
        <v>0</v>
      </c>
      <c r="I1514" s="2">
        <v>0</v>
      </c>
      <c r="J1514" s="2">
        <v>0</v>
      </c>
      <c r="K1514" s="2">
        <v>0</v>
      </c>
      <c r="L1514" s="2">
        <v>0</v>
      </c>
      <c r="M1514">
        <v>0</v>
      </c>
      <c r="N1514">
        <v>0</v>
      </c>
      <c r="O1514" s="2">
        <v>0</v>
      </c>
      <c r="P1514" s="2">
        <v>0</v>
      </c>
      <c r="Q1514">
        <v>0</v>
      </c>
      <c r="R1514" s="2">
        <v>0</v>
      </c>
      <c r="S1514" s="2">
        <v>0</v>
      </c>
      <c r="T1514" t="s">
        <v>377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</row>
    <row r="1515" spans="1:28" hidden="1" x14ac:dyDescent="0.25">
      <c r="A1515" t="s">
        <v>47</v>
      </c>
      <c r="B1515" t="s">
        <v>52</v>
      </c>
      <c r="C1515" t="s">
        <v>212</v>
      </c>
      <c r="D1515" s="9">
        <v>45934</v>
      </c>
      <c r="E1515" s="9">
        <v>45934</v>
      </c>
      <c r="F1515" s="2">
        <v>0</v>
      </c>
      <c r="G1515" s="3" t="s">
        <v>378</v>
      </c>
      <c r="H1515">
        <v>0</v>
      </c>
      <c r="I1515" s="2">
        <v>0</v>
      </c>
      <c r="J1515" s="2">
        <v>0</v>
      </c>
      <c r="K1515" s="2">
        <v>0</v>
      </c>
      <c r="L1515" s="2">
        <v>0</v>
      </c>
      <c r="M1515">
        <v>0</v>
      </c>
      <c r="N1515">
        <v>0</v>
      </c>
      <c r="O1515" s="2">
        <v>0</v>
      </c>
      <c r="P1515" s="2">
        <v>0</v>
      </c>
      <c r="Q1515">
        <v>0</v>
      </c>
      <c r="R1515" s="2">
        <v>0</v>
      </c>
      <c r="S1515" s="2">
        <v>0</v>
      </c>
      <c r="T1515" t="s">
        <v>377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</row>
    <row r="1516" spans="1:28" hidden="1" x14ac:dyDescent="0.25">
      <c r="A1516" t="s">
        <v>53</v>
      </c>
      <c r="B1516" t="s">
        <v>20</v>
      </c>
      <c r="C1516" t="s">
        <v>54</v>
      </c>
      <c r="D1516" s="9">
        <v>45935</v>
      </c>
      <c r="E1516" s="9">
        <v>45935</v>
      </c>
      <c r="F1516" s="2">
        <v>70</v>
      </c>
      <c r="G1516" s="3" t="s">
        <v>23</v>
      </c>
      <c r="H1516">
        <v>0</v>
      </c>
      <c r="I1516" s="2">
        <v>0</v>
      </c>
      <c r="J1516" s="2">
        <v>1</v>
      </c>
      <c r="K1516" s="2">
        <v>0</v>
      </c>
      <c r="L1516" s="2">
        <v>0</v>
      </c>
      <c r="M1516">
        <v>0</v>
      </c>
      <c r="N1516">
        <v>0</v>
      </c>
      <c r="O1516" s="2">
        <v>0</v>
      </c>
      <c r="P1516" s="2">
        <v>0</v>
      </c>
      <c r="Q1516">
        <v>6</v>
      </c>
      <c r="R1516" s="2">
        <v>0</v>
      </c>
      <c r="S1516" s="2">
        <v>1</v>
      </c>
      <c r="T1516" t="s">
        <v>833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1</v>
      </c>
    </row>
    <row r="1517" spans="1:28" hidden="1" x14ac:dyDescent="0.25">
      <c r="A1517" t="s">
        <v>20</v>
      </c>
      <c r="B1517" t="s">
        <v>53</v>
      </c>
      <c r="C1517" t="s">
        <v>22</v>
      </c>
      <c r="D1517" s="9">
        <v>45935</v>
      </c>
      <c r="E1517" s="9">
        <v>45935</v>
      </c>
      <c r="F1517" s="2">
        <v>117</v>
      </c>
      <c r="G1517" s="3" t="s">
        <v>23</v>
      </c>
      <c r="H1517">
        <v>0</v>
      </c>
      <c r="I1517" s="2">
        <v>0</v>
      </c>
      <c r="J1517" s="2">
        <v>1</v>
      </c>
      <c r="K1517" s="2">
        <v>0</v>
      </c>
      <c r="L1517" s="2">
        <v>0</v>
      </c>
      <c r="M1517">
        <v>0</v>
      </c>
      <c r="N1517">
        <v>0</v>
      </c>
      <c r="O1517" s="2">
        <v>0</v>
      </c>
      <c r="P1517" s="2">
        <v>0</v>
      </c>
      <c r="Q1517">
        <v>6</v>
      </c>
      <c r="R1517" s="2">
        <v>0</v>
      </c>
      <c r="S1517" s="2">
        <v>1</v>
      </c>
      <c r="T1517" t="s">
        <v>834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1</v>
      </c>
    </row>
    <row r="1518" spans="1:28" hidden="1" x14ac:dyDescent="0.25">
      <c r="A1518" t="s">
        <v>63</v>
      </c>
      <c r="B1518" t="s">
        <v>38</v>
      </c>
      <c r="C1518" t="s">
        <v>102</v>
      </c>
      <c r="D1518" s="9">
        <v>45935</v>
      </c>
      <c r="E1518" s="9">
        <v>45935</v>
      </c>
      <c r="F1518" s="2">
        <v>25</v>
      </c>
      <c r="G1518" s="3" t="s">
        <v>23</v>
      </c>
      <c r="H1518">
        <v>0</v>
      </c>
      <c r="I1518" s="2">
        <v>0</v>
      </c>
      <c r="J1518" s="2">
        <v>0</v>
      </c>
      <c r="K1518" s="2">
        <v>0</v>
      </c>
      <c r="L1518" s="2">
        <v>0</v>
      </c>
      <c r="M1518">
        <v>0</v>
      </c>
      <c r="N1518">
        <v>0</v>
      </c>
      <c r="O1518" s="2">
        <v>0</v>
      </c>
      <c r="P1518" s="2">
        <v>1</v>
      </c>
      <c r="Q1518">
        <v>4</v>
      </c>
      <c r="R1518" s="2">
        <v>0</v>
      </c>
      <c r="S1518" s="2">
        <v>1</v>
      </c>
      <c r="T1518" t="s">
        <v>835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</row>
    <row r="1519" spans="1:28" hidden="1" x14ac:dyDescent="0.25">
      <c r="A1519" t="s">
        <v>29</v>
      </c>
      <c r="B1519" t="s">
        <v>30</v>
      </c>
      <c r="C1519" t="s">
        <v>31</v>
      </c>
      <c r="D1519" s="9">
        <v>45935</v>
      </c>
      <c r="E1519" s="9">
        <v>45935</v>
      </c>
      <c r="F1519" s="2">
        <v>21</v>
      </c>
      <c r="G1519" s="3" t="s">
        <v>23</v>
      </c>
      <c r="H1519">
        <v>0</v>
      </c>
      <c r="I1519" s="2">
        <v>0</v>
      </c>
      <c r="J1519" s="2">
        <v>0</v>
      </c>
      <c r="K1519" s="2">
        <v>0</v>
      </c>
      <c r="L1519" s="2">
        <v>0</v>
      </c>
      <c r="M1519">
        <v>0</v>
      </c>
      <c r="N1519">
        <v>0</v>
      </c>
      <c r="O1519" s="2">
        <v>0</v>
      </c>
      <c r="P1519" s="2">
        <v>0</v>
      </c>
      <c r="Q1519">
        <v>8</v>
      </c>
      <c r="R1519" s="2">
        <v>0</v>
      </c>
      <c r="S1519" s="2">
        <v>1</v>
      </c>
      <c r="T1519" t="s">
        <v>836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1</v>
      </c>
    </row>
    <row r="1520" spans="1:28" hidden="1" x14ac:dyDescent="0.25">
      <c r="A1520" t="s">
        <v>568</v>
      </c>
      <c r="B1520" t="s">
        <v>21</v>
      </c>
      <c r="C1520" t="s">
        <v>670</v>
      </c>
      <c r="D1520" s="9">
        <v>45935</v>
      </c>
      <c r="E1520" s="9">
        <v>45935</v>
      </c>
      <c r="F1520" s="2">
        <v>43</v>
      </c>
      <c r="G1520" s="3" t="s">
        <v>23</v>
      </c>
      <c r="H1520">
        <v>0</v>
      </c>
      <c r="I1520" s="2">
        <v>0</v>
      </c>
      <c r="J1520" s="2">
        <v>0</v>
      </c>
      <c r="K1520" s="2">
        <v>0</v>
      </c>
      <c r="L1520" s="2">
        <v>0</v>
      </c>
      <c r="M1520">
        <v>0</v>
      </c>
      <c r="N1520">
        <v>0</v>
      </c>
      <c r="O1520" s="2">
        <v>0</v>
      </c>
      <c r="P1520" s="2">
        <v>1</v>
      </c>
      <c r="Q1520">
        <v>3</v>
      </c>
      <c r="R1520" s="2">
        <v>0</v>
      </c>
      <c r="S1520" s="2">
        <v>1</v>
      </c>
      <c r="T1520" t="s">
        <v>837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</row>
    <row r="1521" spans="1:28" hidden="1" x14ac:dyDescent="0.25">
      <c r="A1521" t="s">
        <v>56</v>
      </c>
      <c r="B1521" t="s">
        <v>47</v>
      </c>
      <c r="C1521" t="s">
        <v>39</v>
      </c>
      <c r="D1521" s="9">
        <v>45935</v>
      </c>
      <c r="E1521" s="9">
        <v>45935</v>
      </c>
      <c r="F1521" s="2">
        <v>32</v>
      </c>
      <c r="G1521" s="3" t="s">
        <v>378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t="s">
        <v>828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</row>
    <row r="1522" spans="1:28" hidden="1" x14ac:dyDescent="0.25">
      <c r="A1522" t="s">
        <v>730</v>
      </c>
      <c r="B1522" t="s">
        <v>47</v>
      </c>
      <c r="C1522" t="s">
        <v>39</v>
      </c>
      <c r="D1522" s="9">
        <v>45935</v>
      </c>
      <c r="E1522" s="9">
        <v>45935</v>
      </c>
      <c r="F1522" s="2">
        <v>32</v>
      </c>
      <c r="G1522" s="3" t="s">
        <v>378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t="s">
        <v>828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</row>
    <row r="1523" spans="1:28" hidden="1" x14ac:dyDescent="0.25">
      <c r="A1523" t="s">
        <v>37</v>
      </c>
      <c r="B1523" t="s">
        <v>57</v>
      </c>
      <c r="C1523" t="s">
        <v>212</v>
      </c>
      <c r="D1523" s="9">
        <v>45935</v>
      </c>
      <c r="E1523" s="9">
        <v>45935</v>
      </c>
      <c r="F1523" s="2">
        <v>0</v>
      </c>
      <c r="G1523" s="3" t="s">
        <v>378</v>
      </c>
      <c r="H1523">
        <v>0</v>
      </c>
      <c r="I1523" s="2">
        <v>0</v>
      </c>
      <c r="J1523" s="2">
        <v>0</v>
      </c>
      <c r="K1523" s="2">
        <v>0</v>
      </c>
      <c r="L1523" s="2">
        <v>0</v>
      </c>
      <c r="M1523">
        <v>0</v>
      </c>
      <c r="N1523">
        <v>0</v>
      </c>
      <c r="O1523" s="2">
        <v>0</v>
      </c>
      <c r="P1523" s="2">
        <v>0</v>
      </c>
      <c r="Q1523">
        <v>0</v>
      </c>
      <c r="R1523" s="2">
        <v>0</v>
      </c>
      <c r="S1523" s="2">
        <v>0</v>
      </c>
      <c r="T1523" t="s">
        <v>377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</row>
    <row r="1524" spans="1:28" hidden="1" x14ac:dyDescent="0.25">
      <c r="A1524" t="s">
        <v>25</v>
      </c>
      <c r="B1524" t="s">
        <v>26</v>
      </c>
      <c r="C1524" t="s">
        <v>212</v>
      </c>
      <c r="D1524" s="9">
        <v>45935</v>
      </c>
      <c r="E1524" s="9">
        <v>45935</v>
      </c>
      <c r="F1524" s="2">
        <v>0</v>
      </c>
      <c r="G1524" s="3" t="s">
        <v>378</v>
      </c>
      <c r="H1524">
        <v>0</v>
      </c>
      <c r="I1524" s="2">
        <v>0</v>
      </c>
      <c r="J1524" s="2">
        <v>0</v>
      </c>
      <c r="K1524" s="2">
        <v>0</v>
      </c>
      <c r="L1524" s="2">
        <v>0</v>
      </c>
      <c r="M1524">
        <v>0</v>
      </c>
      <c r="N1524">
        <v>0</v>
      </c>
      <c r="O1524" s="2">
        <v>0</v>
      </c>
      <c r="P1524" s="2">
        <v>0</v>
      </c>
      <c r="Q1524">
        <v>0</v>
      </c>
      <c r="R1524" s="2">
        <v>0</v>
      </c>
      <c r="S1524" s="2">
        <v>0</v>
      </c>
      <c r="T1524" t="s">
        <v>377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</row>
    <row r="1525" spans="1:28" hidden="1" x14ac:dyDescent="0.25">
      <c r="A1525" t="s">
        <v>33</v>
      </c>
      <c r="B1525" t="s">
        <v>34</v>
      </c>
      <c r="C1525" t="s">
        <v>212</v>
      </c>
      <c r="D1525" s="9">
        <v>45935</v>
      </c>
      <c r="E1525" s="9">
        <v>45935</v>
      </c>
      <c r="F1525" s="2">
        <v>0</v>
      </c>
      <c r="G1525" s="3" t="s">
        <v>378</v>
      </c>
      <c r="H1525">
        <v>0</v>
      </c>
      <c r="I1525" s="2">
        <v>0</v>
      </c>
      <c r="J1525" s="2">
        <v>0</v>
      </c>
      <c r="K1525" s="2">
        <v>0</v>
      </c>
      <c r="L1525" s="2">
        <v>0</v>
      </c>
      <c r="M1525">
        <v>0</v>
      </c>
      <c r="N1525">
        <v>0</v>
      </c>
      <c r="O1525" s="2">
        <v>0</v>
      </c>
      <c r="P1525" s="2">
        <v>0</v>
      </c>
      <c r="Q1525">
        <v>0</v>
      </c>
      <c r="R1525" s="2">
        <v>0</v>
      </c>
      <c r="S1525" s="2">
        <v>0</v>
      </c>
      <c r="T1525" t="s">
        <v>377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</row>
    <row r="1526" spans="1:28" hidden="1" x14ac:dyDescent="0.25">
      <c r="A1526" t="s">
        <v>47</v>
      </c>
      <c r="B1526" t="s">
        <v>52</v>
      </c>
      <c r="C1526" t="s">
        <v>212</v>
      </c>
      <c r="D1526" s="9">
        <v>45935</v>
      </c>
      <c r="E1526" s="9">
        <v>45935</v>
      </c>
      <c r="F1526" s="2">
        <v>0</v>
      </c>
      <c r="G1526" s="3" t="s">
        <v>378</v>
      </c>
      <c r="H1526">
        <v>0</v>
      </c>
      <c r="I1526" s="2">
        <v>0</v>
      </c>
      <c r="J1526" s="2">
        <v>0</v>
      </c>
      <c r="K1526" s="2">
        <v>0</v>
      </c>
      <c r="L1526" s="2">
        <v>0</v>
      </c>
      <c r="M1526">
        <v>0</v>
      </c>
      <c r="N1526">
        <v>0</v>
      </c>
      <c r="O1526" s="2">
        <v>0</v>
      </c>
      <c r="P1526" s="2">
        <v>0</v>
      </c>
      <c r="Q1526">
        <v>0</v>
      </c>
      <c r="R1526" s="2">
        <v>0</v>
      </c>
      <c r="S1526" s="2">
        <v>0</v>
      </c>
      <c r="T1526" t="s">
        <v>377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</row>
    <row r="1527" spans="1:28" hidden="1" x14ac:dyDescent="0.25">
      <c r="A1527" t="s">
        <v>56</v>
      </c>
      <c r="B1527" t="s">
        <v>568</v>
      </c>
      <c r="C1527" t="s">
        <v>64</v>
      </c>
      <c r="D1527" s="1">
        <v>45936</v>
      </c>
      <c r="E1527" s="1">
        <v>45936</v>
      </c>
      <c r="F1527" s="2">
        <v>30</v>
      </c>
      <c r="G1527" s="3" t="s">
        <v>23</v>
      </c>
      <c r="H1527">
        <v>0</v>
      </c>
      <c r="I1527" s="2">
        <v>0</v>
      </c>
      <c r="J1527" s="2">
        <v>0</v>
      </c>
      <c r="K1527" s="2">
        <v>0</v>
      </c>
      <c r="L1527" s="2">
        <v>0</v>
      </c>
      <c r="M1527">
        <v>0</v>
      </c>
      <c r="N1527">
        <v>0</v>
      </c>
      <c r="O1527" s="2">
        <v>0</v>
      </c>
      <c r="P1527" s="2">
        <v>0</v>
      </c>
      <c r="Q1527">
        <v>0</v>
      </c>
      <c r="R1527" s="2">
        <v>0</v>
      </c>
      <c r="S1527" s="2">
        <v>0</v>
      </c>
      <c r="T1527" t="s">
        <v>838</v>
      </c>
      <c r="U1527" s="2">
        <v>0</v>
      </c>
      <c r="V1527" s="2">
        <v>42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</row>
    <row r="1528" spans="1:28" hidden="1" x14ac:dyDescent="0.25">
      <c r="A1528" t="s">
        <v>568</v>
      </c>
      <c r="B1528" t="s">
        <v>47</v>
      </c>
      <c r="C1528" t="s">
        <v>64</v>
      </c>
      <c r="D1528" s="1">
        <v>45936</v>
      </c>
      <c r="E1528" s="1">
        <v>45936</v>
      </c>
      <c r="F1528" s="2">
        <v>30</v>
      </c>
      <c r="G1528" s="3" t="s">
        <v>23</v>
      </c>
      <c r="H1528">
        <v>0</v>
      </c>
      <c r="I1528" s="2">
        <v>0</v>
      </c>
      <c r="J1528" s="2">
        <v>0</v>
      </c>
      <c r="K1528" s="2">
        <v>0</v>
      </c>
      <c r="L1528" s="2">
        <v>0</v>
      </c>
      <c r="M1528">
        <v>0</v>
      </c>
      <c r="N1528">
        <v>0</v>
      </c>
      <c r="O1528" s="2">
        <v>0</v>
      </c>
      <c r="P1528" s="2">
        <v>0</v>
      </c>
      <c r="Q1528">
        <v>0</v>
      </c>
      <c r="R1528" s="2">
        <v>0</v>
      </c>
      <c r="S1528" s="2">
        <v>0</v>
      </c>
      <c r="T1528" t="s">
        <v>838</v>
      </c>
      <c r="U1528" s="2">
        <v>0</v>
      </c>
      <c r="V1528" s="2">
        <v>42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</row>
    <row r="1529" spans="1:28" hidden="1" x14ac:dyDescent="0.25">
      <c r="A1529" t="s">
        <v>20</v>
      </c>
      <c r="B1529" t="s">
        <v>21</v>
      </c>
      <c r="C1529" t="s">
        <v>22</v>
      </c>
      <c r="D1529" s="1">
        <v>45936</v>
      </c>
      <c r="E1529" s="1">
        <v>45936</v>
      </c>
      <c r="F1529" s="2">
        <v>40</v>
      </c>
      <c r="G1529" s="3" t="s">
        <v>23</v>
      </c>
      <c r="H1529">
        <v>0</v>
      </c>
      <c r="I1529" s="2">
        <v>0</v>
      </c>
      <c r="J1529" s="2">
        <v>1</v>
      </c>
      <c r="K1529" s="2">
        <v>0</v>
      </c>
      <c r="L1529" s="2">
        <v>0</v>
      </c>
      <c r="M1529">
        <v>0</v>
      </c>
      <c r="N1529">
        <v>0</v>
      </c>
      <c r="O1529" s="2">
        <v>0</v>
      </c>
      <c r="P1529" s="2">
        <v>0</v>
      </c>
      <c r="Q1529">
        <v>0</v>
      </c>
      <c r="R1529" s="2">
        <v>0</v>
      </c>
      <c r="S1529" s="2">
        <v>0</v>
      </c>
      <c r="T1529" t="s">
        <v>839</v>
      </c>
      <c r="U1529" s="2">
        <v>0</v>
      </c>
      <c r="V1529" s="2">
        <v>0</v>
      </c>
      <c r="W1529" s="2">
        <v>16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</row>
    <row r="1530" spans="1:28" hidden="1" x14ac:dyDescent="0.25">
      <c r="A1530" t="s">
        <v>25</v>
      </c>
      <c r="B1530" t="s">
        <v>26</v>
      </c>
      <c r="C1530" t="s">
        <v>27</v>
      </c>
      <c r="D1530" s="1">
        <v>45936</v>
      </c>
      <c r="E1530" s="1">
        <v>45936</v>
      </c>
      <c r="F1530" s="2">
        <v>27</v>
      </c>
      <c r="G1530" s="3" t="s">
        <v>23</v>
      </c>
      <c r="H1530">
        <v>0</v>
      </c>
      <c r="I1530" s="2">
        <v>0</v>
      </c>
      <c r="J1530" s="2">
        <v>0</v>
      </c>
      <c r="K1530" s="2">
        <v>0</v>
      </c>
      <c r="L1530" s="2">
        <v>0</v>
      </c>
      <c r="M1530">
        <v>0</v>
      </c>
      <c r="N1530">
        <v>0</v>
      </c>
      <c r="O1530" s="2">
        <v>0</v>
      </c>
      <c r="P1530" s="2">
        <v>0</v>
      </c>
      <c r="Q1530">
        <v>0</v>
      </c>
      <c r="R1530" s="2">
        <v>0</v>
      </c>
      <c r="S1530" s="2">
        <v>0</v>
      </c>
      <c r="T1530" t="s">
        <v>840</v>
      </c>
      <c r="U1530" s="2">
        <v>0</v>
      </c>
      <c r="V1530" s="2">
        <v>24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</row>
    <row r="1531" spans="1:28" hidden="1" x14ac:dyDescent="0.25">
      <c r="A1531" t="s">
        <v>29</v>
      </c>
      <c r="B1531" t="s">
        <v>30</v>
      </c>
      <c r="C1531" t="s">
        <v>31</v>
      </c>
      <c r="D1531" s="1">
        <v>45936</v>
      </c>
      <c r="E1531" s="1">
        <v>45936</v>
      </c>
      <c r="F1531" s="2">
        <v>15</v>
      </c>
      <c r="G1531" s="3" t="s">
        <v>23</v>
      </c>
      <c r="H1531">
        <v>16</v>
      </c>
      <c r="I1531" s="2">
        <v>0</v>
      </c>
      <c r="J1531" s="2">
        <v>0</v>
      </c>
      <c r="K1531" s="2">
        <v>0</v>
      </c>
      <c r="L1531" s="2">
        <v>0</v>
      </c>
      <c r="M1531">
        <v>0</v>
      </c>
      <c r="N1531">
        <v>0</v>
      </c>
      <c r="O1531" s="2">
        <v>0</v>
      </c>
      <c r="P1531" s="2">
        <v>0</v>
      </c>
      <c r="Q1531">
        <v>0</v>
      </c>
      <c r="R1531" s="2">
        <v>0</v>
      </c>
      <c r="S1531" s="2">
        <v>0</v>
      </c>
      <c r="T1531" t="s">
        <v>841</v>
      </c>
      <c r="U1531" s="2">
        <v>0</v>
      </c>
      <c r="V1531" s="2">
        <v>22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</row>
    <row r="1532" spans="1:28" hidden="1" x14ac:dyDescent="0.25">
      <c r="A1532" t="s">
        <v>33</v>
      </c>
      <c r="B1532" t="s">
        <v>34</v>
      </c>
      <c r="C1532" t="s">
        <v>35</v>
      </c>
      <c r="D1532" s="1">
        <v>45936</v>
      </c>
      <c r="E1532" s="1">
        <v>45936</v>
      </c>
      <c r="F1532" s="2">
        <v>38</v>
      </c>
      <c r="G1532" s="3" t="s">
        <v>23</v>
      </c>
      <c r="H1532">
        <v>0</v>
      </c>
      <c r="I1532" s="2">
        <v>0</v>
      </c>
      <c r="J1532" s="2">
        <v>0</v>
      </c>
      <c r="K1532" s="2">
        <v>0</v>
      </c>
      <c r="L1532" s="2">
        <v>0</v>
      </c>
      <c r="M1532">
        <v>0</v>
      </c>
      <c r="N1532">
        <v>0</v>
      </c>
      <c r="O1532" s="2">
        <v>0</v>
      </c>
      <c r="P1532" s="2">
        <v>0</v>
      </c>
      <c r="Q1532">
        <v>0</v>
      </c>
      <c r="R1532" s="2">
        <v>0</v>
      </c>
      <c r="S1532" s="2">
        <v>0</v>
      </c>
      <c r="T1532" t="s">
        <v>842</v>
      </c>
      <c r="U1532" s="2">
        <v>0</v>
      </c>
      <c r="V1532" s="2">
        <v>40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</row>
    <row r="1533" spans="1:28" hidden="1" x14ac:dyDescent="0.25">
      <c r="A1533" t="s">
        <v>53</v>
      </c>
      <c r="B1533" t="s">
        <v>38</v>
      </c>
      <c r="C1533" t="s">
        <v>39</v>
      </c>
      <c r="D1533" s="1">
        <v>45936</v>
      </c>
      <c r="E1533" s="1">
        <v>45936</v>
      </c>
      <c r="F1533" s="2">
        <v>17</v>
      </c>
      <c r="G1533" s="3" t="s">
        <v>23</v>
      </c>
      <c r="H1533">
        <v>0</v>
      </c>
      <c r="I1533" s="2">
        <v>0</v>
      </c>
      <c r="J1533" s="2">
        <v>0</v>
      </c>
      <c r="K1533" s="2">
        <v>0</v>
      </c>
      <c r="L1533" s="2">
        <v>0</v>
      </c>
      <c r="M1533">
        <v>0</v>
      </c>
      <c r="N1533">
        <v>0</v>
      </c>
      <c r="O1533" s="2">
        <v>0</v>
      </c>
      <c r="P1533" s="2">
        <v>0</v>
      </c>
      <c r="Q1533">
        <v>0</v>
      </c>
      <c r="R1533" s="2">
        <v>0</v>
      </c>
      <c r="S1533" s="2">
        <v>0</v>
      </c>
      <c r="T1533" t="s">
        <v>843</v>
      </c>
      <c r="U1533" s="2">
        <v>0</v>
      </c>
      <c r="V1533" s="2">
        <f>4+7+4+2+5+4+20+7</f>
        <v>53</v>
      </c>
      <c r="W1533" s="2">
        <v>1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</row>
    <row r="1534" spans="1:28" hidden="1" x14ac:dyDescent="0.25">
      <c r="A1534" t="s">
        <v>37</v>
      </c>
      <c r="B1534" t="s">
        <v>57</v>
      </c>
      <c r="C1534" t="s">
        <v>39</v>
      </c>
      <c r="D1534" s="1">
        <v>45936</v>
      </c>
      <c r="E1534" s="1">
        <v>45936</v>
      </c>
      <c r="F1534" s="2">
        <v>17</v>
      </c>
      <c r="G1534" s="3" t="s">
        <v>23</v>
      </c>
      <c r="H1534">
        <v>0</v>
      </c>
      <c r="I1534" s="2">
        <v>0</v>
      </c>
      <c r="J1534" s="2">
        <v>0</v>
      </c>
      <c r="K1534" s="2">
        <v>0</v>
      </c>
      <c r="L1534" s="2">
        <v>0</v>
      </c>
      <c r="M1534">
        <v>0</v>
      </c>
      <c r="N1534">
        <v>0</v>
      </c>
      <c r="O1534" s="2">
        <v>0</v>
      </c>
      <c r="P1534" s="2">
        <v>0</v>
      </c>
      <c r="Q1534">
        <v>0</v>
      </c>
      <c r="R1534" s="2">
        <v>0</v>
      </c>
      <c r="S1534" s="2">
        <v>0</v>
      </c>
      <c r="T1534" t="s">
        <v>843</v>
      </c>
      <c r="U1534" s="2">
        <v>0</v>
      </c>
      <c r="V1534" s="2">
        <v>42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</row>
    <row r="1535" spans="1:28" hidden="1" x14ac:dyDescent="0.25">
      <c r="A1535" t="s">
        <v>730</v>
      </c>
      <c r="B1535" t="s">
        <v>47</v>
      </c>
      <c r="C1535" t="s">
        <v>39</v>
      </c>
      <c r="D1535" s="1">
        <v>45936</v>
      </c>
      <c r="E1535" s="1">
        <v>45936</v>
      </c>
      <c r="F1535" s="2">
        <v>32</v>
      </c>
      <c r="G1535" s="3" t="s">
        <v>572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t="s">
        <v>828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</row>
    <row r="1536" spans="1:28" hidden="1" x14ac:dyDescent="0.25">
      <c r="A1536" t="s">
        <v>47</v>
      </c>
      <c r="B1536" t="s">
        <v>52</v>
      </c>
      <c r="C1536" t="s">
        <v>212</v>
      </c>
      <c r="D1536" s="1">
        <v>45936</v>
      </c>
      <c r="E1536" s="1">
        <v>45936</v>
      </c>
      <c r="F1536" s="2">
        <v>0</v>
      </c>
      <c r="G1536" s="3" t="s">
        <v>572</v>
      </c>
      <c r="H1536">
        <v>0</v>
      </c>
      <c r="I1536" s="2">
        <v>0</v>
      </c>
      <c r="J1536" s="2">
        <v>0</v>
      </c>
      <c r="K1536" s="2">
        <v>0</v>
      </c>
      <c r="L1536" s="2">
        <v>0</v>
      </c>
      <c r="M1536">
        <v>0</v>
      </c>
      <c r="N1536">
        <v>0</v>
      </c>
      <c r="O1536" s="2">
        <v>0</v>
      </c>
      <c r="P1536" s="2">
        <v>0</v>
      </c>
      <c r="Q1536">
        <v>0</v>
      </c>
      <c r="R1536" s="2">
        <v>0</v>
      </c>
      <c r="S1536" s="2">
        <v>0</v>
      </c>
      <c r="T1536" t="s">
        <v>377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</row>
    <row r="1537" spans="1:28" hidden="1" x14ac:dyDescent="0.25">
      <c r="A1537" t="s">
        <v>56</v>
      </c>
      <c r="B1537" t="s">
        <v>47</v>
      </c>
      <c r="C1537" t="s">
        <v>64</v>
      </c>
      <c r="D1537" s="1">
        <v>45937</v>
      </c>
      <c r="E1537" s="1">
        <v>45937</v>
      </c>
      <c r="F1537" s="2">
        <v>20</v>
      </c>
      <c r="G1537" s="3" t="s">
        <v>23</v>
      </c>
      <c r="H1537">
        <f>16+1</f>
        <v>17</v>
      </c>
      <c r="I1537" s="2">
        <v>0</v>
      </c>
      <c r="J1537" s="2">
        <v>0</v>
      </c>
      <c r="K1537" s="2">
        <v>1</v>
      </c>
      <c r="L1537" s="2">
        <v>0</v>
      </c>
      <c r="M1537">
        <v>0</v>
      </c>
      <c r="N1537">
        <v>0</v>
      </c>
      <c r="O1537" s="2">
        <v>0</v>
      </c>
      <c r="P1537" s="2">
        <v>0</v>
      </c>
      <c r="Q1537">
        <v>2</v>
      </c>
      <c r="R1537" s="2">
        <v>0</v>
      </c>
      <c r="S1537" s="2">
        <v>0</v>
      </c>
      <c r="T1537" t="s">
        <v>844</v>
      </c>
      <c r="U1537" s="2">
        <v>0</v>
      </c>
      <c r="V1537" s="2">
        <v>7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</row>
    <row r="1538" spans="1:28" hidden="1" x14ac:dyDescent="0.25">
      <c r="A1538" t="s">
        <v>730</v>
      </c>
      <c r="B1538" t="s">
        <v>47</v>
      </c>
      <c r="C1538" t="s">
        <v>64</v>
      </c>
      <c r="D1538" s="1">
        <v>45937</v>
      </c>
      <c r="E1538" s="1">
        <v>45937</v>
      </c>
      <c r="F1538" s="2">
        <v>20</v>
      </c>
      <c r="G1538" s="3" t="s">
        <v>23</v>
      </c>
      <c r="H1538">
        <f>16+1</f>
        <v>17</v>
      </c>
      <c r="I1538" s="2">
        <v>0</v>
      </c>
      <c r="J1538" s="2">
        <v>0</v>
      </c>
      <c r="K1538" s="2">
        <v>1</v>
      </c>
      <c r="L1538" s="2">
        <v>0</v>
      </c>
      <c r="M1538">
        <v>0</v>
      </c>
      <c r="N1538">
        <v>0</v>
      </c>
      <c r="O1538" s="2">
        <v>0</v>
      </c>
      <c r="P1538" s="2">
        <v>0</v>
      </c>
      <c r="Q1538">
        <v>2</v>
      </c>
      <c r="R1538" s="2">
        <v>0</v>
      </c>
      <c r="S1538" s="2">
        <v>0</v>
      </c>
      <c r="T1538" t="s">
        <v>844</v>
      </c>
      <c r="U1538" s="2">
        <v>0</v>
      </c>
      <c r="V1538" s="2">
        <v>7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</row>
    <row r="1539" spans="1:28" hidden="1" x14ac:dyDescent="0.25">
      <c r="A1539" t="s">
        <v>568</v>
      </c>
      <c r="B1539" t="s">
        <v>47</v>
      </c>
      <c r="C1539" t="s">
        <v>64</v>
      </c>
      <c r="D1539" s="1">
        <v>45937</v>
      </c>
      <c r="E1539" s="1">
        <v>45937</v>
      </c>
      <c r="F1539" s="2">
        <v>20</v>
      </c>
      <c r="G1539" s="3" t="s">
        <v>23</v>
      </c>
      <c r="H1539">
        <f>16+5</f>
        <v>21</v>
      </c>
      <c r="I1539" s="2">
        <v>0</v>
      </c>
      <c r="J1539" s="2">
        <v>0</v>
      </c>
      <c r="K1539" s="2">
        <v>1</v>
      </c>
      <c r="L1539" s="2">
        <v>0</v>
      </c>
      <c r="M1539">
        <v>0</v>
      </c>
      <c r="N1539">
        <v>0</v>
      </c>
      <c r="O1539" s="2">
        <v>0</v>
      </c>
      <c r="P1539" s="2">
        <v>0</v>
      </c>
      <c r="Q1539">
        <v>2</v>
      </c>
      <c r="R1539" s="2">
        <v>0</v>
      </c>
      <c r="S1539" s="2">
        <v>0</v>
      </c>
      <c r="T1539" t="s">
        <v>844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</row>
    <row r="1540" spans="1:28" hidden="1" x14ac:dyDescent="0.25">
      <c r="A1540" t="s">
        <v>47</v>
      </c>
      <c r="B1540" t="s">
        <v>373</v>
      </c>
      <c r="C1540" t="s">
        <v>64</v>
      </c>
      <c r="D1540" s="1">
        <v>45937</v>
      </c>
      <c r="E1540" s="1">
        <v>45937</v>
      </c>
      <c r="F1540" s="2">
        <v>20</v>
      </c>
      <c r="G1540" s="3" t="s">
        <v>23</v>
      </c>
      <c r="H1540">
        <v>5</v>
      </c>
      <c r="I1540" s="2">
        <v>0</v>
      </c>
      <c r="J1540" s="2">
        <v>0</v>
      </c>
      <c r="K1540" s="2">
        <v>1</v>
      </c>
      <c r="L1540" s="2">
        <v>0</v>
      </c>
      <c r="M1540">
        <v>0</v>
      </c>
      <c r="N1540">
        <v>0</v>
      </c>
      <c r="O1540" s="2">
        <v>0</v>
      </c>
      <c r="P1540" s="2">
        <v>0</v>
      </c>
      <c r="Q1540">
        <v>1</v>
      </c>
      <c r="R1540" s="2">
        <v>0</v>
      </c>
      <c r="S1540" s="2">
        <v>0</v>
      </c>
      <c r="T1540" t="s">
        <v>844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</row>
    <row r="1541" spans="1:28" hidden="1" x14ac:dyDescent="0.25">
      <c r="A1541" t="s">
        <v>20</v>
      </c>
      <c r="B1541" t="s">
        <v>21</v>
      </c>
      <c r="C1541" t="s">
        <v>22</v>
      </c>
      <c r="D1541" s="1">
        <v>45937</v>
      </c>
      <c r="E1541" s="1">
        <v>45937</v>
      </c>
      <c r="F1541" s="2">
        <v>50</v>
      </c>
      <c r="G1541" s="3" t="s">
        <v>23</v>
      </c>
      <c r="H1541">
        <v>14</v>
      </c>
      <c r="I1541" s="2">
        <v>0</v>
      </c>
      <c r="J1541" s="2">
        <v>0</v>
      </c>
      <c r="K1541" s="2">
        <v>0</v>
      </c>
      <c r="L1541" s="2">
        <v>1</v>
      </c>
      <c r="M1541">
        <v>0</v>
      </c>
      <c r="N1541">
        <v>0</v>
      </c>
      <c r="O1541" s="2">
        <v>0</v>
      </c>
      <c r="P1541" s="2">
        <v>0</v>
      </c>
      <c r="Q1541">
        <v>0</v>
      </c>
      <c r="R1541" s="2">
        <v>0</v>
      </c>
      <c r="S1541" s="2">
        <v>0</v>
      </c>
      <c r="T1541" t="s">
        <v>845</v>
      </c>
      <c r="U1541" s="2">
        <v>0</v>
      </c>
      <c r="V1541" s="2">
        <v>6</v>
      </c>
      <c r="W1541" s="2">
        <v>2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</row>
    <row r="1542" spans="1:28" hidden="1" x14ac:dyDescent="0.25">
      <c r="A1542" t="s">
        <v>29</v>
      </c>
      <c r="B1542" t="s">
        <v>30</v>
      </c>
      <c r="C1542" t="s">
        <v>31</v>
      </c>
      <c r="D1542" s="1">
        <v>45937</v>
      </c>
      <c r="E1542" s="1">
        <v>45937</v>
      </c>
      <c r="F1542" s="2">
        <v>16</v>
      </c>
      <c r="G1542" s="3" t="s">
        <v>23</v>
      </c>
      <c r="H1542">
        <f>18+18+1+1+1+2+2+1+1+1</f>
        <v>46</v>
      </c>
      <c r="I1542" s="2">
        <v>0</v>
      </c>
      <c r="J1542" s="2">
        <v>0</v>
      </c>
      <c r="K1542" s="2">
        <v>1</v>
      </c>
      <c r="L1542" s="2">
        <v>0</v>
      </c>
      <c r="M1542">
        <v>0</v>
      </c>
      <c r="N1542">
        <v>0</v>
      </c>
      <c r="O1542" s="2">
        <v>0</v>
      </c>
      <c r="P1542" s="2">
        <v>0</v>
      </c>
      <c r="Q1542">
        <v>0</v>
      </c>
      <c r="R1542" s="2">
        <v>0</v>
      </c>
      <c r="S1542" s="2">
        <v>0</v>
      </c>
      <c r="T1542" t="s">
        <v>846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</row>
    <row r="1543" spans="1:28" hidden="1" x14ac:dyDescent="0.25">
      <c r="A1543" t="s">
        <v>33</v>
      </c>
      <c r="B1543" t="s">
        <v>34</v>
      </c>
      <c r="C1543" t="s">
        <v>35</v>
      </c>
      <c r="D1543" s="1">
        <v>45937</v>
      </c>
      <c r="E1543" s="1">
        <v>45937</v>
      </c>
      <c r="F1543" s="2">
        <v>25</v>
      </c>
      <c r="G1543" s="3" t="s">
        <v>23</v>
      </c>
      <c r="H1543">
        <v>27</v>
      </c>
      <c r="I1543" s="2">
        <v>0</v>
      </c>
      <c r="J1543" s="2">
        <v>0</v>
      </c>
      <c r="K1543" s="2">
        <v>1</v>
      </c>
      <c r="L1543" s="2">
        <v>0</v>
      </c>
      <c r="M1543">
        <v>1</v>
      </c>
      <c r="N1543">
        <v>0</v>
      </c>
      <c r="O1543" s="2">
        <v>0</v>
      </c>
      <c r="P1543" s="2">
        <v>0</v>
      </c>
      <c r="Q1543">
        <v>0</v>
      </c>
      <c r="R1543" s="2">
        <v>0</v>
      </c>
      <c r="S1543" s="2">
        <v>0</v>
      </c>
      <c r="T1543" t="s">
        <v>847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</row>
    <row r="1544" spans="1:28" hidden="1" x14ac:dyDescent="0.25">
      <c r="A1544" t="s">
        <v>37</v>
      </c>
      <c r="B1544" t="s">
        <v>57</v>
      </c>
      <c r="C1544" t="s">
        <v>39</v>
      </c>
      <c r="D1544" s="1">
        <v>45937</v>
      </c>
      <c r="E1544" s="1">
        <v>45937</v>
      </c>
      <c r="F1544" s="2">
        <v>19</v>
      </c>
      <c r="G1544" s="3" t="s">
        <v>23</v>
      </c>
      <c r="H1544">
        <v>40</v>
      </c>
      <c r="I1544" s="2">
        <v>0</v>
      </c>
      <c r="J1544" s="2">
        <v>0</v>
      </c>
      <c r="K1544" s="2">
        <v>1</v>
      </c>
      <c r="L1544" s="2">
        <v>0</v>
      </c>
      <c r="M1544">
        <v>0</v>
      </c>
      <c r="N1544">
        <v>0</v>
      </c>
      <c r="O1544" s="2">
        <v>0</v>
      </c>
      <c r="P1544" s="2">
        <v>0</v>
      </c>
      <c r="Q1544">
        <v>0</v>
      </c>
      <c r="R1544" s="2">
        <v>0</v>
      </c>
      <c r="S1544" s="2">
        <v>0</v>
      </c>
      <c r="T1544" t="s">
        <v>848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</row>
    <row r="1545" spans="1:28" hidden="1" x14ac:dyDescent="0.25">
      <c r="A1545" t="s">
        <v>53</v>
      </c>
      <c r="B1545" t="s">
        <v>38</v>
      </c>
      <c r="C1545" t="s">
        <v>39</v>
      </c>
      <c r="D1545" s="1">
        <v>45937</v>
      </c>
      <c r="E1545" s="1">
        <v>45937</v>
      </c>
      <c r="F1545" s="2">
        <v>19</v>
      </c>
      <c r="G1545" s="3" t="s">
        <v>23</v>
      </c>
      <c r="H1545">
        <v>14</v>
      </c>
      <c r="I1545" s="2">
        <v>0</v>
      </c>
      <c r="J1545" s="2">
        <v>0</v>
      </c>
      <c r="K1545" s="2">
        <v>0</v>
      </c>
      <c r="L1545" s="2">
        <v>0</v>
      </c>
      <c r="M1545">
        <v>0</v>
      </c>
      <c r="N1545">
        <v>0</v>
      </c>
      <c r="O1545" s="2">
        <v>0</v>
      </c>
      <c r="P1545" s="2">
        <v>0</v>
      </c>
      <c r="Q1545">
        <v>0</v>
      </c>
      <c r="R1545" s="2">
        <v>0</v>
      </c>
      <c r="S1545" s="2">
        <v>0</v>
      </c>
      <c r="T1545" t="s">
        <v>848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</row>
    <row r="1546" spans="1:28" hidden="1" x14ac:dyDescent="0.25">
      <c r="A1546" t="s">
        <v>25</v>
      </c>
      <c r="B1546" t="s">
        <v>26</v>
      </c>
      <c r="C1546" t="s">
        <v>39</v>
      </c>
      <c r="D1546" s="1">
        <v>45937</v>
      </c>
      <c r="E1546" s="1">
        <v>45937</v>
      </c>
      <c r="F1546" s="2">
        <v>32</v>
      </c>
      <c r="G1546" s="3" t="s">
        <v>48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t="s">
        <v>828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</row>
    <row r="1547" spans="1:28" hidden="1" x14ac:dyDescent="0.25">
      <c r="A1547" t="s">
        <v>47</v>
      </c>
      <c r="B1547" t="s">
        <v>52</v>
      </c>
      <c r="C1547" t="s">
        <v>212</v>
      </c>
      <c r="D1547" s="1">
        <v>45937</v>
      </c>
      <c r="E1547" s="1">
        <v>45937</v>
      </c>
      <c r="F1547" s="2">
        <v>0</v>
      </c>
      <c r="G1547" s="3" t="s">
        <v>572</v>
      </c>
      <c r="H1547">
        <v>0</v>
      </c>
      <c r="I1547" s="2">
        <v>0</v>
      </c>
      <c r="J1547" s="2">
        <v>0</v>
      </c>
      <c r="K1547" s="2">
        <v>0</v>
      </c>
      <c r="L1547" s="2">
        <v>0</v>
      </c>
      <c r="M1547">
        <v>0</v>
      </c>
      <c r="N1547">
        <v>0</v>
      </c>
      <c r="O1547" s="2">
        <v>0</v>
      </c>
      <c r="P1547" s="2">
        <v>0</v>
      </c>
      <c r="Q1547">
        <v>0</v>
      </c>
      <c r="R1547" s="2">
        <v>0</v>
      </c>
      <c r="S1547" s="2">
        <v>0</v>
      </c>
      <c r="T1547" t="s">
        <v>377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</row>
    <row r="1548" spans="1:28" hidden="1" x14ac:dyDescent="0.25">
      <c r="A1548" t="s">
        <v>20</v>
      </c>
      <c r="B1548" t="s">
        <v>21</v>
      </c>
      <c r="C1548" t="s">
        <v>22</v>
      </c>
      <c r="D1548" s="1">
        <v>45938</v>
      </c>
      <c r="E1548" s="1">
        <v>45938</v>
      </c>
      <c r="F1548" s="2">
        <v>27</v>
      </c>
      <c r="G1548" s="3" t="s">
        <v>23</v>
      </c>
      <c r="H1548">
        <f>6*2</f>
        <v>12</v>
      </c>
      <c r="I1548" s="2">
        <v>0</v>
      </c>
      <c r="J1548" s="2">
        <v>0</v>
      </c>
      <c r="K1548" s="2">
        <v>0</v>
      </c>
      <c r="L1548" s="2">
        <v>1</v>
      </c>
      <c r="M1548">
        <v>0</v>
      </c>
      <c r="N1548">
        <v>0</v>
      </c>
      <c r="O1548" s="2">
        <v>0</v>
      </c>
      <c r="P1548" s="2">
        <v>0</v>
      </c>
      <c r="Q1548">
        <v>0</v>
      </c>
      <c r="R1548" s="2">
        <v>0</v>
      </c>
      <c r="S1548" s="2">
        <v>0</v>
      </c>
      <c r="T1548" t="s">
        <v>849</v>
      </c>
      <c r="U1548" s="2">
        <v>0</v>
      </c>
      <c r="V1548" s="2">
        <f>22+22+2+2</f>
        <v>48</v>
      </c>
      <c r="W1548" s="2">
        <v>9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</row>
    <row r="1549" spans="1:28" hidden="1" x14ac:dyDescent="0.25">
      <c r="A1549" t="s">
        <v>25</v>
      </c>
      <c r="B1549" t="s">
        <v>26</v>
      </c>
      <c r="C1549" t="s">
        <v>27</v>
      </c>
      <c r="D1549" s="1">
        <v>45938</v>
      </c>
      <c r="E1549" s="1">
        <v>45938</v>
      </c>
      <c r="F1549" s="2">
        <v>23</v>
      </c>
      <c r="G1549" s="3" t="s">
        <v>23</v>
      </c>
      <c r="H1549">
        <v>50</v>
      </c>
      <c r="I1549" s="2">
        <v>0</v>
      </c>
      <c r="J1549" s="2">
        <v>0</v>
      </c>
      <c r="K1549" s="2">
        <v>1</v>
      </c>
      <c r="L1549" s="2">
        <v>0</v>
      </c>
      <c r="M1549">
        <v>1</v>
      </c>
      <c r="N1549">
        <v>0</v>
      </c>
      <c r="O1549" s="2">
        <v>0</v>
      </c>
      <c r="P1549" s="2">
        <v>0</v>
      </c>
      <c r="Q1549">
        <v>0</v>
      </c>
      <c r="R1549" s="2">
        <v>0</v>
      </c>
      <c r="S1549" s="2">
        <v>0</v>
      </c>
      <c r="T1549" t="s">
        <v>850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</row>
    <row r="1550" spans="1:28" hidden="1" x14ac:dyDescent="0.25">
      <c r="A1550" t="s">
        <v>568</v>
      </c>
      <c r="B1550" t="s">
        <v>47</v>
      </c>
      <c r="C1550" t="s">
        <v>670</v>
      </c>
      <c r="D1550" s="1">
        <v>45938</v>
      </c>
      <c r="E1550" s="1">
        <v>45938</v>
      </c>
      <c r="F1550" s="2">
        <v>95</v>
      </c>
      <c r="G1550" s="3" t="s">
        <v>23</v>
      </c>
      <c r="H1550">
        <f>14*2</f>
        <v>28</v>
      </c>
      <c r="I1550" s="2">
        <v>0</v>
      </c>
      <c r="J1550" s="2">
        <v>0</v>
      </c>
      <c r="K1550" s="2">
        <v>1</v>
      </c>
      <c r="L1550" s="2">
        <v>0</v>
      </c>
      <c r="M1550">
        <v>0</v>
      </c>
      <c r="N1550">
        <v>0</v>
      </c>
      <c r="O1550" s="2">
        <v>0</v>
      </c>
      <c r="P1550" s="2">
        <v>0</v>
      </c>
      <c r="Q1550">
        <v>0</v>
      </c>
      <c r="R1550" s="2">
        <v>0</v>
      </c>
      <c r="S1550" s="2">
        <v>0</v>
      </c>
      <c r="T1550" t="s">
        <v>851</v>
      </c>
      <c r="U1550" s="2">
        <v>0</v>
      </c>
      <c r="V1550" s="2">
        <f>20+20+12</f>
        <v>52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</row>
    <row r="1551" spans="1:28" hidden="1" x14ac:dyDescent="0.25">
      <c r="A1551" t="s">
        <v>730</v>
      </c>
      <c r="B1551" t="s">
        <v>47</v>
      </c>
      <c r="C1551" t="s">
        <v>670</v>
      </c>
      <c r="D1551" s="1">
        <v>45938</v>
      </c>
      <c r="E1551" s="1">
        <v>45938</v>
      </c>
      <c r="F1551" s="2">
        <v>95</v>
      </c>
      <c r="G1551" s="3" t="s">
        <v>23</v>
      </c>
      <c r="H1551">
        <f>14*2</f>
        <v>28</v>
      </c>
      <c r="I1551" s="2">
        <v>0</v>
      </c>
      <c r="J1551" s="2">
        <v>0</v>
      </c>
      <c r="K1551" s="2">
        <v>1</v>
      </c>
      <c r="L1551" s="2">
        <v>0</v>
      </c>
      <c r="M1551">
        <v>0</v>
      </c>
      <c r="N1551">
        <v>0</v>
      </c>
      <c r="O1551" s="2">
        <v>0</v>
      </c>
      <c r="P1551" s="2">
        <v>0</v>
      </c>
      <c r="Q1551">
        <v>0</v>
      </c>
      <c r="R1551" s="2">
        <v>0</v>
      </c>
      <c r="S1551" s="2">
        <v>0</v>
      </c>
      <c r="T1551" t="s">
        <v>851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</row>
    <row r="1552" spans="1:28" hidden="1" x14ac:dyDescent="0.25">
      <c r="A1552" t="s">
        <v>29</v>
      </c>
      <c r="B1552" t="s">
        <v>30</v>
      </c>
      <c r="C1552" t="s">
        <v>670</v>
      </c>
      <c r="D1552" s="1">
        <v>45938</v>
      </c>
      <c r="E1552" s="1">
        <v>45938</v>
      </c>
      <c r="F1552" s="2">
        <v>95</v>
      </c>
      <c r="G1552" s="3" t="s">
        <v>23</v>
      </c>
      <c r="H1552">
        <f>20+20+5+10</f>
        <v>55</v>
      </c>
      <c r="I1552" s="2">
        <v>0</v>
      </c>
      <c r="J1552" s="2">
        <v>0</v>
      </c>
      <c r="K1552" s="2">
        <v>1</v>
      </c>
      <c r="L1552" s="2">
        <v>0</v>
      </c>
      <c r="M1552">
        <v>0</v>
      </c>
      <c r="N1552">
        <v>0</v>
      </c>
      <c r="O1552" s="2">
        <v>0</v>
      </c>
      <c r="P1552" s="2">
        <v>0</v>
      </c>
      <c r="Q1552">
        <v>0</v>
      </c>
      <c r="R1552" s="2">
        <v>0</v>
      </c>
      <c r="S1552" s="2">
        <v>0</v>
      </c>
      <c r="T1552" t="s">
        <v>851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</row>
    <row r="1553" spans="1:28" hidden="1" x14ac:dyDescent="0.25">
      <c r="A1553" t="s">
        <v>53</v>
      </c>
      <c r="B1553" t="s">
        <v>38</v>
      </c>
      <c r="C1553" t="s">
        <v>670</v>
      </c>
      <c r="D1553" s="1">
        <v>45938</v>
      </c>
      <c r="E1553" s="1">
        <v>45938</v>
      </c>
      <c r="F1553" s="2">
        <v>95</v>
      </c>
      <c r="G1553" s="3" t="s">
        <v>23</v>
      </c>
      <c r="H1553">
        <f>12+12+1+1+6</f>
        <v>32</v>
      </c>
      <c r="I1553" s="2">
        <v>0</v>
      </c>
      <c r="J1553" s="2">
        <v>0</v>
      </c>
      <c r="K1553" s="2">
        <v>1</v>
      </c>
      <c r="L1553" s="2">
        <v>0</v>
      </c>
      <c r="M1553">
        <v>0</v>
      </c>
      <c r="N1553">
        <v>0</v>
      </c>
      <c r="O1553" s="2">
        <v>0</v>
      </c>
      <c r="P1553" s="2">
        <v>0</v>
      </c>
      <c r="Q1553">
        <v>0</v>
      </c>
      <c r="R1553" s="2">
        <v>0</v>
      </c>
      <c r="S1553" s="2">
        <v>0</v>
      </c>
      <c r="T1553" t="s">
        <v>851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</row>
    <row r="1554" spans="1:28" hidden="1" x14ac:dyDescent="0.25">
      <c r="A1554" t="s">
        <v>56</v>
      </c>
      <c r="B1554" t="s">
        <v>47</v>
      </c>
      <c r="C1554" t="s">
        <v>39</v>
      </c>
      <c r="D1554" s="1">
        <v>45938</v>
      </c>
      <c r="E1554" s="1">
        <v>45938</v>
      </c>
      <c r="F1554" s="2">
        <v>32</v>
      </c>
      <c r="G1554" s="3" t="s">
        <v>48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t="s">
        <v>828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</row>
    <row r="1555" spans="1:28" hidden="1" x14ac:dyDescent="0.25">
      <c r="A1555" t="s">
        <v>37</v>
      </c>
      <c r="B1555" t="s">
        <v>57</v>
      </c>
      <c r="C1555" t="s">
        <v>39</v>
      </c>
      <c r="D1555" s="1">
        <v>45938</v>
      </c>
      <c r="E1555" s="1">
        <v>45938</v>
      </c>
      <c r="F1555" s="2">
        <v>32</v>
      </c>
      <c r="G1555" s="3" t="s">
        <v>48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t="s">
        <v>828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</row>
    <row r="1556" spans="1:28" hidden="1" x14ac:dyDescent="0.25">
      <c r="A1556" t="s">
        <v>33</v>
      </c>
      <c r="B1556" t="s">
        <v>34</v>
      </c>
      <c r="C1556" t="s">
        <v>39</v>
      </c>
      <c r="D1556" s="1">
        <v>45938</v>
      </c>
      <c r="E1556" s="1">
        <v>45938</v>
      </c>
      <c r="F1556" s="2">
        <v>32</v>
      </c>
      <c r="G1556" s="3" t="s">
        <v>48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t="s">
        <v>828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</row>
    <row r="1557" spans="1:28" hidden="1" x14ac:dyDescent="0.25">
      <c r="A1557" t="s">
        <v>47</v>
      </c>
      <c r="B1557" t="s">
        <v>52</v>
      </c>
      <c r="C1557" t="s">
        <v>212</v>
      </c>
      <c r="D1557" s="1">
        <v>45938</v>
      </c>
      <c r="E1557" s="1">
        <v>45938</v>
      </c>
      <c r="F1557" s="2">
        <v>0</v>
      </c>
      <c r="G1557" s="3" t="s">
        <v>572</v>
      </c>
      <c r="H1557">
        <v>0</v>
      </c>
      <c r="I1557" s="2">
        <v>0</v>
      </c>
      <c r="J1557" s="2">
        <v>0</v>
      </c>
      <c r="K1557" s="2">
        <v>0</v>
      </c>
      <c r="L1557" s="2">
        <v>0</v>
      </c>
      <c r="M1557">
        <v>0</v>
      </c>
      <c r="N1557">
        <v>0</v>
      </c>
      <c r="O1557" s="2">
        <v>0</v>
      </c>
      <c r="P1557" s="2">
        <v>0</v>
      </c>
      <c r="Q1557">
        <v>0</v>
      </c>
      <c r="R1557" s="2">
        <v>0</v>
      </c>
      <c r="S1557" s="2">
        <v>0</v>
      </c>
      <c r="T1557" t="s">
        <v>377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</row>
    <row r="1558" spans="1:28" hidden="1" x14ac:dyDescent="0.25">
      <c r="A1558" t="s">
        <v>56</v>
      </c>
      <c r="B1558" t="s">
        <v>47</v>
      </c>
      <c r="C1558" t="s">
        <v>64</v>
      </c>
      <c r="D1558" s="1">
        <v>45939</v>
      </c>
      <c r="E1558" s="1">
        <v>45939</v>
      </c>
      <c r="F1558" s="2">
        <v>16</v>
      </c>
      <c r="G1558" s="3" t="s">
        <v>23</v>
      </c>
      <c r="H1558">
        <f>16*2</f>
        <v>32</v>
      </c>
      <c r="I1558" s="2">
        <v>0</v>
      </c>
      <c r="J1558" s="2">
        <v>0</v>
      </c>
      <c r="K1558" s="2">
        <v>1</v>
      </c>
      <c r="L1558" s="2">
        <v>0</v>
      </c>
      <c r="M1558">
        <v>0</v>
      </c>
      <c r="N1558">
        <v>0</v>
      </c>
      <c r="O1558" s="2">
        <v>0</v>
      </c>
      <c r="P1558" s="2">
        <v>0</v>
      </c>
      <c r="Q1558">
        <v>0</v>
      </c>
      <c r="R1558" s="2">
        <v>0</v>
      </c>
      <c r="S1558" s="2">
        <v>0</v>
      </c>
      <c r="T1558" t="s">
        <v>852</v>
      </c>
      <c r="U1558" s="2">
        <v>0</v>
      </c>
      <c r="V1558" s="2">
        <v>22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</row>
    <row r="1559" spans="1:28" hidden="1" x14ac:dyDescent="0.25">
      <c r="A1559" t="s">
        <v>730</v>
      </c>
      <c r="B1559" t="s">
        <v>47</v>
      </c>
      <c r="C1559" t="s">
        <v>64</v>
      </c>
      <c r="D1559" s="1">
        <v>45939</v>
      </c>
      <c r="E1559" s="1">
        <v>45939</v>
      </c>
      <c r="F1559" s="2">
        <v>16</v>
      </c>
      <c r="G1559" s="3" t="s">
        <v>23</v>
      </c>
      <c r="H1559">
        <f>16*2</f>
        <v>32</v>
      </c>
      <c r="I1559" s="2">
        <v>0</v>
      </c>
      <c r="J1559" s="2">
        <v>0</v>
      </c>
      <c r="K1559" s="2">
        <v>1</v>
      </c>
      <c r="L1559" s="2">
        <v>0</v>
      </c>
      <c r="M1559">
        <v>0</v>
      </c>
      <c r="N1559">
        <v>0</v>
      </c>
      <c r="O1559" s="2">
        <v>0</v>
      </c>
      <c r="P1559" s="2">
        <v>0</v>
      </c>
      <c r="Q1559">
        <v>0</v>
      </c>
      <c r="R1559" s="2">
        <v>0</v>
      </c>
      <c r="S1559" s="2">
        <v>0</v>
      </c>
      <c r="T1559" t="s">
        <v>852</v>
      </c>
      <c r="U1559" s="2">
        <v>0</v>
      </c>
      <c r="V1559" s="2">
        <v>22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</row>
    <row r="1560" spans="1:28" hidden="1" x14ac:dyDescent="0.25">
      <c r="A1560" t="s">
        <v>53</v>
      </c>
      <c r="B1560" t="s">
        <v>38</v>
      </c>
      <c r="C1560" t="s">
        <v>54</v>
      </c>
      <c r="D1560" s="1">
        <v>45939</v>
      </c>
      <c r="E1560" s="1">
        <v>45939</v>
      </c>
      <c r="F1560" s="2">
        <v>331</v>
      </c>
      <c r="G1560" s="3" t="s">
        <v>23</v>
      </c>
      <c r="H1560">
        <f>4+4+4+4+1</f>
        <v>17</v>
      </c>
      <c r="I1560" s="2">
        <v>0</v>
      </c>
      <c r="J1560" s="2">
        <v>0</v>
      </c>
      <c r="K1560" s="2">
        <v>0</v>
      </c>
      <c r="L1560" s="2">
        <v>1</v>
      </c>
      <c r="M1560">
        <v>0</v>
      </c>
      <c r="N1560">
        <v>0</v>
      </c>
      <c r="O1560" s="2">
        <v>0</v>
      </c>
      <c r="P1560" s="2">
        <v>0</v>
      </c>
      <c r="Q1560">
        <v>0</v>
      </c>
      <c r="R1560" s="2">
        <v>0</v>
      </c>
      <c r="S1560" s="2">
        <v>0</v>
      </c>
      <c r="T1560" t="s">
        <v>853</v>
      </c>
      <c r="U1560" s="2">
        <v>0</v>
      </c>
      <c r="V1560" s="2">
        <v>20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</row>
    <row r="1561" spans="1:28" hidden="1" x14ac:dyDescent="0.25">
      <c r="A1561" t="s">
        <v>25</v>
      </c>
      <c r="B1561" t="s">
        <v>26</v>
      </c>
      <c r="C1561" t="s">
        <v>27</v>
      </c>
      <c r="D1561" s="1">
        <v>45939</v>
      </c>
      <c r="E1561" s="1">
        <v>45939</v>
      </c>
      <c r="F1561" s="2">
        <v>36</v>
      </c>
      <c r="G1561" s="3" t="s">
        <v>23</v>
      </c>
      <c r="H1561">
        <f>18+18+2+3+1</f>
        <v>42</v>
      </c>
      <c r="I1561" s="2">
        <v>0</v>
      </c>
      <c r="J1561" s="2">
        <v>0</v>
      </c>
      <c r="K1561" s="2">
        <v>1</v>
      </c>
      <c r="L1561" s="2">
        <v>0</v>
      </c>
      <c r="M1561">
        <v>0</v>
      </c>
      <c r="N1561">
        <v>0</v>
      </c>
      <c r="O1561" s="2">
        <v>0</v>
      </c>
      <c r="P1561" s="2">
        <v>0</v>
      </c>
      <c r="Q1561">
        <v>0</v>
      </c>
      <c r="R1561" s="2">
        <v>0</v>
      </c>
      <c r="S1561" s="2">
        <v>0</v>
      </c>
      <c r="T1561" t="s">
        <v>854</v>
      </c>
      <c r="U1561" s="2">
        <v>0</v>
      </c>
      <c r="V1561" s="2">
        <v>20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</row>
    <row r="1562" spans="1:28" hidden="1" x14ac:dyDescent="0.25">
      <c r="A1562" t="s">
        <v>29</v>
      </c>
      <c r="B1562" t="s">
        <v>30</v>
      </c>
      <c r="C1562" t="s">
        <v>31</v>
      </c>
      <c r="D1562" s="1">
        <v>45939</v>
      </c>
      <c r="E1562" s="1">
        <v>45939</v>
      </c>
      <c r="F1562" s="2">
        <v>18</v>
      </c>
      <c r="G1562" s="3" t="s">
        <v>23</v>
      </c>
      <c r="H1562">
        <v>0</v>
      </c>
      <c r="I1562" s="2">
        <v>0</v>
      </c>
      <c r="J1562" s="2">
        <v>0</v>
      </c>
      <c r="K1562" s="2">
        <v>0</v>
      </c>
      <c r="L1562" s="2">
        <v>0</v>
      </c>
      <c r="M1562">
        <v>0</v>
      </c>
      <c r="N1562">
        <v>0</v>
      </c>
      <c r="O1562" s="2">
        <v>0</v>
      </c>
      <c r="P1562" s="2">
        <v>0</v>
      </c>
      <c r="Q1562">
        <v>2</v>
      </c>
      <c r="R1562" s="2">
        <v>0</v>
      </c>
      <c r="S1562" s="2">
        <v>0</v>
      </c>
      <c r="T1562" t="s">
        <v>855</v>
      </c>
      <c r="U1562" s="2">
        <v>0</v>
      </c>
      <c r="V1562" s="2">
        <v>22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</row>
    <row r="1563" spans="1:28" hidden="1" x14ac:dyDescent="0.25">
      <c r="A1563" t="s">
        <v>33</v>
      </c>
      <c r="B1563" t="s">
        <v>34</v>
      </c>
      <c r="C1563" t="s">
        <v>35</v>
      </c>
      <c r="D1563" s="1">
        <v>45939</v>
      </c>
      <c r="E1563" s="1">
        <v>45939</v>
      </c>
      <c r="F1563" s="2">
        <v>37</v>
      </c>
      <c r="G1563" s="3" t="s">
        <v>23</v>
      </c>
      <c r="H1563">
        <f>7+7+1+1+1+2+2</f>
        <v>21</v>
      </c>
      <c r="I1563" s="2">
        <v>0</v>
      </c>
      <c r="J1563" s="2">
        <v>0</v>
      </c>
      <c r="K1563" s="2">
        <v>1</v>
      </c>
      <c r="L1563" s="2">
        <v>0</v>
      </c>
      <c r="M1563">
        <v>2</v>
      </c>
      <c r="N1563">
        <v>0</v>
      </c>
      <c r="O1563" s="2">
        <v>0</v>
      </c>
      <c r="P1563" s="2">
        <v>0</v>
      </c>
      <c r="Q1563">
        <v>0</v>
      </c>
      <c r="R1563" s="2">
        <v>0</v>
      </c>
      <c r="S1563" s="2">
        <v>0</v>
      </c>
      <c r="T1563" t="s">
        <v>856</v>
      </c>
      <c r="U1563" s="2">
        <v>0</v>
      </c>
      <c r="V1563" s="2">
        <f>2+2+4</f>
        <v>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</row>
    <row r="1564" spans="1:28" hidden="1" x14ac:dyDescent="0.25">
      <c r="A1564" t="s">
        <v>37</v>
      </c>
      <c r="B1564" t="s">
        <v>57</v>
      </c>
      <c r="C1564" t="s">
        <v>39</v>
      </c>
      <c r="D1564" s="1">
        <v>45939</v>
      </c>
      <c r="E1564" s="1">
        <v>45939</v>
      </c>
      <c r="F1564" s="2">
        <v>25</v>
      </c>
      <c r="G1564" s="3" t="s">
        <v>23</v>
      </c>
      <c r="H1564">
        <v>40</v>
      </c>
      <c r="I1564" s="2">
        <v>0</v>
      </c>
      <c r="J1564" s="2">
        <v>0</v>
      </c>
      <c r="K1564" s="2">
        <v>1</v>
      </c>
      <c r="L1564" s="2">
        <v>0</v>
      </c>
      <c r="M1564">
        <v>0</v>
      </c>
      <c r="N1564">
        <v>0</v>
      </c>
      <c r="O1564" s="2">
        <v>0</v>
      </c>
      <c r="P1564" s="2">
        <v>0</v>
      </c>
      <c r="Q1564">
        <v>0</v>
      </c>
      <c r="R1564" s="2">
        <v>0</v>
      </c>
      <c r="S1564" s="2">
        <v>0</v>
      </c>
      <c r="T1564" t="s">
        <v>857</v>
      </c>
      <c r="U1564" s="2">
        <v>0</v>
      </c>
      <c r="V1564" s="2">
        <v>22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</row>
    <row r="1565" spans="1:28" hidden="1" x14ac:dyDescent="0.25">
      <c r="A1565" t="s">
        <v>568</v>
      </c>
      <c r="B1565" t="s">
        <v>47</v>
      </c>
      <c r="C1565" t="s">
        <v>39</v>
      </c>
      <c r="D1565" s="1">
        <v>45939</v>
      </c>
      <c r="E1565" s="1">
        <v>45939</v>
      </c>
      <c r="F1565" s="2">
        <v>25</v>
      </c>
      <c r="G1565" s="3" t="s">
        <v>23</v>
      </c>
      <c r="H1565">
        <v>0</v>
      </c>
      <c r="I1565" s="2">
        <v>0</v>
      </c>
      <c r="J1565" s="2">
        <v>0</v>
      </c>
      <c r="K1565" s="2">
        <v>0</v>
      </c>
      <c r="L1565" s="2">
        <v>0</v>
      </c>
      <c r="M1565">
        <v>0</v>
      </c>
      <c r="N1565">
        <v>0</v>
      </c>
      <c r="O1565" s="2">
        <v>0</v>
      </c>
      <c r="P1565" s="2">
        <v>0</v>
      </c>
      <c r="Q1565">
        <v>0</v>
      </c>
      <c r="R1565" s="2">
        <v>0</v>
      </c>
      <c r="S1565" s="2">
        <v>0</v>
      </c>
      <c r="T1565" t="s">
        <v>857</v>
      </c>
      <c r="U1565" s="2">
        <v>0</v>
      </c>
      <c r="V1565" s="2">
        <f>10*2</f>
        <v>20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</row>
    <row r="1566" spans="1:28" hidden="1" x14ac:dyDescent="0.25">
      <c r="A1566" t="s">
        <v>20</v>
      </c>
      <c r="B1566" t="s">
        <v>21</v>
      </c>
      <c r="C1566" t="s">
        <v>39</v>
      </c>
      <c r="D1566" s="1">
        <v>45939</v>
      </c>
      <c r="E1566" s="1">
        <v>45939</v>
      </c>
      <c r="F1566" s="2">
        <v>32</v>
      </c>
      <c r="G1566" s="3" t="s">
        <v>48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t="s">
        <v>828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</row>
    <row r="1567" spans="1:28" hidden="1" x14ac:dyDescent="0.25">
      <c r="A1567" t="s">
        <v>47</v>
      </c>
      <c r="B1567" t="s">
        <v>52</v>
      </c>
      <c r="C1567" t="s">
        <v>212</v>
      </c>
      <c r="D1567" s="1">
        <v>45939</v>
      </c>
      <c r="E1567" s="1">
        <v>45939</v>
      </c>
      <c r="F1567" s="2">
        <v>0</v>
      </c>
      <c r="G1567" s="3" t="s">
        <v>572</v>
      </c>
      <c r="H1567">
        <v>0</v>
      </c>
      <c r="I1567" s="2">
        <v>0</v>
      </c>
      <c r="J1567" s="2">
        <v>0</v>
      </c>
      <c r="K1567" s="2">
        <v>0</v>
      </c>
      <c r="L1567" s="2">
        <v>0</v>
      </c>
      <c r="M1567">
        <v>0</v>
      </c>
      <c r="N1567">
        <v>0</v>
      </c>
      <c r="O1567" s="2">
        <v>0</v>
      </c>
      <c r="P1567" s="2">
        <v>0</v>
      </c>
      <c r="Q1567">
        <v>0</v>
      </c>
      <c r="R1567" s="2">
        <v>0</v>
      </c>
      <c r="S1567" s="2">
        <v>0</v>
      </c>
      <c r="T1567" t="s">
        <v>377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</row>
    <row r="1568" spans="1:28" hidden="1" x14ac:dyDescent="0.25">
      <c r="A1568" t="s">
        <v>56</v>
      </c>
      <c r="B1568" t="s">
        <v>47</v>
      </c>
      <c r="C1568" t="s">
        <v>64</v>
      </c>
      <c r="D1568" s="1">
        <v>45940</v>
      </c>
      <c r="E1568" s="1">
        <v>45940</v>
      </c>
      <c r="F1568" s="2">
        <v>87</v>
      </c>
      <c r="G1568" s="3" t="s">
        <v>23</v>
      </c>
      <c r="H1568">
        <f>8+8+1+1+2+2+2</f>
        <v>24</v>
      </c>
      <c r="I1568" s="2">
        <v>0</v>
      </c>
      <c r="J1568" s="2">
        <v>0</v>
      </c>
      <c r="K1568" s="2">
        <v>1</v>
      </c>
      <c r="L1568" s="2">
        <v>0</v>
      </c>
      <c r="M1568">
        <v>1</v>
      </c>
      <c r="N1568">
        <v>0</v>
      </c>
      <c r="O1568" s="2">
        <v>0</v>
      </c>
      <c r="P1568" s="2">
        <v>0</v>
      </c>
      <c r="Q1568">
        <v>0</v>
      </c>
      <c r="R1568" s="2">
        <v>0</v>
      </c>
      <c r="S1568" s="2">
        <v>0</v>
      </c>
      <c r="T1568" t="s">
        <v>858</v>
      </c>
      <c r="U1568" s="2">
        <v>0</v>
      </c>
      <c r="V1568" s="2">
        <f>2+2+2+2</f>
        <v>8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</row>
    <row r="1569" spans="1:28" hidden="1" x14ac:dyDescent="0.25">
      <c r="A1569" t="s">
        <v>568</v>
      </c>
      <c r="B1569" t="s">
        <v>47</v>
      </c>
      <c r="C1569" t="s">
        <v>64</v>
      </c>
      <c r="D1569" s="1">
        <v>45940</v>
      </c>
      <c r="E1569" s="1">
        <v>45940</v>
      </c>
      <c r="F1569" s="2">
        <v>87</v>
      </c>
      <c r="G1569" s="3" t="s">
        <v>23</v>
      </c>
      <c r="H1569">
        <f>8+8+1+1+2+2+2</f>
        <v>24</v>
      </c>
      <c r="I1569" s="2">
        <v>0</v>
      </c>
      <c r="J1569" s="2">
        <v>0</v>
      </c>
      <c r="K1569" s="2">
        <v>1</v>
      </c>
      <c r="L1569" s="2">
        <v>0</v>
      </c>
      <c r="M1569">
        <v>1</v>
      </c>
      <c r="N1569">
        <v>0</v>
      </c>
      <c r="O1569" s="2">
        <v>0</v>
      </c>
      <c r="P1569" s="2">
        <v>0</v>
      </c>
      <c r="Q1569">
        <v>0</v>
      </c>
      <c r="R1569" s="2">
        <v>0</v>
      </c>
      <c r="S1569" s="2">
        <v>0</v>
      </c>
      <c r="T1569" t="s">
        <v>858</v>
      </c>
      <c r="U1569" s="2">
        <v>0</v>
      </c>
      <c r="V1569" s="2">
        <f>2+2+2+2</f>
        <v>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</row>
    <row r="1570" spans="1:28" hidden="1" x14ac:dyDescent="0.25">
      <c r="A1570" t="s">
        <v>20</v>
      </c>
      <c r="B1570" t="s">
        <v>21</v>
      </c>
      <c r="C1570" t="s">
        <v>22</v>
      </c>
      <c r="D1570" s="1">
        <v>45940</v>
      </c>
      <c r="E1570" s="1">
        <v>45940</v>
      </c>
      <c r="F1570" s="2">
        <v>32</v>
      </c>
      <c r="G1570" s="3" t="s">
        <v>23</v>
      </c>
      <c r="H1570">
        <f>5+4+5+4+7</f>
        <v>25</v>
      </c>
      <c r="I1570" s="2">
        <v>0</v>
      </c>
      <c r="J1570" s="2">
        <v>0</v>
      </c>
      <c r="K1570" s="2">
        <v>0</v>
      </c>
      <c r="L1570" s="2">
        <v>1</v>
      </c>
      <c r="M1570">
        <v>0</v>
      </c>
      <c r="N1570">
        <v>0</v>
      </c>
      <c r="O1570" s="2">
        <v>0</v>
      </c>
      <c r="P1570" s="2">
        <v>0</v>
      </c>
      <c r="Q1570">
        <v>0</v>
      </c>
      <c r="R1570" s="2">
        <v>0</v>
      </c>
      <c r="S1570" s="2">
        <v>0</v>
      </c>
      <c r="T1570" t="s">
        <v>859</v>
      </c>
      <c r="U1570" s="2">
        <v>0</v>
      </c>
      <c r="V1570" s="2">
        <f>13+9+1+1</f>
        <v>24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</row>
    <row r="1571" spans="1:28" hidden="1" x14ac:dyDescent="0.25">
      <c r="A1571" t="s">
        <v>25</v>
      </c>
      <c r="B1571" t="s">
        <v>26</v>
      </c>
      <c r="C1571" t="s">
        <v>27</v>
      </c>
      <c r="D1571" s="1">
        <v>45940</v>
      </c>
      <c r="E1571" s="1">
        <v>45940</v>
      </c>
      <c r="F1571" s="2">
        <v>24</v>
      </c>
      <c r="G1571" s="3" t="s">
        <v>23</v>
      </c>
      <c r="H1571">
        <v>46</v>
      </c>
      <c r="I1571" s="2">
        <v>0</v>
      </c>
      <c r="J1571" s="2">
        <v>0</v>
      </c>
      <c r="K1571" s="2">
        <v>1</v>
      </c>
      <c r="L1571" s="2">
        <v>0</v>
      </c>
      <c r="M1571">
        <v>0</v>
      </c>
      <c r="N1571">
        <v>0</v>
      </c>
      <c r="O1571" s="2">
        <v>0</v>
      </c>
      <c r="P1571" s="2">
        <v>0</v>
      </c>
      <c r="Q1571">
        <v>0</v>
      </c>
      <c r="R1571" s="2">
        <v>0</v>
      </c>
      <c r="S1571" s="2">
        <v>0</v>
      </c>
      <c r="T1571" t="s">
        <v>860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</row>
    <row r="1572" spans="1:28" hidden="1" x14ac:dyDescent="0.25">
      <c r="A1572" t="s">
        <v>29</v>
      </c>
      <c r="B1572" t="s">
        <v>30</v>
      </c>
      <c r="C1572" t="s">
        <v>31</v>
      </c>
      <c r="D1572" s="1">
        <v>45940</v>
      </c>
      <c r="E1572" s="1">
        <v>45940</v>
      </c>
      <c r="F1572" s="2">
        <v>31</v>
      </c>
      <c r="G1572" s="3" t="s">
        <v>23</v>
      </c>
      <c r="H1572">
        <v>0</v>
      </c>
      <c r="I1572" s="2">
        <v>0</v>
      </c>
      <c r="J1572" s="2">
        <v>0</v>
      </c>
      <c r="K1572" s="2">
        <v>0</v>
      </c>
      <c r="L1572" s="2">
        <v>0</v>
      </c>
      <c r="M1572">
        <v>0</v>
      </c>
      <c r="N1572">
        <v>0</v>
      </c>
      <c r="O1572" s="2">
        <v>0</v>
      </c>
      <c r="P1572" s="2">
        <v>0</v>
      </c>
      <c r="Q1572">
        <v>0</v>
      </c>
      <c r="R1572" s="2">
        <v>0</v>
      </c>
      <c r="S1572" s="2">
        <v>0</v>
      </c>
      <c r="T1572" t="s">
        <v>861</v>
      </c>
      <c r="U1572" s="2">
        <v>0</v>
      </c>
      <c r="V1572" s="2">
        <v>22</v>
      </c>
      <c r="W1572" s="2">
        <v>8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</row>
    <row r="1573" spans="1:28" hidden="1" x14ac:dyDescent="0.25">
      <c r="A1573" t="s">
        <v>33</v>
      </c>
      <c r="B1573" t="s">
        <v>34</v>
      </c>
      <c r="C1573" t="s">
        <v>35</v>
      </c>
      <c r="D1573" s="1">
        <v>45940</v>
      </c>
      <c r="E1573" s="1">
        <v>45940</v>
      </c>
      <c r="F1573" s="2">
        <v>34</v>
      </c>
      <c r="G1573" s="3" t="s">
        <v>23</v>
      </c>
      <c r="H1573">
        <f>9+9+1+1+1</f>
        <v>21</v>
      </c>
      <c r="I1573" s="2">
        <v>0</v>
      </c>
      <c r="J1573" s="2">
        <v>1</v>
      </c>
      <c r="K1573" s="2">
        <v>1</v>
      </c>
      <c r="L1573" s="2">
        <v>0</v>
      </c>
      <c r="M1573">
        <v>1</v>
      </c>
      <c r="N1573">
        <v>1</v>
      </c>
      <c r="O1573" s="2">
        <v>0</v>
      </c>
      <c r="P1573" s="2">
        <v>0</v>
      </c>
      <c r="Q1573">
        <v>0</v>
      </c>
      <c r="R1573" s="2">
        <v>0</v>
      </c>
      <c r="S1573" s="2">
        <v>0</v>
      </c>
      <c r="T1573" t="s">
        <v>862</v>
      </c>
      <c r="U1573" s="2">
        <v>0</v>
      </c>
      <c r="V1573" s="2">
        <v>10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</row>
    <row r="1574" spans="1:28" hidden="1" x14ac:dyDescent="0.25">
      <c r="A1574" t="s">
        <v>37</v>
      </c>
      <c r="B1574" t="s">
        <v>57</v>
      </c>
      <c r="C1574" t="s">
        <v>39</v>
      </c>
      <c r="D1574" s="1">
        <v>45940</v>
      </c>
      <c r="E1574" s="1">
        <v>45940</v>
      </c>
      <c r="F1574" s="2">
        <v>77</v>
      </c>
      <c r="G1574" s="3" t="s">
        <v>23</v>
      </c>
      <c r="H1574">
        <v>65</v>
      </c>
      <c r="I1574" s="2">
        <v>0</v>
      </c>
      <c r="J1574" s="2">
        <v>0</v>
      </c>
      <c r="K1574" s="2">
        <v>1</v>
      </c>
      <c r="L1574" s="2">
        <v>0</v>
      </c>
      <c r="M1574">
        <v>0</v>
      </c>
      <c r="N1574">
        <v>0</v>
      </c>
      <c r="O1574" s="2">
        <v>0</v>
      </c>
      <c r="P1574" s="2">
        <v>0</v>
      </c>
      <c r="Q1574">
        <v>0</v>
      </c>
      <c r="R1574" s="2">
        <v>0</v>
      </c>
      <c r="S1574" s="2">
        <v>0</v>
      </c>
      <c r="T1574" t="s">
        <v>863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</row>
    <row r="1575" spans="1:28" ht="14.25" hidden="1" customHeight="1" x14ac:dyDescent="0.25">
      <c r="A1575" t="s">
        <v>53</v>
      </c>
      <c r="B1575" t="s">
        <v>38</v>
      </c>
      <c r="C1575" t="s">
        <v>39</v>
      </c>
      <c r="D1575" s="1">
        <v>45940</v>
      </c>
      <c r="E1575" s="1">
        <v>45940</v>
      </c>
      <c r="F1575" s="2">
        <v>77</v>
      </c>
      <c r="G1575" s="3" t="s">
        <v>23</v>
      </c>
      <c r="H1575">
        <v>6</v>
      </c>
      <c r="I1575" s="2">
        <v>0</v>
      </c>
      <c r="J1575" s="2">
        <v>0</v>
      </c>
      <c r="K1575" s="2">
        <v>0</v>
      </c>
      <c r="L1575" s="2">
        <v>0</v>
      </c>
      <c r="M1575">
        <v>0</v>
      </c>
      <c r="N1575">
        <v>0</v>
      </c>
      <c r="O1575" s="2">
        <v>0</v>
      </c>
      <c r="P1575" s="2">
        <v>0</v>
      </c>
      <c r="Q1575">
        <v>0</v>
      </c>
      <c r="R1575" s="2">
        <v>0</v>
      </c>
      <c r="S1575" s="2">
        <v>0</v>
      </c>
      <c r="T1575" t="s">
        <v>863</v>
      </c>
      <c r="U1575" s="2">
        <v>0</v>
      </c>
      <c r="V1575" s="2">
        <v>20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</row>
    <row r="1576" spans="1:28" hidden="1" x14ac:dyDescent="0.25">
      <c r="A1576" t="s">
        <v>730</v>
      </c>
      <c r="B1576" t="s">
        <v>47</v>
      </c>
      <c r="C1576" t="s">
        <v>39</v>
      </c>
      <c r="D1576" s="1">
        <v>45940</v>
      </c>
      <c r="E1576" s="1">
        <v>45940</v>
      </c>
      <c r="F1576" s="2">
        <v>32</v>
      </c>
      <c r="G1576" s="3" t="s">
        <v>48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t="s">
        <v>828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</row>
    <row r="1577" spans="1:28" hidden="1" x14ac:dyDescent="0.25">
      <c r="A1577" t="s">
        <v>47</v>
      </c>
      <c r="B1577" t="s">
        <v>52</v>
      </c>
      <c r="C1577" t="s">
        <v>212</v>
      </c>
      <c r="D1577" s="1">
        <v>45940</v>
      </c>
      <c r="E1577" s="1">
        <v>45940</v>
      </c>
      <c r="F1577" s="2">
        <v>0</v>
      </c>
      <c r="G1577" s="3" t="s">
        <v>572</v>
      </c>
      <c r="H1577">
        <v>0</v>
      </c>
      <c r="I1577" s="2">
        <v>0</v>
      </c>
      <c r="J1577" s="2">
        <v>0</v>
      </c>
      <c r="K1577" s="2">
        <v>0</v>
      </c>
      <c r="L1577" s="2">
        <v>0</v>
      </c>
      <c r="M1577">
        <v>0</v>
      </c>
      <c r="N1577">
        <v>0</v>
      </c>
      <c r="O1577" s="2">
        <v>0</v>
      </c>
      <c r="P1577" s="2">
        <v>0</v>
      </c>
      <c r="Q1577">
        <v>0</v>
      </c>
      <c r="R1577" s="2">
        <v>0</v>
      </c>
      <c r="S1577" s="2">
        <v>0</v>
      </c>
      <c r="T1577" t="s">
        <v>377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</row>
    <row r="1578" spans="1:28" hidden="1" x14ac:dyDescent="0.25">
      <c r="A1578" t="s">
        <v>56</v>
      </c>
      <c r="B1578" t="s">
        <v>47</v>
      </c>
      <c r="C1578" t="s">
        <v>64</v>
      </c>
      <c r="D1578" s="9">
        <v>45941</v>
      </c>
      <c r="E1578" s="9">
        <v>45941</v>
      </c>
      <c r="F1578" s="2">
        <v>58</v>
      </c>
      <c r="G1578" s="3" t="s">
        <v>23</v>
      </c>
      <c r="H1578">
        <v>26</v>
      </c>
      <c r="I1578" s="2">
        <v>0</v>
      </c>
      <c r="J1578" s="2">
        <v>1</v>
      </c>
      <c r="K1578" s="2">
        <v>0</v>
      </c>
      <c r="L1578" s="2">
        <v>0</v>
      </c>
      <c r="M1578">
        <v>0</v>
      </c>
      <c r="N1578">
        <v>0</v>
      </c>
      <c r="O1578" s="2">
        <v>1</v>
      </c>
      <c r="P1578" s="2">
        <v>0</v>
      </c>
      <c r="Q1578">
        <v>3</v>
      </c>
      <c r="R1578" s="2">
        <v>1</v>
      </c>
      <c r="S1578" s="2">
        <v>0</v>
      </c>
      <c r="T1578" t="s">
        <v>864</v>
      </c>
      <c r="U1578" s="2">
        <v>12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</row>
    <row r="1579" spans="1:28" hidden="1" x14ac:dyDescent="0.25">
      <c r="A1579" t="s">
        <v>730</v>
      </c>
      <c r="B1579" t="s">
        <v>47</v>
      </c>
      <c r="C1579" t="s">
        <v>64</v>
      </c>
      <c r="D1579" s="9">
        <v>45941</v>
      </c>
      <c r="E1579" s="9">
        <v>45941</v>
      </c>
      <c r="F1579" s="2">
        <v>58</v>
      </c>
      <c r="G1579" s="3" t="s">
        <v>23</v>
      </c>
      <c r="H1579">
        <v>26</v>
      </c>
      <c r="I1579" s="2">
        <v>0</v>
      </c>
      <c r="J1579" s="2">
        <v>1</v>
      </c>
      <c r="K1579" s="2">
        <v>0</v>
      </c>
      <c r="L1579" s="2">
        <v>0</v>
      </c>
      <c r="M1579">
        <v>0</v>
      </c>
      <c r="N1579">
        <v>0</v>
      </c>
      <c r="O1579" s="2">
        <v>1</v>
      </c>
      <c r="P1579" s="2">
        <v>0</v>
      </c>
      <c r="Q1579">
        <v>3</v>
      </c>
      <c r="R1579" s="2">
        <v>1</v>
      </c>
      <c r="S1579" s="2">
        <v>0</v>
      </c>
      <c r="T1579" t="s">
        <v>864</v>
      </c>
      <c r="U1579" s="2">
        <v>12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</row>
    <row r="1580" spans="1:28" hidden="1" x14ac:dyDescent="0.25">
      <c r="A1580" t="s">
        <v>20</v>
      </c>
      <c r="B1580" t="s">
        <v>21</v>
      </c>
      <c r="C1580" t="s">
        <v>22</v>
      </c>
      <c r="D1580" s="9">
        <v>45941</v>
      </c>
      <c r="E1580" s="9">
        <v>45941</v>
      </c>
      <c r="F1580" s="2">
        <v>50</v>
      </c>
      <c r="G1580" s="3" t="s">
        <v>23</v>
      </c>
      <c r="H1580">
        <v>22</v>
      </c>
      <c r="I1580" s="2">
        <v>0</v>
      </c>
      <c r="J1580" s="2">
        <v>1</v>
      </c>
      <c r="K1580" s="2">
        <v>0</v>
      </c>
      <c r="L1580" s="2">
        <v>0</v>
      </c>
      <c r="M1580">
        <v>0</v>
      </c>
      <c r="N1580">
        <v>0</v>
      </c>
      <c r="O1580" s="2">
        <v>0</v>
      </c>
      <c r="P1580" s="2">
        <v>0</v>
      </c>
      <c r="Q1580">
        <v>8</v>
      </c>
      <c r="R1580" s="2">
        <v>1</v>
      </c>
      <c r="S1580" s="2">
        <v>0</v>
      </c>
      <c r="T1580" t="s">
        <v>865</v>
      </c>
      <c r="U1580" s="2">
        <f>10+6</f>
        <v>16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1</v>
      </c>
      <c r="AB1580" s="2">
        <v>0</v>
      </c>
    </row>
    <row r="1581" spans="1:28" hidden="1" x14ac:dyDescent="0.25">
      <c r="A1581" t="s">
        <v>25</v>
      </c>
      <c r="B1581" t="s">
        <v>26</v>
      </c>
      <c r="C1581" t="s">
        <v>27</v>
      </c>
      <c r="D1581" s="9">
        <v>45941</v>
      </c>
      <c r="E1581" s="9">
        <v>45941</v>
      </c>
      <c r="F1581" s="2">
        <v>33</v>
      </c>
      <c r="G1581" s="3" t="s">
        <v>23</v>
      </c>
      <c r="H1581">
        <v>0</v>
      </c>
      <c r="I1581" s="2">
        <v>0</v>
      </c>
      <c r="J1581" s="2">
        <v>0</v>
      </c>
      <c r="K1581" s="2">
        <v>0</v>
      </c>
      <c r="L1581" s="2">
        <v>0</v>
      </c>
      <c r="M1581">
        <v>0</v>
      </c>
      <c r="N1581">
        <v>0</v>
      </c>
      <c r="O1581" s="2">
        <v>1</v>
      </c>
      <c r="P1581" s="2">
        <v>0</v>
      </c>
      <c r="Q1581">
        <v>3</v>
      </c>
      <c r="R1581" s="2">
        <v>1</v>
      </c>
      <c r="S1581" s="2">
        <v>0</v>
      </c>
      <c r="T1581" t="s">
        <v>866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</row>
    <row r="1582" spans="1:28" hidden="1" x14ac:dyDescent="0.25">
      <c r="A1582" t="s">
        <v>568</v>
      </c>
      <c r="B1582" t="s">
        <v>30</v>
      </c>
      <c r="C1582" t="s">
        <v>670</v>
      </c>
      <c r="D1582" s="9">
        <v>45941</v>
      </c>
      <c r="E1582" s="9">
        <v>45941</v>
      </c>
      <c r="F1582" s="2">
        <v>39</v>
      </c>
      <c r="G1582" s="3" t="s">
        <v>23</v>
      </c>
      <c r="H1582">
        <v>22</v>
      </c>
      <c r="I1582" s="2">
        <v>0</v>
      </c>
      <c r="J1582" s="2">
        <v>1</v>
      </c>
      <c r="K1582" s="2">
        <v>0</v>
      </c>
      <c r="L1582" s="2">
        <v>0</v>
      </c>
      <c r="M1582">
        <v>0</v>
      </c>
      <c r="N1582">
        <v>0</v>
      </c>
      <c r="O1582" s="2">
        <v>1</v>
      </c>
      <c r="P1582" s="2">
        <v>0</v>
      </c>
      <c r="Q1582">
        <v>7</v>
      </c>
      <c r="R1582" s="2">
        <v>1</v>
      </c>
      <c r="S1582" s="2">
        <v>0</v>
      </c>
      <c r="T1582" t="s">
        <v>867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</row>
    <row r="1583" spans="1:28" hidden="1" x14ac:dyDescent="0.25">
      <c r="A1583" t="s">
        <v>33</v>
      </c>
      <c r="B1583" t="s">
        <v>34</v>
      </c>
      <c r="C1583" t="s">
        <v>35</v>
      </c>
      <c r="D1583" s="9">
        <v>45941</v>
      </c>
      <c r="E1583" s="9">
        <v>45941</v>
      </c>
      <c r="F1583" s="2">
        <v>68</v>
      </c>
      <c r="G1583" s="3" t="s">
        <v>23</v>
      </c>
      <c r="H1583">
        <v>14</v>
      </c>
      <c r="I1583" s="2">
        <v>0</v>
      </c>
      <c r="J1583" s="2">
        <v>0</v>
      </c>
      <c r="K1583" s="2">
        <v>0</v>
      </c>
      <c r="L1583" s="2">
        <v>0</v>
      </c>
      <c r="M1583">
        <v>0</v>
      </c>
      <c r="N1583">
        <v>0</v>
      </c>
      <c r="O1583" s="2">
        <v>1</v>
      </c>
      <c r="P1583" s="2">
        <v>0</v>
      </c>
      <c r="Q1583">
        <v>6</v>
      </c>
      <c r="R1583" s="2">
        <v>1</v>
      </c>
      <c r="S1583" s="2">
        <v>0</v>
      </c>
      <c r="T1583" t="s">
        <v>868</v>
      </c>
      <c r="U1583" s="2">
        <v>14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</row>
    <row r="1584" spans="1:28" hidden="1" x14ac:dyDescent="0.25">
      <c r="A1584" t="s">
        <v>37</v>
      </c>
      <c r="B1584" t="s">
        <v>57</v>
      </c>
      <c r="C1584" t="s">
        <v>39</v>
      </c>
      <c r="D1584" s="9">
        <v>45941</v>
      </c>
      <c r="E1584" s="9">
        <v>45941</v>
      </c>
      <c r="F1584" s="2">
        <v>30</v>
      </c>
      <c r="G1584" s="3" t="s">
        <v>23</v>
      </c>
      <c r="H1584">
        <v>0</v>
      </c>
      <c r="I1584" s="2">
        <v>0</v>
      </c>
      <c r="J1584" s="2">
        <v>0</v>
      </c>
      <c r="K1584" s="2">
        <v>0</v>
      </c>
      <c r="L1584" s="2">
        <v>0</v>
      </c>
      <c r="M1584">
        <v>0</v>
      </c>
      <c r="N1584">
        <v>0</v>
      </c>
      <c r="O1584" s="2">
        <v>1</v>
      </c>
      <c r="P1584" s="2">
        <v>0</v>
      </c>
      <c r="Q1584">
        <v>4</v>
      </c>
      <c r="R1584" s="2">
        <v>1</v>
      </c>
      <c r="S1584" s="2">
        <v>0</v>
      </c>
      <c r="T1584" t="s">
        <v>869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</row>
    <row r="1585" spans="1:28" hidden="1" x14ac:dyDescent="0.25">
      <c r="A1585" t="s">
        <v>29</v>
      </c>
      <c r="B1585" t="s">
        <v>47</v>
      </c>
      <c r="C1585" t="s">
        <v>39</v>
      </c>
      <c r="D1585" s="9">
        <v>45941</v>
      </c>
      <c r="E1585" s="9">
        <v>45941</v>
      </c>
      <c r="F1585" s="2">
        <v>32</v>
      </c>
      <c r="G1585" s="3" t="s">
        <v>378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t="s">
        <v>828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</row>
    <row r="1586" spans="1:28" hidden="1" x14ac:dyDescent="0.25">
      <c r="A1586" t="s">
        <v>53</v>
      </c>
      <c r="B1586" t="s">
        <v>38</v>
      </c>
      <c r="C1586" t="s">
        <v>39</v>
      </c>
      <c r="D1586" s="9">
        <v>45941</v>
      </c>
      <c r="E1586" s="9">
        <v>45941</v>
      </c>
      <c r="F1586" s="2">
        <v>32</v>
      </c>
      <c r="G1586" s="3" t="s">
        <v>378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t="s">
        <v>828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</row>
    <row r="1587" spans="1:28" hidden="1" x14ac:dyDescent="0.25">
      <c r="A1587" t="s">
        <v>47</v>
      </c>
      <c r="B1587" t="s">
        <v>52</v>
      </c>
      <c r="C1587" t="s">
        <v>212</v>
      </c>
      <c r="D1587" s="9">
        <v>45941</v>
      </c>
      <c r="E1587" s="9">
        <v>45941</v>
      </c>
      <c r="F1587" s="2">
        <v>0</v>
      </c>
      <c r="G1587" s="3" t="s">
        <v>378</v>
      </c>
      <c r="H1587">
        <v>0</v>
      </c>
      <c r="I1587" s="2">
        <v>0</v>
      </c>
      <c r="J1587" s="2">
        <v>0</v>
      </c>
      <c r="K1587" s="2">
        <v>0</v>
      </c>
      <c r="L1587" s="2">
        <v>0</v>
      </c>
      <c r="M1587">
        <v>0</v>
      </c>
      <c r="N1587">
        <v>0</v>
      </c>
      <c r="O1587" s="2">
        <v>0</v>
      </c>
      <c r="P1587" s="2">
        <v>0</v>
      </c>
      <c r="Q1587">
        <v>0</v>
      </c>
      <c r="R1587" s="2">
        <v>0</v>
      </c>
      <c r="S1587" s="2">
        <v>0</v>
      </c>
      <c r="T1587" t="s">
        <v>377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</row>
    <row r="1588" spans="1:28" hidden="1" x14ac:dyDescent="0.25">
      <c r="A1588" t="s">
        <v>56</v>
      </c>
      <c r="B1588" t="s">
        <v>47</v>
      </c>
      <c r="C1588" t="s">
        <v>64</v>
      </c>
      <c r="D1588" s="9">
        <v>45942</v>
      </c>
      <c r="E1588" s="9">
        <v>45942</v>
      </c>
      <c r="F1588" s="2">
        <v>58</v>
      </c>
      <c r="G1588" s="3" t="s">
        <v>23</v>
      </c>
      <c r="H1588">
        <v>0</v>
      </c>
      <c r="I1588" s="2">
        <v>0</v>
      </c>
      <c r="J1588" s="2">
        <v>0</v>
      </c>
      <c r="K1588" s="2">
        <v>0</v>
      </c>
      <c r="L1588" s="2">
        <v>0</v>
      </c>
      <c r="M1588">
        <v>0</v>
      </c>
      <c r="N1588">
        <v>0</v>
      </c>
      <c r="O1588" s="2">
        <v>0</v>
      </c>
      <c r="P1588" s="2">
        <v>1</v>
      </c>
      <c r="Q1588">
        <v>2</v>
      </c>
      <c r="R1588" s="2">
        <v>0</v>
      </c>
      <c r="S1588" s="2">
        <v>1</v>
      </c>
      <c r="T1588" t="s">
        <v>870</v>
      </c>
      <c r="U1588" s="2">
        <v>16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</row>
    <row r="1589" spans="1:28" hidden="1" x14ac:dyDescent="0.25">
      <c r="A1589" t="s">
        <v>730</v>
      </c>
      <c r="B1589" t="s">
        <v>47</v>
      </c>
      <c r="C1589" t="s">
        <v>64</v>
      </c>
      <c r="D1589" s="9">
        <v>45942</v>
      </c>
      <c r="E1589" s="9">
        <v>45942</v>
      </c>
      <c r="F1589" s="2">
        <v>58</v>
      </c>
      <c r="G1589" s="3" t="s">
        <v>23</v>
      </c>
      <c r="H1589">
        <v>0</v>
      </c>
      <c r="I1589" s="2">
        <v>0</v>
      </c>
      <c r="J1589" s="2">
        <v>0</v>
      </c>
      <c r="K1589" s="2">
        <v>0</v>
      </c>
      <c r="L1589" s="2">
        <v>0</v>
      </c>
      <c r="M1589">
        <v>0</v>
      </c>
      <c r="N1589">
        <v>0</v>
      </c>
      <c r="O1589" s="2">
        <v>0</v>
      </c>
      <c r="P1589" s="2">
        <v>1</v>
      </c>
      <c r="Q1589">
        <v>2</v>
      </c>
      <c r="R1589" s="2">
        <v>0</v>
      </c>
      <c r="S1589" s="2">
        <v>1</v>
      </c>
      <c r="T1589" t="s">
        <v>870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</row>
    <row r="1590" spans="1:28" hidden="1" x14ac:dyDescent="0.25">
      <c r="A1590" t="s">
        <v>20</v>
      </c>
      <c r="B1590" t="s">
        <v>21</v>
      </c>
      <c r="C1590" t="s">
        <v>22</v>
      </c>
      <c r="D1590" s="9">
        <v>45942</v>
      </c>
      <c r="E1590" s="9">
        <v>45942</v>
      </c>
      <c r="F1590" s="2">
        <v>108</v>
      </c>
      <c r="G1590" s="3" t="s">
        <v>23</v>
      </c>
      <c r="H1590">
        <v>0</v>
      </c>
      <c r="I1590" s="2">
        <v>0</v>
      </c>
      <c r="J1590" s="2">
        <v>1</v>
      </c>
      <c r="K1590" s="2">
        <v>0</v>
      </c>
      <c r="L1590" s="2">
        <v>0</v>
      </c>
      <c r="M1590">
        <v>0</v>
      </c>
      <c r="N1590">
        <v>0</v>
      </c>
      <c r="O1590" s="2">
        <v>0</v>
      </c>
      <c r="P1590" s="2">
        <v>0</v>
      </c>
      <c r="Q1590">
        <v>6</v>
      </c>
      <c r="R1590" s="2">
        <v>0</v>
      </c>
      <c r="S1590" s="2">
        <v>1</v>
      </c>
      <c r="T1590" t="s">
        <v>871</v>
      </c>
      <c r="U1590" s="2">
        <f>6+5+4</f>
        <v>15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1</v>
      </c>
    </row>
    <row r="1591" spans="1:28" hidden="1" x14ac:dyDescent="0.25">
      <c r="A1591" t="s">
        <v>25</v>
      </c>
      <c r="B1591" t="s">
        <v>26</v>
      </c>
      <c r="C1591" t="s">
        <v>27</v>
      </c>
      <c r="D1591" s="9">
        <v>45942</v>
      </c>
      <c r="E1591" s="9">
        <v>45942</v>
      </c>
      <c r="F1591" s="2">
        <v>41</v>
      </c>
      <c r="G1591" s="3" t="s">
        <v>23</v>
      </c>
      <c r="H1591">
        <v>0</v>
      </c>
      <c r="I1591" s="2">
        <v>0</v>
      </c>
      <c r="J1591" s="2">
        <v>0</v>
      </c>
      <c r="K1591" s="2">
        <v>0</v>
      </c>
      <c r="L1591" s="2">
        <v>0</v>
      </c>
      <c r="M1591">
        <v>0</v>
      </c>
      <c r="N1591">
        <v>0</v>
      </c>
      <c r="O1591" s="2">
        <v>0</v>
      </c>
      <c r="P1591" s="2">
        <v>1</v>
      </c>
      <c r="Q1591">
        <v>1</v>
      </c>
      <c r="R1591" s="2">
        <v>0</v>
      </c>
      <c r="S1591" s="2">
        <v>1</v>
      </c>
      <c r="T1591" t="s">
        <v>872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</row>
    <row r="1592" spans="1:28" hidden="1" x14ac:dyDescent="0.25">
      <c r="A1592" t="s">
        <v>33</v>
      </c>
      <c r="B1592" t="s">
        <v>34</v>
      </c>
      <c r="C1592" t="s">
        <v>35</v>
      </c>
      <c r="D1592" s="9">
        <v>45942</v>
      </c>
      <c r="E1592" s="9">
        <v>45942</v>
      </c>
      <c r="F1592" s="2">
        <v>39</v>
      </c>
      <c r="G1592" s="3" t="s">
        <v>23</v>
      </c>
      <c r="H1592">
        <v>0</v>
      </c>
      <c r="I1592" s="2">
        <v>0</v>
      </c>
      <c r="J1592" s="2">
        <v>0</v>
      </c>
      <c r="K1592" s="2">
        <v>0</v>
      </c>
      <c r="L1592" s="2">
        <v>0</v>
      </c>
      <c r="M1592">
        <v>0</v>
      </c>
      <c r="N1592">
        <v>0</v>
      </c>
      <c r="O1592" s="2">
        <v>0</v>
      </c>
      <c r="P1592" s="2">
        <v>1</v>
      </c>
      <c r="Q1592">
        <v>4</v>
      </c>
      <c r="R1592" s="2">
        <v>0</v>
      </c>
      <c r="S1592" s="2">
        <v>1</v>
      </c>
      <c r="T1592" t="s">
        <v>873</v>
      </c>
      <c r="U1592" s="2">
        <v>11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</row>
    <row r="1593" spans="1:28" hidden="1" x14ac:dyDescent="0.25">
      <c r="A1593" t="s">
        <v>37</v>
      </c>
      <c r="B1593" t="s">
        <v>57</v>
      </c>
      <c r="C1593" t="s">
        <v>39</v>
      </c>
      <c r="D1593" s="9">
        <v>45942</v>
      </c>
      <c r="E1593" s="9">
        <v>45942</v>
      </c>
      <c r="F1593" s="2">
        <v>18</v>
      </c>
      <c r="G1593" s="3" t="s">
        <v>23</v>
      </c>
      <c r="H1593">
        <v>0</v>
      </c>
      <c r="I1593" s="2">
        <v>0</v>
      </c>
      <c r="J1593" s="2">
        <v>0</v>
      </c>
      <c r="K1593" s="2">
        <v>0</v>
      </c>
      <c r="L1593" s="2">
        <v>0</v>
      </c>
      <c r="M1593">
        <v>0</v>
      </c>
      <c r="N1593">
        <v>0</v>
      </c>
      <c r="O1593" s="2">
        <v>0</v>
      </c>
      <c r="P1593" s="2">
        <v>1</v>
      </c>
      <c r="Q1593">
        <v>2</v>
      </c>
      <c r="R1593" s="2">
        <v>0</v>
      </c>
      <c r="S1593" s="2">
        <v>1</v>
      </c>
      <c r="T1593" t="s">
        <v>874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</row>
    <row r="1594" spans="1:28" hidden="1" x14ac:dyDescent="0.25">
      <c r="A1594" t="s">
        <v>568</v>
      </c>
      <c r="B1594" t="s">
        <v>47</v>
      </c>
      <c r="C1594" t="s">
        <v>39</v>
      </c>
      <c r="D1594" s="9">
        <v>45942</v>
      </c>
      <c r="E1594" s="9">
        <v>45942</v>
      </c>
      <c r="F1594" s="2">
        <v>32</v>
      </c>
      <c r="G1594" s="3" t="s">
        <v>378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t="s">
        <v>828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</row>
    <row r="1595" spans="1:28" hidden="1" x14ac:dyDescent="0.25">
      <c r="A1595" t="s">
        <v>29</v>
      </c>
      <c r="B1595" t="s">
        <v>30</v>
      </c>
      <c r="C1595" t="s">
        <v>39</v>
      </c>
      <c r="D1595" s="9">
        <v>45942</v>
      </c>
      <c r="E1595" s="9">
        <v>45942</v>
      </c>
      <c r="F1595" s="2">
        <v>32</v>
      </c>
      <c r="G1595" s="3" t="s">
        <v>378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t="s">
        <v>828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</row>
    <row r="1596" spans="1:28" hidden="1" x14ac:dyDescent="0.25">
      <c r="A1596" t="s">
        <v>53</v>
      </c>
      <c r="B1596" t="s">
        <v>38</v>
      </c>
      <c r="C1596" t="s">
        <v>39</v>
      </c>
      <c r="D1596" s="9">
        <v>45942</v>
      </c>
      <c r="E1596" s="9">
        <v>45942</v>
      </c>
      <c r="F1596" s="2">
        <v>32</v>
      </c>
      <c r="G1596" s="3" t="s">
        <v>378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t="s">
        <v>828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</row>
    <row r="1597" spans="1:28" hidden="1" x14ac:dyDescent="0.25">
      <c r="A1597" t="s">
        <v>47</v>
      </c>
      <c r="B1597" t="s">
        <v>52</v>
      </c>
      <c r="C1597" t="s">
        <v>212</v>
      </c>
      <c r="D1597" s="9">
        <v>45942</v>
      </c>
      <c r="E1597" s="9">
        <v>45942</v>
      </c>
      <c r="F1597" s="2">
        <v>0</v>
      </c>
      <c r="G1597" s="3" t="s">
        <v>378</v>
      </c>
      <c r="H1597">
        <v>0</v>
      </c>
      <c r="I1597" s="2">
        <v>0</v>
      </c>
      <c r="J1597" s="2">
        <v>0</v>
      </c>
      <c r="K1597" s="2">
        <v>0</v>
      </c>
      <c r="L1597" s="2">
        <v>0</v>
      </c>
      <c r="M1597">
        <v>0</v>
      </c>
      <c r="N1597">
        <v>0</v>
      </c>
      <c r="O1597" s="2">
        <v>0</v>
      </c>
      <c r="P1597" s="2">
        <v>0</v>
      </c>
      <c r="Q1597">
        <v>0</v>
      </c>
      <c r="R1597" s="2">
        <v>0</v>
      </c>
      <c r="S1597" s="2">
        <v>0</v>
      </c>
      <c r="T1597" t="s">
        <v>377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</row>
    <row r="1598" spans="1:28" hidden="1" x14ac:dyDescent="0.25">
      <c r="A1598" t="s">
        <v>56</v>
      </c>
      <c r="B1598" t="s">
        <v>47</v>
      </c>
      <c r="C1598" t="s">
        <v>64</v>
      </c>
      <c r="D1598" s="1">
        <v>45943</v>
      </c>
      <c r="E1598" s="1">
        <v>45943</v>
      </c>
      <c r="F1598" s="2">
        <v>26</v>
      </c>
      <c r="G1598" s="3" t="s">
        <v>23</v>
      </c>
      <c r="H1598">
        <v>4</v>
      </c>
      <c r="I1598" s="2">
        <v>0</v>
      </c>
      <c r="J1598" s="2">
        <v>0</v>
      </c>
      <c r="K1598" s="2">
        <v>0</v>
      </c>
      <c r="L1598" s="2">
        <v>0</v>
      </c>
      <c r="M1598">
        <v>1</v>
      </c>
      <c r="N1598">
        <v>0</v>
      </c>
      <c r="O1598" s="2">
        <v>0</v>
      </c>
      <c r="P1598" s="2">
        <v>0</v>
      </c>
      <c r="Q1598">
        <v>0</v>
      </c>
      <c r="R1598" s="2">
        <v>0</v>
      </c>
      <c r="S1598" s="2">
        <v>0</v>
      </c>
      <c r="T1598" t="s">
        <v>875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</row>
    <row r="1599" spans="1:28" hidden="1" x14ac:dyDescent="0.25">
      <c r="A1599" t="s">
        <v>730</v>
      </c>
      <c r="B1599" t="s">
        <v>47</v>
      </c>
      <c r="C1599" t="s">
        <v>64</v>
      </c>
      <c r="D1599" s="1">
        <v>45943</v>
      </c>
      <c r="E1599" s="1">
        <v>45943</v>
      </c>
      <c r="F1599" s="2">
        <v>26</v>
      </c>
      <c r="G1599" s="3" t="s">
        <v>23</v>
      </c>
      <c r="H1599">
        <v>4</v>
      </c>
      <c r="I1599" s="2">
        <v>0</v>
      </c>
      <c r="J1599" s="2">
        <v>0</v>
      </c>
      <c r="K1599" s="2">
        <v>0</v>
      </c>
      <c r="L1599" s="2">
        <v>0</v>
      </c>
      <c r="M1599">
        <v>1</v>
      </c>
      <c r="N1599">
        <v>0</v>
      </c>
      <c r="O1599" s="2">
        <v>0</v>
      </c>
      <c r="P1599" s="2">
        <v>0</v>
      </c>
      <c r="Q1599">
        <v>0</v>
      </c>
      <c r="R1599" s="2">
        <v>0</v>
      </c>
      <c r="S1599" s="2">
        <v>0</v>
      </c>
      <c r="T1599" t="s">
        <v>875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</row>
    <row r="1600" spans="1:28" hidden="1" x14ac:dyDescent="0.25">
      <c r="A1600" t="s">
        <v>25</v>
      </c>
      <c r="B1600" t="s">
        <v>26</v>
      </c>
      <c r="C1600" t="s">
        <v>27</v>
      </c>
      <c r="D1600" s="1">
        <v>45943</v>
      </c>
      <c r="E1600" s="1">
        <v>45943</v>
      </c>
      <c r="F1600" s="2">
        <v>22</v>
      </c>
      <c r="G1600" s="3" t="s">
        <v>23</v>
      </c>
      <c r="H1600">
        <v>0</v>
      </c>
      <c r="I1600" s="2">
        <v>0</v>
      </c>
      <c r="J1600" s="2">
        <v>0</v>
      </c>
      <c r="K1600" s="2">
        <v>0</v>
      </c>
      <c r="L1600" s="2">
        <v>0</v>
      </c>
      <c r="M1600">
        <v>0</v>
      </c>
      <c r="N1600">
        <v>0</v>
      </c>
      <c r="O1600" s="2">
        <v>0</v>
      </c>
      <c r="P1600" s="2">
        <v>0</v>
      </c>
      <c r="Q1600">
        <v>0</v>
      </c>
      <c r="R1600" s="2">
        <v>0</v>
      </c>
      <c r="S1600" s="2">
        <v>0</v>
      </c>
      <c r="T1600" t="s">
        <v>876</v>
      </c>
      <c r="U1600" s="2">
        <v>0</v>
      </c>
      <c r="V1600" s="2">
        <v>20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</row>
    <row r="1601" spans="1:28" hidden="1" x14ac:dyDescent="0.25">
      <c r="A1601" t="s">
        <v>29</v>
      </c>
      <c r="B1601" t="s">
        <v>30</v>
      </c>
      <c r="C1601" t="s">
        <v>31</v>
      </c>
      <c r="D1601" s="1">
        <v>45943</v>
      </c>
      <c r="E1601" s="1">
        <v>45943</v>
      </c>
      <c r="F1601" s="2">
        <v>26</v>
      </c>
      <c r="G1601" s="3" t="s">
        <v>23</v>
      </c>
      <c r="H1601">
        <f>7+4</f>
        <v>11</v>
      </c>
      <c r="I1601" s="2">
        <v>0</v>
      </c>
      <c r="J1601" s="2">
        <v>0</v>
      </c>
      <c r="K1601" s="2">
        <v>0</v>
      </c>
      <c r="L1601" s="2">
        <v>0</v>
      </c>
      <c r="M1601">
        <v>0</v>
      </c>
      <c r="N1601">
        <v>0</v>
      </c>
      <c r="O1601" s="2">
        <v>0</v>
      </c>
      <c r="P1601" s="2">
        <v>0</v>
      </c>
      <c r="Q1601">
        <v>0</v>
      </c>
      <c r="R1601" s="2">
        <v>0</v>
      </c>
      <c r="S1601" s="2">
        <v>0</v>
      </c>
      <c r="T1601" t="s">
        <v>877</v>
      </c>
      <c r="U1601" s="2">
        <v>0</v>
      </c>
      <c r="V1601" s="2">
        <v>2</v>
      </c>
      <c r="W1601" s="2">
        <v>4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</row>
    <row r="1602" spans="1:28" hidden="1" x14ac:dyDescent="0.25">
      <c r="A1602" t="s">
        <v>53</v>
      </c>
      <c r="B1602" t="s">
        <v>38</v>
      </c>
      <c r="C1602" t="s">
        <v>31</v>
      </c>
      <c r="D1602" s="1">
        <v>45943</v>
      </c>
      <c r="E1602" s="1">
        <v>45943</v>
      </c>
      <c r="F1602" s="2">
        <v>26</v>
      </c>
      <c r="G1602" s="3" t="s">
        <v>23</v>
      </c>
      <c r="H1602">
        <v>0</v>
      </c>
      <c r="I1602" s="2">
        <v>0</v>
      </c>
      <c r="J1602" s="2">
        <v>0</v>
      </c>
      <c r="K1602" s="2">
        <v>0</v>
      </c>
      <c r="L1602" s="2">
        <v>0</v>
      </c>
      <c r="M1602">
        <v>0</v>
      </c>
      <c r="N1602">
        <v>0</v>
      </c>
      <c r="O1602" s="2">
        <v>0</v>
      </c>
      <c r="P1602" s="2">
        <v>0</v>
      </c>
      <c r="Q1602">
        <v>0</v>
      </c>
      <c r="R1602" s="2">
        <v>0</v>
      </c>
      <c r="S1602" s="2">
        <v>0</v>
      </c>
      <c r="T1602" t="s">
        <v>877</v>
      </c>
      <c r="U1602" s="2">
        <v>0</v>
      </c>
      <c r="V1602" s="2">
        <f>17+2+2+20</f>
        <v>41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</row>
    <row r="1603" spans="1:28" hidden="1" x14ac:dyDescent="0.25">
      <c r="A1603" t="s">
        <v>33</v>
      </c>
      <c r="B1603" t="s">
        <v>34</v>
      </c>
      <c r="C1603" t="s">
        <v>35</v>
      </c>
      <c r="D1603" s="1">
        <v>45943</v>
      </c>
      <c r="E1603" s="1">
        <v>45943</v>
      </c>
      <c r="F1603" s="2">
        <v>41</v>
      </c>
      <c r="G1603" s="3" t="s">
        <v>23</v>
      </c>
      <c r="H1603">
        <v>10</v>
      </c>
      <c r="I1603" s="2">
        <v>0</v>
      </c>
      <c r="J1603" s="2">
        <v>0</v>
      </c>
      <c r="K1603" s="2">
        <v>0</v>
      </c>
      <c r="L1603" s="2">
        <v>0</v>
      </c>
      <c r="M1603">
        <v>0</v>
      </c>
      <c r="N1603">
        <v>0</v>
      </c>
      <c r="O1603" s="2">
        <v>0</v>
      </c>
      <c r="P1603" s="2">
        <v>0</v>
      </c>
      <c r="Q1603">
        <v>0</v>
      </c>
      <c r="R1603" s="2">
        <v>0</v>
      </c>
      <c r="S1603" s="2">
        <v>0</v>
      </c>
      <c r="T1603" t="s">
        <v>878</v>
      </c>
      <c r="U1603" s="2">
        <v>0</v>
      </c>
      <c r="V1603" s="2">
        <v>1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</row>
    <row r="1604" spans="1:28" hidden="1" x14ac:dyDescent="0.25">
      <c r="A1604" t="s">
        <v>37</v>
      </c>
      <c r="B1604" t="s">
        <v>57</v>
      </c>
      <c r="C1604" t="s">
        <v>39</v>
      </c>
      <c r="D1604" s="1">
        <v>45943</v>
      </c>
      <c r="E1604" s="1">
        <v>45943</v>
      </c>
      <c r="F1604" s="2">
        <v>25</v>
      </c>
      <c r="G1604" s="3" t="s">
        <v>23</v>
      </c>
      <c r="H1604">
        <v>5</v>
      </c>
      <c r="I1604" s="2">
        <v>0</v>
      </c>
      <c r="J1604" s="2">
        <v>0</v>
      </c>
      <c r="K1604" s="2">
        <v>0</v>
      </c>
      <c r="L1604" s="2">
        <v>0</v>
      </c>
      <c r="M1604">
        <v>1</v>
      </c>
      <c r="N1604">
        <v>1</v>
      </c>
      <c r="O1604" s="2">
        <v>0</v>
      </c>
      <c r="P1604" s="2">
        <v>0</v>
      </c>
      <c r="Q1604">
        <v>0</v>
      </c>
      <c r="R1604" s="2">
        <v>0</v>
      </c>
      <c r="S1604" s="2">
        <v>0</v>
      </c>
      <c r="T1604" t="s">
        <v>879</v>
      </c>
      <c r="U1604" s="2">
        <v>0</v>
      </c>
      <c r="V1604" s="2">
        <v>10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</row>
    <row r="1605" spans="1:28" hidden="1" x14ac:dyDescent="0.25">
      <c r="A1605" t="s">
        <v>568</v>
      </c>
      <c r="B1605" t="s">
        <v>47</v>
      </c>
      <c r="C1605">
        <v>0</v>
      </c>
      <c r="D1605" s="1">
        <v>45943</v>
      </c>
      <c r="E1605" s="1">
        <v>45943</v>
      </c>
      <c r="F1605" s="2">
        <v>25</v>
      </c>
      <c r="G1605" s="3" t="s">
        <v>23</v>
      </c>
      <c r="H1605">
        <v>0</v>
      </c>
      <c r="I1605" s="2">
        <v>0</v>
      </c>
      <c r="J1605" s="2">
        <v>0</v>
      </c>
      <c r="K1605" s="2">
        <v>0</v>
      </c>
      <c r="L1605" s="2">
        <v>0</v>
      </c>
      <c r="M1605">
        <v>0</v>
      </c>
      <c r="N1605">
        <v>0</v>
      </c>
      <c r="O1605" s="2">
        <v>0</v>
      </c>
      <c r="P1605" s="2">
        <v>0</v>
      </c>
      <c r="Q1605">
        <v>0</v>
      </c>
      <c r="R1605" s="2">
        <v>0</v>
      </c>
      <c r="S1605" s="2">
        <v>0</v>
      </c>
      <c r="T1605" t="s">
        <v>879</v>
      </c>
      <c r="U1605" s="2">
        <v>0</v>
      </c>
      <c r="V1605" s="2">
        <v>10</v>
      </c>
      <c r="W1605" s="2">
        <v>4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</row>
    <row r="1606" spans="1:28" hidden="1" x14ac:dyDescent="0.25">
      <c r="A1606" t="s">
        <v>20</v>
      </c>
      <c r="B1606" t="s">
        <v>47</v>
      </c>
      <c r="C1606">
        <v>0</v>
      </c>
      <c r="D1606" s="1">
        <v>45943</v>
      </c>
      <c r="E1606" s="1">
        <v>45943</v>
      </c>
      <c r="F1606" s="2">
        <v>25</v>
      </c>
      <c r="G1606" s="3" t="s">
        <v>23</v>
      </c>
      <c r="H1606">
        <v>0</v>
      </c>
      <c r="I1606" s="2">
        <v>0</v>
      </c>
      <c r="J1606" s="2">
        <v>0</v>
      </c>
      <c r="K1606" s="2">
        <v>0</v>
      </c>
      <c r="L1606" s="2">
        <v>0</v>
      </c>
      <c r="M1606">
        <v>0</v>
      </c>
      <c r="N1606">
        <v>0</v>
      </c>
      <c r="O1606" s="2">
        <v>0</v>
      </c>
      <c r="P1606" s="2">
        <v>0</v>
      </c>
      <c r="Q1606">
        <v>0</v>
      </c>
      <c r="R1606" s="2">
        <v>0</v>
      </c>
      <c r="S1606" s="2">
        <v>0</v>
      </c>
      <c r="T1606" t="s">
        <v>879</v>
      </c>
      <c r="U1606" s="2">
        <v>0</v>
      </c>
      <c r="V1606" s="2">
        <v>10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</row>
    <row r="1607" spans="1:28" hidden="1" x14ac:dyDescent="0.25">
      <c r="A1607" t="s">
        <v>47</v>
      </c>
      <c r="B1607" t="s">
        <v>21</v>
      </c>
      <c r="C1607">
        <v>0</v>
      </c>
      <c r="D1607" s="1">
        <v>45943</v>
      </c>
      <c r="E1607" s="1">
        <v>45943</v>
      </c>
      <c r="F1607" s="2">
        <v>25</v>
      </c>
      <c r="G1607" s="3" t="s">
        <v>23</v>
      </c>
      <c r="H1607">
        <v>0</v>
      </c>
      <c r="I1607" s="2">
        <v>0</v>
      </c>
      <c r="J1607" s="2">
        <v>0</v>
      </c>
      <c r="K1607" s="2">
        <v>0</v>
      </c>
      <c r="L1607" s="2">
        <v>0</v>
      </c>
      <c r="M1607">
        <v>0</v>
      </c>
      <c r="N1607">
        <v>0</v>
      </c>
      <c r="O1607" s="2">
        <v>0</v>
      </c>
      <c r="P1607" s="2">
        <v>0</v>
      </c>
      <c r="Q1607">
        <v>0</v>
      </c>
      <c r="R1607" s="2">
        <v>0</v>
      </c>
      <c r="S1607" s="2">
        <v>0</v>
      </c>
      <c r="T1607" t="s">
        <v>879</v>
      </c>
      <c r="U1607" s="2">
        <v>0</v>
      </c>
      <c r="V1607" s="2">
        <v>20</v>
      </c>
      <c r="W1607" s="2">
        <v>4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</row>
    <row r="1608" spans="1:28" hidden="1" x14ac:dyDescent="0.25">
      <c r="A1608" t="s">
        <v>47</v>
      </c>
      <c r="B1608" t="s">
        <v>52</v>
      </c>
      <c r="C1608" t="s">
        <v>212</v>
      </c>
      <c r="D1608" s="1">
        <v>45943</v>
      </c>
      <c r="E1608" s="1">
        <v>45943</v>
      </c>
      <c r="F1608" s="2">
        <v>0</v>
      </c>
      <c r="G1608" s="3" t="s">
        <v>572</v>
      </c>
      <c r="H1608">
        <v>0</v>
      </c>
      <c r="I1608" s="2">
        <v>0</v>
      </c>
      <c r="J1608" s="2">
        <v>0</v>
      </c>
      <c r="K1608" s="2">
        <v>0</v>
      </c>
      <c r="L1608" s="2">
        <v>0</v>
      </c>
      <c r="M1608">
        <v>0</v>
      </c>
      <c r="N1608">
        <v>0</v>
      </c>
      <c r="O1608" s="2">
        <v>0</v>
      </c>
      <c r="P1608" s="2">
        <v>0</v>
      </c>
      <c r="Q1608">
        <v>0</v>
      </c>
      <c r="R1608" s="2">
        <v>0</v>
      </c>
      <c r="S1608" s="2">
        <v>0</v>
      </c>
      <c r="T1608" t="s">
        <v>377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</row>
    <row r="1609" spans="1:28" hidden="1" x14ac:dyDescent="0.25">
      <c r="A1609" t="s">
        <v>56</v>
      </c>
      <c r="B1609" t="s">
        <v>47</v>
      </c>
      <c r="C1609" t="s">
        <v>64</v>
      </c>
      <c r="D1609" s="1">
        <v>45944</v>
      </c>
      <c r="E1609" s="1">
        <v>45944</v>
      </c>
      <c r="F1609" s="2">
        <v>59</v>
      </c>
      <c r="G1609" s="3" t="s">
        <v>23</v>
      </c>
      <c r="H1609">
        <f>18+18+1+1+2+4+3</f>
        <v>47</v>
      </c>
      <c r="I1609" s="2">
        <v>0</v>
      </c>
      <c r="J1609" s="2">
        <v>1</v>
      </c>
      <c r="K1609" s="2">
        <v>1</v>
      </c>
      <c r="L1609" s="2">
        <v>0</v>
      </c>
      <c r="M1609">
        <v>0</v>
      </c>
      <c r="N1609">
        <v>0</v>
      </c>
      <c r="O1609" s="2">
        <v>0</v>
      </c>
      <c r="P1609" s="2">
        <v>0</v>
      </c>
      <c r="Q1609">
        <v>0</v>
      </c>
      <c r="R1609" s="2">
        <v>0</v>
      </c>
      <c r="S1609" s="2">
        <v>0</v>
      </c>
      <c r="T1609" t="s">
        <v>880</v>
      </c>
      <c r="U1609" s="2">
        <v>0</v>
      </c>
      <c r="V1609" s="2">
        <f>10+2</f>
        <v>12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</row>
    <row r="1610" spans="1:28" hidden="1" x14ac:dyDescent="0.25">
      <c r="A1610" t="s">
        <v>568</v>
      </c>
      <c r="B1610" t="s">
        <v>47</v>
      </c>
      <c r="C1610" t="s">
        <v>670</v>
      </c>
      <c r="D1610" s="1">
        <v>45944</v>
      </c>
      <c r="E1610" s="1">
        <v>45944</v>
      </c>
      <c r="F1610" s="2">
        <v>21</v>
      </c>
      <c r="G1610" s="3" t="s">
        <v>23</v>
      </c>
      <c r="H1610">
        <f>18+18+1+1+2+4+3</f>
        <v>47</v>
      </c>
      <c r="I1610" s="2">
        <v>0</v>
      </c>
      <c r="J1610" s="2">
        <v>1</v>
      </c>
      <c r="K1610" s="2">
        <v>1</v>
      </c>
      <c r="L1610" s="2">
        <v>0</v>
      </c>
      <c r="M1610">
        <v>0</v>
      </c>
      <c r="N1610">
        <v>0</v>
      </c>
      <c r="O1610" s="2">
        <v>0</v>
      </c>
      <c r="P1610" s="2">
        <v>0</v>
      </c>
      <c r="Q1610">
        <v>0</v>
      </c>
      <c r="R1610" s="2">
        <v>0</v>
      </c>
      <c r="S1610" s="2">
        <v>0</v>
      </c>
      <c r="T1610" t="s">
        <v>881</v>
      </c>
      <c r="U1610" s="2">
        <v>0</v>
      </c>
      <c r="V1610" s="2">
        <f>10+2</f>
        <v>12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</row>
    <row r="1611" spans="1:28" hidden="1" x14ac:dyDescent="0.25">
      <c r="A1611" t="s">
        <v>730</v>
      </c>
      <c r="B1611" t="s">
        <v>47</v>
      </c>
      <c r="C1611" t="s">
        <v>670</v>
      </c>
      <c r="D1611" s="1">
        <v>45944</v>
      </c>
      <c r="E1611" s="1">
        <v>45944</v>
      </c>
      <c r="F1611" s="2">
        <v>21</v>
      </c>
      <c r="G1611" s="3" t="s">
        <v>23</v>
      </c>
      <c r="H1611">
        <f>18+18+1+1+2+4+3</f>
        <v>47</v>
      </c>
      <c r="I1611" s="2">
        <v>0</v>
      </c>
      <c r="J1611" s="2">
        <v>1</v>
      </c>
      <c r="K1611" s="2">
        <v>1</v>
      </c>
      <c r="L1611" s="2">
        <v>0</v>
      </c>
      <c r="M1611">
        <v>0</v>
      </c>
      <c r="N1611">
        <v>0</v>
      </c>
      <c r="O1611" s="2">
        <v>0</v>
      </c>
      <c r="P1611" s="2">
        <v>0</v>
      </c>
      <c r="Q1611">
        <v>0</v>
      </c>
      <c r="R1611" s="2">
        <v>0</v>
      </c>
      <c r="S1611" s="2">
        <v>0</v>
      </c>
      <c r="T1611" t="s">
        <v>881</v>
      </c>
      <c r="U1611" s="2">
        <v>0</v>
      </c>
      <c r="V1611" s="2">
        <f>10+2</f>
        <v>12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</row>
    <row r="1612" spans="1:28" ht="14.25" hidden="1" customHeight="1" x14ac:dyDescent="0.25">
      <c r="A1612" t="s">
        <v>25</v>
      </c>
      <c r="B1612" t="s">
        <v>26</v>
      </c>
      <c r="C1612" t="s">
        <v>27</v>
      </c>
      <c r="D1612" s="1">
        <v>45944</v>
      </c>
      <c r="E1612" s="1">
        <v>45944</v>
      </c>
      <c r="F1612" s="2">
        <v>70</v>
      </c>
      <c r="G1612" s="3" t="s">
        <v>23</v>
      </c>
      <c r="H1612">
        <f>8+8+3+4+1+1</f>
        <v>25</v>
      </c>
      <c r="I1612" s="2">
        <v>0</v>
      </c>
      <c r="J1612" s="2">
        <v>0</v>
      </c>
      <c r="K1612" s="2">
        <v>1</v>
      </c>
      <c r="L1612" s="2">
        <v>0</v>
      </c>
      <c r="M1612">
        <v>0</v>
      </c>
      <c r="N1612">
        <v>0</v>
      </c>
      <c r="O1612" s="2">
        <v>0</v>
      </c>
      <c r="P1612" s="2">
        <v>0</v>
      </c>
      <c r="Q1612">
        <v>0</v>
      </c>
      <c r="R1612" s="2">
        <v>0</v>
      </c>
      <c r="S1612" s="2">
        <v>0</v>
      </c>
      <c r="T1612" t="s">
        <v>882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</row>
    <row r="1613" spans="1:28" hidden="1" x14ac:dyDescent="0.25">
      <c r="A1613" t="s">
        <v>33</v>
      </c>
      <c r="B1613" t="s">
        <v>34</v>
      </c>
      <c r="C1613" t="s">
        <v>35</v>
      </c>
      <c r="D1613" s="1">
        <v>45944</v>
      </c>
      <c r="E1613" s="1">
        <v>45944</v>
      </c>
      <c r="F1613" s="2">
        <v>39</v>
      </c>
      <c r="G1613" s="3" t="s">
        <v>23</v>
      </c>
      <c r="H1613">
        <v>28</v>
      </c>
      <c r="I1613" s="2">
        <v>0</v>
      </c>
      <c r="J1613" s="2">
        <v>0</v>
      </c>
      <c r="K1613" s="2">
        <v>1</v>
      </c>
      <c r="L1613" s="2">
        <v>0</v>
      </c>
      <c r="M1613">
        <v>0</v>
      </c>
      <c r="N1613">
        <v>0</v>
      </c>
      <c r="O1613" s="2">
        <v>0</v>
      </c>
      <c r="P1613" s="2">
        <v>0</v>
      </c>
      <c r="Q1613">
        <v>0</v>
      </c>
      <c r="R1613" s="2">
        <v>0</v>
      </c>
      <c r="S1613" s="2">
        <v>0</v>
      </c>
      <c r="T1613" t="s">
        <v>883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</row>
    <row r="1614" spans="1:28" hidden="1" x14ac:dyDescent="0.25">
      <c r="A1614" t="s">
        <v>37</v>
      </c>
      <c r="B1614" t="s">
        <v>57</v>
      </c>
      <c r="C1614" t="s">
        <v>39</v>
      </c>
      <c r="D1614" s="1">
        <v>45944</v>
      </c>
      <c r="E1614" s="1">
        <v>45944</v>
      </c>
      <c r="F1614" s="2">
        <v>28</v>
      </c>
      <c r="G1614" s="3" t="s">
        <v>23</v>
      </c>
      <c r="H1614">
        <v>14</v>
      </c>
      <c r="I1614" s="2">
        <v>0</v>
      </c>
      <c r="J1614" s="2">
        <v>0</v>
      </c>
      <c r="K1614" s="2">
        <v>1</v>
      </c>
      <c r="L1614" s="2">
        <v>0</v>
      </c>
      <c r="M1614">
        <v>0</v>
      </c>
      <c r="N1614">
        <v>0</v>
      </c>
      <c r="O1614" s="2">
        <v>0</v>
      </c>
      <c r="P1614" s="2">
        <v>0</v>
      </c>
      <c r="Q1614">
        <v>0</v>
      </c>
      <c r="R1614" s="2">
        <v>0</v>
      </c>
      <c r="S1614" s="2">
        <v>0</v>
      </c>
      <c r="T1614" t="s">
        <v>884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</row>
    <row r="1615" spans="1:28" hidden="1" x14ac:dyDescent="0.25">
      <c r="A1615" t="s">
        <v>53</v>
      </c>
      <c r="B1615" t="s">
        <v>38</v>
      </c>
      <c r="C1615" t="s">
        <v>35</v>
      </c>
      <c r="D1615" s="1">
        <v>45944</v>
      </c>
      <c r="E1615" s="1">
        <v>45944</v>
      </c>
      <c r="F1615" s="2">
        <v>25</v>
      </c>
      <c r="G1615" s="3" t="s">
        <v>23</v>
      </c>
      <c r="H1615">
        <f>4+3+4+3+6+2+2</f>
        <v>24</v>
      </c>
      <c r="I1615" s="2">
        <v>0</v>
      </c>
      <c r="J1615" s="2">
        <v>0</v>
      </c>
      <c r="K1615" s="2">
        <v>0</v>
      </c>
      <c r="L1615" s="2">
        <v>1</v>
      </c>
      <c r="M1615">
        <v>0</v>
      </c>
      <c r="N1615">
        <v>0</v>
      </c>
      <c r="O1615" s="2">
        <v>0</v>
      </c>
      <c r="P1615" s="2">
        <v>0</v>
      </c>
      <c r="Q1615">
        <v>0</v>
      </c>
      <c r="R1615" s="2">
        <v>0</v>
      </c>
      <c r="S1615" s="2">
        <v>0</v>
      </c>
      <c r="T1615" t="s">
        <v>885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</row>
    <row r="1616" spans="1:28" hidden="1" x14ac:dyDescent="0.25">
      <c r="A1616" t="s">
        <v>29</v>
      </c>
      <c r="B1616" t="s">
        <v>30</v>
      </c>
      <c r="C1616" t="s">
        <v>212</v>
      </c>
      <c r="D1616" s="1">
        <v>45944</v>
      </c>
      <c r="E1616" s="1">
        <v>45944</v>
      </c>
      <c r="F1616" s="2">
        <v>0</v>
      </c>
      <c r="G1616" s="3" t="s">
        <v>48</v>
      </c>
      <c r="H1616">
        <v>0</v>
      </c>
      <c r="I1616" s="2">
        <v>0</v>
      </c>
      <c r="J1616" s="2">
        <v>0</v>
      </c>
      <c r="K1616" s="2">
        <v>0</v>
      </c>
      <c r="L1616" s="2">
        <v>0</v>
      </c>
      <c r="M1616">
        <v>0</v>
      </c>
      <c r="N1616">
        <v>0</v>
      </c>
      <c r="O1616" s="2">
        <v>0</v>
      </c>
      <c r="P1616" s="2">
        <v>0</v>
      </c>
      <c r="Q1616">
        <v>0</v>
      </c>
      <c r="R1616" s="2">
        <v>0</v>
      </c>
      <c r="S1616" s="2">
        <v>0</v>
      </c>
      <c r="T1616" t="s">
        <v>377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</row>
    <row r="1617" spans="1:28" hidden="1" x14ac:dyDescent="0.25">
      <c r="A1617" t="s">
        <v>20</v>
      </c>
      <c r="B1617" t="s">
        <v>21</v>
      </c>
      <c r="C1617" t="s">
        <v>212</v>
      </c>
      <c r="D1617" s="1">
        <v>45944</v>
      </c>
      <c r="E1617" s="1">
        <v>45944</v>
      </c>
      <c r="F1617" s="2">
        <v>0</v>
      </c>
      <c r="G1617" s="3" t="s">
        <v>48</v>
      </c>
      <c r="H1617">
        <v>0</v>
      </c>
      <c r="I1617" s="2">
        <v>0</v>
      </c>
      <c r="J1617" s="2">
        <v>0</v>
      </c>
      <c r="K1617" s="2">
        <v>0</v>
      </c>
      <c r="L1617" s="2">
        <v>0</v>
      </c>
      <c r="M1617">
        <v>0</v>
      </c>
      <c r="N1617">
        <v>0</v>
      </c>
      <c r="O1617" s="2">
        <v>0</v>
      </c>
      <c r="P1617" s="2">
        <v>0</v>
      </c>
      <c r="Q1617">
        <v>0</v>
      </c>
      <c r="R1617" s="2">
        <v>0</v>
      </c>
      <c r="S1617" s="2">
        <v>0</v>
      </c>
      <c r="T1617" t="s">
        <v>377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</row>
    <row r="1618" spans="1:28" hidden="1" x14ac:dyDescent="0.25">
      <c r="A1618" t="s">
        <v>47</v>
      </c>
      <c r="B1618" t="s">
        <v>52</v>
      </c>
      <c r="C1618" t="s">
        <v>212</v>
      </c>
      <c r="D1618" s="1">
        <v>45944</v>
      </c>
      <c r="E1618" s="1">
        <v>45944</v>
      </c>
      <c r="F1618" s="2">
        <v>0</v>
      </c>
      <c r="G1618" s="3" t="s">
        <v>572</v>
      </c>
      <c r="H1618">
        <v>0</v>
      </c>
      <c r="I1618" s="2">
        <v>0</v>
      </c>
      <c r="J1618" s="2">
        <v>0</v>
      </c>
      <c r="K1618" s="2">
        <v>0</v>
      </c>
      <c r="L1618" s="2">
        <v>0</v>
      </c>
      <c r="M1618">
        <v>0</v>
      </c>
      <c r="N1618">
        <v>0</v>
      </c>
      <c r="O1618" s="2">
        <v>0</v>
      </c>
      <c r="P1618" s="2">
        <v>0</v>
      </c>
      <c r="Q1618">
        <v>0</v>
      </c>
      <c r="R1618" s="2">
        <v>0</v>
      </c>
      <c r="S1618" s="2">
        <v>0</v>
      </c>
      <c r="T1618" t="s">
        <v>377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</row>
    <row r="1619" spans="1:28" hidden="1" x14ac:dyDescent="0.25">
      <c r="A1619" t="s">
        <v>53</v>
      </c>
      <c r="B1619" t="s">
        <v>38</v>
      </c>
      <c r="C1619" t="s">
        <v>54</v>
      </c>
      <c r="D1619" s="1">
        <v>45945</v>
      </c>
      <c r="E1619" s="1">
        <v>45945</v>
      </c>
      <c r="F1619" s="2">
        <v>46</v>
      </c>
      <c r="G1619" s="3" t="s">
        <v>23</v>
      </c>
      <c r="H1619">
        <f>4+2+4+2</f>
        <v>12</v>
      </c>
      <c r="I1619" s="2">
        <v>0</v>
      </c>
      <c r="J1619" s="2">
        <v>0</v>
      </c>
      <c r="K1619" s="2">
        <v>0</v>
      </c>
      <c r="L1619" s="2">
        <v>1</v>
      </c>
      <c r="M1619">
        <v>0</v>
      </c>
      <c r="N1619">
        <v>0</v>
      </c>
      <c r="O1619" s="2">
        <v>0</v>
      </c>
      <c r="P1619" s="2">
        <v>0</v>
      </c>
      <c r="Q1619">
        <v>0</v>
      </c>
      <c r="R1619" s="2">
        <v>0</v>
      </c>
      <c r="S1619" s="2">
        <v>0</v>
      </c>
      <c r="T1619" t="s">
        <v>886</v>
      </c>
      <c r="U1619" s="2">
        <v>0</v>
      </c>
      <c r="V1619" s="2">
        <f>20+20+15</f>
        <v>55</v>
      </c>
      <c r="W1619" s="2">
        <v>2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</row>
    <row r="1620" spans="1:28" hidden="1" x14ac:dyDescent="0.25">
      <c r="A1620" t="s">
        <v>20</v>
      </c>
      <c r="B1620" t="s">
        <v>21</v>
      </c>
      <c r="C1620" t="s">
        <v>22</v>
      </c>
      <c r="D1620" s="1">
        <v>45945</v>
      </c>
      <c r="E1620" s="1">
        <v>45945</v>
      </c>
      <c r="F1620" s="2">
        <v>25</v>
      </c>
      <c r="G1620" s="3" t="s">
        <v>23</v>
      </c>
      <c r="H1620">
        <f>20+20</f>
        <v>40</v>
      </c>
      <c r="I1620" s="2">
        <v>0</v>
      </c>
      <c r="J1620" s="2">
        <v>0</v>
      </c>
      <c r="K1620" s="2">
        <v>1</v>
      </c>
      <c r="L1620" s="2">
        <v>0</v>
      </c>
      <c r="M1620">
        <v>0</v>
      </c>
      <c r="N1620">
        <v>0</v>
      </c>
      <c r="O1620" s="2">
        <v>0</v>
      </c>
      <c r="P1620" s="2">
        <v>0</v>
      </c>
      <c r="Q1620">
        <v>0</v>
      </c>
      <c r="R1620" s="2">
        <v>0</v>
      </c>
      <c r="S1620" s="2">
        <v>0</v>
      </c>
      <c r="T1620" t="s">
        <v>887</v>
      </c>
      <c r="U1620" s="2">
        <v>0</v>
      </c>
      <c r="V1620" s="2">
        <f>22+9</f>
        <v>31</v>
      </c>
      <c r="W1620" s="2">
        <v>7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</row>
    <row r="1621" spans="1:28" hidden="1" x14ac:dyDescent="0.25">
      <c r="A1621" t="s">
        <v>25</v>
      </c>
      <c r="B1621" t="s">
        <v>26</v>
      </c>
      <c r="C1621" t="s">
        <v>27</v>
      </c>
      <c r="D1621" s="1">
        <v>45945</v>
      </c>
      <c r="E1621" s="1">
        <v>45945</v>
      </c>
      <c r="F1621" s="2">
        <v>27</v>
      </c>
      <c r="G1621" s="3" t="s">
        <v>23</v>
      </c>
      <c r="H1621">
        <f>20+20+2</f>
        <v>42</v>
      </c>
      <c r="I1621" s="2">
        <v>0</v>
      </c>
      <c r="J1621" s="2">
        <v>0</v>
      </c>
      <c r="K1621" s="2">
        <v>1</v>
      </c>
      <c r="L1621" s="2">
        <v>0</v>
      </c>
      <c r="M1621">
        <v>0</v>
      </c>
      <c r="N1621">
        <v>0</v>
      </c>
      <c r="O1621" s="2">
        <v>0</v>
      </c>
      <c r="P1621" s="2">
        <v>0</v>
      </c>
      <c r="Q1621">
        <v>0</v>
      </c>
      <c r="R1621" s="2">
        <v>0</v>
      </c>
      <c r="S1621" s="2">
        <v>0</v>
      </c>
      <c r="T1621" t="s">
        <v>888</v>
      </c>
      <c r="U1621" s="2">
        <v>0</v>
      </c>
      <c r="V1621" s="2">
        <f>20+18+2+2</f>
        <v>42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</row>
    <row r="1622" spans="1:28" hidden="1" x14ac:dyDescent="0.25">
      <c r="A1622" t="s">
        <v>29</v>
      </c>
      <c r="B1622" t="s">
        <v>30</v>
      </c>
      <c r="C1622" t="s">
        <v>31</v>
      </c>
      <c r="D1622" s="1">
        <v>45945</v>
      </c>
      <c r="E1622" s="1">
        <v>45945</v>
      </c>
      <c r="F1622" s="2">
        <v>17</v>
      </c>
      <c r="G1622" s="3" t="s">
        <v>23</v>
      </c>
      <c r="H1622">
        <f>14+14</f>
        <v>28</v>
      </c>
      <c r="I1622" s="2">
        <v>0</v>
      </c>
      <c r="J1622" s="2">
        <v>0</v>
      </c>
      <c r="K1622" s="2">
        <v>1</v>
      </c>
      <c r="L1622" s="2">
        <v>0</v>
      </c>
      <c r="M1622">
        <v>0</v>
      </c>
      <c r="N1622">
        <v>0</v>
      </c>
      <c r="O1622" s="2">
        <v>0</v>
      </c>
      <c r="P1622" s="2">
        <v>0</v>
      </c>
      <c r="Q1622">
        <v>0</v>
      </c>
      <c r="R1622" s="2">
        <v>0</v>
      </c>
      <c r="S1622" s="2">
        <v>0</v>
      </c>
      <c r="T1622" t="s">
        <v>889</v>
      </c>
      <c r="U1622" s="2">
        <v>0</v>
      </c>
      <c r="V1622" s="2">
        <f>4+22+18+10+2+2</f>
        <v>58</v>
      </c>
      <c r="W1622" s="2">
        <v>3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</row>
    <row r="1623" spans="1:28" hidden="1" x14ac:dyDescent="0.25">
      <c r="A1623" t="s">
        <v>730</v>
      </c>
      <c r="B1623" t="s">
        <v>47</v>
      </c>
      <c r="C1623" t="s">
        <v>31</v>
      </c>
      <c r="D1623" s="1">
        <v>45945</v>
      </c>
      <c r="E1623" s="1">
        <v>45945</v>
      </c>
      <c r="F1623" s="2">
        <v>17</v>
      </c>
      <c r="G1623" s="3" t="s">
        <v>23</v>
      </c>
      <c r="H1623">
        <f>14+14</f>
        <v>28</v>
      </c>
      <c r="I1623" s="2">
        <v>0</v>
      </c>
      <c r="J1623" s="2">
        <v>0</v>
      </c>
      <c r="K1623" s="2">
        <v>1</v>
      </c>
      <c r="L1623" s="2">
        <v>0</v>
      </c>
      <c r="M1623">
        <v>0</v>
      </c>
      <c r="N1623">
        <v>0</v>
      </c>
      <c r="O1623" s="2">
        <v>0</v>
      </c>
      <c r="P1623" s="2">
        <v>0</v>
      </c>
      <c r="Q1623">
        <v>0</v>
      </c>
      <c r="R1623" s="2">
        <v>0</v>
      </c>
      <c r="S1623" s="2">
        <v>0</v>
      </c>
      <c r="T1623" t="s">
        <v>889</v>
      </c>
      <c r="U1623" s="2">
        <v>0</v>
      </c>
      <c r="V1623" s="2">
        <f>4+22+18+10+2+2</f>
        <v>58</v>
      </c>
      <c r="W1623" s="2">
        <v>3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</row>
    <row r="1624" spans="1:28" hidden="1" x14ac:dyDescent="0.25">
      <c r="A1624" t="s">
        <v>33</v>
      </c>
      <c r="B1624" t="s">
        <v>34</v>
      </c>
      <c r="C1624" t="s">
        <v>35</v>
      </c>
      <c r="D1624" s="1">
        <v>45945</v>
      </c>
      <c r="E1624" s="1">
        <v>45945</v>
      </c>
      <c r="F1624" s="2">
        <v>22</v>
      </c>
      <c r="G1624" s="3" t="s">
        <v>23</v>
      </c>
      <c r="H1624">
        <f>2+1+2+1+5</f>
        <v>11</v>
      </c>
      <c r="I1624" s="2">
        <v>1</v>
      </c>
      <c r="J1624" s="2">
        <v>0</v>
      </c>
      <c r="K1624" s="2">
        <v>0</v>
      </c>
      <c r="L1624" s="2">
        <v>0</v>
      </c>
      <c r="M1624">
        <v>0</v>
      </c>
      <c r="N1624">
        <v>0</v>
      </c>
      <c r="O1624" s="2">
        <v>0</v>
      </c>
      <c r="P1624" s="2">
        <v>0</v>
      </c>
      <c r="Q1624">
        <v>0</v>
      </c>
      <c r="R1624" s="2">
        <v>0</v>
      </c>
      <c r="S1624" s="2">
        <v>0</v>
      </c>
      <c r="T1624" t="s">
        <v>890</v>
      </c>
      <c r="U1624" s="2">
        <v>0</v>
      </c>
      <c r="V1624" s="2">
        <v>20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</row>
    <row r="1625" spans="1:28" hidden="1" x14ac:dyDescent="0.25">
      <c r="A1625" t="s">
        <v>37</v>
      </c>
      <c r="B1625" t="s">
        <v>57</v>
      </c>
      <c r="C1625" t="s">
        <v>39</v>
      </c>
      <c r="D1625" s="1">
        <v>45945</v>
      </c>
      <c r="E1625" s="1">
        <v>45945</v>
      </c>
      <c r="F1625" s="2">
        <v>20</v>
      </c>
      <c r="G1625" s="3" t="s">
        <v>23</v>
      </c>
      <c r="H1625">
        <f>12+12</f>
        <v>24</v>
      </c>
      <c r="I1625" s="2">
        <v>0</v>
      </c>
      <c r="J1625" s="2">
        <v>0</v>
      </c>
      <c r="K1625" s="2">
        <v>1</v>
      </c>
      <c r="L1625" s="2">
        <v>0</v>
      </c>
      <c r="M1625">
        <v>0</v>
      </c>
      <c r="N1625">
        <v>0</v>
      </c>
      <c r="O1625" s="2">
        <v>0</v>
      </c>
      <c r="P1625" s="2">
        <v>0</v>
      </c>
      <c r="Q1625">
        <v>0</v>
      </c>
      <c r="R1625" s="2">
        <v>0</v>
      </c>
      <c r="S1625" s="2">
        <v>0</v>
      </c>
      <c r="T1625" t="s">
        <v>891</v>
      </c>
      <c r="U1625" s="2">
        <v>0</v>
      </c>
      <c r="V1625" s="2">
        <f>22*3</f>
        <v>66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</row>
    <row r="1626" spans="1:28" hidden="1" x14ac:dyDescent="0.25">
      <c r="A1626" t="s">
        <v>37</v>
      </c>
      <c r="B1626" t="s">
        <v>57</v>
      </c>
      <c r="C1626" t="s">
        <v>39</v>
      </c>
      <c r="D1626" s="1">
        <v>45945</v>
      </c>
      <c r="E1626" s="1">
        <v>45945</v>
      </c>
      <c r="F1626" s="2">
        <v>20</v>
      </c>
      <c r="G1626" s="3" t="s">
        <v>23</v>
      </c>
      <c r="H1626">
        <v>90</v>
      </c>
      <c r="I1626" s="2">
        <v>0</v>
      </c>
      <c r="J1626" s="2">
        <v>0</v>
      </c>
      <c r="K1626" s="2">
        <v>1</v>
      </c>
      <c r="L1626" s="2">
        <v>0</v>
      </c>
      <c r="M1626">
        <v>0</v>
      </c>
      <c r="N1626">
        <v>0</v>
      </c>
      <c r="O1626" s="2">
        <v>0</v>
      </c>
      <c r="P1626" s="2">
        <v>0</v>
      </c>
      <c r="Q1626">
        <v>0</v>
      </c>
      <c r="R1626" s="2">
        <v>0</v>
      </c>
      <c r="S1626" s="2">
        <v>0</v>
      </c>
      <c r="T1626" t="s">
        <v>891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</row>
    <row r="1627" spans="1:28" hidden="1" x14ac:dyDescent="0.25">
      <c r="A1627" t="s">
        <v>56</v>
      </c>
      <c r="B1627" t="s">
        <v>47</v>
      </c>
      <c r="C1627" t="s">
        <v>212</v>
      </c>
      <c r="D1627" s="1">
        <v>45945</v>
      </c>
      <c r="E1627" s="1">
        <v>45945</v>
      </c>
      <c r="F1627" s="2">
        <v>0</v>
      </c>
      <c r="G1627" s="3" t="s">
        <v>48</v>
      </c>
      <c r="H1627">
        <v>0</v>
      </c>
      <c r="I1627" s="2">
        <v>0</v>
      </c>
      <c r="J1627" s="2">
        <v>0</v>
      </c>
      <c r="K1627" s="2">
        <v>0</v>
      </c>
      <c r="L1627" s="2">
        <v>0</v>
      </c>
      <c r="M1627">
        <v>0</v>
      </c>
      <c r="N1627">
        <v>0</v>
      </c>
      <c r="O1627" s="2">
        <v>0</v>
      </c>
      <c r="P1627" s="2">
        <v>0</v>
      </c>
      <c r="Q1627">
        <v>0</v>
      </c>
      <c r="R1627" s="2">
        <v>0</v>
      </c>
      <c r="S1627" s="2">
        <v>0</v>
      </c>
      <c r="T1627" t="s">
        <v>377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</row>
    <row r="1628" spans="1:28" hidden="1" x14ac:dyDescent="0.25">
      <c r="A1628" t="s">
        <v>568</v>
      </c>
      <c r="B1628" t="s">
        <v>47</v>
      </c>
      <c r="C1628" t="s">
        <v>212</v>
      </c>
      <c r="D1628" s="1">
        <v>45945</v>
      </c>
      <c r="E1628" s="1">
        <v>45945</v>
      </c>
      <c r="F1628" s="2">
        <v>0</v>
      </c>
      <c r="G1628" s="3" t="s">
        <v>48</v>
      </c>
      <c r="H1628">
        <v>0</v>
      </c>
      <c r="I1628" s="2">
        <v>0</v>
      </c>
      <c r="J1628" s="2">
        <v>0</v>
      </c>
      <c r="K1628" s="2">
        <v>0</v>
      </c>
      <c r="L1628" s="2">
        <v>0</v>
      </c>
      <c r="M1628">
        <v>0</v>
      </c>
      <c r="N1628">
        <v>0</v>
      </c>
      <c r="O1628" s="2">
        <v>0</v>
      </c>
      <c r="P1628" s="2">
        <v>0</v>
      </c>
      <c r="Q1628">
        <v>0</v>
      </c>
      <c r="R1628" s="2">
        <v>0</v>
      </c>
      <c r="S1628" s="2">
        <v>0</v>
      </c>
      <c r="T1628" t="s">
        <v>377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</row>
    <row r="1629" spans="1:28" hidden="1" x14ac:dyDescent="0.25">
      <c r="A1629" t="s">
        <v>47</v>
      </c>
      <c r="B1629" t="s">
        <v>52</v>
      </c>
      <c r="C1629" t="s">
        <v>212</v>
      </c>
      <c r="D1629" s="1">
        <v>45945</v>
      </c>
      <c r="E1629" s="1">
        <v>45945</v>
      </c>
      <c r="F1629" s="2">
        <v>0</v>
      </c>
      <c r="G1629" s="3" t="s">
        <v>572</v>
      </c>
      <c r="H1629">
        <v>0</v>
      </c>
      <c r="I1629" s="2">
        <v>0</v>
      </c>
      <c r="J1629" s="2">
        <v>0</v>
      </c>
      <c r="K1629" s="2">
        <v>0</v>
      </c>
      <c r="L1629" s="2">
        <v>0</v>
      </c>
      <c r="M1629">
        <v>0</v>
      </c>
      <c r="N1629">
        <v>0</v>
      </c>
      <c r="O1629" s="2">
        <v>0</v>
      </c>
      <c r="P1629" s="2">
        <v>0</v>
      </c>
      <c r="Q1629">
        <v>0</v>
      </c>
      <c r="R1629" s="2">
        <v>0</v>
      </c>
      <c r="S1629" s="2">
        <v>0</v>
      </c>
      <c r="T1629" t="s">
        <v>377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</row>
    <row r="1630" spans="1:28" hidden="1" x14ac:dyDescent="0.25">
      <c r="A1630" t="s">
        <v>56</v>
      </c>
      <c r="B1630" t="s">
        <v>47</v>
      </c>
      <c r="C1630" t="s">
        <v>64</v>
      </c>
      <c r="D1630" s="1">
        <v>45946</v>
      </c>
      <c r="E1630" s="1">
        <v>45946</v>
      </c>
      <c r="F1630" s="2">
        <v>42</v>
      </c>
      <c r="G1630" s="3" t="s">
        <v>23</v>
      </c>
      <c r="H1630">
        <v>36</v>
      </c>
      <c r="I1630" s="2">
        <v>0</v>
      </c>
      <c r="J1630" s="2">
        <v>0</v>
      </c>
      <c r="K1630" s="2">
        <v>1</v>
      </c>
      <c r="L1630" s="2">
        <v>0</v>
      </c>
      <c r="M1630">
        <v>0</v>
      </c>
      <c r="N1630">
        <v>0</v>
      </c>
      <c r="O1630" s="2">
        <v>0</v>
      </c>
      <c r="P1630" s="2">
        <v>0</v>
      </c>
      <c r="Q1630">
        <v>0</v>
      </c>
      <c r="R1630" s="2">
        <v>0</v>
      </c>
      <c r="S1630" s="2">
        <v>0</v>
      </c>
      <c r="T1630" t="s">
        <v>892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</row>
    <row r="1631" spans="1:28" hidden="1" x14ac:dyDescent="0.25">
      <c r="A1631" t="s">
        <v>730</v>
      </c>
      <c r="B1631" t="s">
        <v>47</v>
      </c>
      <c r="C1631" t="s">
        <v>64</v>
      </c>
      <c r="D1631" s="1">
        <v>45946</v>
      </c>
      <c r="E1631" s="1">
        <v>45946</v>
      </c>
      <c r="F1631" s="2">
        <v>42</v>
      </c>
      <c r="G1631" s="3" t="s">
        <v>23</v>
      </c>
      <c r="H1631">
        <v>36</v>
      </c>
      <c r="I1631" s="2">
        <v>0</v>
      </c>
      <c r="J1631" s="2">
        <v>0</v>
      </c>
      <c r="K1631" s="2">
        <v>1</v>
      </c>
      <c r="L1631" s="2">
        <v>0</v>
      </c>
      <c r="M1631">
        <v>0</v>
      </c>
      <c r="N1631">
        <v>0</v>
      </c>
      <c r="O1631" s="2">
        <v>0</v>
      </c>
      <c r="P1631" s="2">
        <v>0</v>
      </c>
      <c r="Q1631">
        <v>0</v>
      </c>
      <c r="R1631" s="2">
        <v>0</v>
      </c>
      <c r="S1631" s="2">
        <v>0</v>
      </c>
      <c r="T1631" t="s">
        <v>892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</row>
    <row r="1632" spans="1:28" hidden="1" x14ac:dyDescent="0.25">
      <c r="A1632" t="s">
        <v>568</v>
      </c>
      <c r="B1632" t="s">
        <v>47</v>
      </c>
      <c r="C1632" t="s">
        <v>64</v>
      </c>
      <c r="D1632" s="1">
        <v>45946</v>
      </c>
      <c r="E1632" s="1">
        <v>45946</v>
      </c>
      <c r="F1632" s="2">
        <v>42</v>
      </c>
      <c r="G1632" s="3" t="s">
        <v>23</v>
      </c>
      <c r="H1632">
        <v>36</v>
      </c>
      <c r="I1632" s="2">
        <v>0</v>
      </c>
      <c r="J1632" s="2">
        <v>0</v>
      </c>
      <c r="K1632" s="2">
        <v>1</v>
      </c>
      <c r="L1632" s="2">
        <v>0</v>
      </c>
      <c r="M1632">
        <v>0</v>
      </c>
      <c r="N1632">
        <v>0</v>
      </c>
      <c r="O1632" s="2">
        <v>0</v>
      </c>
      <c r="P1632" s="2">
        <v>0</v>
      </c>
      <c r="Q1632">
        <v>0</v>
      </c>
      <c r="R1632" s="2">
        <v>0</v>
      </c>
      <c r="S1632" s="2">
        <v>0</v>
      </c>
      <c r="T1632" t="s">
        <v>892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</row>
    <row r="1633" spans="1:28" hidden="1" x14ac:dyDescent="0.25">
      <c r="A1633" t="s">
        <v>53</v>
      </c>
      <c r="B1633" t="s">
        <v>38</v>
      </c>
      <c r="C1633" t="s">
        <v>54</v>
      </c>
      <c r="D1633" s="1">
        <v>45946</v>
      </c>
      <c r="E1633" s="1">
        <v>45946</v>
      </c>
      <c r="F1633" s="2">
        <v>97</v>
      </c>
      <c r="G1633" s="3" t="s">
        <v>23</v>
      </c>
      <c r="H1633">
        <f>8+8+2+1+3+11</f>
        <v>33</v>
      </c>
      <c r="I1633" s="2">
        <v>0</v>
      </c>
      <c r="J1633" s="2">
        <v>0</v>
      </c>
      <c r="K1633" s="2">
        <v>0</v>
      </c>
      <c r="L1633" s="2">
        <v>1</v>
      </c>
      <c r="M1633">
        <v>0</v>
      </c>
      <c r="N1633">
        <v>0</v>
      </c>
      <c r="O1633" s="2">
        <v>0</v>
      </c>
      <c r="P1633" s="2">
        <v>0</v>
      </c>
      <c r="Q1633">
        <v>0</v>
      </c>
      <c r="R1633" s="2">
        <v>0</v>
      </c>
      <c r="S1633" s="2">
        <v>0</v>
      </c>
      <c r="T1633" t="s">
        <v>893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</row>
    <row r="1634" spans="1:28" hidden="1" x14ac:dyDescent="0.25">
      <c r="A1634" t="s">
        <v>20</v>
      </c>
      <c r="B1634" t="s">
        <v>21</v>
      </c>
      <c r="C1634" t="s">
        <v>22</v>
      </c>
      <c r="D1634" s="1">
        <v>45946</v>
      </c>
      <c r="E1634" s="1">
        <v>45946</v>
      </c>
      <c r="F1634" s="2">
        <v>24</v>
      </c>
      <c r="G1634" s="3" t="s">
        <v>23</v>
      </c>
      <c r="H1634">
        <v>40</v>
      </c>
      <c r="I1634" s="2">
        <v>0</v>
      </c>
      <c r="J1634" s="2">
        <v>0</v>
      </c>
      <c r="K1634" s="2">
        <v>1</v>
      </c>
      <c r="L1634" s="2">
        <v>0</v>
      </c>
      <c r="M1634">
        <v>0</v>
      </c>
      <c r="N1634">
        <v>0</v>
      </c>
      <c r="O1634" s="2">
        <v>0</v>
      </c>
      <c r="P1634" s="2">
        <v>0</v>
      </c>
      <c r="Q1634">
        <v>0</v>
      </c>
      <c r="R1634" s="2">
        <v>0</v>
      </c>
      <c r="S1634" s="2">
        <v>0</v>
      </c>
      <c r="T1634" t="s">
        <v>894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</row>
    <row r="1635" spans="1:28" hidden="1" x14ac:dyDescent="0.25">
      <c r="A1635" t="s">
        <v>29</v>
      </c>
      <c r="B1635" t="s">
        <v>30</v>
      </c>
      <c r="C1635" t="s">
        <v>31</v>
      </c>
      <c r="D1635" s="1">
        <v>45946</v>
      </c>
      <c r="E1635" s="1">
        <v>45946</v>
      </c>
      <c r="F1635" s="2">
        <v>26</v>
      </c>
      <c r="G1635" s="3" t="s">
        <v>23</v>
      </c>
      <c r="H1635">
        <f>28-3</f>
        <v>25</v>
      </c>
      <c r="I1635" s="2">
        <v>0</v>
      </c>
      <c r="J1635" s="2">
        <v>0</v>
      </c>
      <c r="K1635" s="2">
        <v>1</v>
      </c>
      <c r="L1635" s="2">
        <v>0</v>
      </c>
      <c r="M1635">
        <v>0</v>
      </c>
      <c r="N1635">
        <v>0</v>
      </c>
      <c r="O1635" s="2">
        <v>0</v>
      </c>
      <c r="P1635" s="2">
        <v>0</v>
      </c>
      <c r="Q1635">
        <v>0</v>
      </c>
      <c r="R1635" s="2">
        <v>0</v>
      </c>
      <c r="S1635" s="2">
        <v>0</v>
      </c>
      <c r="T1635" t="s">
        <v>895</v>
      </c>
      <c r="U1635" s="2">
        <v>0</v>
      </c>
      <c r="V1635" s="2">
        <v>3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</row>
    <row r="1636" spans="1:28" hidden="1" x14ac:dyDescent="0.25">
      <c r="A1636" t="s">
        <v>33</v>
      </c>
      <c r="B1636" t="s">
        <v>34</v>
      </c>
      <c r="C1636" t="s">
        <v>35</v>
      </c>
      <c r="D1636" s="1">
        <v>45946</v>
      </c>
      <c r="E1636" s="1">
        <v>45946</v>
      </c>
      <c r="F1636" s="2">
        <v>20</v>
      </c>
      <c r="G1636" s="3" t="s">
        <v>23</v>
      </c>
      <c r="H1636">
        <v>32</v>
      </c>
      <c r="I1636" s="2">
        <v>0</v>
      </c>
      <c r="J1636" s="2">
        <v>0</v>
      </c>
      <c r="K1636" s="2">
        <v>1</v>
      </c>
      <c r="L1636" s="2">
        <v>0</v>
      </c>
      <c r="M1636">
        <v>0</v>
      </c>
      <c r="N1636">
        <v>0</v>
      </c>
      <c r="O1636" s="2">
        <v>0</v>
      </c>
      <c r="P1636" s="2">
        <v>0</v>
      </c>
      <c r="Q1636">
        <v>0</v>
      </c>
      <c r="R1636" s="2">
        <v>0</v>
      </c>
      <c r="S1636" s="2">
        <v>0</v>
      </c>
      <c r="T1636" t="s">
        <v>896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</row>
    <row r="1637" spans="1:28" hidden="1" x14ac:dyDescent="0.25">
      <c r="A1637" t="s">
        <v>37</v>
      </c>
      <c r="B1637" t="s">
        <v>57</v>
      </c>
      <c r="C1637" t="s">
        <v>39</v>
      </c>
      <c r="D1637" s="1">
        <v>45946</v>
      </c>
      <c r="E1637" s="1">
        <v>45946</v>
      </c>
      <c r="F1637" s="2">
        <v>20</v>
      </c>
      <c r="G1637" s="3" t="s">
        <v>23</v>
      </c>
      <c r="H1637">
        <f>7-1</f>
        <v>6</v>
      </c>
      <c r="I1637" s="2">
        <v>0</v>
      </c>
      <c r="J1637" s="2">
        <v>0</v>
      </c>
      <c r="K1637" s="2">
        <v>0</v>
      </c>
      <c r="L1637" s="2">
        <v>0</v>
      </c>
      <c r="M1637">
        <v>0</v>
      </c>
      <c r="N1637">
        <v>1</v>
      </c>
      <c r="O1637" s="2">
        <v>0</v>
      </c>
      <c r="P1637" s="2">
        <v>0</v>
      </c>
      <c r="Q1637">
        <v>0</v>
      </c>
      <c r="R1637" s="2">
        <v>0</v>
      </c>
      <c r="S1637" s="2">
        <v>0</v>
      </c>
      <c r="T1637" t="s">
        <v>897</v>
      </c>
      <c r="U1637" s="2">
        <v>0</v>
      </c>
      <c r="V1637" s="2">
        <v>1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</row>
    <row r="1638" spans="1:28" hidden="1" x14ac:dyDescent="0.25">
      <c r="A1638" t="s">
        <v>25</v>
      </c>
      <c r="B1638" t="s">
        <v>26</v>
      </c>
      <c r="C1638" t="s">
        <v>212</v>
      </c>
      <c r="D1638" s="1">
        <v>45946</v>
      </c>
      <c r="E1638" s="1">
        <v>45946</v>
      </c>
      <c r="F1638" s="2">
        <v>0</v>
      </c>
      <c r="G1638" s="3" t="s">
        <v>572</v>
      </c>
      <c r="H1638">
        <v>0</v>
      </c>
      <c r="I1638" s="2">
        <v>0</v>
      </c>
      <c r="J1638" s="2">
        <v>0</v>
      </c>
      <c r="K1638" s="2">
        <v>0</v>
      </c>
      <c r="L1638" s="2">
        <v>0</v>
      </c>
      <c r="M1638">
        <v>0</v>
      </c>
      <c r="N1638">
        <v>0</v>
      </c>
      <c r="O1638" s="2">
        <v>0</v>
      </c>
      <c r="P1638" s="2">
        <v>0</v>
      </c>
      <c r="Q1638">
        <v>0</v>
      </c>
      <c r="R1638" s="2">
        <v>0</v>
      </c>
      <c r="S1638" s="2">
        <v>0</v>
      </c>
      <c r="T1638" t="s">
        <v>377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</row>
    <row r="1639" spans="1:28" hidden="1" x14ac:dyDescent="0.25">
      <c r="A1639" t="s">
        <v>47</v>
      </c>
      <c r="B1639" t="s">
        <v>52</v>
      </c>
      <c r="C1639" t="s">
        <v>212</v>
      </c>
      <c r="D1639" s="1">
        <v>45946</v>
      </c>
      <c r="E1639" s="1">
        <v>45946</v>
      </c>
      <c r="F1639" s="2">
        <v>0</v>
      </c>
      <c r="G1639" s="3" t="s">
        <v>572</v>
      </c>
      <c r="H1639">
        <v>0</v>
      </c>
      <c r="I1639" s="2">
        <v>0</v>
      </c>
      <c r="J1639" s="2">
        <v>0</v>
      </c>
      <c r="K1639" s="2">
        <v>0</v>
      </c>
      <c r="L1639" s="2">
        <v>0</v>
      </c>
      <c r="M1639">
        <v>0</v>
      </c>
      <c r="N1639">
        <v>0</v>
      </c>
      <c r="O1639" s="2">
        <v>0</v>
      </c>
      <c r="P1639" s="2">
        <v>0</v>
      </c>
      <c r="Q1639">
        <v>0</v>
      </c>
      <c r="R1639" s="2">
        <v>0</v>
      </c>
      <c r="S1639" s="2">
        <v>0</v>
      </c>
      <c r="T1639" t="s">
        <v>377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</row>
    <row r="1640" spans="1:28" hidden="1" x14ac:dyDescent="0.25">
      <c r="A1640" t="s">
        <v>20</v>
      </c>
      <c r="B1640" t="s">
        <v>21</v>
      </c>
      <c r="C1640" t="s">
        <v>22</v>
      </c>
      <c r="D1640" s="1">
        <v>45947</v>
      </c>
      <c r="E1640" s="1">
        <v>45947</v>
      </c>
      <c r="F1640" s="2">
        <v>45</v>
      </c>
      <c r="G1640" s="3" t="s">
        <v>23</v>
      </c>
      <c r="H1640">
        <v>28</v>
      </c>
      <c r="I1640" s="2">
        <v>0</v>
      </c>
      <c r="J1640" s="2">
        <v>0</v>
      </c>
      <c r="K1640" s="2">
        <v>1</v>
      </c>
      <c r="L1640" s="2">
        <v>0</v>
      </c>
      <c r="M1640">
        <v>0</v>
      </c>
      <c r="N1640">
        <v>0</v>
      </c>
      <c r="O1640" s="2">
        <v>0</v>
      </c>
      <c r="P1640" s="2">
        <v>0</v>
      </c>
      <c r="Q1640">
        <v>0</v>
      </c>
      <c r="R1640" s="2">
        <v>0</v>
      </c>
      <c r="S1640" s="2">
        <v>0</v>
      </c>
      <c r="T1640" t="s">
        <v>898</v>
      </c>
      <c r="U1640" s="2">
        <v>0</v>
      </c>
      <c r="V1640" s="2">
        <v>24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</row>
    <row r="1641" spans="1:28" hidden="1" x14ac:dyDescent="0.25">
      <c r="A1641" t="s">
        <v>25</v>
      </c>
      <c r="B1641" t="s">
        <v>26</v>
      </c>
      <c r="C1641" t="s">
        <v>27</v>
      </c>
      <c r="D1641" s="1">
        <v>45947</v>
      </c>
      <c r="E1641" s="1">
        <v>45947</v>
      </c>
      <c r="F1641" s="2">
        <v>31</v>
      </c>
      <c r="G1641" s="3" t="s">
        <v>23</v>
      </c>
      <c r="H1641">
        <v>32</v>
      </c>
      <c r="I1641" s="2">
        <v>0</v>
      </c>
      <c r="J1641" s="2">
        <v>0</v>
      </c>
      <c r="K1641" s="2">
        <v>1</v>
      </c>
      <c r="L1641" s="2">
        <v>0</v>
      </c>
      <c r="M1641">
        <v>0</v>
      </c>
      <c r="N1641">
        <v>0</v>
      </c>
      <c r="O1641" s="2">
        <v>0</v>
      </c>
      <c r="P1641" s="2">
        <v>0</v>
      </c>
      <c r="Q1641">
        <v>0</v>
      </c>
      <c r="R1641" s="2">
        <v>0</v>
      </c>
      <c r="S1641" s="2">
        <v>0</v>
      </c>
      <c r="T1641" t="s">
        <v>899</v>
      </c>
      <c r="U1641" s="2">
        <v>0</v>
      </c>
      <c r="V1641" s="2">
        <v>6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</row>
    <row r="1642" spans="1:28" hidden="1" x14ac:dyDescent="0.25">
      <c r="A1642" t="s">
        <v>29</v>
      </c>
      <c r="B1642" t="s">
        <v>30</v>
      </c>
      <c r="C1642" t="s">
        <v>31</v>
      </c>
      <c r="D1642" s="1">
        <v>45947</v>
      </c>
      <c r="E1642" s="1">
        <v>45947</v>
      </c>
      <c r="F1642" s="2">
        <v>16</v>
      </c>
      <c r="G1642" s="3" t="s">
        <v>23</v>
      </c>
      <c r="H1642">
        <v>18</v>
      </c>
      <c r="I1642" s="2">
        <v>0</v>
      </c>
      <c r="J1642" s="2">
        <v>0</v>
      </c>
      <c r="K1642" s="2">
        <v>1</v>
      </c>
      <c r="L1642" s="2">
        <v>0</v>
      </c>
      <c r="M1642">
        <v>0</v>
      </c>
      <c r="N1642">
        <v>0</v>
      </c>
      <c r="O1642" s="2">
        <v>0</v>
      </c>
      <c r="P1642" s="2">
        <v>0</v>
      </c>
      <c r="Q1642">
        <v>0</v>
      </c>
      <c r="R1642" s="2">
        <v>0</v>
      </c>
      <c r="S1642" s="2">
        <v>0</v>
      </c>
      <c r="T1642" t="s">
        <v>900</v>
      </c>
      <c r="U1642" s="2">
        <v>0</v>
      </c>
      <c r="V1642" s="2">
        <v>24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</row>
    <row r="1643" spans="1:28" hidden="1" x14ac:dyDescent="0.25">
      <c r="A1643" t="s">
        <v>568</v>
      </c>
      <c r="B1643" t="s">
        <v>47</v>
      </c>
      <c r="C1643" t="s">
        <v>670</v>
      </c>
      <c r="D1643" s="1">
        <v>45947</v>
      </c>
      <c r="E1643" s="1">
        <v>45947</v>
      </c>
      <c r="F1643" s="2">
        <v>163</v>
      </c>
      <c r="G1643" s="3" t="s">
        <v>23</v>
      </c>
      <c r="H1643">
        <v>36</v>
      </c>
      <c r="I1643" s="2">
        <v>0</v>
      </c>
      <c r="J1643" s="2">
        <v>1</v>
      </c>
      <c r="K1643" s="2">
        <v>1</v>
      </c>
      <c r="L1643" s="2">
        <v>0</v>
      </c>
      <c r="M1643">
        <v>1</v>
      </c>
      <c r="N1643">
        <v>0</v>
      </c>
      <c r="O1643" s="2">
        <v>0</v>
      </c>
      <c r="P1643" s="2">
        <v>0</v>
      </c>
      <c r="Q1643">
        <v>0</v>
      </c>
      <c r="R1643" s="2">
        <v>0</v>
      </c>
      <c r="S1643" s="2">
        <v>0</v>
      </c>
      <c r="T1643" t="s">
        <v>901</v>
      </c>
      <c r="U1643" s="2">
        <v>0</v>
      </c>
      <c r="V1643" s="2">
        <v>25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</row>
    <row r="1644" spans="1:28" hidden="1" x14ac:dyDescent="0.25">
      <c r="A1644" t="s">
        <v>56</v>
      </c>
      <c r="B1644" t="s">
        <v>47</v>
      </c>
      <c r="C1644" t="s">
        <v>670</v>
      </c>
      <c r="D1644" s="1">
        <v>45947</v>
      </c>
      <c r="E1644" s="1">
        <v>45947</v>
      </c>
      <c r="F1644" s="2">
        <v>163</v>
      </c>
      <c r="G1644" s="3" t="s">
        <v>23</v>
      </c>
      <c r="H1644">
        <v>36</v>
      </c>
      <c r="I1644" s="2">
        <v>0</v>
      </c>
      <c r="J1644" s="2">
        <v>1</v>
      </c>
      <c r="K1644" s="2">
        <v>1</v>
      </c>
      <c r="L1644" s="2">
        <v>0</v>
      </c>
      <c r="M1644">
        <v>1</v>
      </c>
      <c r="N1644">
        <v>0</v>
      </c>
      <c r="O1644" s="2">
        <v>0</v>
      </c>
      <c r="P1644" s="2">
        <v>0</v>
      </c>
      <c r="Q1644">
        <v>0</v>
      </c>
      <c r="R1644" s="2">
        <v>0</v>
      </c>
      <c r="S1644" s="2">
        <v>0</v>
      </c>
      <c r="T1644" t="s">
        <v>901</v>
      </c>
      <c r="U1644" s="2">
        <v>0</v>
      </c>
      <c r="V1644" s="2">
        <v>25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</row>
    <row r="1645" spans="1:28" hidden="1" x14ac:dyDescent="0.25">
      <c r="A1645" t="s">
        <v>730</v>
      </c>
      <c r="B1645" t="s">
        <v>47</v>
      </c>
      <c r="C1645" t="s">
        <v>670</v>
      </c>
      <c r="D1645" s="1">
        <v>45947</v>
      </c>
      <c r="E1645" s="1">
        <v>45947</v>
      </c>
      <c r="F1645" s="2">
        <v>163</v>
      </c>
      <c r="G1645" s="3" t="s">
        <v>23</v>
      </c>
      <c r="H1645">
        <v>36</v>
      </c>
      <c r="I1645" s="2">
        <v>0</v>
      </c>
      <c r="J1645" s="2">
        <v>1</v>
      </c>
      <c r="K1645" s="2">
        <v>1</v>
      </c>
      <c r="L1645" s="2">
        <v>0</v>
      </c>
      <c r="M1645">
        <v>1</v>
      </c>
      <c r="N1645">
        <v>0</v>
      </c>
      <c r="O1645" s="2">
        <v>0</v>
      </c>
      <c r="P1645" s="2">
        <v>0</v>
      </c>
      <c r="Q1645">
        <v>0</v>
      </c>
      <c r="R1645" s="2">
        <v>0</v>
      </c>
      <c r="S1645" s="2">
        <v>0</v>
      </c>
      <c r="T1645" t="s">
        <v>901</v>
      </c>
      <c r="U1645" s="2">
        <v>0</v>
      </c>
      <c r="V1645" s="2">
        <v>25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</row>
    <row r="1646" spans="1:28" hidden="1" x14ac:dyDescent="0.25">
      <c r="A1646" t="s">
        <v>33</v>
      </c>
      <c r="B1646" t="s">
        <v>34</v>
      </c>
      <c r="C1646" t="s">
        <v>35</v>
      </c>
      <c r="D1646" s="1">
        <v>45947</v>
      </c>
      <c r="E1646" s="1">
        <v>45947</v>
      </c>
      <c r="F1646" s="2">
        <v>33</v>
      </c>
      <c r="G1646" s="3" t="s">
        <v>23</v>
      </c>
      <c r="H1646">
        <v>3</v>
      </c>
      <c r="I1646" s="2">
        <v>0</v>
      </c>
      <c r="J1646" s="2">
        <v>0</v>
      </c>
      <c r="K1646" s="2">
        <v>0</v>
      </c>
      <c r="L1646" s="2">
        <v>0</v>
      </c>
      <c r="M1646">
        <v>1</v>
      </c>
      <c r="N1646">
        <v>0</v>
      </c>
      <c r="O1646" s="2">
        <v>0</v>
      </c>
      <c r="P1646" s="2">
        <v>0</v>
      </c>
      <c r="Q1646">
        <v>0</v>
      </c>
      <c r="R1646" s="2">
        <v>0</v>
      </c>
      <c r="S1646" s="2">
        <v>0</v>
      </c>
      <c r="T1646" t="s">
        <v>902</v>
      </c>
      <c r="U1646" s="2">
        <v>0</v>
      </c>
      <c r="V1646" s="2">
        <v>12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</row>
    <row r="1647" spans="1:28" hidden="1" x14ac:dyDescent="0.25">
      <c r="A1647" t="s">
        <v>37</v>
      </c>
      <c r="B1647" t="s">
        <v>57</v>
      </c>
      <c r="C1647" t="s">
        <v>39</v>
      </c>
      <c r="D1647" s="1">
        <v>45947</v>
      </c>
      <c r="E1647" s="1">
        <v>45947</v>
      </c>
      <c r="F1647" s="2">
        <v>26</v>
      </c>
      <c r="G1647" s="3" t="s">
        <v>23</v>
      </c>
      <c r="H1647">
        <v>33</v>
      </c>
      <c r="I1647" s="2">
        <v>0</v>
      </c>
      <c r="J1647" s="2">
        <v>0</v>
      </c>
      <c r="K1647" s="2">
        <v>0</v>
      </c>
      <c r="L1647" s="2">
        <v>1</v>
      </c>
      <c r="M1647">
        <v>0</v>
      </c>
      <c r="N1647">
        <v>0</v>
      </c>
      <c r="O1647" s="2">
        <v>0</v>
      </c>
      <c r="P1647" s="2">
        <v>0</v>
      </c>
      <c r="Q1647">
        <v>0</v>
      </c>
      <c r="R1647" s="2">
        <v>0</v>
      </c>
      <c r="S1647" s="2">
        <v>0</v>
      </c>
      <c r="T1647" t="s">
        <v>903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</row>
    <row r="1648" spans="1:28" hidden="1" x14ac:dyDescent="0.25">
      <c r="A1648" t="s">
        <v>53</v>
      </c>
      <c r="B1648" t="s">
        <v>38</v>
      </c>
      <c r="C1648" t="s">
        <v>212</v>
      </c>
      <c r="D1648" s="1">
        <v>45947</v>
      </c>
      <c r="E1648" s="1">
        <v>45947</v>
      </c>
      <c r="F1648" s="2">
        <v>0</v>
      </c>
      <c r="G1648" s="3" t="s">
        <v>48</v>
      </c>
      <c r="H1648">
        <v>0</v>
      </c>
      <c r="I1648" s="2">
        <v>0</v>
      </c>
      <c r="J1648" s="2">
        <v>0</v>
      </c>
      <c r="K1648" s="2">
        <v>0</v>
      </c>
      <c r="L1648" s="2">
        <v>0</v>
      </c>
      <c r="M1648">
        <v>0</v>
      </c>
      <c r="N1648">
        <v>0</v>
      </c>
      <c r="O1648" s="2">
        <v>0</v>
      </c>
      <c r="P1648" s="2">
        <v>0</v>
      </c>
      <c r="Q1648">
        <v>0</v>
      </c>
      <c r="R1648" s="2">
        <v>0</v>
      </c>
      <c r="S1648" s="2">
        <v>0</v>
      </c>
      <c r="T1648" t="s">
        <v>377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</row>
    <row r="1649" spans="1:28" hidden="1" x14ac:dyDescent="0.25">
      <c r="A1649" t="s">
        <v>47</v>
      </c>
      <c r="B1649" t="s">
        <v>52</v>
      </c>
      <c r="C1649" t="s">
        <v>212</v>
      </c>
      <c r="D1649" s="1">
        <v>45947</v>
      </c>
      <c r="E1649" s="1">
        <v>45947</v>
      </c>
      <c r="F1649" s="2">
        <v>0</v>
      </c>
      <c r="G1649" s="3" t="s">
        <v>572</v>
      </c>
      <c r="H1649">
        <v>0</v>
      </c>
      <c r="I1649" s="2">
        <v>0</v>
      </c>
      <c r="J1649" s="2">
        <v>0</v>
      </c>
      <c r="K1649" s="2">
        <v>0</v>
      </c>
      <c r="L1649" s="2">
        <v>0</v>
      </c>
      <c r="M1649">
        <v>0</v>
      </c>
      <c r="N1649">
        <v>0</v>
      </c>
      <c r="O1649" s="2">
        <v>0</v>
      </c>
      <c r="P1649" s="2">
        <v>0</v>
      </c>
      <c r="Q1649">
        <v>0</v>
      </c>
      <c r="R1649" s="2">
        <v>0</v>
      </c>
      <c r="S1649" s="2">
        <v>0</v>
      </c>
      <c r="T1649" t="s">
        <v>377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</row>
    <row r="1650" spans="1:28" hidden="1" x14ac:dyDescent="0.25">
      <c r="A1650" t="s">
        <v>56</v>
      </c>
      <c r="B1650" t="s">
        <v>47</v>
      </c>
      <c r="C1650" t="s">
        <v>64</v>
      </c>
      <c r="D1650" s="15">
        <v>45948</v>
      </c>
      <c r="E1650" s="15">
        <v>45948</v>
      </c>
      <c r="F1650" s="2">
        <v>46</v>
      </c>
      <c r="G1650" s="3" t="s">
        <v>23</v>
      </c>
      <c r="H1650">
        <v>0</v>
      </c>
      <c r="I1650" s="2">
        <v>0</v>
      </c>
      <c r="J1650" s="2">
        <v>0</v>
      </c>
      <c r="K1650" s="2">
        <v>0</v>
      </c>
      <c r="L1650" s="2">
        <v>0</v>
      </c>
      <c r="M1650">
        <v>0</v>
      </c>
      <c r="N1650">
        <v>0</v>
      </c>
      <c r="O1650" s="2">
        <v>1</v>
      </c>
      <c r="P1650" s="2">
        <v>0</v>
      </c>
      <c r="Q1650">
        <v>1</v>
      </c>
      <c r="R1650" s="2">
        <v>1</v>
      </c>
      <c r="S1650" s="2">
        <v>0</v>
      </c>
      <c r="T1650" t="s">
        <v>904</v>
      </c>
      <c r="U1650" s="2">
        <v>12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</row>
    <row r="1651" spans="1:28" hidden="1" x14ac:dyDescent="0.25">
      <c r="A1651" t="s">
        <v>730</v>
      </c>
      <c r="B1651" t="s">
        <v>47</v>
      </c>
      <c r="C1651" t="s">
        <v>64</v>
      </c>
      <c r="D1651" s="15">
        <v>45948</v>
      </c>
      <c r="E1651" s="15">
        <v>45948</v>
      </c>
      <c r="F1651" s="2">
        <v>46</v>
      </c>
      <c r="G1651" s="3" t="s">
        <v>23</v>
      </c>
      <c r="H1651">
        <v>0</v>
      </c>
      <c r="I1651" s="2">
        <v>0</v>
      </c>
      <c r="J1651" s="2">
        <v>0</v>
      </c>
      <c r="K1651" s="2">
        <v>0</v>
      </c>
      <c r="L1651" s="2">
        <v>0</v>
      </c>
      <c r="M1651">
        <v>0</v>
      </c>
      <c r="N1651">
        <v>0</v>
      </c>
      <c r="O1651" s="2">
        <v>1</v>
      </c>
      <c r="P1651" s="2">
        <v>0</v>
      </c>
      <c r="Q1651">
        <v>1</v>
      </c>
      <c r="R1651" s="2">
        <v>1</v>
      </c>
      <c r="S1651" s="2">
        <v>0</v>
      </c>
      <c r="T1651" t="s">
        <v>904</v>
      </c>
      <c r="U1651" s="2">
        <v>12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</row>
    <row r="1652" spans="1:28" hidden="1" x14ac:dyDescent="0.25">
      <c r="A1652" t="s">
        <v>53</v>
      </c>
      <c r="B1652" t="s">
        <v>38</v>
      </c>
      <c r="C1652" t="s">
        <v>54</v>
      </c>
      <c r="D1652" s="15">
        <v>45948</v>
      </c>
      <c r="E1652" s="15">
        <v>45948</v>
      </c>
      <c r="F1652" s="2">
        <v>51</v>
      </c>
      <c r="G1652" s="3" t="s">
        <v>23</v>
      </c>
      <c r="H1652">
        <v>0</v>
      </c>
      <c r="I1652" s="2">
        <v>0</v>
      </c>
      <c r="J1652" s="2">
        <v>0</v>
      </c>
      <c r="K1652" s="2">
        <v>0</v>
      </c>
      <c r="L1652" s="2">
        <v>0</v>
      </c>
      <c r="M1652">
        <v>0</v>
      </c>
      <c r="N1652">
        <v>0</v>
      </c>
      <c r="O1652" s="2">
        <v>0</v>
      </c>
      <c r="P1652" s="2">
        <v>0</v>
      </c>
      <c r="Q1652">
        <v>8</v>
      </c>
      <c r="R1652" s="2">
        <v>1</v>
      </c>
      <c r="S1652" s="2">
        <v>0</v>
      </c>
      <c r="T1652" t="s">
        <v>905</v>
      </c>
      <c r="U1652" s="2">
        <v>16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1</v>
      </c>
      <c r="AB1652" s="2">
        <v>0</v>
      </c>
    </row>
    <row r="1653" spans="1:28" hidden="1" x14ac:dyDescent="0.25">
      <c r="A1653" t="s">
        <v>20</v>
      </c>
      <c r="B1653" t="s">
        <v>21</v>
      </c>
      <c r="C1653" t="s">
        <v>22</v>
      </c>
      <c r="D1653" s="15">
        <v>45948</v>
      </c>
      <c r="E1653" s="15">
        <v>45948</v>
      </c>
      <c r="F1653" s="2">
        <v>36</v>
      </c>
      <c r="G1653" s="3" t="s">
        <v>23</v>
      </c>
      <c r="H1653">
        <v>0</v>
      </c>
      <c r="I1653" s="2">
        <v>0</v>
      </c>
      <c r="J1653" s="2">
        <v>0</v>
      </c>
      <c r="K1653" s="2">
        <v>0</v>
      </c>
      <c r="L1653" s="2">
        <v>0</v>
      </c>
      <c r="M1653">
        <v>0</v>
      </c>
      <c r="N1653">
        <v>0</v>
      </c>
      <c r="O1653" s="2">
        <v>1</v>
      </c>
      <c r="P1653" s="2">
        <v>0</v>
      </c>
      <c r="Q1653">
        <v>3</v>
      </c>
      <c r="R1653" s="2">
        <v>1</v>
      </c>
      <c r="S1653" s="2">
        <v>0</v>
      </c>
      <c r="T1653" t="s">
        <v>906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</row>
    <row r="1654" spans="1:28" hidden="1" x14ac:dyDescent="0.25">
      <c r="A1654" t="s">
        <v>63</v>
      </c>
      <c r="B1654" t="s">
        <v>47</v>
      </c>
      <c r="C1654" t="s">
        <v>22</v>
      </c>
      <c r="D1654" s="15">
        <v>45948</v>
      </c>
      <c r="E1654" s="15">
        <v>45948</v>
      </c>
      <c r="F1654" s="2">
        <v>36</v>
      </c>
      <c r="G1654" s="3" t="s">
        <v>23</v>
      </c>
      <c r="H1654">
        <v>0</v>
      </c>
      <c r="I1654" s="2">
        <v>0</v>
      </c>
      <c r="J1654" s="2">
        <v>0</v>
      </c>
      <c r="K1654" s="2">
        <v>0</v>
      </c>
      <c r="L1654" s="2">
        <v>0</v>
      </c>
      <c r="M1654">
        <v>0</v>
      </c>
      <c r="N1654">
        <v>0</v>
      </c>
      <c r="O1654" s="2">
        <v>1</v>
      </c>
      <c r="P1654" s="2">
        <v>0</v>
      </c>
      <c r="Q1654">
        <v>3</v>
      </c>
      <c r="R1654" s="2">
        <v>1</v>
      </c>
      <c r="S1654" s="2">
        <v>0</v>
      </c>
      <c r="T1654" t="s">
        <v>906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</row>
    <row r="1655" spans="1:28" hidden="1" x14ac:dyDescent="0.25">
      <c r="A1655" t="s">
        <v>29</v>
      </c>
      <c r="B1655" t="s">
        <v>30</v>
      </c>
      <c r="C1655" t="s">
        <v>31</v>
      </c>
      <c r="D1655" s="15">
        <v>45948</v>
      </c>
      <c r="E1655" s="15">
        <v>45948</v>
      </c>
      <c r="F1655" s="2">
        <v>14</v>
      </c>
      <c r="G1655" s="3" t="s">
        <v>23</v>
      </c>
      <c r="H1655">
        <v>0</v>
      </c>
      <c r="I1655" s="2">
        <v>0</v>
      </c>
      <c r="J1655" s="2">
        <v>0</v>
      </c>
      <c r="K1655" s="2">
        <v>0</v>
      </c>
      <c r="L1655" s="2">
        <v>0</v>
      </c>
      <c r="M1655">
        <v>0</v>
      </c>
      <c r="N1655">
        <v>0</v>
      </c>
      <c r="O1655" s="2">
        <v>1</v>
      </c>
      <c r="P1655" s="2">
        <v>0</v>
      </c>
      <c r="Q1655">
        <v>1</v>
      </c>
      <c r="R1655" s="2">
        <v>1</v>
      </c>
      <c r="S1655" s="2">
        <v>0</v>
      </c>
      <c r="T1655" t="s">
        <v>907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</row>
    <row r="1656" spans="1:28" hidden="1" x14ac:dyDescent="0.25">
      <c r="A1656" t="s">
        <v>568</v>
      </c>
      <c r="B1656" t="s">
        <v>284</v>
      </c>
      <c r="C1656" t="s">
        <v>670</v>
      </c>
      <c r="D1656" s="15">
        <v>45948</v>
      </c>
      <c r="E1656" s="15">
        <v>45948</v>
      </c>
      <c r="F1656" s="2">
        <v>34</v>
      </c>
      <c r="G1656" s="3" t="s">
        <v>23</v>
      </c>
      <c r="H1656">
        <v>0</v>
      </c>
      <c r="I1656" s="2">
        <v>0</v>
      </c>
      <c r="J1656" s="2">
        <v>0</v>
      </c>
      <c r="K1656" s="2">
        <v>0</v>
      </c>
      <c r="L1656" s="2">
        <v>0</v>
      </c>
      <c r="M1656">
        <v>0</v>
      </c>
      <c r="N1656">
        <v>0</v>
      </c>
      <c r="O1656" s="2">
        <v>1</v>
      </c>
      <c r="P1656" s="2">
        <v>0</v>
      </c>
      <c r="Q1656">
        <v>3</v>
      </c>
      <c r="R1656" s="2">
        <v>1</v>
      </c>
      <c r="S1656" s="2">
        <v>0</v>
      </c>
      <c r="T1656" t="s">
        <v>908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</row>
    <row r="1657" spans="1:28" hidden="1" x14ac:dyDescent="0.25">
      <c r="A1657" t="s">
        <v>25</v>
      </c>
      <c r="B1657" t="s">
        <v>26</v>
      </c>
      <c r="C1657" t="s">
        <v>39</v>
      </c>
      <c r="D1657" s="15">
        <v>45948</v>
      </c>
      <c r="E1657" s="15">
        <v>45948</v>
      </c>
      <c r="F1657" s="2">
        <v>32</v>
      </c>
      <c r="G1657" s="3" t="s">
        <v>378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t="s">
        <v>828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</row>
    <row r="1658" spans="1:28" hidden="1" x14ac:dyDescent="0.25">
      <c r="A1658" t="s">
        <v>37</v>
      </c>
      <c r="B1658" t="s">
        <v>57</v>
      </c>
      <c r="C1658" t="s">
        <v>39</v>
      </c>
      <c r="D1658" s="15">
        <v>45948</v>
      </c>
      <c r="E1658" s="15">
        <v>45948</v>
      </c>
      <c r="F1658" s="2">
        <v>32</v>
      </c>
      <c r="G1658" s="3" t="s">
        <v>378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t="s">
        <v>828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</row>
    <row r="1659" spans="1:28" hidden="1" x14ac:dyDescent="0.25">
      <c r="A1659" t="s">
        <v>33</v>
      </c>
      <c r="B1659" t="s">
        <v>34</v>
      </c>
      <c r="C1659" t="s">
        <v>39</v>
      </c>
      <c r="D1659" s="15">
        <v>45948</v>
      </c>
      <c r="E1659" s="15">
        <v>45948</v>
      </c>
      <c r="F1659" s="2">
        <v>32</v>
      </c>
      <c r="G1659" s="3" t="s">
        <v>378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t="s">
        <v>828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</row>
    <row r="1660" spans="1:28" hidden="1" x14ac:dyDescent="0.25">
      <c r="A1660" t="s">
        <v>47</v>
      </c>
      <c r="B1660" t="s">
        <v>52</v>
      </c>
      <c r="C1660" t="s">
        <v>212</v>
      </c>
      <c r="D1660" s="15">
        <v>45948</v>
      </c>
      <c r="E1660" s="15">
        <v>45948</v>
      </c>
      <c r="F1660" s="2">
        <v>0</v>
      </c>
      <c r="G1660" s="3" t="s">
        <v>378</v>
      </c>
      <c r="H1660">
        <v>0</v>
      </c>
      <c r="I1660" s="2">
        <v>0</v>
      </c>
      <c r="J1660" s="2">
        <v>0</v>
      </c>
      <c r="K1660" s="2">
        <v>0</v>
      </c>
      <c r="L1660" s="2">
        <v>0</v>
      </c>
      <c r="M1660">
        <v>0</v>
      </c>
      <c r="N1660">
        <v>0</v>
      </c>
      <c r="O1660" s="2">
        <v>0</v>
      </c>
      <c r="P1660" s="2">
        <v>0</v>
      </c>
      <c r="Q1660">
        <v>0</v>
      </c>
      <c r="R1660" s="2">
        <v>0</v>
      </c>
      <c r="S1660" s="2">
        <v>0</v>
      </c>
      <c r="T1660" t="s">
        <v>377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</row>
    <row r="1661" spans="1:28" hidden="1" x14ac:dyDescent="0.25">
      <c r="A1661" t="s">
        <v>56</v>
      </c>
      <c r="B1661" t="s">
        <v>47</v>
      </c>
      <c r="C1661" t="s">
        <v>64</v>
      </c>
      <c r="D1661" s="15">
        <v>45949</v>
      </c>
      <c r="E1661" s="15">
        <v>45949</v>
      </c>
      <c r="F1661" s="2">
        <v>48</v>
      </c>
      <c r="G1661" s="3" t="s">
        <v>23</v>
      </c>
      <c r="H1661">
        <v>0</v>
      </c>
      <c r="I1661" s="2">
        <v>0</v>
      </c>
      <c r="J1661" s="2">
        <v>0</v>
      </c>
      <c r="K1661" s="2">
        <v>0</v>
      </c>
      <c r="L1661" s="2">
        <v>0</v>
      </c>
      <c r="M1661">
        <v>0</v>
      </c>
      <c r="N1661">
        <v>0</v>
      </c>
      <c r="O1661" s="2">
        <v>0</v>
      </c>
      <c r="P1661" s="2">
        <v>1</v>
      </c>
      <c r="Q1661">
        <v>1</v>
      </c>
      <c r="R1661" s="2">
        <v>0</v>
      </c>
      <c r="S1661" s="2">
        <v>1</v>
      </c>
      <c r="T1661" t="s">
        <v>909</v>
      </c>
      <c r="U1661" s="2">
        <v>16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</row>
    <row r="1662" spans="1:28" hidden="1" x14ac:dyDescent="0.25">
      <c r="A1662" t="s">
        <v>730</v>
      </c>
      <c r="B1662" t="s">
        <v>47</v>
      </c>
      <c r="C1662" t="s">
        <v>64</v>
      </c>
      <c r="D1662" s="15">
        <v>45949</v>
      </c>
      <c r="E1662" s="15">
        <v>45949</v>
      </c>
      <c r="F1662" s="2">
        <v>48</v>
      </c>
      <c r="G1662" s="3" t="s">
        <v>23</v>
      </c>
      <c r="H1662">
        <v>0</v>
      </c>
      <c r="I1662" s="2">
        <v>0</v>
      </c>
      <c r="J1662" s="2">
        <v>0</v>
      </c>
      <c r="K1662" s="2">
        <v>0</v>
      </c>
      <c r="L1662" s="2">
        <v>0</v>
      </c>
      <c r="M1662">
        <v>0</v>
      </c>
      <c r="N1662">
        <v>0</v>
      </c>
      <c r="O1662" s="2">
        <v>0</v>
      </c>
      <c r="P1662" s="2">
        <v>1</v>
      </c>
      <c r="Q1662">
        <v>1</v>
      </c>
      <c r="R1662" s="2">
        <v>0</v>
      </c>
      <c r="S1662" s="2">
        <v>1</v>
      </c>
      <c r="T1662" t="s">
        <v>909</v>
      </c>
      <c r="U1662" s="2">
        <v>16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</row>
    <row r="1663" spans="1:28" hidden="1" x14ac:dyDescent="0.25">
      <c r="A1663" t="s">
        <v>53</v>
      </c>
      <c r="B1663" t="s">
        <v>38</v>
      </c>
      <c r="C1663" t="s">
        <v>54</v>
      </c>
      <c r="D1663" s="15">
        <v>45949</v>
      </c>
      <c r="E1663" s="15">
        <v>45949</v>
      </c>
      <c r="F1663" s="2">
        <v>65</v>
      </c>
      <c r="G1663" s="3" t="s">
        <v>23</v>
      </c>
      <c r="H1663">
        <v>0</v>
      </c>
      <c r="I1663" s="2">
        <v>0</v>
      </c>
      <c r="J1663" s="2">
        <v>0</v>
      </c>
      <c r="K1663" s="2">
        <v>0</v>
      </c>
      <c r="L1663" s="2">
        <v>0</v>
      </c>
      <c r="M1663">
        <v>0</v>
      </c>
      <c r="N1663">
        <v>0</v>
      </c>
      <c r="O1663" s="2">
        <v>0</v>
      </c>
      <c r="P1663" s="2">
        <v>0</v>
      </c>
      <c r="Q1663">
        <v>5</v>
      </c>
      <c r="R1663" s="2">
        <v>0</v>
      </c>
      <c r="S1663" s="2">
        <v>1</v>
      </c>
      <c r="T1663" t="s">
        <v>910</v>
      </c>
      <c r="U1663" s="2">
        <v>16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1</v>
      </c>
    </row>
    <row r="1664" spans="1:28" hidden="1" x14ac:dyDescent="0.25">
      <c r="A1664" t="s">
        <v>20</v>
      </c>
      <c r="B1664" t="s">
        <v>21</v>
      </c>
      <c r="C1664" t="s">
        <v>22</v>
      </c>
      <c r="D1664" s="15">
        <v>45949</v>
      </c>
      <c r="E1664" s="15">
        <v>45949</v>
      </c>
      <c r="F1664" s="2">
        <v>28</v>
      </c>
      <c r="G1664" s="3" t="s">
        <v>23</v>
      </c>
      <c r="H1664">
        <v>0</v>
      </c>
      <c r="I1664" s="2">
        <v>0</v>
      </c>
      <c r="J1664" s="2">
        <v>0</v>
      </c>
      <c r="K1664" s="2">
        <v>0</v>
      </c>
      <c r="L1664" s="2">
        <v>0</v>
      </c>
      <c r="M1664">
        <v>0</v>
      </c>
      <c r="N1664">
        <v>0</v>
      </c>
      <c r="O1664" s="2">
        <v>0</v>
      </c>
      <c r="P1664" s="2">
        <v>1</v>
      </c>
      <c r="Q1664">
        <v>2</v>
      </c>
      <c r="R1664" s="2">
        <v>0</v>
      </c>
      <c r="S1664" s="2">
        <v>1</v>
      </c>
      <c r="T1664" t="s">
        <v>911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</row>
    <row r="1665" spans="1:28" hidden="1" x14ac:dyDescent="0.25">
      <c r="A1665" t="s">
        <v>29</v>
      </c>
      <c r="B1665" t="s">
        <v>30</v>
      </c>
      <c r="C1665" t="s">
        <v>31</v>
      </c>
      <c r="D1665" s="15">
        <v>45949</v>
      </c>
      <c r="E1665" s="15">
        <v>45949</v>
      </c>
      <c r="F1665" s="2">
        <v>13</v>
      </c>
      <c r="G1665" s="3" t="s">
        <v>23</v>
      </c>
      <c r="H1665">
        <v>0</v>
      </c>
      <c r="I1665" s="2">
        <v>0</v>
      </c>
      <c r="J1665" s="2">
        <v>0</v>
      </c>
      <c r="K1665" s="2">
        <v>0</v>
      </c>
      <c r="L1665" s="2">
        <v>0</v>
      </c>
      <c r="M1665">
        <v>0</v>
      </c>
      <c r="N1665">
        <v>0</v>
      </c>
      <c r="O1665" s="2">
        <v>0</v>
      </c>
      <c r="P1665" s="2">
        <v>1</v>
      </c>
      <c r="Q1665">
        <v>2</v>
      </c>
      <c r="R1665" s="2">
        <v>0</v>
      </c>
      <c r="S1665" s="2">
        <v>1</v>
      </c>
      <c r="T1665" t="s">
        <v>912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</row>
    <row r="1666" spans="1:28" hidden="1" x14ac:dyDescent="0.25">
      <c r="A1666" t="s">
        <v>568</v>
      </c>
      <c r="B1666" t="s">
        <v>47</v>
      </c>
      <c r="C1666" t="s">
        <v>670</v>
      </c>
      <c r="D1666" s="15">
        <v>45949</v>
      </c>
      <c r="E1666" s="15">
        <v>45949</v>
      </c>
      <c r="F1666" s="2">
        <v>112</v>
      </c>
      <c r="G1666" s="3" t="s">
        <v>23</v>
      </c>
      <c r="H1666">
        <v>0</v>
      </c>
      <c r="I1666" s="2">
        <v>0</v>
      </c>
      <c r="J1666" s="2">
        <v>1</v>
      </c>
      <c r="K1666" s="2">
        <v>0</v>
      </c>
      <c r="L1666" s="2">
        <v>0</v>
      </c>
      <c r="M1666">
        <v>0</v>
      </c>
      <c r="N1666">
        <v>0</v>
      </c>
      <c r="O1666" s="2">
        <v>0</v>
      </c>
      <c r="P1666" s="2">
        <v>1</v>
      </c>
      <c r="Q1666">
        <v>3</v>
      </c>
      <c r="R1666" s="2">
        <v>0</v>
      </c>
      <c r="S1666" s="2">
        <v>1</v>
      </c>
      <c r="T1666" t="s">
        <v>913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</row>
    <row r="1667" spans="1:28" hidden="1" x14ac:dyDescent="0.25">
      <c r="A1667" t="s">
        <v>63</v>
      </c>
      <c r="B1667" t="s">
        <v>47</v>
      </c>
      <c r="C1667" t="s">
        <v>670</v>
      </c>
      <c r="D1667" s="15">
        <v>45949</v>
      </c>
      <c r="E1667" s="15">
        <v>45949</v>
      </c>
      <c r="F1667" s="2">
        <v>112</v>
      </c>
      <c r="G1667" s="3" t="s">
        <v>23</v>
      </c>
      <c r="H1667">
        <v>0</v>
      </c>
      <c r="I1667" s="2">
        <v>0</v>
      </c>
      <c r="J1667" s="2">
        <v>1</v>
      </c>
      <c r="K1667" s="2">
        <v>0</v>
      </c>
      <c r="L1667" s="2">
        <v>0</v>
      </c>
      <c r="M1667">
        <v>0</v>
      </c>
      <c r="N1667">
        <v>0</v>
      </c>
      <c r="O1667" s="2">
        <v>0</v>
      </c>
      <c r="P1667" s="2">
        <v>1</v>
      </c>
      <c r="Q1667">
        <v>3</v>
      </c>
      <c r="R1667" s="2">
        <v>0</v>
      </c>
      <c r="S1667" s="2">
        <v>1</v>
      </c>
      <c r="T1667" t="s">
        <v>913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</row>
    <row r="1668" spans="1:28" hidden="1" x14ac:dyDescent="0.25">
      <c r="A1668" t="s">
        <v>25</v>
      </c>
      <c r="B1668" t="s">
        <v>26</v>
      </c>
      <c r="C1668" t="s">
        <v>39</v>
      </c>
      <c r="D1668" s="15">
        <v>45949</v>
      </c>
      <c r="E1668" s="15">
        <v>45949</v>
      </c>
      <c r="F1668" s="2">
        <v>32</v>
      </c>
      <c r="G1668" s="3" t="s">
        <v>378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t="s">
        <v>828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</row>
    <row r="1669" spans="1:28" hidden="1" x14ac:dyDescent="0.25">
      <c r="A1669" t="s">
        <v>37</v>
      </c>
      <c r="B1669" t="s">
        <v>57</v>
      </c>
      <c r="C1669" t="s">
        <v>39</v>
      </c>
      <c r="D1669" s="15">
        <v>45949</v>
      </c>
      <c r="E1669" s="15">
        <v>45949</v>
      </c>
      <c r="F1669" s="2">
        <v>32</v>
      </c>
      <c r="G1669" s="3" t="s">
        <v>378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t="s">
        <v>828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</row>
    <row r="1670" spans="1:28" hidden="1" x14ac:dyDescent="0.25">
      <c r="A1670" t="s">
        <v>33</v>
      </c>
      <c r="B1670" t="s">
        <v>34</v>
      </c>
      <c r="C1670" t="s">
        <v>39</v>
      </c>
      <c r="D1670" s="15">
        <v>45949</v>
      </c>
      <c r="E1670" s="15">
        <v>45949</v>
      </c>
      <c r="F1670" s="2">
        <v>32</v>
      </c>
      <c r="G1670" s="3" t="s">
        <v>378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t="s">
        <v>828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</row>
    <row r="1671" spans="1:28" hidden="1" x14ac:dyDescent="0.25">
      <c r="A1671" t="s">
        <v>47</v>
      </c>
      <c r="B1671" t="s">
        <v>52</v>
      </c>
      <c r="C1671" t="s">
        <v>212</v>
      </c>
      <c r="D1671" s="15">
        <v>45949</v>
      </c>
      <c r="E1671" s="15">
        <v>45949</v>
      </c>
      <c r="F1671" s="2">
        <v>0</v>
      </c>
      <c r="G1671" s="3" t="s">
        <v>378</v>
      </c>
      <c r="H1671">
        <v>0</v>
      </c>
      <c r="I1671" s="2">
        <v>0</v>
      </c>
      <c r="J1671" s="2">
        <v>0</v>
      </c>
      <c r="K1671" s="2">
        <v>0</v>
      </c>
      <c r="L1671" s="2">
        <v>0</v>
      </c>
      <c r="M1671">
        <v>0</v>
      </c>
      <c r="N1671">
        <v>0</v>
      </c>
      <c r="O1671" s="2">
        <v>0</v>
      </c>
      <c r="P1671" s="2">
        <v>0</v>
      </c>
      <c r="Q1671">
        <v>0</v>
      </c>
      <c r="R1671" s="2">
        <v>0</v>
      </c>
      <c r="S1671" s="2">
        <v>0</v>
      </c>
      <c r="T1671" t="s">
        <v>377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</row>
    <row r="1672" spans="1:28" hidden="1" x14ac:dyDescent="0.25">
      <c r="A1672" t="s">
        <v>56</v>
      </c>
      <c r="B1672" t="s">
        <v>47</v>
      </c>
      <c r="C1672" t="s">
        <v>64</v>
      </c>
      <c r="D1672" s="1">
        <v>45950</v>
      </c>
      <c r="E1672" s="1">
        <v>45950</v>
      </c>
      <c r="F1672" s="2">
        <v>23</v>
      </c>
      <c r="G1672" s="3" t="s">
        <v>23</v>
      </c>
      <c r="H1672">
        <v>6</v>
      </c>
      <c r="I1672" s="2">
        <v>0</v>
      </c>
      <c r="J1672" s="2">
        <v>0</v>
      </c>
      <c r="K1672" s="2">
        <v>0</v>
      </c>
      <c r="L1672" s="2">
        <v>0</v>
      </c>
      <c r="M1672">
        <v>1</v>
      </c>
      <c r="N1672">
        <v>0</v>
      </c>
      <c r="O1672" s="2">
        <v>0</v>
      </c>
      <c r="P1672" s="2">
        <v>0</v>
      </c>
      <c r="Q1672">
        <v>0</v>
      </c>
      <c r="R1672" s="2">
        <v>0</v>
      </c>
      <c r="S1672" s="2">
        <v>0</v>
      </c>
      <c r="T1672" t="s">
        <v>914</v>
      </c>
      <c r="U1672" s="2">
        <v>0</v>
      </c>
      <c r="V1672" s="2">
        <f>19+6+2+2</f>
        <v>29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</row>
    <row r="1673" spans="1:28" hidden="1" x14ac:dyDescent="0.25">
      <c r="A1673" t="s">
        <v>730</v>
      </c>
      <c r="B1673" t="s">
        <v>47</v>
      </c>
      <c r="C1673" t="s">
        <v>64</v>
      </c>
      <c r="D1673" s="1">
        <v>45950</v>
      </c>
      <c r="E1673" s="1">
        <v>45950</v>
      </c>
      <c r="F1673" s="2">
        <v>23</v>
      </c>
      <c r="G1673" s="3" t="s">
        <v>23</v>
      </c>
      <c r="H1673">
        <v>6</v>
      </c>
      <c r="I1673" s="2">
        <v>0</v>
      </c>
      <c r="J1673" s="2">
        <v>0</v>
      </c>
      <c r="K1673" s="2">
        <v>0</v>
      </c>
      <c r="L1673" s="2">
        <v>0</v>
      </c>
      <c r="M1673">
        <v>1</v>
      </c>
      <c r="N1673">
        <v>0</v>
      </c>
      <c r="O1673" s="2">
        <v>0</v>
      </c>
      <c r="P1673" s="2">
        <v>0</v>
      </c>
      <c r="Q1673">
        <v>0</v>
      </c>
      <c r="R1673" s="2">
        <v>0</v>
      </c>
      <c r="S1673" s="2">
        <v>0</v>
      </c>
      <c r="T1673" t="s">
        <v>914</v>
      </c>
      <c r="U1673" s="2">
        <v>0</v>
      </c>
      <c r="V1673" s="2">
        <f>19+6+2+2</f>
        <v>29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</row>
    <row r="1674" spans="1:28" hidden="1" x14ac:dyDescent="0.25">
      <c r="A1674" t="s">
        <v>20</v>
      </c>
      <c r="B1674" t="s">
        <v>47</v>
      </c>
      <c r="C1674" t="s">
        <v>22</v>
      </c>
      <c r="D1674" s="1">
        <v>45950</v>
      </c>
      <c r="E1674" s="1">
        <v>45950</v>
      </c>
      <c r="F1674" s="2">
        <v>26</v>
      </c>
      <c r="G1674" s="3" t="s">
        <v>23</v>
      </c>
      <c r="H1674">
        <v>0</v>
      </c>
      <c r="I1674" s="2">
        <v>0</v>
      </c>
      <c r="J1674" s="2">
        <v>0</v>
      </c>
      <c r="K1674" s="2">
        <v>0</v>
      </c>
      <c r="L1674" s="2">
        <v>0</v>
      </c>
      <c r="M1674">
        <v>0</v>
      </c>
      <c r="N1674">
        <v>0</v>
      </c>
      <c r="O1674" s="2">
        <v>0</v>
      </c>
      <c r="P1674" s="2">
        <v>0</v>
      </c>
      <c r="Q1674">
        <v>0</v>
      </c>
      <c r="R1674" s="2">
        <v>0</v>
      </c>
      <c r="S1674" s="2">
        <v>0</v>
      </c>
      <c r="T1674" t="s">
        <v>915</v>
      </c>
      <c r="U1674" s="2">
        <v>0</v>
      </c>
      <c r="V1674" s="2">
        <v>0</v>
      </c>
      <c r="W1674" s="2">
        <v>10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</row>
    <row r="1675" spans="1:28" hidden="1" x14ac:dyDescent="0.25">
      <c r="A1675" t="s">
        <v>25</v>
      </c>
      <c r="B1675" t="s">
        <v>26</v>
      </c>
      <c r="C1675" t="s">
        <v>27</v>
      </c>
      <c r="D1675" s="1">
        <v>45950</v>
      </c>
      <c r="E1675" s="1">
        <v>45950</v>
      </c>
      <c r="F1675" s="2">
        <v>25</v>
      </c>
      <c r="G1675" s="3" t="s">
        <v>23</v>
      </c>
      <c r="H1675">
        <v>0</v>
      </c>
      <c r="I1675" s="2">
        <v>0</v>
      </c>
      <c r="J1675" s="2">
        <v>0</v>
      </c>
      <c r="K1675" s="2">
        <v>0</v>
      </c>
      <c r="L1675" s="2">
        <v>0</v>
      </c>
      <c r="M1675">
        <v>0</v>
      </c>
      <c r="N1675">
        <v>0</v>
      </c>
      <c r="O1675" s="2">
        <v>0</v>
      </c>
      <c r="P1675" s="2">
        <v>0</v>
      </c>
      <c r="Q1675">
        <v>0</v>
      </c>
      <c r="R1675" s="2">
        <v>0</v>
      </c>
      <c r="S1675" s="2">
        <v>0</v>
      </c>
      <c r="T1675" t="s">
        <v>916</v>
      </c>
      <c r="U1675" s="2">
        <v>0</v>
      </c>
      <c r="V1675" s="2">
        <v>34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</row>
    <row r="1676" spans="1:28" hidden="1" x14ac:dyDescent="0.25">
      <c r="A1676" t="s">
        <v>29</v>
      </c>
      <c r="B1676" t="s">
        <v>30</v>
      </c>
      <c r="C1676" t="s">
        <v>31</v>
      </c>
      <c r="D1676" s="1">
        <v>45950</v>
      </c>
      <c r="E1676" s="1">
        <v>45950</v>
      </c>
      <c r="F1676" s="2">
        <v>21</v>
      </c>
      <c r="G1676" s="3" t="s">
        <v>23</v>
      </c>
      <c r="H1676">
        <v>0</v>
      </c>
      <c r="I1676" s="2">
        <v>1</v>
      </c>
      <c r="J1676" s="2">
        <v>0</v>
      </c>
      <c r="K1676" s="2">
        <v>0</v>
      </c>
      <c r="L1676" s="2">
        <v>0</v>
      </c>
      <c r="M1676">
        <v>0</v>
      </c>
      <c r="N1676">
        <v>0</v>
      </c>
      <c r="O1676" s="2">
        <v>0</v>
      </c>
      <c r="P1676" s="2">
        <v>0</v>
      </c>
      <c r="Q1676">
        <v>0</v>
      </c>
      <c r="R1676" s="2">
        <v>0</v>
      </c>
      <c r="S1676" s="2">
        <v>0</v>
      </c>
      <c r="T1676" t="s">
        <v>917</v>
      </c>
      <c r="U1676" s="2">
        <v>0</v>
      </c>
      <c r="V1676" s="2">
        <f>7+22+21+2+1+7+2+2</f>
        <v>64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</row>
    <row r="1677" spans="1:28" hidden="1" x14ac:dyDescent="0.25">
      <c r="A1677" t="s">
        <v>53</v>
      </c>
      <c r="B1677" t="s">
        <v>38</v>
      </c>
      <c r="C1677" t="s">
        <v>670</v>
      </c>
      <c r="D1677" s="1">
        <v>45950</v>
      </c>
      <c r="E1677" s="1">
        <v>45950</v>
      </c>
      <c r="F1677" s="2">
        <v>65</v>
      </c>
      <c r="G1677" s="3" t="s">
        <v>23</v>
      </c>
      <c r="H1677">
        <f>1+1+1+2+1+1+1</f>
        <v>8</v>
      </c>
      <c r="I1677" s="2">
        <v>0</v>
      </c>
      <c r="J1677" s="2">
        <v>0</v>
      </c>
      <c r="K1677" s="2">
        <v>1</v>
      </c>
      <c r="L1677" s="2">
        <v>0</v>
      </c>
      <c r="M1677">
        <v>0</v>
      </c>
      <c r="N1677">
        <v>0</v>
      </c>
      <c r="O1677" s="2">
        <v>0</v>
      </c>
      <c r="P1677" s="2">
        <v>0</v>
      </c>
      <c r="Q1677">
        <v>0</v>
      </c>
      <c r="R1677" s="2">
        <v>0</v>
      </c>
      <c r="S1677" s="2">
        <v>0</v>
      </c>
      <c r="T1677" t="s">
        <v>924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</row>
    <row r="1678" spans="1:28" hidden="1" x14ac:dyDescent="0.25">
      <c r="A1678" t="s">
        <v>568</v>
      </c>
      <c r="B1678" t="s">
        <v>21</v>
      </c>
      <c r="C1678" t="s">
        <v>670</v>
      </c>
      <c r="D1678" s="1">
        <v>45950</v>
      </c>
      <c r="E1678" s="1">
        <v>45950</v>
      </c>
      <c r="F1678" s="2">
        <v>132</v>
      </c>
      <c r="G1678" s="3" t="s">
        <v>23</v>
      </c>
      <c r="H1678">
        <v>2</v>
      </c>
      <c r="I1678" s="2">
        <v>0</v>
      </c>
      <c r="J1678" s="2">
        <v>0</v>
      </c>
      <c r="K1678" s="2">
        <v>0</v>
      </c>
      <c r="L1678" s="2">
        <v>0</v>
      </c>
      <c r="M1678">
        <v>0</v>
      </c>
      <c r="N1678">
        <v>0</v>
      </c>
      <c r="O1678" s="2">
        <v>0</v>
      </c>
      <c r="P1678" s="2">
        <v>0</v>
      </c>
      <c r="Q1678">
        <v>0</v>
      </c>
      <c r="R1678" s="2">
        <v>0</v>
      </c>
      <c r="S1678" s="2">
        <v>0</v>
      </c>
      <c r="T1678" t="s">
        <v>918</v>
      </c>
      <c r="U1678" s="2">
        <v>0</v>
      </c>
      <c r="V1678" s="2">
        <v>21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</row>
    <row r="1679" spans="1:28" hidden="1" x14ac:dyDescent="0.25">
      <c r="A1679" t="s">
        <v>33</v>
      </c>
      <c r="B1679" t="s">
        <v>34</v>
      </c>
      <c r="C1679" t="s">
        <v>35</v>
      </c>
      <c r="D1679" s="1">
        <v>45950</v>
      </c>
      <c r="E1679" s="1">
        <v>45950</v>
      </c>
      <c r="F1679" s="2">
        <v>21</v>
      </c>
      <c r="G1679" s="3" t="s">
        <v>23</v>
      </c>
      <c r="H1679">
        <v>10</v>
      </c>
      <c r="I1679" s="2">
        <v>0</v>
      </c>
      <c r="J1679" s="2">
        <v>0</v>
      </c>
      <c r="K1679" s="2">
        <v>0</v>
      </c>
      <c r="L1679" s="2">
        <v>0</v>
      </c>
      <c r="M1679">
        <v>0</v>
      </c>
      <c r="N1679">
        <v>0</v>
      </c>
      <c r="O1679" s="2">
        <v>0</v>
      </c>
      <c r="P1679" s="2">
        <v>0</v>
      </c>
      <c r="Q1679">
        <v>0</v>
      </c>
      <c r="R1679" s="2">
        <v>0</v>
      </c>
      <c r="S1679" s="2">
        <v>0</v>
      </c>
      <c r="T1679" t="s">
        <v>919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</row>
    <row r="1680" spans="1:28" hidden="1" x14ac:dyDescent="0.25">
      <c r="A1680" t="s">
        <v>37</v>
      </c>
      <c r="B1680" t="s">
        <v>57</v>
      </c>
      <c r="C1680" t="s">
        <v>39</v>
      </c>
      <c r="D1680" s="1">
        <v>45950</v>
      </c>
      <c r="E1680" s="1">
        <v>45950</v>
      </c>
      <c r="F1680" s="2">
        <v>20</v>
      </c>
      <c r="G1680" s="3" t="s">
        <v>23</v>
      </c>
      <c r="H1680">
        <v>0</v>
      </c>
      <c r="I1680" s="2">
        <v>0</v>
      </c>
      <c r="J1680" s="2">
        <v>0</v>
      </c>
      <c r="K1680" s="2">
        <v>0</v>
      </c>
      <c r="L1680" s="2">
        <v>0</v>
      </c>
      <c r="M1680">
        <v>0</v>
      </c>
      <c r="N1680">
        <v>0</v>
      </c>
      <c r="O1680" s="2">
        <v>0</v>
      </c>
      <c r="P1680" s="2">
        <v>0</v>
      </c>
      <c r="Q1680">
        <v>0</v>
      </c>
      <c r="R1680" s="2">
        <v>0</v>
      </c>
      <c r="S1680" s="2">
        <v>0</v>
      </c>
      <c r="T1680" t="s">
        <v>920</v>
      </c>
      <c r="U1680" s="2">
        <v>0</v>
      </c>
      <c r="V1680" s="2">
        <v>36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</row>
    <row r="1681" spans="1:28" hidden="1" x14ac:dyDescent="0.25">
      <c r="A1681" t="s">
        <v>47</v>
      </c>
      <c r="B1681" t="s">
        <v>52</v>
      </c>
      <c r="C1681" t="s">
        <v>212</v>
      </c>
      <c r="D1681" s="1">
        <v>45950</v>
      </c>
      <c r="E1681" s="1">
        <v>45950</v>
      </c>
      <c r="F1681" s="2">
        <v>0</v>
      </c>
      <c r="G1681" s="3" t="s">
        <v>572</v>
      </c>
      <c r="H1681">
        <v>0</v>
      </c>
      <c r="I1681" s="2">
        <v>0</v>
      </c>
      <c r="J1681" s="2">
        <v>0</v>
      </c>
      <c r="K1681" s="2">
        <v>0</v>
      </c>
      <c r="L1681" s="2">
        <v>0</v>
      </c>
      <c r="M1681">
        <v>0</v>
      </c>
      <c r="N1681">
        <v>0</v>
      </c>
      <c r="O1681" s="2">
        <v>0</v>
      </c>
      <c r="P1681" s="2">
        <v>0</v>
      </c>
      <c r="Q1681">
        <v>0</v>
      </c>
      <c r="R1681" s="2">
        <v>0</v>
      </c>
      <c r="S1681" s="2">
        <v>0</v>
      </c>
      <c r="T1681" t="s">
        <v>377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</row>
    <row r="1682" spans="1:28" hidden="1" x14ac:dyDescent="0.25">
      <c r="A1682" t="s">
        <v>56</v>
      </c>
      <c r="B1682" t="s">
        <v>47</v>
      </c>
      <c r="C1682" t="s">
        <v>64</v>
      </c>
      <c r="D1682" s="1">
        <v>45951</v>
      </c>
      <c r="E1682" s="1">
        <v>45951</v>
      </c>
      <c r="F1682" s="2">
        <v>56</v>
      </c>
      <c r="G1682" s="3" t="s">
        <v>23</v>
      </c>
      <c r="H1682">
        <v>36</v>
      </c>
      <c r="I1682" s="2">
        <v>0</v>
      </c>
      <c r="J1682" s="2">
        <v>0</v>
      </c>
      <c r="K1682" s="2">
        <v>1</v>
      </c>
      <c r="L1682" s="2">
        <v>0</v>
      </c>
      <c r="M1682">
        <v>0</v>
      </c>
      <c r="N1682">
        <v>0</v>
      </c>
      <c r="O1682" s="2">
        <v>0</v>
      </c>
      <c r="P1682" s="2">
        <v>0</v>
      </c>
      <c r="Q1682">
        <v>0</v>
      </c>
      <c r="R1682" s="2">
        <v>0</v>
      </c>
      <c r="S1682" s="2">
        <v>0</v>
      </c>
      <c r="T1682" t="s">
        <v>921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</row>
    <row r="1683" spans="1:28" hidden="1" x14ac:dyDescent="0.25">
      <c r="A1683" t="s">
        <v>730</v>
      </c>
      <c r="B1683" t="s">
        <v>47</v>
      </c>
      <c r="C1683" t="s">
        <v>64</v>
      </c>
      <c r="D1683" s="1">
        <v>45951</v>
      </c>
      <c r="E1683" s="1">
        <v>45951</v>
      </c>
      <c r="F1683" s="2">
        <v>56</v>
      </c>
      <c r="G1683" s="3" t="s">
        <v>23</v>
      </c>
      <c r="H1683">
        <v>36</v>
      </c>
      <c r="I1683" s="2">
        <v>0</v>
      </c>
      <c r="J1683" s="2">
        <v>0</v>
      </c>
      <c r="K1683" s="2">
        <v>1</v>
      </c>
      <c r="L1683" s="2">
        <v>0</v>
      </c>
      <c r="M1683">
        <v>0</v>
      </c>
      <c r="N1683">
        <v>0</v>
      </c>
      <c r="O1683" s="2">
        <v>0</v>
      </c>
      <c r="P1683" s="2">
        <v>0</v>
      </c>
      <c r="Q1683">
        <v>0</v>
      </c>
      <c r="R1683" s="2">
        <v>0</v>
      </c>
      <c r="S1683" s="2">
        <v>0</v>
      </c>
      <c r="T1683" t="s">
        <v>921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</row>
    <row r="1684" spans="1:28" hidden="1" x14ac:dyDescent="0.25">
      <c r="A1684" t="s">
        <v>20</v>
      </c>
      <c r="B1684" t="s">
        <v>21</v>
      </c>
      <c r="C1684" t="s">
        <v>22</v>
      </c>
      <c r="D1684" s="1">
        <v>45951</v>
      </c>
      <c r="E1684" s="1">
        <v>45951</v>
      </c>
      <c r="F1684" s="2">
        <v>42</v>
      </c>
      <c r="G1684" s="3" t="s">
        <v>23</v>
      </c>
      <c r="H1684">
        <f>28+1+6+2+2+1</f>
        <v>40</v>
      </c>
      <c r="I1684" s="2">
        <v>0</v>
      </c>
      <c r="J1684" s="2">
        <v>0</v>
      </c>
      <c r="K1684" s="2">
        <v>0</v>
      </c>
      <c r="L1684" s="2">
        <v>1</v>
      </c>
      <c r="M1684">
        <v>1</v>
      </c>
      <c r="N1684">
        <v>0</v>
      </c>
      <c r="O1684" s="2">
        <v>0</v>
      </c>
      <c r="P1684" s="2">
        <v>0</v>
      </c>
      <c r="Q1684">
        <v>0</v>
      </c>
      <c r="R1684" s="2">
        <v>0</v>
      </c>
      <c r="S1684" s="2">
        <v>0</v>
      </c>
      <c r="T1684" t="s">
        <v>922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</row>
    <row r="1685" spans="1:28" hidden="1" x14ac:dyDescent="0.25">
      <c r="A1685" t="s">
        <v>25</v>
      </c>
      <c r="B1685" t="s">
        <v>26</v>
      </c>
      <c r="C1685" t="s">
        <v>27</v>
      </c>
      <c r="D1685" s="1">
        <v>45951</v>
      </c>
      <c r="E1685" s="1">
        <v>45951</v>
      </c>
      <c r="F1685" s="2">
        <v>23</v>
      </c>
      <c r="G1685" s="3" t="s">
        <v>23</v>
      </c>
      <c r="H1685">
        <v>16</v>
      </c>
      <c r="I1685" s="2">
        <v>0</v>
      </c>
      <c r="J1685" s="2">
        <v>0</v>
      </c>
      <c r="K1685" s="2">
        <v>1</v>
      </c>
      <c r="L1685" s="2">
        <v>0</v>
      </c>
      <c r="M1685">
        <v>0</v>
      </c>
      <c r="N1685">
        <v>0</v>
      </c>
      <c r="O1685" s="2">
        <v>0</v>
      </c>
      <c r="P1685" s="2">
        <v>0</v>
      </c>
      <c r="Q1685">
        <v>0</v>
      </c>
      <c r="R1685" s="2">
        <v>0</v>
      </c>
      <c r="S1685" s="2">
        <v>0</v>
      </c>
      <c r="T1685" t="s">
        <v>923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</row>
    <row r="1686" spans="1:28" hidden="1" x14ac:dyDescent="0.25">
      <c r="A1686" t="s">
        <v>568</v>
      </c>
      <c r="B1686" t="s">
        <v>38</v>
      </c>
      <c r="C1686" t="s">
        <v>670</v>
      </c>
      <c r="D1686" s="1">
        <v>45951</v>
      </c>
      <c r="E1686" s="1">
        <v>45951</v>
      </c>
      <c r="F1686" s="2">
        <v>65</v>
      </c>
      <c r="G1686" s="3" t="s">
        <v>23</v>
      </c>
      <c r="H1686">
        <v>10</v>
      </c>
      <c r="I1686" s="2">
        <v>0</v>
      </c>
      <c r="J1686" s="2">
        <v>0</v>
      </c>
      <c r="K1686" s="2">
        <v>0</v>
      </c>
      <c r="L1686" s="2">
        <v>0</v>
      </c>
      <c r="M1686">
        <v>0</v>
      </c>
      <c r="N1686">
        <v>0</v>
      </c>
      <c r="O1686" s="2">
        <v>0</v>
      </c>
      <c r="P1686" s="2">
        <v>0</v>
      </c>
      <c r="Q1686">
        <v>0</v>
      </c>
      <c r="R1686" s="2">
        <v>0</v>
      </c>
      <c r="S1686" s="2">
        <v>0</v>
      </c>
      <c r="T1686" t="s">
        <v>924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</row>
    <row r="1687" spans="1:28" hidden="1" x14ac:dyDescent="0.25">
      <c r="A1687" t="s">
        <v>37</v>
      </c>
      <c r="B1687" t="s">
        <v>57</v>
      </c>
      <c r="C1687" t="s">
        <v>670</v>
      </c>
      <c r="D1687" s="1">
        <v>45951</v>
      </c>
      <c r="E1687" s="1">
        <v>45951</v>
      </c>
      <c r="F1687" s="2">
        <v>65</v>
      </c>
      <c r="G1687" s="3" t="s">
        <v>23</v>
      </c>
      <c r="H1687">
        <v>14</v>
      </c>
      <c r="I1687" s="2">
        <v>0</v>
      </c>
      <c r="J1687" s="2">
        <v>0</v>
      </c>
      <c r="K1687" s="2">
        <v>1</v>
      </c>
      <c r="L1687" s="2">
        <v>0</v>
      </c>
      <c r="M1687">
        <v>0</v>
      </c>
      <c r="N1687">
        <v>0</v>
      </c>
      <c r="O1687" s="2">
        <v>0</v>
      </c>
      <c r="P1687" s="2">
        <v>0</v>
      </c>
      <c r="Q1687">
        <v>0</v>
      </c>
      <c r="R1687" s="2">
        <v>0</v>
      </c>
      <c r="S1687" s="2">
        <v>0</v>
      </c>
      <c r="T1687" t="s">
        <v>924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</row>
    <row r="1688" spans="1:28" hidden="1" x14ac:dyDescent="0.25">
      <c r="A1688" t="s">
        <v>53</v>
      </c>
      <c r="B1688" t="s">
        <v>38</v>
      </c>
      <c r="C1688" t="s">
        <v>670</v>
      </c>
      <c r="D1688" s="1">
        <v>45951</v>
      </c>
      <c r="E1688" s="1">
        <v>45951</v>
      </c>
      <c r="F1688" s="2">
        <v>65</v>
      </c>
      <c r="G1688" s="3" t="s">
        <v>23</v>
      </c>
      <c r="H1688">
        <v>36</v>
      </c>
      <c r="I1688" s="2">
        <v>0</v>
      </c>
      <c r="J1688" s="2">
        <v>0</v>
      </c>
      <c r="K1688" s="2">
        <v>1</v>
      </c>
      <c r="L1688" s="2">
        <v>0</v>
      </c>
      <c r="M1688">
        <v>0</v>
      </c>
      <c r="N1688">
        <v>0</v>
      </c>
      <c r="O1688" s="2">
        <v>0</v>
      </c>
      <c r="P1688" s="2">
        <v>0</v>
      </c>
      <c r="Q1688">
        <v>0</v>
      </c>
      <c r="R1688" s="2">
        <v>0</v>
      </c>
      <c r="S1688" s="2">
        <v>0</v>
      </c>
      <c r="T1688" t="s">
        <v>924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</row>
    <row r="1689" spans="1:28" hidden="1" x14ac:dyDescent="0.25">
      <c r="A1689" t="s">
        <v>47</v>
      </c>
      <c r="B1689" t="s">
        <v>38</v>
      </c>
      <c r="C1689" t="s">
        <v>670</v>
      </c>
      <c r="D1689" s="1">
        <v>45951</v>
      </c>
      <c r="E1689" s="1">
        <v>45951</v>
      </c>
      <c r="F1689" s="2">
        <v>65</v>
      </c>
      <c r="G1689" s="3" t="s">
        <v>23</v>
      </c>
      <c r="H1689">
        <f>10+36</f>
        <v>46</v>
      </c>
      <c r="I1689" s="2">
        <v>0</v>
      </c>
      <c r="J1689" s="2">
        <v>0</v>
      </c>
      <c r="K1689" s="2">
        <v>1</v>
      </c>
      <c r="L1689" s="2">
        <v>0</v>
      </c>
      <c r="M1689">
        <v>0</v>
      </c>
      <c r="N1689">
        <v>0</v>
      </c>
      <c r="O1689" s="2">
        <v>0</v>
      </c>
      <c r="P1689" s="2">
        <v>0</v>
      </c>
      <c r="Q1689">
        <v>0</v>
      </c>
      <c r="R1689" s="2">
        <v>0</v>
      </c>
      <c r="S1689" s="2">
        <v>0</v>
      </c>
      <c r="T1689" t="s">
        <v>924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</row>
    <row r="1690" spans="1:28" hidden="1" x14ac:dyDescent="0.25">
      <c r="A1690" t="s">
        <v>29</v>
      </c>
      <c r="B1690" t="s">
        <v>30</v>
      </c>
      <c r="C1690" t="s">
        <v>212</v>
      </c>
      <c r="D1690" s="1">
        <v>45951</v>
      </c>
      <c r="E1690" s="1">
        <v>45951</v>
      </c>
      <c r="F1690" s="2">
        <v>0</v>
      </c>
      <c r="G1690" s="3" t="s">
        <v>48</v>
      </c>
      <c r="H1690">
        <v>0</v>
      </c>
      <c r="I1690" s="2">
        <v>0</v>
      </c>
      <c r="J1690" s="2">
        <v>0</v>
      </c>
      <c r="K1690" s="2">
        <v>0</v>
      </c>
      <c r="L1690" s="2">
        <v>0</v>
      </c>
      <c r="M1690">
        <v>0</v>
      </c>
      <c r="N1690">
        <v>0</v>
      </c>
      <c r="O1690" s="2">
        <v>0</v>
      </c>
      <c r="P1690" s="2">
        <v>0</v>
      </c>
      <c r="Q1690">
        <v>0</v>
      </c>
      <c r="R1690" s="2">
        <v>0</v>
      </c>
      <c r="S1690" s="2">
        <v>0</v>
      </c>
      <c r="T1690" t="s">
        <v>377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</row>
    <row r="1691" spans="1:28" hidden="1" x14ac:dyDescent="0.25">
      <c r="A1691" t="s">
        <v>33</v>
      </c>
      <c r="B1691" t="s">
        <v>34</v>
      </c>
      <c r="C1691" t="s">
        <v>212</v>
      </c>
      <c r="D1691" s="1">
        <v>45951</v>
      </c>
      <c r="E1691" s="1">
        <v>45951</v>
      </c>
      <c r="F1691" s="2">
        <v>0</v>
      </c>
      <c r="G1691" s="3" t="s">
        <v>48</v>
      </c>
      <c r="H1691">
        <v>0</v>
      </c>
      <c r="I1691" s="2">
        <v>0</v>
      </c>
      <c r="J1691" s="2">
        <v>0</v>
      </c>
      <c r="K1691" s="2">
        <v>0</v>
      </c>
      <c r="L1691" s="2">
        <v>0</v>
      </c>
      <c r="M1691">
        <v>0</v>
      </c>
      <c r="N1691">
        <v>0</v>
      </c>
      <c r="O1691" s="2">
        <v>0</v>
      </c>
      <c r="P1691" s="2">
        <v>0</v>
      </c>
      <c r="Q1691">
        <v>0</v>
      </c>
      <c r="R1691" s="2">
        <v>0</v>
      </c>
      <c r="S1691" s="2">
        <v>0</v>
      </c>
      <c r="T1691" t="s">
        <v>377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</row>
    <row r="1692" spans="1:28" hidden="1" x14ac:dyDescent="0.25">
      <c r="A1692" t="s">
        <v>47</v>
      </c>
      <c r="B1692" t="s">
        <v>52</v>
      </c>
      <c r="C1692" t="s">
        <v>212</v>
      </c>
      <c r="D1692" s="1">
        <v>45951</v>
      </c>
      <c r="E1692" s="1">
        <v>45951</v>
      </c>
      <c r="F1692" s="2">
        <v>0</v>
      </c>
      <c r="G1692" s="3" t="s">
        <v>572</v>
      </c>
      <c r="H1692">
        <v>0</v>
      </c>
      <c r="I1692" s="2">
        <v>0</v>
      </c>
      <c r="J1692" s="2">
        <v>0</v>
      </c>
      <c r="K1692" s="2">
        <v>0</v>
      </c>
      <c r="L1692" s="2">
        <v>0</v>
      </c>
      <c r="M1692">
        <v>0</v>
      </c>
      <c r="N1692">
        <v>0</v>
      </c>
      <c r="O1692" s="2">
        <v>0</v>
      </c>
      <c r="P1692" s="2">
        <v>0</v>
      </c>
      <c r="Q1692">
        <v>0</v>
      </c>
      <c r="R1692" s="2">
        <v>0</v>
      </c>
      <c r="S1692" s="2">
        <v>0</v>
      </c>
      <c r="T1692" t="s">
        <v>377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</row>
    <row r="1693" spans="1:28" hidden="1" x14ac:dyDescent="0.25">
      <c r="A1693" t="s">
        <v>20</v>
      </c>
      <c r="B1693" t="s">
        <v>21</v>
      </c>
      <c r="C1693" t="s">
        <v>22</v>
      </c>
      <c r="D1693" s="1">
        <v>45952</v>
      </c>
      <c r="E1693" s="1">
        <v>45952</v>
      </c>
      <c r="F1693" s="2">
        <v>41</v>
      </c>
      <c r="G1693" s="3" t="s">
        <v>23</v>
      </c>
      <c r="H1693">
        <v>40</v>
      </c>
      <c r="I1693" s="2">
        <v>0</v>
      </c>
      <c r="J1693" s="2">
        <v>0</v>
      </c>
      <c r="K1693" s="2">
        <v>1</v>
      </c>
      <c r="L1693" s="2">
        <v>0</v>
      </c>
      <c r="M1693">
        <v>0</v>
      </c>
      <c r="N1693">
        <v>0</v>
      </c>
      <c r="O1693" s="2">
        <v>0</v>
      </c>
      <c r="P1693" s="2">
        <v>0</v>
      </c>
      <c r="Q1693">
        <v>1</v>
      </c>
      <c r="R1693" s="2">
        <v>0</v>
      </c>
      <c r="S1693" s="2">
        <v>0</v>
      </c>
      <c r="T1693" t="s">
        <v>925</v>
      </c>
      <c r="U1693" s="2">
        <v>0</v>
      </c>
      <c r="V1693" s="2">
        <v>47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</row>
    <row r="1694" spans="1:28" hidden="1" x14ac:dyDescent="0.25">
      <c r="A1694" t="s">
        <v>25</v>
      </c>
      <c r="B1694" t="s">
        <v>26</v>
      </c>
      <c r="C1694" t="s">
        <v>27</v>
      </c>
      <c r="D1694" s="1">
        <v>45952</v>
      </c>
      <c r="E1694" s="1">
        <v>45952</v>
      </c>
      <c r="F1694" s="2">
        <v>21</v>
      </c>
      <c r="G1694" s="3" t="s">
        <v>23</v>
      </c>
      <c r="H1694">
        <f>12+10+2</f>
        <v>24</v>
      </c>
      <c r="I1694" s="2">
        <v>0</v>
      </c>
      <c r="J1694" s="2">
        <v>0</v>
      </c>
      <c r="K1694" s="2">
        <v>1</v>
      </c>
      <c r="L1694" s="2">
        <v>0</v>
      </c>
      <c r="M1694">
        <v>1</v>
      </c>
      <c r="N1694">
        <v>0</v>
      </c>
      <c r="O1694" s="2">
        <v>0</v>
      </c>
      <c r="P1694" s="2">
        <v>0</v>
      </c>
      <c r="Q1694">
        <v>0</v>
      </c>
      <c r="R1694" s="2">
        <v>0</v>
      </c>
      <c r="S1694" s="2">
        <v>0</v>
      </c>
      <c r="T1694" t="s">
        <v>926</v>
      </c>
      <c r="U1694" s="2">
        <v>0</v>
      </c>
      <c r="V1694" s="2">
        <v>34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</row>
    <row r="1695" spans="1:28" hidden="1" x14ac:dyDescent="0.25">
      <c r="A1695" t="s">
        <v>29</v>
      </c>
      <c r="B1695" t="s">
        <v>30</v>
      </c>
      <c r="C1695" t="s">
        <v>31</v>
      </c>
      <c r="D1695" s="1">
        <v>45952</v>
      </c>
      <c r="E1695" s="1">
        <v>45952</v>
      </c>
      <c r="F1695" s="2">
        <v>35</v>
      </c>
      <c r="G1695" s="3" t="s">
        <v>23</v>
      </c>
      <c r="H1695">
        <f>12</f>
        <v>12</v>
      </c>
      <c r="I1695" s="2">
        <v>0</v>
      </c>
      <c r="J1695" s="2">
        <v>0</v>
      </c>
      <c r="K1695" s="2">
        <v>0</v>
      </c>
      <c r="L1695" s="2">
        <v>1</v>
      </c>
      <c r="M1695">
        <v>0</v>
      </c>
      <c r="N1695">
        <v>0</v>
      </c>
      <c r="O1695" s="2">
        <v>0</v>
      </c>
      <c r="P1695" s="2">
        <v>0</v>
      </c>
      <c r="Q1695">
        <v>0</v>
      </c>
      <c r="R1695" s="2">
        <v>0</v>
      </c>
      <c r="S1695" s="2">
        <v>0</v>
      </c>
      <c r="T1695" t="s">
        <v>927</v>
      </c>
      <c r="U1695" s="2">
        <v>0</v>
      </c>
      <c r="V1695" s="2">
        <v>55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</row>
    <row r="1696" spans="1:28" hidden="1" x14ac:dyDescent="0.25">
      <c r="A1696" t="s">
        <v>568</v>
      </c>
      <c r="B1696" t="s">
        <v>47</v>
      </c>
      <c r="C1696" t="s">
        <v>670</v>
      </c>
      <c r="D1696" s="1">
        <v>45952</v>
      </c>
      <c r="E1696" s="1">
        <v>45952</v>
      </c>
      <c r="F1696" s="2">
        <v>44</v>
      </c>
      <c r="G1696" s="3" t="s">
        <v>23</v>
      </c>
      <c r="H1696">
        <f>24</f>
        <v>24</v>
      </c>
      <c r="I1696" s="2">
        <v>0</v>
      </c>
      <c r="J1696" s="2">
        <v>0</v>
      </c>
      <c r="K1696" s="2">
        <v>1</v>
      </c>
      <c r="L1696" s="2">
        <v>0</v>
      </c>
      <c r="M1696">
        <v>0</v>
      </c>
      <c r="N1696">
        <v>0</v>
      </c>
      <c r="O1696" s="2">
        <v>0</v>
      </c>
      <c r="P1696" s="2">
        <v>0</v>
      </c>
      <c r="Q1696">
        <v>1</v>
      </c>
      <c r="R1696" s="2">
        <v>0</v>
      </c>
      <c r="S1696" s="2">
        <v>0</v>
      </c>
      <c r="T1696" t="s">
        <v>928</v>
      </c>
      <c r="U1696" s="2">
        <v>0</v>
      </c>
      <c r="V1696" s="2">
        <v>41</v>
      </c>
      <c r="W1696" s="2">
        <v>10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</row>
    <row r="1697" spans="1:28" hidden="1" x14ac:dyDescent="0.25">
      <c r="A1697" t="s">
        <v>730</v>
      </c>
      <c r="B1697" t="s">
        <v>47</v>
      </c>
      <c r="C1697" t="s">
        <v>670</v>
      </c>
      <c r="D1697" s="1">
        <v>45952</v>
      </c>
      <c r="E1697" s="1">
        <v>45952</v>
      </c>
      <c r="F1697" s="2">
        <v>44</v>
      </c>
      <c r="G1697" s="3" t="s">
        <v>23</v>
      </c>
      <c r="H1697">
        <f>24</f>
        <v>24</v>
      </c>
      <c r="I1697" s="2">
        <v>0</v>
      </c>
      <c r="J1697" s="2">
        <v>0</v>
      </c>
      <c r="K1697" s="2">
        <v>1</v>
      </c>
      <c r="L1697" s="2">
        <v>0</v>
      </c>
      <c r="M1697">
        <v>0</v>
      </c>
      <c r="N1697">
        <v>0</v>
      </c>
      <c r="O1697" s="2">
        <v>0</v>
      </c>
      <c r="P1697" s="2">
        <v>0</v>
      </c>
      <c r="Q1697">
        <v>1</v>
      </c>
      <c r="R1697" s="2">
        <v>0</v>
      </c>
      <c r="S1697" s="2">
        <v>0</v>
      </c>
      <c r="T1697" t="s">
        <v>928</v>
      </c>
      <c r="U1697" s="2">
        <v>0</v>
      </c>
      <c r="V1697" s="2">
        <v>41</v>
      </c>
      <c r="W1697" s="2">
        <v>10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</row>
    <row r="1698" spans="1:28" hidden="1" x14ac:dyDescent="0.25">
      <c r="A1698" t="s">
        <v>33</v>
      </c>
      <c r="B1698" t="s">
        <v>34</v>
      </c>
      <c r="C1698" t="s">
        <v>35</v>
      </c>
      <c r="D1698" s="1">
        <v>45952</v>
      </c>
      <c r="E1698" s="1">
        <v>45952</v>
      </c>
      <c r="F1698" s="2">
        <v>30</v>
      </c>
      <c r="G1698" s="3" t="s">
        <v>23</v>
      </c>
      <c r="H1698">
        <f>42+6</f>
        <v>48</v>
      </c>
      <c r="I1698" s="2">
        <v>0</v>
      </c>
      <c r="J1698" s="2">
        <v>0</v>
      </c>
      <c r="K1698" s="2">
        <v>1</v>
      </c>
      <c r="L1698" s="2">
        <v>0</v>
      </c>
      <c r="M1698">
        <v>0</v>
      </c>
      <c r="N1698">
        <v>0</v>
      </c>
      <c r="O1698" s="2">
        <v>0</v>
      </c>
      <c r="P1698" s="2">
        <v>0</v>
      </c>
      <c r="Q1698">
        <v>0</v>
      </c>
      <c r="R1698" s="2">
        <v>0</v>
      </c>
      <c r="S1698" s="2">
        <v>0</v>
      </c>
      <c r="T1698" t="s">
        <v>929</v>
      </c>
      <c r="U1698" s="2">
        <v>0</v>
      </c>
      <c r="V1698" s="2">
        <v>24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</row>
    <row r="1699" spans="1:28" hidden="1" x14ac:dyDescent="0.25">
      <c r="A1699" t="s">
        <v>53</v>
      </c>
      <c r="B1699" t="s">
        <v>38</v>
      </c>
      <c r="C1699" t="s">
        <v>212</v>
      </c>
      <c r="D1699" s="1">
        <v>45952</v>
      </c>
      <c r="E1699" s="1">
        <v>45952</v>
      </c>
      <c r="F1699" s="2">
        <v>0</v>
      </c>
      <c r="G1699" s="3" t="s">
        <v>23</v>
      </c>
      <c r="H1699">
        <v>6</v>
      </c>
      <c r="I1699" s="2">
        <v>0</v>
      </c>
      <c r="J1699" s="2">
        <v>0</v>
      </c>
      <c r="K1699" s="2">
        <v>0</v>
      </c>
      <c r="L1699" s="2">
        <v>0</v>
      </c>
      <c r="M1699">
        <v>0</v>
      </c>
      <c r="N1699">
        <v>0</v>
      </c>
      <c r="O1699" s="2">
        <v>0</v>
      </c>
      <c r="P1699" s="2">
        <v>0</v>
      </c>
      <c r="Q1699">
        <v>0</v>
      </c>
      <c r="R1699" s="2">
        <v>0</v>
      </c>
      <c r="S1699" s="2">
        <v>0</v>
      </c>
      <c r="T1699" t="s">
        <v>377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</row>
    <row r="1700" spans="1:28" hidden="1" x14ac:dyDescent="0.25">
      <c r="A1700" t="s">
        <v>37</v>
      </c>
      <c r="B1700" t="s">
        <v>57</v>
      </c>
      <c r="C1700" t="s">
        <v>212</v>
      </c>
      <c r="D1700" s="1">
        <v>45952</v>
      </c>
      <c r="E1700" s="1">
        <v>45952</v>
      </c>
      <c r="F1700" s="2">
        <v>0</v>
      </c>
      <c r="G1700" s="3" t="s">
        <v>48</v>
      </c>
      <c r="H1700">
        <v>0</v>
      </c>
      <c r="I1700" s="2">
        <v>0</v>
      </c>
      <c r="J1700" s="2">
        <v>0</v>
      </c>
      <c r="K1700" s="2">
        <v>0</v>
      </c>
      <c r="L1700" s="2">
        <v>0</v>
      </c>
      <c r="M1700">
        <v>0</v>
      </c>
      <c r="N1700">
        <v>0</v>
      </c>
      <c r="O1700" s="2">
        <v>0</v>
      </c>
      <c r="P1700" s="2">
        <v>0</v>
      </c>
      <c r="Q1700">
        <v>0</v>
      </c>
      <c r="R1700" s="2">
        <v>0</v>
      </c>
      <c r="S1700" s="2">
        <v>0</v>
      </c>
      <c r="T1700" t="s">
        <v>377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</row>
    <row r="1701" spans="1:28" hidden="1" x14ac:dyDescent="0.25">
      <c r="A1701" t="s">
        <v>56</v>
      </c>
      <c r="B1701" t="s">
        <v>47</v>
      </c>
      <c r="C1701" t="s">
        <v>212</v>
      </c>
      <c r="D1701" s="1">
        <v>45952</v>
      </c>
      <c r="E1701" s="1">
        <v>45952</v>
      </c>
      <c r="F1701" s="2">
        <v>0</v>
      </c>
      <c r="G1701" s="3" t="s">
        <v>48</v>
      </c>
      <c r="H1701">
        <v>0</v>
      </c>
      <c r="I1701" s="2">
        <v>0</v>
      </c>
      <c r="J1701" s="2">
        <v>0</v>
      </c>
      <c r="K1701" s="2">
        <v>0</v>
      </c>
      <c r="L1701" s="2">
        <v>0</v>
      </c>
      <c r="M1701">
        <v>0</v>
      </c>
      <c r="N1701">
        <v>0</v>
      </c>
      <c r="O1701" s="2">
        <v>0</v>
      </c>
      <c r="P1701" s="2">
        <v>0</v>
      </c>
      <c r="Q1701">
        <v>0</v>
      </c>
      <c r="R1701" s="2">
        <v>0</v>
      </c>
      <c r="S1701" s="2">
        <v>0</v>
      </c>
      <c r="T1701" t="s">
        <v>377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</row>
    <row r="1702" spans="1:28" hidden="1" x14ac:dyDescent="0.25">
      <c r="A1702" t="s">
        <v>47</v>
      </c>
      <c r="B1702" t="s">
        <v>52</v>
      </c>
      <c r="C1702" t="s">
        <v>212</v>
      </c>
      <c r="D1702" s="1">
        <v>45952</v>
      </c>
      <c r="E1702" s="1">
        <v>45952</v>
      </c>
      <c r="F1702" s="2">
        <v>0</v>
      </c>
      <c r="G1702" s="3" t="s">
        <v>572</v>
      </c>
      <c r="H1702">
        <v>0</v>
      </c>
      <c r="I1702" s="2">
        <v>0</v>
      </c>
      <c r="J1702" s="2">
        <v>0</v>
      </c>
      <c r="K1702" s="2">
        <v>0</v>
      </c>
      <c r="L1702" s="2">
        <v>0</v>
      </c>
      <c r="M1702">
        <v>0</v>
      </c>
      <c r="N1702">
        <v>0</v>
      </c>
      <c r="O1702" s="2">
        <v>0</v>
      </c>
      <c r="P1702" s="2">
        <v>0</v>
      </c>
      <c r="Q1702">
        <v>0</v>
      </c>
      <c r="R1702" s="2">
        <v>0</v>
      </c>
      <c r="S1702" s="2">
        <v>0</v>
      </c>
      <c r="T1702" t="s">
        <v>377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</row>
    <row r="1703" spans="1:28" hidden="1" x14ac:dyDescent="0.25">
      <c r="A1703" t="s">
        <v>56</v>
      </c>
      <c r="B1703" t="s">
        <v>47</v>
      </c>
      <c r="C1703" t="s">
        <v>64</v>
      </c>
      <c r="D1703" s="1">
        <v>45953</v>
      </c>
      <c r="E1703" s="1">
        <v>45953</v>
      </c>
      <c r="F1703" s="2">
        <v>34</v>
      </c>
      <c r="G1703" s="3" t="s">
        <v>23</v>
      </c>
      <c r="H1703">
        <f>40</f>
        <v>40</v>
      </c>
      <c r="I1703" s="2">
        <v>0</v>
      </c>
      <c r="J1703" s="2">
        <v>0</v>
      </c>
      <c r="K1703" s="2">
        <v>1</v>
      </c>
      <c r="L1703" s="2">
        <v>0</v>
      </c>
      <c r="M1703">
        <v>0</v>
      </c>
      <c r="N1703">
        <v>1</v>
      </c>
      <c r="O1703" s="2">
        <v>0</v>
      </c>
      <c r="P1703" s="2">
        <v>0</v>
      </c>
      <c r="Q1703">
        <v>0</v>
      </c>
      <c r="R1703" s="2">
        <v>0</v>
      </c>
      <c r="S1703" s="2">
        <v>0</v>
      </c>
      <c r="T1703" t="s">
        <v>930</v>
      </c>
      <c r="U1703" s="2">
        <v>0</v>
      </c>
      <c r="V1703" s="2">
        <v>12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</row>
    <row r="1704" spans="1:28" hidden="1" x14ac:dyDescent="0.25">
      <c r="A1704" t="s">
        <v>730</v>
      </c>
      <c r="B1704" t="s">
        <v>47</v>
      </c>
      <c r="C1704" t="s">
        <v>64</v>
      </c>
      <c r="D1704" s="1">
        <v>45953</v>
      </c>
      <c r="E1704" s="1">
        <v>45953</v>
      </c>
      <c r="F1704" s="2">
        <v>34</v>
      </c>
      <c r="G1704" s="3" t="s">
        <v>23</v>
      </c>
      <c r="H1704">
        <f>40</f>
        <v>40</v>
      </c>
      <c r="I1704" s="2">
        <v>0</v>
      </c>
      <c r="J1704" s="2">
        <v>0</v>
      </c>
      <c r="K1704" s="2">
        <v>1</v>
      </c>
      <c r="L1704" s="2">
        <v>0</v>
      </c>
      <c r="M1704">
        <v>0</v>
      </c>
      <c r="N1704">
        <v>1</v>
      </c>
      <c r="O1704" s="2">
        <v>0</v>
      </c>
      <c r="P1704" s="2">
        <v>0</v>
      </c>
      <c r="Q1704">
        <v>0</v>
      </c>
      <c r="R1704" s="2">
        <v>0</v>
      </c>
      <c r="S1704" s="2">
        <v>0</v>
      </c>
      <c r="T1704" t="s">
        <v>930</v>
      </c>
      <c r="U1704" s="2">
        <v>0</v>
      </c>
      <c r="V1704" s="2">
        <v>12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</row>
    <row r="1705" spans="1:28" hidden="1" x14ac:dyDescent="0.25">
      <c r="A1705" t="s">
        <v>20</v>
      </c>
      <c r="B1705" t="s">
        <v>21</v>
      </c>
      <c r="C1705" t="s">
        <v>22</v>
      </c>
      <c r="D1705" s="1">
        <v>45953</v>
      </c>
      <c r="E1705" s="1">
        <v>45953</v>
      </c>
      <c r="F1705" s="2">
        <v>29</v>
      </c>
      <c r="G1705" s="3" t="s">
        <v>23</v>
      </c>
      <c r="H1705">
        <v>10</v>
      </c>
      <c r="I1705" s="2">
        <v>0</v>
      </c>
      <c r="J1705" s="2">
        <v>0</v>
      </c>
      <c r="K1705" s="2">
        <v>0</v>
      </c>
      <c r="L1705" s="2">
        <v>0</v>
      </c>
      <c r="M1705">
        <v>1</v>
      </c>
      <c r="N1705">
        <v>0</v>
      </c>
      <c r="O1705" s="2">
        <v>0</v>
      </c>
      <c r="P1705" s="2">
        <v>0</v>
      </c>
      <c r="Q1705">
        <v>0</v>
      </c>
      <c r="R1705" s="2">
        <v>0</v>
      </c>
      <c r="S1705" s="2">
        <v>0</v>
      </c>
      <c r="T1705" t="s">
        <v>931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</row>
    <row r="1706" spans="1:28" hidden="1" x14ac:dyDescent="0.25">
      <c r="A1706" t="s">
        <v>29</v>
      </c>
      <c r="B1706" t="s">
        <v>30</v>
      </c>
      <c r="C1706" t="s">
        <v>31</v>
      </c>
      <c r="D1706" s="1">
        <v>45953</v>
      </c>
      <c r="E1706" s="1">
        <v>45953</v>
      </c>
      <c r="F1706" s="2">
        <v>27</v>
      </c>
      <c r="G1706" s="3" t="s">
        <v>23</v>
      </c>
      <c r="H1706">
        <f>8+8+1+4</f>
        <v>21</v>
      </c>
      <c r="I1706" s="2">
        <v>0</v>
      </c>
      <c r="J1706" s="2">
        <v>0</v>
      </c>
      <c r="K1706" s="2">
        <v>0</v>
      </c>
      <c r="L1706" s="2">
        <v>1</v>
      </c>
      <c r="M1706">
        <v>0</v>
      </c>
      <c r="N1706">
        <v>0</v>
      </c>
      <c r="O1706" s="2">
        <v>0</v>
      </c>
      <c r="P1706" s="2">
        <v>0</v>
      </c>
      <c r="Q1706">
        <v>0</v>
      </c>
      <c r="R1706" s="2">
        <v>0</v>
      </c>
      <c r="S1706" s="2">
        <v>0</v>
      </c>
      <c r="T1706" t="s">
        <v>932</v>
      </c>
      <c r="U1706" s="2">
        <v>0</v>
      </c>
      <c r="V1706" s="2">
        <f>2+2</f>
        <v>4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</row>
    <row r="1707" spans="1:28" hidden="1" x14ac:dyDescent="0.25">
      <c r="A1707" t="s">
        <v>568</v>
      </c>
      <c r="B1707" t="s">
        <v>47</v>
      </c>
      <c r="C1707" t="s">
        <v>670</v>
      </c>
      <c r="D1707" s="1">
        <v>45953</v>
      </c>
      <c r="E1707" s="1">
        <v>45953</v>
      </c>
      <c r="F1707" s="2">
        <v>42</v>
      </c>
      <c r="G1707" s="3" t="s">
        <v>23</v>
      </c>
      <c r="H1707">
        <v>3</v>
      </c>
      <c r="I1707" s="2">
        <v>0</v>
      </c>
      <c r="J1707" s="2">
        <v>0</v>
      </c>
      <c r="K1707" s="2">
        <v>0</v>
      </c>
      <c r="L1707" s="2">
        <v>0</v>
      </c>
      <c r="M1707">
        <v>1</v>
      </c>
      <c r="N1707">
        <v>0</v>
      </c>
      <c r="O1707" s="2">
        <v>0</v>
      </c>
      <c r="P1707" s="2">
        <v>0</v>
      </c>
      <c r="Q1707">
        <v>0</v>
      </c>
      <c r="R1707" s="2">
        <v>0</v>
      </c>
      <c r="S1707" s="2">
        <v>0</v>
      </c>
      <c r="T1707" t="s">
        <v>933</v>
      </c>
      <c r="U1707" s="2">
        <v>0</v>
      </c>
      <c r="V1707" s="2">
        <v>0</v>
      </c>
      <c r="W1707" s="2">
        <v>1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</row>
    <row r="1708" spans="1:28" hidden="1" x14ac:dyDescent="0.25">
      <c r="A1708" t="s">
        <v>730</v>
      </c>
      <c r="B1708" t="s">
        <v>47</v>
      </c>
      <c r="C1708" t="s">
        <v>670</v>
      </c>
      <c r="D1708" s="1">
        <v>45953</v>
      </c>
      <c r="E1708" s="1">
        <v>45953</v>
      </c>
      <c r="F1708" s="2">
        <v>42</v>
      </c>
      <c r="G1708" s="3" t="s">
        <v>23</v>
      </c>
      <c r="H1708">
        <v>3</v>
      </c>
      <c r="I1708" s="2">
        <v>0</v>
      </c>
      <c r="J1708" s="2">
        <v>0</v>
      </c>
      <c r="K1708" s="2">
        <v>0</v>
      </c>
      <c r="L1708" s="2">
        <v>0</v>
      </c>
      <c r="M1708">
        <v>1</v>
      </c>
      <c r="N1708">
        <v>0</v>
      </c>
      <c r="O1708" s="2">
        <v>0</v>
      </c>
      <c r="P1708" s="2">
        <v>0</v>
      </c>
      <c r="Q1708">
        <v>0</v>
      </c>
      <c r="R1708" s="2">
        <v>0</v>
      </c>
      <c r="S1708" s="2">
        <v>0</v>
      </c>
      <c r="T1708" t="s">
        <v>933</v>
      </c>
      <c r="U1708" s="2">
        <v>0</v>
      </c>
      <c r="V1708" s="2">
        <v>0</v>
      </c>
      <c r="W1708" s="2">
        <v>1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</row>
    <row r="1709" spans="1:28" hidden="1" x14ac:dyDescent="0.25">
      <c r="A1709" t="s">
        <v>33</v>
      </c>
      <c r="B1709" t="s">
        <v>34</v>
      </c>
      <c r="C1709" t="s">
        <v>35</v>
      </c>
      <c r="D1709" s="1">
        <v>45953</v>
      </c>
      <c r="E1709" s="1">
        <v>45953</v>
      </c>
      <c r="F1709" s="2">
        <v>28</v>
      </c>
      <c r="G1709" s="3" t="s">
        <v>23</v>
      </c>
      <c r="H1709">
        <v>36</v>
      </c>
      <c r="I1709" s="2">
        <v>0</v>
      </c>
      <c r="J1709" s="2">
        <v>0</v>
      </c>
      <c r="K1709" s="2">
        <v>1</v>
      </c>
      <c r="L1709" s="2">
        <v>0</v>
      </c>
      <c r="M1709">
        <v>0</v>
      </c>
      <c r="N1709">
        <v>0</v>
      </c>
      <c r="O1709" s="2">
        <v>0</v>
      </c>
      <c r="P1709" s="2">
        <v>0</v>
      </c>
      <c r="Q1709">
        <v>0</v>
      </c>
      <c r="R1709" s="2">
        <v>0</v>
      </c>
      <c r="S1709" s="2">
        <v>0</v>
      </c>
      <c r="T1709" t="s">
        <v>934</v>
      </c>
      <c r="U1709" s="2">
        <v>0</v>
      </c>
      <c r="V1709" s="2">
        <v>20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</row>
    <row r="1710" spans="1:28" hidden="1" x14ac:dyDescent="0.25">
      <c r="A1710" t="s">
        <v>37</v>
      </c>
      <c r="B1710" t="s">
        <v>57</v>
      </c>
      <c r="C1710" t="s">
        <v>39</v>
      </c>
      <c r="D1710" s="1">
        <v>45953</v>
      </c>
      <c r="E1710" s="1">
        <v>45953</v>
      </c>
      <c r="F1710" s="2">
        <v>26</v>
      </c>
      <c r="G1710" s="3" t="s">
        <v>23</v>
      </c>
      <c r="H1710">
        <v>16</v>
      </c>
      <c r="I1710" s="2">
        <v>0</v>
      </c>
      <c r="J1710" s="2">
        <v>0</v>
      </c>
      <c r="K1710" s="2">
        <v>1</v>
      </c>
      <c r="L1710" s="2">
        <v>0</v>
      </c>
      <c r="M1710">
        <v>0</v>
      </c>
      <c r="N1710">
        <v>1</v>
      </c>
      <c r="O1710" s="2">
        <v>0</v>
      </c>
      <c r="P1710" s="2">
        <v>0</v>
      </c>
      <c r="Q1710">
        <v>0</v>
      </c>
      <c r="R1710" s="2">
        <v>0</v>
      </c>
      <c r="S1710" s="2">
        <v>0</v>
      </c>
      <c r="T1710" t="s">
        <v>935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</row>
    <row r="1711" spans="1:28" hidden="1" x14ac:dyDescent="0.25">
      <c r="A1711" t="s">
        <v>25</v>
      </c>
      <c r="B1711" t="s">
        <v>26</v>
      </c>
      <c r="C1711" t="s">
        <v>212</v>
      </c>
      <c r="D1711" s="1">
        <v>45953</v>
      </c>
      <c r="E1711" s="1">
        <v>45953</v>
      </c>
      <c r="F1711" s="2">
        <v>0</v>
      </c>
      <c r="G1711" s="3" t="s">
        <v>48</v>
      </c>
      <c r="H1711">
        <v>0</v>
      </c>
      <c r="I1711" s="2">
        <v>0</v>
      </c>
      <c r="J1711" s="2">
        <v>0</v>
      </c>
      <c r="K1711" s="2">
        <v>0</v>
      </c>
      <c r="L1711" s="2">
        <v>0</v>
      </c>
      <c r="M1711">
        <v>0</v>
      </c>
      <c r="N1711">
        <v>0</v>
      </c>
      <c r="O1711" s="2">
        <v>0</v>
      </c>
      <c r="P1711" s="2">
        <v>0</v>
      </c>
      <c r="Q1711">
        <v>0</v>
      </c>
      <c r="R1711" s="2">
        <v>0</v>
      </c>
      <c r="S1711" s="2">
        <v>0</v>
      </c>
      <c r="T1711" t="s">
        <v>377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</row>
    <row r="1712" spans="1:28" hidden="1" x14ac:dyDescent="0.25">
      <c r="A1712" t="s">
        <v>47</v>
      </c>
      <c r="B1712" t="s">
        <v>52</v>
      </c>
      <c r="C1712" t="s">
        <v>212</v>
      </c>
      <c r="D1712" s="1">
        <v>45953</v>
      </c>
      <c r="E1712" s="1">
        <v>45953</v>
      </c>
      <c r="F1712" s="2">
        <v>0</v>
      </c>
      <c r="G1712" s="3" t="s">
        <v>572</v>
      </c>
      <c r="H1712">
        <v>0</v>
      </c>
      <c r="I1712" s="2">
        <v>0</v>
      </c>
      <c r="J1712" s="2">
        <v>0</v>
      </c>
      <c r="K1712" s="2">
        <v>0</v>
      </c>
      <c r="L1712" s="2">
        <v>0</v>
      </c>
      <c r="M1712">
        <v>0</v>
      </c>
      <c r="N1712">
        <v>0</v>
      </c>
      <c r="O1712" s="2">
        <v>0</v>
      </c>
      <c r="P1712" s="2">
        <v>0</v>
      </c>
      <c r="Q1712">
        <v>0</v>
      </c>
      <c r="R1712" s="2">
        <v>0</v>
      </c>
      <c r="S1712" s="2">
        <v>0</v>
      </c>
      <c r="T1712" t="s">
        <v>377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</row>
    <row r="1713" spans="1:28" hidden="1" x14ac:dyDescent="0.25">
      <c r="A1713" t="s">
        <v>56</v>
      </c>
      <c r="B1713" t="s">
        <v>47</v>
      </c>
      <c r="C1713" t="s">
        <v>64</v>
      </c>
      <c r="D1713" s="1">
        <v>45954</v>
      </c>
      <c r="E1713" s="1">
        <v>45954</v>
      </c>
      <c r="F1713" s="2">
        <v>18</v>
      </c>
      <c r="G1713" s="3" t="s">
        <v>23</v>
      </c>
      <c r="H1713">
        <v>28</v>
      </c>
      <c r="I1713" s="2">
        <v>0</v>
      </c>
      <c r="J1713" s="2">
        <v>1</v>
      </c>
      <c r="K1713" s="2">
        <v>1</v>
      </c>
      <c r="L1713" s="2">
        <v>0</v>
      </c>
      <c r="M1713">
        <v>0</v>
      </c>
      <c r="N1713">
        <v>1</v>
      </c>
      <c r="O1713" s="2">
        <v>0</v>
      </c>
      <c r="P1713" s="2">
        <v>0</v>
      </c>
      <c r="Q1713">
        <v>0</v>
      </c>
      <c r="R1713" s="2">
        <v>0</v>
      </c>
      <c r="S1713" s="2">
        <v>0</v>
      </c>
      <c r="T1713" t="s">
        <v>936</v>
      </c>
      <c r="U1713" s="2">
        <v>0</v>
      </c>
      <c r="V1713" s="2">
        <f>13+4</f>
        <v>17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</row>
    <row r="1714" spans="1:28" hidden="1" x14ac:dyDescent="0.25">
      <c r="A1714" t="s">
        <v>47</v>
      </c>
      <c r="B1714" t="s">
        <v>38</v>
      </c>
      <c r="C1714" t="s">
        <v>64</v>
      </c>
      <c r="D1714" s="1">
        <v>45954</v>
      </c>
      <c r="E1714" s="1">
        <v>45954</v>
      </c>
      <c r="F1714" s="2">
        <v>18</v>
      </c>
      <c r="G1714" s="3" t="s">
        <v>23</v>
      </c>
      <c r="H1714">
        <v>28</v>
      </c>
      <c r="I1714" s="2">
        <v>0</v>
      </c>
      <c r="J1714" s="2">
        <v>1</v>
      </c>
      <c r="K1714" s="2">
        <v>1</v>
      </c>
      <c r="L1714" s="2">
        <v>0</v>
      </c>
      <c r="M1714">
        <v>0</v>
      </c>
      <c r="N1714">
        <v>1</v>
      </c>
      <c r="O1714" s="2">
        <v>0</v>
      </c>
      <c r="P1714" s="2">
        <v>0</v>
      </c>
      <c r="Q1714">
        <v>0</v>
      </c>
      <c r="R1714" s="2">
        <v>0</v>
      </c>
      <c r="S1714" s="2">
        <v>0</v>
      </c>
      <c r="T1714" t="s">
        <v>936</v>
      </c>
      <c r="U1714" s="2">
        <v>0</v>
      </c>
      <c r="V1714" s="2">
        <f>13+4+10</f>
        <v>27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</row>
    <row r="1715" spans="1:28" hidden="1" x14ac:dyDescent="0.25">
      <c r="A1715" t="s">
        <v>25</v>
      </c>
      <c r="B1715" t="s">
        <v>26</v>
      </c>
      <c r="C1715" t="s">
        <v>27</v>
      </c>
      <c r="D1715" s="1">
        <v>45954</v>
      </c>
      <c r="E1715" s="1">
        <v>45954</v>
      </c>
      <c r="F1715" s="2">
        <v>21</v>
      </c>
      <c r="G1715" s="3" t="s">
        <v>23</v>
      </c>
      <c r="H1715">
        <v>17</v>
      </c>
      <c r="I1715" s="2">
        <v>0</v>
      </c>
      <c r="J1715" s="2">
        <v>0</v>
      </c>
      <c r="K1715" s="2">
        <v>1</v>
      </c>
      <c r="L1715" s="2">
        <v>0</v>
      </c>
      <c r="M1715">
        <v>0</v>
      </c>
      <c r="N1715">
        <v>1</v>
      </c>
      <c r="O1715" s="2">
        <v>0</v>
      </c>
      <c r="P1715" s="2">
        <v>0</v>
      </c>
      <c r="Q1715">
        <v>0</v>
      </c>
      <c r="R1715" s="2">
        <v>0</v>
      </c>
      <c r="S1715" s="2">
        <v>0</v>
      </c>
      <c r="T1715" t="s">
        <v>937</v>
      </c>
      <c r="U1715" s="2">
        <v>0</v>
      </c>
      <c r="V1715" s="2">
        <v>28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</row>
    <row r="1716" spans="1:28" hidden="1" x14ac:dyDescent="0.25">
      <c r="A1716" t="s">
        <v>29</v>
      </c>
      <c r="B1716" t="s">
        <v>30</v>
      </c>
      <c r="C1716" t="s">
        <v>31</v>
      </c>
      <c r="D1716" s="1">
        <v>45954</v>
      </c>
      <c r="E1716" s="1">
        <v>45954</v>
      </c>
      <c r="F1716" s="2">
        <v>21</v>
      </c>
      <c r="G1716" s="3" t="s">
        <v>23</v>
      </c>
      <c r="H1716">
        <v>18</v>
      </c>
      <c r="I1716" s="2">
        <v>0</v>
      </c>
      <c r="J1716" s="2">
        <v>1</v>
      </c>
      <c r="K1716" s="2">
        <v>0</v>
      </c>
      <c r="L1716" s="2">
        <v>1</v>
      </c>
      <c r="M1716">
        <v>0</v>
      </c>
      <c r="N1716">
        <v>1</v>
      </c>
      <c r="O1716" s="2">
        <v>0</v>
      </c>
      <c r="P1716" s="2">
        <v>0</v>
      </c>
      <c r="Q1716">
        <v>0</v>
      </c>
      <c r="R1716" s="2">
        <v>0</v>
      </c>
      <c r="S1716" s="2">
        <v>0</v>
      </c>
      <c r="T1716" t="s">
        <v>938</v>
      </c>
      <c r="U1716" s="2">
        <v>0</v>
      </c>
      <c r="V1716" s="2">
        <f>22+1+2+14+2+1</f>
        <v>42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</row>
    <row r="1717" spans="1:28" hidden="1" x14ac:dyDescent="0.25">
      <c r="A1717" t="s">
        <v>33</v>
      </c>
      <c r="B1717" t="s">
        <v>34</v>
      </c>
      <c r="C1717" t="s">
        <v>35</v>
      </c>
      <c r="D1717" s="1">
        <v>45954</v>
      </c>
      <c r="E1717" s="1">
        <v>45954</v>
      </c>
      <c r="F1717" s="2">
        <v>54</v>
      </c>
      <c r="G1717" s="3" t="s">
        <v>23</v>
      </c>
      <c r="H1717">
        <v>39</v>
      </c>
      <c r="I1717" s="2">
        <v>0</v>
      </c>
      <c r="J1717" s="2">
        <v>1</v>
      </c>
      <c r="K1717" s="2">
        <v>1</v>
      </c>
      <c r="L1717" s="2">
        <v>0</v>
      </c>
      <c r="M1717">
        <v>0</v>
      </c>
      <c r="N1717">
        <v>1</v>
      </c>
      <c r="O1717" s="2">
        <v>0</v>
      </c>
      <c r="P1717" s="2">
        <v>0</v>
      </c>
      <c r="Q1717">
        <v>0</v>
      </c>
      <c r="R1717" s="2">
        <v>0</v>
      </c>
      <c r="S1717" s="2">
        <v>0</v>
      </c>
      <c r="T1717" t="s">
        <v>939</v>
      </c>
      <c r="U1717" s="2">
        <v>0</v>
      </c>
      <c r="V1717" s="2">
        <v>21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</row>
    <row r="1718" spans="1:28" hidden="1" x14ac:dyDescent="0.25">
      <c r="A1718" t="s">
        <v>37</v>
      </c>
      <c r="B1718" t="s">
        <v>57</v>
      </c>
      <c r="C1718" t="s">
        <v>39</v>
      </c>
      <c r="D1718" s="1">
        <v>45954</v>
      </c>
      <c r="E1718" s="1">
        <v>45954</v>
      </c>
      <c r="F1718" s="2">
        <v>28</v>
      </c>
      <c r="G1718" s="3" t="s">
        <v>23</v>
      </c>
      <c r="H1718">
        <v>18</v>
      </c>
      <c r="I1718" s="2">
        <v>0</v>
      </c>
      <c r="J1718" s="2">
        <v>1</v>
      </c>
      <c r="K1718" s="2">
        <v>1</v>
      </c>
      <c r="L1718" s="2">
        <v>0</v>
      </c>
      <c r="M1718">
        <v>0</v>
      </c>
      <c r="N1718">
        <v>1</v>
      </c>
      <c r="O1718" s="2">
        <v>0</v>
      </c>
      <c r="P1718" s="2">
        <v>0</v>
      </c>
      <c r="Q1718">
        <v>0</v>
      </c>
      <c r="R1718" s="2">
        <v>0</v>
      </c>
      <c r="S1718" s="2">
        <v>0</v>
      </c>
      <c r="T1718" t="s">
        <v>940</v>
      </c>
      <c r="U1718" s="2">
        <v>0</v>
      </c>
      <c r="V1718" s="2">
        <v>22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</row>
    <row r="1719" spans="1:28" hidden="1" x14ac:dyDescent="0.25">
      <c r="A1719" t="s">
        <v>20</v>
      </c>
      <c r="B1719" t="s">
        <v>47</v>
      </c>
      <c r="C1719" t="s">
        <v>39</v>
      </c>
      <c r="D1719" s="1">
        <v>45954</v>
      </c>
      <c r="E1719" s="1">
        <v>45954</v>
      </c>
      <c r="F1719" s="2">
        <v>28</v>
      </c>
      <c r="G1719" s="3" t="s">
        <v>23</v>
      </c>
      <c r="H1719">
        <v>0</v>
      </c>
      <c r="I1719" s="2">
        <v>0</v>
      </c>
      <c r="J1719" s="2">
        <v>0</v>
      </c>
      <c r="K1719" s="2">
        <v>0</v>
      </c>
      <c r="L1719" s="2">
        <v>0</v>
      </c>
      <c r="M1719">
        <v>0</v>
      </c>
      <c r="N1719">
        <v>1</v>
      </c>
      <c r="O1719" s="2">
        <v>0</v>
      </c>
      <c r="P1719" s="2">
        <v>0</v>
      </c>
      <c r="Q1719">
        <v>2</v>
      </c>
      <c r="R1719" s="2">
        <v>0</v>
      </c>
      <c r="S1719" s="2">
        <v>0</v>
      </c>
      <c r="T1719" t="s">
        <v>940</v>
      </c>
      <c r="U1719" s="2">
        <v>0</v>
      </c>
      <c r="V1719" s="2">
        <f>14+2+1</f>
        <v>17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</row>
    <row r="1720" spans="1:28" hidden="1" x14ac:dyDescent="0.25">
      <c r="A1720" t="s">
        <v>47</v>
      </c>
      <c r="B1720" t="s">
        <v>21</v>
      </c>
      <c r="C1720" t="s">
        <v>39</v>
      </c>
      <c r="D1720" s="1">
        <v>45954</v>
      </c>
      <c r="E1720" s="1">
        <v>45954</v>
      </c>
      <c r="F1720" s="2">
        <v>28</v>
      </c>
      <c r="G1720" s="3" t="s">
        <v>23</v>
      </c>
      <c r="H1720">
        <v>0</v>
      </c>
      <c r="I1720" s="2">
        <v>0</v>
      </c>
      <c r="J1720" s="2">
        <v>0</v>
      </c>
      <c r="K1720" s="2">
        <v>0</v>
      </c>
      <c r="L1720" s="2">
        <v>0</v>
      </c>
      <c r="M1720">
        <v>0</v>
      </c>
      <c r="N1720">
        <v>1</v>
      </c>
      <c r="O1720" s="2">
        <v>0</v>
      </c>
      <c r="P1720" s="2">
        <v>0</v>
      </c>
      <c r="Q1720">
        <v>0</v>
      </c>
      <c r="R1720" s="2">
        <v>0</v>
      </c>
      <c r="S1720" s="2">
        <v>0</v>
      </c>
      <c r="T1720" t="s">
        <v>940</v>
      </c>
      <c r="U1720" s="2">
        <v>0</v>
      </c>
      <c r="V1720" s="2">
        <f>14+2+1+10</f>
        <v>27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</row>
    <row r="1721" spans="1:28" hidden="1" x14ac:dyDescent="0.25">
      <c r="A1721" t="s">
        <v>53</v>
      </c>
      <c r="B1721" t="s">
        <v>38</v>
      </c>
      <c r="C1721" t="s">
        <v>35</v>
      </c>
      <c r="D1721" s="1">
        <v>45953</v>
      </c>
      <c r="E1721" s="1">
        <v>45953</v>
      </c>
      <c r="F1721" s="2">
        <v>28</v>
      </c>
      <c r="G1721" s="3" t="s">
        <v>23</v>
      </c>
      <c r="H1721">
        <f>16*2</f>
        <v>32</v>
      </c>
      <c r="I1721" s="2">
        <v>0</v>
      </c>
      <c r="J1721" s="2">
        <v>0</v>
      </c>
      <c r="K1721" s="2">
        <v>1</v>
      </c>
      <c r="L1721" s="2">
        <v>0</v>
      </c>
      <c r="M1721">
        <v>0</v>
      </c>
      <c r="N1721">
        <v>0</v>
      </c>
      <c r="O1721" s="2">
        <v>0</v>
      </c>
      <c r="P1721" s="2">
        <v>0</v>
      </c>
      <c r="Q1721">
        <v>0</v>
      </c>
      <c r="R1721" s="2">
        <v>0</v>
      </c>
      <c r="S1721" s="2">
        <v>0</v>
      </c>
      <c r="T1721" t="s">
        <v>934</v>
      </c>
      <c r="U1721" s="2">
        <v>0</v>
      </c>
      <c r="V1721" s="2">
        <f>11+4+2+4</f>
        <v>21</v>
      </c>
      <c r="W1721" s="2">
        <v>1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</row>
    <row r="1722" spans="1:28" hidden="1" x14ac:dyDescent="0.25">
      <c r="A1722" t="s">
        <v>53</v>
      </c>
      <c r="B1722" t="s">
        <v>47</v>
      </c>
      <c r="C1722" t="s">
        <v>39</v>
      </c>
      <c r="D1722" s="1">
        <v>45954</v>
      </c>
      <c r="E1722" s="1">
        <v>45954</v>
      </c>
      <c r="F1722" s="2">
        <v>28</v>
      </c>
      <c r="G1722" s="3" t="s">
        <v>23</v>
      </c>
      <c r="H1722">
        <v>0</v>
      </c>
      <c r="I1722" s="2">
        <v>0</v>
      </c>
      <c r="J1722" s="2">
        <v>0</v>
      </c>
      <c r="K1722" s="2">
        <v>0</v>
      </c>
      <c r="L1722" s="2">
        <v>0</v>
      </c>
      <c r="M1722">
        <v>0</v>
      </c>
      <c r="N1722">
        <v>1</v>
      </c>
      <c r="O1722" s="2">
        <v>0</v>
      </c>
      <c r="P1722" s="2">
        <v>0</v>
      </c>
      <c r="Q1722">
        <v>1</v>
      </c>
      <c r="R1722" s="2">
        <v>0</v>
      </c>
      <c r="S1722" s="2">
        <v>0</v>
      </c>
      <c r="T1722" t="s">
        <v>940</v>
      </c>
      <c r="U1722" s="2">
        <v>0</v>
      </c>
      <c r="V1722" s="2">
        <f>4+4+2</f>
        <v>10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</row>
    <row r="1723" spans="1:28" hidden="1" x14ac:dyDescent="0.25">
      <c r="A1723" t="s">
        <v>568</v>
      </c>
      <c r="B1723" t="s">
        <v>47</v>
      </c>
      <c r="C1723" t="s">
        <v>212</v>
      </c>
      <c r="D1723" s="1">
        <v>45954</v>
      </c>
      <c r="E1723" s="1">
        <v>45954</v>
      </c>
      <c r="F1723" s="2">
        <v>0</v>
      </c>
      <c r="G1723" s="3" t="s">
        <v>48</v>
      </c>
      <c r="H1723">
        <v>0</v>
      </c>
      <c r="I1723" s="2">
        <v>0</v>
      </c>
      <c r="J1723" s="2">
        <v>0</v>
      </c>
      <c r="K1723" s="2">
        <v>0</v>
      </c>
      <c r="L1723" s="2">
        <v>0</v>
      </c>
      <c r="M1723">
        <v>0</v>
      </c>
      <c r="N1723">
        <v>0</v>
      </c>
      <c r="O1723" s="2">
        <v>0</v>
      </c>
      <c r="P1723" s="2">
        <v>0</v>
      </c>
      <c r="Q1723">
        <v>0</v>
      </c>
      <c r="R1723" s="2">
        <v>0</v>
      </c>
      <c r="S1723" s="2">
        <v>0</v>
      </c>
      <c r="T1723" t="s">
        <v>377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</row>
    <row r="1724" spans="1:28" hidden="1" x14ac:dyDescent="0.25">
      <c r="A1724" t="s">
        <v>730</v>
      </c>
      <c r="B1724" t="s">
        <v>47</v>
      </c>
      <c r="C1724" t="s">
        <v>212</v>
      </c>
      <c r="D1724" s="1">
        <v>45954</v>
      </c>
      <c r="E1724" s="1">
        <v>45954</v>
      </c>
      <c r="F1724" s="2">
        <v>0</v>
      </c>
      <c r="G1724" s="3" t="s">
        <v>48</v>
      </c>
      <c r="H1724">
        <v>0</v>
      </c>
      <c r="I1724" s="2">
        <v>0</v>
      </c>
      <c r="J1724" s="2">
        <v>0</v>
      </c>
      <c r="K1724" s="2">
        <v>0</v>
      </c>
      <c r="L1724" s="2">
        <v>0</v>
      </c>
      <c r="M1724">
        <v>0</v>
      </c>
      <c r="N1724">
        <v>0</v>
      </c>
      <c r="O1724" s="2">
        <v>0</v>
      </c>
      <c r="P1724" s="2">
        <v>0</v>
      </c>
      <c r="Q1724">
        <v>0</v>
      </c>
      <c r="R1724" s="2">
        <v>0</v>
      </c>
      <c r="S1724" s="2">
        <v>0</v>
      </c>
      <c r="T1724" t="s">
        <v>377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</row>
    <row r="1725" spans="1:28" hidden="1" x14ac:dyDescent="0.25">
      <c r="A1725" t="s">
        <v>47</v>
      </c>
      <c r="B1725" t="s">
        <v>52</v>
      </c>
      <c r="C1725" t="s">
        <v>212</v>
      </c>
      <c r="D1725" s="1">
        <v>45954</v>
      </c>
      <c r="E1725" s="1">
        <v>45954</v>
      </c>
      <c r="F1725" s="2">
        <v>0</v>
      </c>
      <c r="G1725" s="3" t="s">
        <v>572</v>
      </c>
      <c r="H1725">
        <v>0</v>
      </c>
      <c r="I1725" s="2">
        <v>0</v>
      </c>
      <c r="J1725" s="2">
        <v>0</v>
      </c>
      <c r="K1725" s="2">
        <v>0</v>
      </c>
      <c r="L1725" s="2">
        <v>0</v>
      </c>
      <c r="M1725">
        <v>0</v>
      </c>
      <c r="N1725">
        <v>0</v>
      </c>
      <c r="O1725" s="2">
        <v>0</v>
      </c>
      <c r="P1725" s="2">
        <v>0</v>
      </c>
      <c r="Q1725">
        <v>0</v>
      </c>
      <c r="R1725" s="2">
        <v>0</v>
      </c>
      <c r="S1725" s="2">
        <v>0</v>
      </c>
      <c r="T1725" t="s">
        <v>377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</row>
    <row r="1726" spans="1:28" hidden="1" x14ac:dyDescent="0.25">
      <c r="A1726" t="s">
        <v>56</v>
      </c>
      <c r="B1726" t="s">
        <v>284</v>
      </c>
      <c r="C1726" t="s">
        <v>64</v>
      </c>
      <c r="D1726" s="9">
        <v>45955</v>
      </c>
      <c r="E1726" s="9">
        <v>45955</v>
      </c>
      <c r="F1726" s="2">
        <v>30</v>
      </c>
      <c r="G1726" s="3" t="s">
        <v>23</v>
      </c>
      <c r="H1726">
        <v>0</v>
      </c>
      <c r="I1726" s="2">
        <v>0</v>
      </c>
      <c r="J1726" s="2">
        <v>0</v>
      </c>
      <c r="K1726" s="2">
        <v>0</v>
      </c>
      <c r="L1726" s="2">
        <v>0</v>
      </c>
      <c r="M1726">
        <v>0</v>
      </c>
      <c r="N1726">
        <v>1</v>
      </c>
      <c r="O1726" s="2">
        <v>1</v>
      </c>
      <c r="P1726" s="2">
        <v>0</v>
      </c>
      <c r="Q1726">
        <v>5</v>
      </c>
      <c r="R1726" s="2">
        <v>1</v>
      </c>
      <c r="S1726" s="2">
        <v>0</v>
      </c>
      <c r="T1726" t="s">
        <v>941</v>
      </c>
      <c r="U1726" s="2">
        <v>20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</row>
    <row r="1727" spans="1:28" hidden="1" x14ac:dyDescent="0.25">
      <c r="A1727" t="s">
        <v>25</v>
      </c>
      <c r="B1727" t="s">
        <v>26</v>
      </c>
      <c r="C1727" t="s">
        <v>27</v>
      </c>
      <c r="D1727" s="9">
        <v>45955</v>
      </c>
      <c r="E1727" s="9">
        <v>45955</v>
      </c>
      <c r="F1727" s="2">
        <v>55</v>
      </c>
      <c r="G1727" s="3" t="s">
        <v>23</v>
      </c>
      <c r="H1727">
        <v>0</v>
      </c>
      <c r="I1727" s="2">
        <v>0</v>
      </c>
      <c r="J1727" s="2">
        <v>0</v>
      </c>
      <c r="K1727" s="2">
        <v>0</v>
      </c>
      <c r="L1727" s="2">
        <v>0</v>
      </c>
      <c r="M1727">
        <v>0</v>
      </c>
      <c r="N1727">
        <v>1</v>
      </c>
      <c r="O1727" s="2">
        <v>1</v>
      </c>
      <c r="P1727" s="2">
        <v>0</v>
      </c>
      <c r="Q1727">
        <v>4</v>
      </c>
      <c r="R1727" s="2">
        <v>1</v>
      </c>
      <c r="S1727" s="2">
        <v>0</v>
      </c>
      <c r="T1727" t="s">
        <v>942</v>
      </c>
      <c r="U1727" s="2">
        <v>12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</row>
    <row r="1728" spans="1:28" hidden="1" x14ac:dyDescent="0.25">
      <c r="A1728" t="s">
        <v>29</v>
      </c>
      <c r="B1728" t="s">
        <v>30</v>
      </c>
      <c r="C1728" t="s">
        <v>31</v>
      </c>
      <c r="D1728" s="9">
        <v>45955</v>
      </c>
      <c r="E1728" s="9">
        <v>45955</v>
      </c>
      <c r="F1728" s="2">
        <v>26</v>
      </c>
      <c r="G1728" s="3" t="s">
        <v>23</v>
      </c>
      <c r="H1728">
        <v>0</v>
      </c>
      <c r="I1728" s="2">
        <v>0</v>
      </c>
      <c r="J1728" s="2">
        <v>0</v>
      </c>
      <c r="K1728" s="2">
        <v>0</v>
      </c>
      <c r="L1728" s="2">
        <v>0</v>
      </c>
      <c r="M1728">
        <v>0</v>
      </c>
      <c r="N1728">
        <v>1</v>
      </c>
      <c r="O1728" s="2">
        <v>0</v>
      </c>
      <c r="P1728" s="2">
        <v>0</v>
      </c>
      <c r="Q1728">
        <v>10</v>
      </c>
      <c r="R1728" s="2">
        <v>1</v>
      </c>
      <c r="S1728" s="2">
        <v>0</v>
      </c>
      <c r="T1728" t="s">
        <v>943</v>
      </c>
      <c r="U1728" s="2">
        <v>16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1</v>
      </c>
      <c r="AB1728" s="2">
        <v>0</v>
      </c>
    </row>
    <row r="1729" spans="1:28" hidden="1" x14ac:dyDescent="0.25">
      <c r="A1729" t="s">
        <v>33</v>
      </c>
      <c r="B1729" t="s">
        <v>34</v>
      </c>
      <c r="C1729" t="s">
        <v>35</v>
      </c>
      <c r="D1729" s="9">
        <v>45955</v>
      </c>
      <c r="E1729" s="9">
        <v>45955</v>
      </c>
      <c r="F1729" s="2">
        <v>81</v>
      </c>
      <c r="G1729" s="3" t="s">
        <v>23</v>
      </c>
      <c r="H1729">
        <v>0</v>
      </c>
      <c r="I1729" s="2">
        <v>0</v>
      </c>
      <c r="J1729" s="2">
        <v>0</v>
      </c>
      <c r="K1729" s="2">
        <v>0</v>
      </c>
      <c r="L1729" s="2">
        <v>0</v>
      </c>
      <c r="M1729">
        <v>0</v>
      </c>
      <c r="N1729">
        <v>1</v>
      </c>
      <c r="O1729" s="2">
        <v>1</v>
      </c>
      <c r="P1729" s="2">
        <v>0</v>
      </c>
      <c r="Q1729">
        <v>5</v>
      </c>
      <c r="R1729" s="2">
        <v>1</v>
      </c>
      <c r="S1729" s="2">
        <v>0</v>
      </c>
      <c r="T1729" t="s">
        <v>944</v>
      </c>
      <c r="U1729" s="2">
        <v>21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</row>
    <row r="1730" spans="1:28" hidden="1" x14ac:dyDescent="0.25">
      <c r="A1730" t="s">
        <v>37</v>
      </c>
      <c r="B1730" t="s">
        <v>57</v>
      </c>
      <c r="C1730" t="s">
        <v>39</v>
      </c>
      <c r="D1730" s="9">
        <v>45955</v>
      </c>
      <c r="E1730" s="9">
        <v>45955</v>
      </c>
      <c r="F1730" s="2">
        <v>20</v>
      </c>
      <c r="G1730" s="3" t="s">
        <v>23</v>
      </c>
      <c r="H1730">
        <v>0</v>
      </c>
      <c r="I1730" s="2">
        <v>0</v>
      </c>
      <c r="J1730" s="2">
        <v>0</v>
      </c>
      <c r="K1730" s="2">
        <v>0</v>
      </c>
      <c r="L1730" s="2">
        <v>0</v>
      </c>
      <c r="M1730">
        <v>0</v>
      </c>
      <c r="N1730">
        <v>1</v>
      </c>
      <c r="O1730" s="2">
        <v>1</v>
      </c>
      <c r="P1730" s="2">
        <v>0</v>
      </c>
      <c r="Q1730">
        <v>3</v>
      </c>
      <c r="R1730" s="2">
        <v>1</v>
      </c>
      <c r="S1730" s="2">
        <v>0</v>
      </c>
      <c r="T1730" t="s">
        <v>945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</row>
    <row r="1731" spans="1:28" hidden="1" x14ac:dyDescent="0.25">
      <c r="A1731" t="s">
        <v>53</v>
      </c>
      <c r="B1731" t="s">
        <v>38</v>
      </c>
      <c r="C1731" t="s">
        <v>212</v>
      </c>
      <c r="D1731" s="9">
        <v>45955</v>
      </c>
      <c r="E1731" s="9">
        <v>45955</v>
      </c>
      <c r="F1731" s="2">
        <v>0</v>
      </c>
      <c r="G1731" s="3" t="s">
        <v>378</v>
      </c>
      <c r="H1731">
        <v>0</v>
      </c>
      <c r="I1731" s="2">
        <v>0</v>
      </c>
      <c r="J1731" s="2">
        <v>0</v>
      </c>
      <c r="K1731" s="2">
        <v>0</v>
      </c>
      <c r="L1731" s="2">
        <v>0</v>
      </c>
      <c r="M1731">
        <v>0</v>
      </c>
      <c r="N1731">
        <v>0</v>
      </c>
      <c r="O1731" s="2">
        <v>0</v>
      </c>
      <c r="P1731" s="2">
        <v>0</v>
      </c>
      <c r="Q1731">
        <v>0</v>
      </c>
      <c r="R1731" s="2">
        <v>0</v>
      </c>
      <c r="S1731" s="2">
        <v>0</v>
      </c>
      <c r="T1731" t="s">
        <v>377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</row>
    <row r="1732" spans="1:28" hidden="1" x14ac:dyDescent="0.25">
      <c r="A1732" t="s">
        <v>20</v>
      </c>
      <c r="B1732" t="s">
        <v>21</v>
      </c>
      <c r="C1732" t="s">
        <v>212</v>
      </c>
      <c r="D1732" s="9">
        <v>45955</v>
      </c>
      <c r="E1732" s="9">
        <v>45955</v>
      </c>
      <c r="F1732" s="2">
        <v>0</v>
      </c>
      <c r="G1732" s="3" t="s">
        <v>378</v>
      </c>
      <c r="H1732">
        <v>0</v>
      </c>
      <c r="I1732" s="2">
        <v>0</v>
      </c>
      <c r="J1732" s="2">
        <v>0</v>
      </c>
      <c r="K1732" s="2">
        <v>0</v>
      </c>
      <c r="L1732" s="2">
        <v>0</v>
      </c>
      <c r="M1732">
        <v>0</v>
      </c>
      <c r="N1732">
        <v>0</v>
      </c>
      <c r="O1732" s="2">
        <v>0</v>
      </c>
      <c r="P1732" s="2">
        <v>0</v>
      </c>
      <c r="Q1732">
        <v>0</v>
      </c>
      <c r="R1732" s="2">
        <v>0</v>
      </c>
      <c r="S1732" s="2">
        <v>0</v>
      </c>
      <c r="T1732" t="s">
        <v>377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</row>
    <row r="1733" spans="1:28" hidden="1" x14ac:dyDescent="0.25">
      <c r="A1733" t="s">
        <v>568</v>
      </c>
      <c r="B1733" t="s">
        <v>47</v>
      </c>
      <c r="C1733" t="s">
        <v>212</v>
      </c>
      <c r="D1733" s="9">
        <v>45955</v>
      </c>
      <c r="E1733" s="9">
        <v>45955</v>
      </c>
      <c r="F1733" s="2">
        <v>0</v>
      </c>
      <c r="G1733" s="3" t="s">
        <v>378</v>
      </c>
      <c r="H1733">
        <v>0</v>
      </c>
      <c r="I1733" s="2">
        <v>0</v>
      </c>
      <c r="J1733" s="2">
        <v>0</v>
      </c>
      <c r="K1733" s="2">
        <v>0</v>
      </c>
      <c r="L1733" s="2">
        <v>0</v>
      </c>
      <c r="M1733">
        <v>0</v>
      </c>
      <c r="N1733">
        <v>0</v>
      </c>
      <c r="O1733" s="2">
        <v>0</v>
      </c>
      <c r="P1733" s="2">
        <v>0</v>
      </c>
      <c r="Q1733">
        <v>0</v>
      </c>
      <c r="R1733" s="2">
        <v>0</v>
      </c>
      <c r="S1733" s="2">
        <v>0</v>
      </c>
      <c r="T1733" t="s">
        <v>377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</row>
    <row r="1734" spans="1:28" hidden="1" x14ac:dyDescent="0.25">
      <c r="A1734" t="s">
        <v>730</v>
      </c>
      <c r="B1734" t="s">
        <v>47</v>
      </c>
      <c r="C1734" t="s">
        <v>212</v>
      </c>
      <c r="D1734" s="9">
        <v>45955</v>
      </c>
      <c r="E1734" s="9">
        <v>45955</v>
      </c>
      <c r="F1734" s="2">
        <v>0</v>
      </c>
      <c r="G1734" s="3" t="s">
        <v>378</v>
      </c>
      <c r="H1734">
        <v>0</v>
      </c>
      <c r="I1734" s="2">
        <v>0</v>
      </c>
      <c r="J1734" s="2">
        <v>0</v>
      </c>
      <c r="K1734" s="2">
        <v>0</v>
      </c>
      <c r="L1734" s="2">
        <v>0</v>
      </c>
      <c r="M1734">
        <v>0</v>
      </c>
      <c r="N1734">
        <v>0</v>
      </c>
      <c r="O1734" s="2">
        <v>0</v>
      </c>
      <c r="P1734" s="2">
        <v>0</v>
      </c>
      <c r="Q1734">
        <v>0</v>
      </c>
      <c r="R1734" s="2">
        <v>0</v>
      </c>
      <c r="S1734" s="2">
        <v>0</v>
      </c>
      <c r="T1734" t="s">
        <v>377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</row>
    <row r="1735" spans="1:28" hidden="1" x14ac:dyDescent="0.25">
      <c r="A1735" t="s">
        <v>47</v>
      </c>
      <c r="B1735" t="s">
        <v>52</v>
      </c>
      <c r="C1735" t="s">
        <v>212</v>
      </c>
      <c r="D1735" s="9">
        <v>45955</v>
      </c>
      <c r="E1735" s="9">
        <v>45955</v>
      </c>
      <c r="F1735" s="2">
        <v>0</v>
      </c>
      <c r="G1735" s="3" t="s">
        <v>378</v>
      </c>
      <c r="H1735">
        <v>0</v>
      </c>
      <c r="I1735" s="2">
        <v>0</v>
      </c>
      <c r="J1735" s="2">
        <v>0</v>
      </c>
      <c r="K1735" s="2">
        <v>0</v>
      </c>
      <c r="L1735" s="2">
        <v>0</v>
      </c>
      <c r="M1735">
        <v>0</v>
      </c>
      <c r="N1735">
        <v>0</v>
      </c>
      <c r="O1735" s="2">
        <v>0</v>
      </c>
      <c r="P1735" s="2">
        <v>0</v>
      </c>
      <c r="Q1735">
        <v>0</v>
      </c>
      <c r="R1735" s="2">
        <v>0</v>
      </c>
      <c r="S1735" s="2">
        <v>0</v>
      </c>
      <c r="T1735" t="s">
        <v>377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</row>
    <row r="1736" spans="1:28" hidden="1" x14ac:dyDescent="0.25">
      <c r="A1736" t="s">
        <v>56</v>
      </c>
      <c r="B1736" t="s">
        <v>284</v>
      </c>
      <c r="C1736" t="s">
        <v>64</v>
      </c>
      <c r="D1736" s="9">
        <v>45956</v>
      </c>
      <c r="E1736" s="9">
        <v>45956</v>
      </c>
      <c r="F1736" s="2">
        <v>33</v>
      </c>
      <c r="G1736" s="3" t="s">
        <v>23</v>
      </c>
      <c r="H1736">
        <v>0</v>
      </c>
      <c r="I1736" s="2">
        <v>0</v>
      </c>
      <c r="J1736" s="2">
        <v>0</v>
      </c>
      <c r="K1736" s="2">
        <v>0</v>
      </c>
      <c r="L1736" s="2">
        <v>0</v>
      </c>
      <c r="M1736">
        <v>0</v>
      </c>
      <c r="N1736">
        <v>0</v>
      </c>
      <c r="O1736" s="2">
        <v>0</v>
      </c>
      <c r="P1736" s="2">
        <v>1</v>
      </c>
      <c r="Q1736">
        <v>4</v>
      </c>
      <c r="R1736" s="2">
        <v>0</v>
      </c>
      <c r="S1736" s="2">
        <v>1</v>
      </c>
      <c r="T1736" t="s">
        <v>946</v>
      </c>
      <c r="U1736" s="2">
        <v>20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</row>
    <row r="1737" spans="1:28" hidden="1" x14ac:dyDescent="0.25">
      <c r="A1737" t="s">
        <v>29</v>
      </c>
      <c r="B1737" t="s">
        <v>30</v>
      </c>
      <c r="C1737" t="s">
        <v>64</v>
      </c>
      <c r="D1737" s="9">
        <v>45956</v>
      </c>
      <c r="E1737" s="9">
        <v>45956</v>
      </c>
      <c r="F1737" s="2">
        <v>63</v>
      </c>
      <c r="G1737" s="3" t="s">
        <v>23</v>
      </c>
      <c r="H1737">
        <v>0</v>
      </c>
      <c r="I1737" s="2">
        <v>0</v>
      </c>
      <c r="J1737" s="2">
        <v>0</v>
      </c>
      <c r="K1737" s="2">
        <v>0</v>
      </c>
      <c r="L1737" s="2">
        <v>0</v>
      </c>
      <c r="M1737">
        <v>0</v>
      </c>
      <c r="N1737">
        <v>0</v>
      </c>
      <c r="O1737" s="2">
        <v>0</v>
      </c>
      <c r="P1737" s="2">
        <v>0</v>
      </c>
      <c r="Q1737">
        <v>6</v>
      </c>
      <c r="R1737" s="2">
        <v>0</v>
      </c>
      <c r="S1737" s="2">
        <v>1</v>
      </c>
      <c r="T1737" t="s">
        <v>947</v>
      </c>
      <c r="U1737" s="2">
        <v>16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1</v>
      </c>
    </row>
    <row r="1738" spans="1:28" hidden="1" x14ac:dyDescent="0.25">
      <c r="A1738" t="s">
        <v>25</v>
      </c>
      <c r="B1738" t="s">
        <v>26</v>
      </c>
      <c r="C1738" t="s">
        <v>27</v>
      </c>
      <c r="D1738" s="9">
        <v>45956</v>
      </c>
      <c r="E1738" s="9">
        <v>45956</v>
      </c>
      <c r="F1738" s="2">
        <v>28</v>
      </c>
      <c r="G1738" s="3" t="s">
        <v>23</v>
      </c>
      <c r="H1738">
        <v>0</v>
      </c>
      <c r="I1738" s="2">
        <v>0</v>
      </c>
      <c r="J1738" s="2">
        <v>0</v>
      </c>
      <c r="K1738" s="2">
        <v>0</v>
      </c>
      <c r="L1738" s="2">
        <v>0</v>
      </c>
      <c r="M1738">
        <v>0</v>
      </c>
      <c r="N1738">
        <v>0</v>
      </c>
      <c r="O1738" s="2">
        <v>0</v>
      </c>
      <c r="P1738" s="2">
        <v>1</v>
      </c>
      <c r="Q1738">
        <v>2</v>
      </c>
      <c r="R1738" s="2">
        <v>0</v>
      </c>
      <c r="S1738" s="2">
        <v>1</v>
      </c>
      <c r="T1738" t="s">
        <v>948</v>
      </c>
      <c r="U1738" s="2">
        <v>16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</row>
    <row r="1739" spans="1:28" hidden="1" x14ac:dyDescent="0.25">
      <c r="A1739" t="s">
        <v>33</v>
      </c>
      <c r="B1739" t="s">
        <v>34</v>
      </c>
      <c r="C1739" t="s">
        <v>35</v>
      </c>
      <c r="D1739" s="9">
        <v>45956</v>
      </c>
      <c r="E1739" s="9">
        <v>45956</v>
      </c>
      <c r="F1739" s="2">
        <v>56</v>
      </c>
      <c r="G1739" s="3" t="s">
        <v>23</v>
      </c>
      <c r="H1739">
        <v>0</v>
      </c>
      <c r="I1739" s="2">
        <v>0</v>
      </c>
      <c r="J1739" s="2">
        <v>0</v>
      </c>
      <c r="K1739" s="2">
        <v>0</v>
      </c>
      <c r="L1739" s="2">
        <v>0</v>
      </c>
      <c r="M1739">
        <v>0</v>
      </c>
      <c r="N1739">
        <v>0</v>
      </c>
      <c r="O1739" s="2">
        <v>0</v>
      </c>
      <c r="P1739" s="2">
        <v>1</v>
      </c>
      <c r="Q1739">
        <v>4</v>
      </c>
      <c r="R1739" s="2">
        <v>0</v>
      </c>
      <c r="S1739" s="2">
        <v>1</v>
      </c>
      <c r="T1739" t="s">
        <v>949</v>
      </c>
      <c r="U1739" s="2">
        <v>20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</row>
    <row r="1740" spans="1:28" hidden="1" x14ac:dyDescent="0.25">
      <c r="A1740" t="s">
        <v>37</v>
      </c>
      <c r="B1740" t="s">
        <v>57</v>
      </c>
      <c r="C1740" t="s">
        <v>39</v>
      </c>
      <c r="D1740" s="9">
        <v>45956</v>
      </c>
      <c r="E1740" s="9">
        <v>45956</v>
      </c>
      <c r="F1740" s="2">
        <v>30</v>
      </c>
      <c r="G1740" s="3" t="s">
        <v>23</v>
      </c>
      <c r="H1740">
        <v>0</v>
      </c>
      <c r="I1740" s="2">
        <v>0</v>
      </c>
      <c r="J1740" s="2">
        <v>0</v>
      </c>
      <c r="K1740" s="2">
        <v>0</v>
      </c>
      <c r="L1740" s="2">
        <v>0</v>
      </c>
      <c r="M1740">
        <v>0</v>
      </c>
      <c r="N1740">
        <v>0</v>
      </c>
      <c r="O1740" s="2">
        <v>0</v>
      </c>
      <c r="P1740" s="2">
        <v>1</v>
      </c>
      <c r="Q1740">
        <v>4</v>
      </c>
      <c r="R1740" s="2">
        <v>0</v>
      </c>
      <c r="S1740" s="2">
        <v>1</v>
      </c>
      <c r="T1740" t="s">
        <v>950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</row>
    <row r="1741" spans="1:28" hidden="1" x14ac:dyDescent="0.25">
      <c r="A1741" t="s">
        <v>53</v>
      </c>
      <c r="B1741" t="s">
        <v>38</v>
      </c>
      <c r="C1741" t="s">
        <v>212</v>
      </c>
      <c r="D1741" s="9">
        <v>45956</v>
      </c>
      <c r="E1741" s="9">
        <v>45956</v>
      </c>
      <c r="F1741" s="2">
        <v>0</v>
      </c>
      <c r="G1741" s="3" t="s">
        <v>378</v>
      </c>
      <c r="H1741">
        <v>0</v>
      </c>
      <c r="I1741" s="2">
        <v>0</v>
      </c>
      <c r="J1741" s="2">
        <v>0</v>
      </c>
      <c r="K1741" s="2">
        <v>0</v>
      </c>
      <c r="L1741" s="2">
        <v>0</v>
      </c>
      <c r="M1741">
        <v>0</v>
      </c>
      <c r="N1741">
        <v>0</v>
      </c>
      <c r="O1741" s="2">
        <v>0</v>
      </c>
      <c r="P1741" s="2">
        <v>0</v>
      </c>
      <c r="Q1741">
        <v>0</v>
      </c>
      <c r="R1741" s="2">
        <v>0</v>
      </c>
      <c r="S1741" s="2">
        <v>0</v>
      </c>
      <c r="T1741" t="s">
        <v>377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</row>
    <row r="1742" spans="1:28" hidden="1" x14ac:dyDescent="0.25">
      <c r="A1742" t="s">
        <v>20</v>
      </c>
      <c r="B1742" t="s">
        <v>21</v>
      </c>
      <c r="C1742" t="s">
        <v>212</v>
      </c>
      <c r="D1742" s="9">
        <v>45956</v>
      </c>
      <c r="E1742" s="9">
        <v>45956</v>
      </c>
      <c r="F1742" s="2">
        <v>0</v>
      </c>
      <c r="G1742" s="3" t="s">
        <v>378</v>
      </c>
      <c r="H1742">
        <v>0</v>
      </c>
      <c r="I1742" s="2">
        <v>0</v>
      </c>
      <c r="J1742" s="2">
        <v>0</v>
      </c>
      <c r="K1742" s="2">
        <v>0</v>
      </c>
      <c r="L1742" s="2">
        <v>0</v>
      </c>
      <c r="M1742">
        <v>0</v>
      </c>
      <c r="N1742">
        <v>0</v>
      </c>
      <c r="O1742" s="2">
        <v>0</v>
      </c>
      <c r="P1742" s="2">
        <v>0</v>
      </c>
      <c r="Q1742">
        <v>0</v>
      </c>
      <c r="R1742" s="2">
        <v>0</v>
      </c>
      <c r="S1742" s="2">
        <v>0</v>
      </c>
      <c r="T1742" t="s">
        <v>377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</row>
    <row r="1743" spans="1:28" hidden="1" x14ac:dyDescent="0.25">
      <c r="A1743" t="s">
        <v>568</v>
      </c>
      <c r="B1743" t="s">
        <v>47</v>
      </c>
      <c r="C1743" t="s">
        <v>212</v>
      </c>
      <c r="D1743" s="9">
        <v>45956</v>
      </c>
      <c r="E1743" s="9">
        <v>45956</v>
      </c>
      <c r="F1743" s="2">
        <v>0</v>
      </c>
      <c r="G1743" s="3" t="s">
        <v>378</v>
      </c>
      <c r="H1743">
        <v>0</v>
      </c>
      <c r="I1743" s="2">
        <v>0</v>
      </c>
      <c r="J1743" s="2">
        <v>0</v>
      </c>
      <c r="K1743" s="2">
        <v>0</v>
      </c>
      <c r="L1743" s="2">
        <v>0</v>
      </c>
      <c r="M1743">
        <v>0</v>
      </c>
      <c r="N1743">
        <v>0</v>
      </c>
      <c r="O1743" s="2">
        <v>0</v>
      </c>
      <c r="P1743" s="2">
        <v>0</v>
      </c>
      <c r="Q1743">
        <v>0</v>
      </c>
      <c r="R1743" s="2">
        <v>0</v>
      </c>
      <c r="S1743" s="2">
        <v>0</v>
      </c>
      <c r="T1743" t="s">
        <v>377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</row>
    <row r="1744" spans="1:28" hidden="1" x14ac:dyDescent="0.25">
      <c r="A1744" t="s">
        <v>730</v>
      </c>
      <c r="B1744" t="s">
        <v>47</v>
      </c>
      <c r="C1744" t="s">
        <v>212</v>
      </c>
      <c r="D1744" s="9">
        <v>45956</v>
      </c>
      <c r="E1744" s="9">
        <v>45956</v>
      </c>
      <c r="F1744" s="2">
        <v>0</v>
      </c>
      <c r="G1744" s="3" t="s">
        <v>378</v>
      </c>
      <c r="H1744">
        <v>0</v>
      </c>
      <c r="I1744" s="2">
        <v>0</v>
      </c>
      <c r="J1744" s="2">
        <v>0</v>
      </c>
      <c r="K1744" s="2">
        <v>0</v>
      </c>
      <c r="L1744" s="2">
        <v>0</v>
      </c>
      <c r="M1744">
        <v>0</v>
      </c>
      <c r="N1744">
        <v>0</v>
      </c>
      <c r="O1744" s="2">
        <v>0</v>
      </c>
      <c r="P1744" s="2">
        <v>0</v>
      </c>
      <c r="Q1744">
        <v>0</v>
      </c>
      <c r="R1744" s="2">
        <v>0</v>
      </c>
      <c r="S1744" s="2">
        <v>0</v>
      </c>
      <c r="T1744" t="s">
        <v>377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</row>
    <row r="1745" spans="1:28" hidden="1" x14ac:dyDescent="0.25">
      <c r="A1745" t="s">
        <v>47</v>
      </c>
      <c r="B1745" t="s">
        <v>52</v>
      </c>
      <c r="C1745" t="s">
        <v>212</v>
      </c>
      <c r="D1745" s="9">
        <v>45956</v>
      </c>
      <c r="E1745" s="9">
        <v>45956</v>
      </c>
      <c r="F1745" s="2">
        <v>0</v>
      </c>
      <c r="G1745" s="3" t="s">
        <v>378</v>
      </c>
      <c r="H1745">
        <v>0</v>
      </c>
      <c r="I1745" s="2">
        <v>0</v>
      </c>
      <c r="J1745" s="2">
        <v>0</v>
      </c>
      <c r="K1745" s="2">
        <v>0</v>
      </c>
      <c r="L1745" s="2">
        <v>0</v>
      </c>
      <c r="M1745">
        <v>0</v>
      </c>
      <c r="N1745">
        <v>0</v>
      </c>
      <c r="O1745" s="2">
        <v>0</v>
      </c>
      <c r="P1745" s="2">
        <v>0</v>
      </c>
      <c r="Q1745">
        <v>0</v>
      </c>
      <c r="R1745" s="2">
        <v>0</v>
      </c>
      <c r="S1745" s="2">
        <v>0</v>
      </c>
      <c r="T1745" t="s">
        <v>377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</row>
    <row r="1746" spans="1:28" hidden="1" x14ac:dyDescent="0.25">
      <c r="A1746" t="s">
        <v>20</v>
      </c>
      <c r="B1746" t="s">
        <v>21</v>
      </c>
      <c r="C1746" t="s">
        <v>22</v>
      </c>
      <c r="D1746" s="1">
        <v>45957</v>
      </c>
      <c r="E1746" s="1">
        <v>45957</v>
      </c>
      <c r="F1746" s="2">
        <v>19</v>
      </c>
      <c r="G1746" s="3" t="s">
        <v>23</v>
      </c>
      <c r="H1746">
        <v>0</v>
      </c>
      <c r="I1746" s="2">
        <v>0</v>
      </c>
      <c r="J1746" s="2">
        <v>0</v>
      </c>
      <c r="K1746" s="2">
        <v>0</v>
      </c>
      <c r="L1746" s="2">
        <v>0</v>
      </c>
      <c r="M1746">
        <v>0</v>
      </c>
      <c r="N1746">
        <v>0</v>
      </c>
      <c r="O1746" s="2">
        <v>0</v>
      </c>
      <c r="P1746" s="2">
        <v>0</v>
      </c>
      <c r="Q1746">
        <v>0</v>
      </c>
      <c r="R1746" s="2">
        <v>0</v>
      </c>
      <c r="S1746" s="2">
        <v>0</v>
      </c>
      <c r="T1746" t="s">
        <v>951</v>
      </c>
      <c r="U1746" s="2">
        <v>0</v>
      </c>
      <c r="V1746" s="2">
        <f>14+2+1</f>
        <v>17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</row>
    <row r="1747" spans="1:28" hidden="1" x14ac:dyDescent="0.25">
      <c r="A1747" t="s">
        <v>29</v>
      </c>
      <c r="B1747" t="s">
        <v>30</v>
      </c>
      <c r="C1747" t="s">
        <v>31</v>
      </c>
      <c r="D1747" s="1">
        <v>45957</v>
      </c>
      <c r="E1747" s="1">
        <v>45957</v>
      </c>
      <c r="F1747" s="2">
        <v>24</v>
      </c>
      <c r="G1747" s="3" t="s">
        <v>23</v>
      </c>
      <c r="H1747">
        <v>1</v>
      </c>
      <c r="I1747" s="2">
        <v>0</v>
      </c>
      <c r="J1747" s="2">
        <v>0</v>
      </c>
      <c r="K1747" s="2">
        <v>0</v>
      </c>
      <c r="L1747" s="2">
        <v>0</v>
      </c>
      <c r="M1747">
        <v>0</v>
      </c>
      <c r="N1747">
        <v>0</v>
      </c>
      <c r="O1747" s="2">
        <v>0</v>
      </c>
      <c r="P1747" s="2">
        <v>0</v>
      </c>
      <c r="Q1747">
        <v>0</v>
      </c>
      <c r="R1747" s="2">
        <v>0</v>
      </c>
      <c r="S1747" s="2">
        <v>0</v>
      </c>
      <c r="T1747" t="s">
        <v>952</v>
      </c>
      <c r="U1747" s="2">
        <v>0</v>
      </c>
      <c r="V1747" s="2">
        <f>14+2+1+1</f>
        <v>18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</row>
    <row r="1748" spans="1:28" hidden="1" x14ac:dyDescent="0.25">
      <c r="A1748" t="s">
        <v>33</v>
      </c>
      <c r="B1748" t="s">
        <v>34</v>
      </c>
      <c r="C1748" t="s">
        <v>35</v>
      </c>
      <c r="D1748" s="1">
        <v>45957</v>
      </c>
      <c r="E1748" s="1">
        <v>45957</v>
      </c>
      <c r="F1748" s="2">
        <v>35</v>
      </c>
      <c r="G1748" s="3" t="s">
        <v>23</v>
      </c>
      <c r="H1748">
        <v>0</v>
      </c>
      <c r="I1748" s="2">
        <v>0</v>
      </c>
      <c r="J1748" s="2">
        <v>0</v>
      </c>
      <c r="K1748" s="2">
        <v>0</v>
      </c>
      <c r="L1748" s="2">
        <v>0</v>
      </c>
      <c r="M1748">
        <v>1</v>
      </c>
      <c r="N1748">
        <v>0</v>
      </c>
      <c r="O1748" s="2">
        <v>0</v>
      </c>
      <c r="P1748" s="2">
        <v>0</v>
      </c>
      <c r="Q1748">
        <v>0</v>
      </c>
      <c r="R1748" s="2">
        <v>0</v>
      </c>
      <c r="S1748" s="2">
        <v>0</v>
      </c>
      <c r="T1748" t="s">
        <v>953</v>
      </c>
      <c r="U1748" s="2">
        <v>0</v>
      </c>
      <c r="V1748" s="2">
        <v>0</v>
      </c>
      <c r="W1748" s="2">
        <v>1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</row>
    <row r="1749" spans="1:28" hidden="1" x14ac:dyDescent="0.25">
      <c r="A1749" t="s">
        <v>37</v>
      </c>
      <c r="B1749" t="s">
        <v>57</v>
      </c>
      <c r="C1749" t="s">
        <v>39</v>
      </c>
      <c r="D1749" s="1">
        <v>45957</v>
      </c>
      <c r="E1749" s="1">
        <v>45957</v>
      </c>
      <c r="F1749" s="2">
        <v>24</v>
      </c>
      <c r="G1749" s="3" t="s">
        <v>23</v>
      </c>
      <c r="H1749">
        <v>6</v>
      </c>
      <c r="I1749" s="2">
        <v>0</v>
      </c>
      <c r="J1749" s="2">
        <v>0</v>
      </c>
      <c r="K1749" s="2">
        <v>0</v>
      </c>
      <c r="L1749" s="2">
        <v>0</v>
      </c>
      <c r="M1749">
        <v>1</v>
      </c>
      <c r="N1749">
        <v>0</v>
      </c>
      <c r="O1749" s="2">
        <v>0</v>
      </c>
      <c r="P1749" s="2">
        <v>0</v>
      </c>
      <c r="Q1749">
        <v>0</v>
      </c>
      <c r="R1749" s="2">
        <v>0</v>
      </c>
      <c r="S1749" s="2">
        <v>0</v>
      </c>
      <c r="T1749" t="s">
        <v>954</v>
      </c>
      <c r="U1749" s="2">
        <v>0</v>
      </c>
      <c r="V1749" s="2">
        <f>14+2+15+4</f>
        <v>35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</row>
    <row r="1750" spans="1:28" hidden="1" x14ac:dyDescent="0.25">
      <c r="A1750" t="s">
        <v>25</v>
      </c>
      <c r="B1750" t="s">
        <v>26</v>
      </c>
      <c r="C1750" t="s">
        <v>39</v>
      </c>
      <c r="D1750" s="1">
        <v>45957</v>
      </c>
      <c r="E1750" s="1">
        <v>45957</v>
      </c>
      <c r="F1750" s="2">
        <v>24</v>
      </c>
      <c r="G1750" s="3" t="s">
        <v>23</v>
      </c>
      <c r="H1750">
        <v>5</v>
      </c>
      <c r="I1750" s="2">
        <v>0</v>
      </c>
      <c r="J1750" s="2">
        <v>0</v>
      </c>
      <c r="K1750" s="2">
        <v>0</v>
      </c>
      <c r="L1750" s="2">
        <v>0</v>
      </c>
      <c r="M1750">
        <v>0</v>
      </c>
      <c r="N1750">
        <v>0</v>
      </c>
      <c r="O1750" s="2">
        <v>0</v>
      </c>
      <c r="P1750" s="2">
        <v>0</v>
      </c>
      <c r="Q1750">
        <v>0</v>
      </c>
      <c r="R1750" s="2">
        <v>0</v>
      </c>
      <c r="S1750" s="2">
        <v>0</v>
      </c>
      <c r="T1750" t="s">
        <v>954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</row>
    <row r="1751" spans="1:28" hidden="1" x14ac:dyDescent="0.25">
      <c r="A1751" t="s">
        <v>53</v>
      </c>
      <c r="B1751" t="s">
        <v>38</v>
      </c>
      <c r="C1751" t="s">
        <v>39</v>
      </c>
      <c r="D1751" s="1">
        <v>45957</v>
      </c>
      <c r="E1751" s="1">
        <v>45957</v>
      </c>
      <c r="F1751" s="2">
        <v>24</v>
      </c>
      <c r="G1751" s="3" t="s">
        <v>23</v>
      </c>
      <c r="H1751">
        <v>0</v>
      </c>
      <c r="I1751" s="2">
        <v>0</v>
      </c>
      <c r="J1751" s="2">
        <v>0</v>
      </c>
      <c r="K1751" s="2">
        <v>0</v>
      </c>
      <c r="L1751" s="2">
        <v>0</v>
      </c>
      <c r="M1751">
        <v>0</v>
      </c>
      <c r="N1751">
        <v>0</v>
      </c>
      <c r="O1751" s="2">
        <v>0</v>
      </c>
      <c r="P1751" s="2">
        <v>0</v>
      </c>
      <c r="Q1751">
        <v>0</v>
      </c>
      <c r="R1751" s="2">
        <v>0</v>
      </c>
      <c r="S1751" s="2">
        <v>0</v>
      </c>
      <c r="T1751" t="s">
        <v>954</v>
      </c>
      <c r="U1751" s="2">
        <v>0</v>
      </c>
      <c r="V1751" s="2">
        <f>20+2+8+1+2</f>
        <v>33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</row>
    <row r="1752" spans="1:28" hidden="1" x14ac:dyDescent="0.25">
      <c r="A1752" t="s">
        <v>568</v>
      </c>
      <c r="B1752" t="s">
        <v>47</v>
      </c>
      <c r="C1752" t="s">
        <v>212</v>
      </c>
      <c r="D1752" s="1">
        <v>45957</v>
      </c>
      <c r="E1752" s="1">
        <v>45957</v>
      </c>
      <c r="F1752" s="2">
        <v>0</v>
      </c>
      <c r="G1752" s="3" t="s">
        <v>572</v>
      </c>
      <c r="H1752">
        <v>0</v>
      </c>
      <c r="I1752" s="2">
        <v>0</v>
      </c>
      <c r="J1752" s="2">
        <v>0</v>
      </c>
      <c r="K1752" s="2">
        <v>0</v>
      </c>
      <c r="L1752" s="2">
        <v>0</v>
      </c>
      <c r="M1752">
        <v>0</v>
      </c>
      <c r="N1752">
        <v>0</v>
      </c>
      <c r="O1752" s="2">
        <v>0</v>
      </c>
      <c r="P1752" s="2">
        <v>0</v>
      </c>
      <c r="Q1752">
        <v>0</v>
      </c>
      <c r="R1752" s="2">
        <v>0</v>
      </c>
      <c r="S1752" s="2">
        <v>0</v>
      </c>
      <c r="T1752" t="s">
        <v>377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</row>
    <row r="1753" spans="1:28" hidden="1" x14ac:dyDescent="0.25">
      <c r="A1753" t="s">
        <v>730</v>
      </c>
      <c r="B1753" t="s">
        <v>47</v>
      </c>
      <c r="C1753" t="s">
        <v>212</v>
      </c>
      <c r="D1753" s="1">
        <v>45957</v>
      </c>
      <c r="E1753" s="1">
        <v>45957</v>
      </c>
      <c r="F1753" s="2">
        <v>0</v>
      </c>
      <c r="G1753" s="3" t="s">
        <v>572</v>
      </c>
      <c r="H1753">
        <v>0</v>
      </c>
      <c r="I1753" s="2">
        <v>0</v>
      </c>
      <c r="J1753" s="2">
        <v>0</v>
      </c>
      <c r="K1753" s="2">
        <v>0</v>
      </c>
      <c r="L1753" s="2">
        <v>0</v>
      </c>
      <c r="M1753">
        <v>0</v>
      </c>
      <c r="N1753">
        <v>0</v>
      </c>
      <c r="O1753" s="2">
        <v>0</v>
      </c>
      <c r="P1753" s="2">
        <v>0</v>
      </c>
      <c r="Q1753">
        <v>0</v>
      </c>
      <c r="R1753" s="2">
        <v>0</v>
      </c>
      <c r="S1753" s="2">
        <v>0</v>
      </c>
      <c r="T1753" t="s">
        <v>377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</row>
    <row r="1754" spans="1:28" hidden="1" x14ac:dyDescent="0.25">
      <c r="A1754" t="s">
        <v>56</v>
      </c>
      <c r="B1754" t="s">
        <v>47</v>
      </c>
      <c r="C1754" t="s">
        <v>212</v>
      </c>
      <c r="D1754" s="1">
        <v>45957</v>
      </c>
      <c r="E1754" s="1">
        <v>45957</v>
      </c>
      <c r="F1754" s="2">
        <v>0</v>
      </c>
      <c r="G1754" s="3" t="s">
        <v>572</v>
      </c>
      <c r="H1754">
        <v>0</v>
      </c>
      <c r="I1754" s="2">
        <v>0</v>
      </c>
      <c r="J1754" s="2">
        <v>0</v>
      </c>
      <c r="K1754" s="2">
        <v>0</v>
      </c>
      <c r="L1754" s="2">
        <v>0</v>
      </c>
      <c r="M1754">
        <v>0</v>
      </c>
      <c r="N1754">
        <v>0</v>
      </c>
      <c r="O1754" s="2">
        <v>0</v>
      </c>
      <c r="P1754" s="2">
        <v>0</v>
      </c>
      <c r="Q1754">
        <v>0</v>
      </c>
      <c r="R1754" s="2">
        <v>0</v>
      </c>
      <c r="S1754" s="2">
        <v>0</v>
      </c>
      <c r="T1754" t="s">
        <v>377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</row>
    <row r="1755" spans="1:28" hidden="1" x14ac:dyDescent="0.25">
      <c r="A1755" t="s">
        <v>47</v>
      </c>
      <c r="B1755" t="s">
        <v>52</v>
      </c>
      <c r="C1755" t="s">
        <v>212</v>
      </c>
      <c r="D1755" s="1">
        <v>45957</v>
      </c>
      <c r="E1755" s="1">
        <v>45957</v>
      </c>
      <c r="F1755" s="2">
        <v>0</v>
      </c>
      <c r="G1755" s="3" t="s">
        <v>572</v>
      </c>
      <c r="H1755">
        <v>0</v>
      </c>
      <c r="I1755" s="2">
        <v>0</v>
      </c>
      <c r="J1755" s="2">
        <v>0</v>
      </c>
      <c r="K1755" s="2">
        <v>0</v>
      </c>
      <c r="L1755" s="2">
        <v>0</v>
      </c>
      <c r="M1755">
        <v>0</v>
      </c>
      <c r="N1755">
        <v>0</v>
      </c>
      <c r="O1755" s="2">
        <v>0</v>
      </c>
      <c r="P1755" s="2">
        <v>0</v>
      </c>
      <c r="Q1755">
        <v>0</v>
      </c>
      <c r="R1755" s="2">
        <v>0</v>
      </c>
      <c r="S1755" s="2">
        <v>0</v>
      </c>
      <c r="T1755" t="s">
        <v>377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</row>
    <row r="1756" spans="1:28" hidden="1" x14ac:dyDescent="0.25">
      <c r="A1756" t="s">
        <v>20</v>
      </c>
      <c r="B1756" t="s">
        <v>34</v>
      </c>
      <c r="C1756" t="s">
        <v>22</v>
      </c>
      <c r="D1756" s="1">
        <v>45958</v>
      </c>
      <c r="E1756" s="1">
        <v>45958</v>
      </c>
      <c r="F1756" s="2">
        <v>26</v>
      </c>
      <c r="G1756" s="3" t="s">
        <v>23</v>
      </c>
      <c r="H1756">
        <v>58</v>
      </c>
      <c r="I1756" s="2">
        <v>0</v>
      </c>
      <c r="J1756" s="2">
        <v>0</v>
      </c>
      <c r="K1756" s="2">
        <v>1</v>
      </c>
      <c r="L1756" s="2">
        <v>0</v>
      </c>
      <c r="M1756">
        <v>0</v>
      </c>
      <c r="N1756">
        <v>1</v>
      </c>
      <c r="O1756" s="2">
        <v>0</v>
      </c>
      <c r="P1756" s="2">
        <v>0</v>
      </c>
      <c r="Q1756">
        <v>0</v>
      </c>
      <c r="R1756" s="2">
        <v>0</v>
      </c>
      <c r="S1756" s="2">
        <v>0</v>
      </c>
      <c r="T1756" t="s">
        <v>955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</row>
    <row r="1757" spans="1:28" hidden="1" x14ac:dyDescent="0.25">
      <c r="A1757" t="s">
        <v>25</v>
      </c>
      <c r="B1757" t="s">
        <v>26</v>
      </c>
      <c r="C1757" t="s">
        <v>27</v>
      </c>
      <c r="D1757" s="1">
        <v>45958</v>
      </c>
      <c r="E1757" s="1">
        <v>45958</v>
      </c>
      <c r="F1757" s="2">
        <v>25</v>
      </c>
      <c r="G1757" s="3" t="s">
        <v>23</v>
      </c>
      <c r="H1757">
        <f>8+8+2+1+1+1+1+2+1+1</f>
        <v>26</v>
      </c>
      <c r="I1757" s="2">
        <v>0</v>
      </c>
      <c r="J1757" s="2">
        <v>0</v>
      </c>
      <c r="K1757" s="2">
        <v>1</v>
      </c>
      <c r="L1757" s="2">
        <v>0</v>
      </c>
      <c r="M1757">
        <v>0</v>
      </c>
      <c r="N1757">
        <v>0</v>
      </c>
      <c r="O1757" s="2">
        <v>0</v>
      </c>
      <c r="P1757" s="2">
        <v>0</v>
      </c>
      <c r="Q1757">
        <v>0</v>
      </c>
      <c r="R1757" s="2">
        <v>0</v>
      </c>
      <c r="S1757" s="2">
        <v>0</v>
      </c>
      <c r="T1757" t="s">
        <v>956</v>
      </c>
      <c r="U1757" s="2">
        <v>0</v>
      </c>
      <c r="V1757" s="2">
        <f>4+20</f>
        <v>24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</row>
    <row r="1758" spans="1:28" hidden="1" x14ac:dyDescent="0.25">
      <c r="A1758" t="s">
        <v>29</v>
      </c>
      <c r="B1758" t="s">
        <v>30</v>
      </c>
      <c r="C1758" t="s">
        <v>31</v>
      </c>
      <c r="D1758" s="1">
        <v>45958</v>
      </c>
      <c r="E1758" s="1">
        <v>45958</v>
      </c>
      <c r="F1758" s="2">
        <v>52</v>
      </c>
      <c r="G1758" s="3" t="s">
        <v>23</v>
      </c>
      <c r="H1758">
        <v>45</v>
      </c>
      <c r="I1758" s="2">
        <v>0</v>
      </c>
      <c r="J1758" s="2">
        <v>0</v>
      </c>
      <c r="K1758" s="2">
        <v>1</v>
      </c>
      <c r="L1758" s="2">
        <v>0</v>
      </c>
      <c r="M1758">
        <v>0</v>
      </c>
      <c r="N1758">
        <v>1</v>
      </c>
      <c r="O1758" s="2">
        <v>0</v>
      </c>
      <c r="P1758" s="2">
        <v>0</v>
      </c>
      <c r="Q1758">
        <v>0</v>
      </c>
      <c r="R1758" s="2">
        <v>0</v>
      </c>
      <c r="S1758" s="2">
        <v>0</v>
      </c>
      <c r="T1758" t="s">
        <v>957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</row>
    <row r="1759" spans="1:28" hidden="1" x14ac:dyDescent="0.25">
      <c r="A1759" t="s">
        <v>568</v>
      </c>
      <c r="B1759" t="s">
        <v>47</v>
      </c>
      <c r="C1759" t="s">
        <v>670</v>
      </c>
      <c r="D1759" s="1">
        <v>45958</v>
      </c>
      <c r="E1759" s="1">
        <v>45958</v>
      </c>
      <c r="F1759" s="2">
        <v>133</v>
      </c>
      <c r="G1759" s="3" t="s">
        <v>23</v>
      </c>
      <c r="H1759">
        <f>7+7+1+2+2+4+2+1+1</f>
        <v>27</v>
      </c>
      <c r="I1759" s="2">
        <v>0</v>
      </c>
      <c r="J1759" s="2">
        <v>0</v>
      </c>
      <c r="K1759" s="2">
        <v>0</v>
      </c>
      <c r="L1759" s="2">
        <v>1</v>
      </c>
      <c r="M1759">
        <v>0</v>
      </c>
      <c r="N1759">
        <v>0</v>
      </c>
      <c r="O1759" s="2">
        <v>0</v>
      </c>
      <c r="P1759" s="2">
        <v>0</v>
      </c>
      <c r="Q1759">
        <v>0</v>
      </c>
      <c r="R1759" s="2">
        <v>0</v>
      </c>
      <c r="S1759" s="2">
        <v>0</v>
      </c>
      <c r="T1759" t="s">
        <v>958</v>
      </c>
      <c r="U1759" s="2">
        <v>0</v>
      </c>
      <c r="V1759" s="2">
        <f>7+10</f>
        <v>17</v>
      </c>
      <c r="W1759" s="2">
        <v>1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</row>
    <row r="1760" spans="1:28" hidden="1" x14ac:dyDescent="0.25">
      <c r="A1760" t="s">
        <v>730</v>
      </c>
      <c r="B1760" t="s">
        <v>47</v>
      </c>
      <c r="C1760" t="s">
        <v>670</v>
      </c>
      <c r="D1760" s="1">
        <v>45958</v>
      </c>
      <c r="E1760" s="1">
        <v>45958</v>
      </c>
      <c r="F1760" s="2">
        <v>133</v>
      </c>
      <c r="G1760" s="3" t="s">
        <v>23</v>
      </c>
      <c r="H1760">
        <f>7+7+1+2+2+4+2+1+1</f>
        <v>27</v>
      </c>
      <c r="I1760" s="2">
        <v>0</v>
      </c>
      <c r="J1760" s="2">
        <v>0</v>
      </c>
      <c r="K1760" s="2">
        <v>0</v>
      </c>
      <c r="L1760" s="2">
        <v>1</v>
      </c>
      <c r="M1760">
        <v>0</v>
      </c>
      <c r="N1760">
        <v>0</v>
      </c>
      <c r="O1760" s="2">
        <v>0</v>
      </c>
      <c r="P1760" s="2">
        <v>0</v>
      </c>
      <c r="Q1760">
        <v>0</v>
      </c>
      <c r="R1760" s="2">
        <v>0</v>
      </c>
      <c r="S1760" s="2">
        <v>0</v>
      </c>
      <c r="T1760" t="s">
        <v>958</v>
      </c>
      <c r="U1760" s="2">
        <v>0</v>
      </c>
      <c r="V1760" s="2">
        <f>7+10</f>
        <v>17</v>
      </c>
      <c r="W1760" s="2">
        <v>1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</row>
    <row r="1761" spans="1:28" hidden="1" x14ac:dyDescent="0.25">
      <c r="A1761" t="s">
        <v>33</v>
      </c>
      <c r="B1761" t="s">
        <v>56</v>
      </c>
      <c r="C1761" t="s">
        <v>35</v>
      </c>
      <c r="D1761" s="1">
        <v>45958</v>
      </c>
      <c r="E1761" s="1">
        <v>45958</v>
      </c>
      <c r="F1761" s="2">
        <v>20</v>
      </c>
      <c r="G1761" s="3" t="s">
        <v>23</v>
      </c>
      <c r="H1761">
        <v>7</v>
      </c>
      <c r="I1761" s="2">
        <v>0</v>
      </c>
      <c r="J1761" s="2">
        <v>0</v>
      </c>
      <c r="K1761" s="2">
        <v>0</v>
      </c>
      <c r="L1761" s="2">
        <v>0</v>
      </c>
      <c r="M1761">
        <v>1</v>
      </c>
      <c r="N1761">
        <v>0</v>
      </c>
      <c r="O1761" s="2">
        <v>0</v>
      </c>
      <c r="P1761" s="2">
        <v>0</v>
      </c>
      <c r="Q1761">
        <v>0</v>
      </c>
      <c r="R1761" s="2">
        <v>0</v>
      </c>
      <c r="S1761" s="2">
        <v>0</v>
      </c>
      <c r="T1761" t="s">
        <v>959</v>
      </c>
      <c r="U1761" s="2">
        <v>0</v>
      </c>
      <c r="V1761" s="2">
        <v>2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</row>
    <row r="1762" spans="1:28" hidden="1" x14ac:dyDescent="0.25">
      <c r="A1762" t="s">
        <v>37</v>
      </c>
      <c r="B1762" t="s">
        <v>57</v>
      </c>
      <c r="C1762" t="s">
        <v>39</v>
      </c>
      <c r="D1762" s="1">
        <v>45958</v>
      </c>
      <c r="E1762" s="1">
        <v>45958</v>
      </c>
      <c r="F1762" s="2">
        <v>20</v>
      </c>
      <c r="G1762" s="3" t="s">
        <v>23</v>
      </c>
      <c r="H1762">
        <v>27</v>
      </c>
      <c r="I1762" s="2">
        <v>0</v>
      </c>
      <c r="J1762" s="2">
        <v>0</v>
      </c>
      <c r="K1762" s="2">
        <v>1</v>
      </c>
      <c r="L1762" s="2">
        <v>0</v>
      </c>
      <c r="M1762">
        <v>0</v>
      </c>
      <c r="N1762">
        <v>1</v>
      </c>
      <c r="O1762" s="2">
        <v>0</v>
      </c>
      <c r="P1762" s="2">
        <v>0</v>
      </c>
      <c r="Q1762">
        <v>0</v>
      </c>
      <c r="R1762" s="2">
        <v>0</v>
      </c>
      <c r="S1762" s="2">
        <v>0</v>
      </c>
      <c r="T1762" t="s">
        <v>960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</row>
    <row r="1763" spans="1:28" hidden="1" x14ac:dyDescent="0.25">
      <c r="A1763" t="s">
        <v>47</v>
      </c>
      <c r="B1763" t="s">
        <v>21</v>
      </c>
      <c r="C1763" t="s">
        <v>212</v>
      </c>
      <c r="D1763" s="1">
        <v>45958</v>
      </c>
      <c r="E1763" s="1">
        <v>45958</v>
      </c>
      <c r="F1763" s="2">
        <v>0</v>
      </c>
      <c r="G1763" s="3" t="s">
        <v>48</v>
      </c>
      <c r="H1763">
        <v>0</v>
      </c>
      <c r="I1763" s="2">
        <v>0</v>
      </c>
      <c r="J1763" s="2">
        <v>0</v>
      </c>
      <c r="K1763" s="2">
        <v>0</v>
      </c>
      <c r="L1763" s="2">
        <v>0</v>
      </c>
      <c r="M1763">
        <v>0</v>
      </c>
      <c r="N1763">
        <v>0</v>
      </c>
      <c r="O1763" s="2">
        <v>0</v>
      </c>
      <c r="P1763" s="2">
        <v>0</v>
      </c>
      <c r="Q1763">
        <v>0</v>
      </c>
      <c r="R1763" s="2">
        <v>0</v>
      </c>
      <c r="S1763" s="2">
        <v>0</v>
      </c>
      <c r="T1763" t="s">
        <v>377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</row>
    <row r="1764" spans="1:28" hidden="1" x14ac:dyDescent="0.25">
      <c r="A1764" t="s">
        <v>47</v>
      </c>
      <c r="B1764" t="s">
        <v>52</v>
      </c>
      <c r="C1764" t="s">
        <v>212</v>
      </c>
      <c r="D1764" s="1">
        <v>45958</v>
      </c>
      <c r="E1764" s="1">
        <v>45958</v>
      </c>
      <c r="F1764" s="2">
        <v>0</v>
      </c>
      <c r="G1764" s="3" t="s">
        <v>572</v>
      </c>
      <c r="H1764">
        <v>0</v>
      </c>
      <c r="I1764" s="2">
        <v>0</v>
      </c>
      <c r="J1764" s="2">
        <v>0</v>
      </c>
      <c r="K1764" s="2">
        <v>0</v>
      </c>
      <c r="L1764" s="2">
        <v>0</v>
      </c>
      <c r="M1764">
        <v>0</v>
      </c>
      <c r="N1764">
        <v>0</v>
      </c>
      <c r="O1764" s="2">
        <v>0</v>
      </c>
      <c r="P1764" s="2">
        <v>0</v>
      </c>
      <c r="Q1764">
        <v>0</v>
      </c>
      <c r="R1764" s="2">
        <v>0</v>
      </c>
      <c r="S1764" s="2">
        <v>0</v>
      </c>
      <c r="T1764" t="s">
        <v>377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</row>
    <row r="1765" spans="1:28" hidden="1" x14ac:dyDescent="0.25">
      <c r="A1765" t="s">
        <v>53</v>
      </c>
      <c r="B1765" t="s">
        <v>38</v>
      </c>
      <c r="C1765" t="s">
        <v>212</v>
      </c>
      <c r="D1765" s="1">
        <v>45958</v>
      </c>
      <c r="E1765" s="1">
        <v>45958</v>
      </c>
      <c r="F1765" s="2">
        <v>0</v>
      </c>
      <c r="G1765" s="3" t="s">
        <v>48</v>
      </c>
      <c r="H1765">
        <v>0</v>
      </c>
      <c r="I1765" s="2">
        <v>0</v>
      </c>
      <c r="J1765" s="2">
        <v>0</v>
      </c>
      <c r="K1765" s="2">
        <v>0</v>
      </c>
      <c r="L1765" s="2">
        <v>0</v>
      </c>
      <c r="M1765">
        <v>0</v>
      </c>
      <c r="N1765">
        <v>0</v>
      </c>
      <c r="O1765" s="2">
        <v>0</v>
      </c>
      <c r="P1765" s="2">
        <v>0</v>
      </c>
      <c r="Q1765">
        <v>0</v>
      </c>
      <c r="R1765" s="2">
        <v>0</v>
      </c>
      <c r="S1765" s="2">
        <v>0</v>
      </c>
      <c r="T1765" t="s">
        <v>377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</row>
    <row r="1766" spans="1:28" hidden="1" x14ac:dyDescent="0.25">
      <c r="A1766" t="s">
        <v>53</v>
      </c>
      <c r="B1766" t="s">
        <v>38</v>
      </c>
      <c r="C1766" t="s">
        <v>54</v>
      </c>
      <c r="D1766" s="1">
        <v>45959</v>
      </c>
      <c r="E1766" s="1">
        <v>45959</v>
      </c>
      <c r="F1766" s="2">
        <v>39</v>
      </c>
      <c r="G1766" s="3" t="s">
        <v>23</v>
      </c>
      <c r="H1766">
        <v>28</v>
      </c>
      <c r="I1766" s="2">
        <v>0</v>
      </c>
      <c r="J1766" s="2">
        <v>0</v>
      </c>
      <c r="K1766" s="2">
        <v>1</v>
      </c>
      <c r="L1766" s="2">
        <v>0</v>
      </c>
      <c r="M1766">
        <v>0</v>
      </c>
      <c r="N1766">
        <v>0</v>
      </c>
      <c r="O1766" s="2">
        <v>0</v>
      </c>
      <c r="P1766" s="2">
        <v>0</v>
      </c>
      <c r="Q1766">
        <v>0</v>
      </c>
      <c r="R1766" s="2">
        <v>0</v>
      </c>
      <c r="S1766" s="2">
        <v>0</v>
      </c>
      <c r="T1766" t="s">
        <v>961</v>
      </c>
      <c r="U1766" s="2">
        <v>0</v>
      </c>
      <c r="V1766" s="2">
        <v>16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</row>
    <row r="1767" spans="1:28" hidden="1" x14ac:dyDescent="0.25">
      <c r="A1767" t="s">
        <v>20</v>
      </c>
      <c r="B1767" t="s">
        <v>21</v>
      </c>
      <c r="C1767" t="s">
        <v>22</v>
      </c>
      <c r="D1767" s="1">
        <v>45959</v>
      </c>
      <c r="E1767" s="1">
        <v>45959</v>
      </c>
      <c r="F1767" s="2">
        <v>49</v>
      </c>
      <c r="G1767" s="3" t="s">
        <v>23</v>
      </c>
      <c r="H1767">
        <f>21+21+22</f>
        <v>64</v>
      </c>
      <c r="I1767" s="2">
        <v>0</v>
      </c>
      <c r="J1767" s="2">
        <v>0</v>
      </c>
      <c r="K1767" s="2">
        <v>1</v>
      </c>
      <c r="L1767" s="2">
        <v>0</v>
      </c>
      <c r="M1767">
        <v>1</v>
      </c>
      <c r="N1767">
        <v>1</v>
      </c>
      <c r="O1767" s="2">
        <v>0</v>
      </c>
      <c r="P1767" s="2">
        <v>0</v>
      </c>
      <c r="Q1767">
        <v>0</v>
      </c>
      <c r="R1767" s="2">
        <v>0</v>
      </c>
      <c r="S1767" s="2">
        <v>0</v>
      </c>
      <c r="T1767" t="s">
        <v>962</v>
      </c>
      <c r="U1767" s="2">
        <v>0</v>
      </c>
      <c r="V1767" s="2">
        <f>15+2</f>
        <v>17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</row>
    <row r="1768" spans="1:28" hidden="1" x14ac:dyDescent="0.25">
      <c r="A1768" t="s">
        <v>25</v>
      </c>
      <c r="B1768" t="s">
        <v>26</v>
      </c>
      <c r="C1768" t="s">
        <v>27</v>
      </c>
      <c r="D1768" s="1">
        <v>45959</v>
      </c>
      <c r="E1768" s="1">
        <v>45959</v>
      </c>
      <c r="F1768" s="2">
        <v>19</v>
      </c>
      <c r="G1768" s="3" t="s">
        <v>23</v>
      </c>
      <c r="H1768">
        <v>0</v>
      </c>
      <c r="I1768" s="2">
        <v>0</v>
      </c>
      <c r="J1768" s="2">
        <v>0</v>
      </c>
      <c r="K1768" s="2">
        <v>0</v>
      </c>
      <c r="L1768" s="2">
        <v>0</v>
      </c>
      <c r="M1768">
        <v>0</v>
      </c>
      <c r="N1768">
        <v>0</v>
      </c>
      <c r="O1768" s="2">
        <v>0</v>
      </c>
      <c r="P1768" s="2">
        <v>0</v>
      </c>
      <c r="Q1768">
        <v>0</v>
      </c>
      <c r="R1768" s="2">
        <v>0</v>
      </c>
      <c r="S1768" s="2">
        <v>0</v>
      </c>
      <c r="T1768" t="s">
        <v>963</v>
      </c>
      <c r="U1768" s="2">
        <v>0</v>
      </c>
      <c r="V1768" s="2">
        <f>20+2+20+2</f>
        <v>44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</row>
    <row r="1769" spans="1:28" hidden="1" x14ac:dyDescent="0.25">
      <c r="A1769" t="s">
        <v>568</v>
      </c>
      <c r="B1769" t="s">
        <v>47</v>
      </c>
      <c r="C1769" t="s">
        <v>670</v>
      </c>
      <c r="D1769" s="1">
        <v>45959</v>
      </c>
      <c r="E1769" s="1">
        <v>45959</v>
      </c>
      <c r="F1769" s="2">
        <v>43</v>
      </c>
      <c r="G1769" s="3" t="s">
        <v>23</v>
      </c>
      <c r="H1769">
        <f>4+2+4+2+2+1+2+1+2</f>
        <v>20</v>
      </c>
      <c r="I1769" s="2">
        <v>0</v>
      </c>
      <c r="J1769" s="2">
        <v>0</v>
      </c>
      <c r="K1769" s="2">
        <v>0</v>
      </c>
      <c r="L1769" s="2">
        <v>1</v>
      </c>
      <c r="M1769">
        <v>1</v>
      </c>
      <c r="N1769">
        <v>0</v>
      </c>
      <c r="O1769" s="2">
        <v>0</v>
      </c>
      <c r="P1769" s="2">
        <v>0</v>
      </c>
      <c r="Q1769">
        <v>0</v>
      </c>
      <c r="R1769" s="2">
        <v>0</v>
      </c>
      <c r="S1769" s="2">
        <v>0</v>
      </c>
      <c r="T1769" t="s">
        <v>964</v>
      </c>
      <c r="U1769" s="2">
        <v>0</v>
      </c>
      <c r="V1769" s="2">
        <f>6+1+6+1</f>
        <v>14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</row>
    <row r="1770" spans="1:28" hidden="1" x14ac:dyDescent="0.25">
      <c r="A1770" t="s">
        <v>730</v>
      </c>
      <c r="B1770" t="s">
        <v>47</v>
      </c>
      <c r="C1770" t="s">
        <v>670</v>
      </c>
      <c r="D1770" s="1">
        <v>45959</v>
      </c>
      <c r="E1770" s="1">
        <v>45959</v>
      </c>
      <c r="F1770" s="2">
        <v>43</v>
      </c>
      <c r="G1770" s="3" t="s">
        <v>23</v>
      </c>
      <c r="H1770">
        <f>4+2+4+2+2+1+2+1+2</f>
        <v>20</v>
      </c>
      <c r="I1770" s="2">
        <v>0</v>
      </c>
      <c r="J1770" s="2">
        <v>0</v>
      </c>
      <c r="K1770" s="2">
        <v>0</v>
      </c>
      <c r="L1770" s="2">
        <v>1</v>
      </c>
      <c r="M1770">
        <v>1</v>
      </c>
      <c r="N1770">
        <v>0</v>
      </c>
      <c r="O1770" s="2">
        <v>0</v>
      </c>
      <c r="P1770" s="2">
        <v>0</v>
      </c>
      <c r="Q1770">
        <v>0</v>
      </c>
      <c r="R1770" s="2">
        <v>0</v>
      </c>
      <c r="S1770" s="2">
        <v>0</v>
      </c>
      <c r="T1770" t="s">
        <v>964</v>
      </c>
      <c r="U1770" s="2">
        <v>0</v>
      </c>
      <c r="V1770" s="2">
        <f>6+1+6+1</f>
        <v>14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</row>
    <row r="1771" spans="1:28" hidden="1" x14ac:dyDescent="0.25">
      <c r="A1771" t="s">
        <v>33</v>
      </c>
      <c r="B1771" t="s">
        <v>34</v>
      </c>
      <c r="C1771" t="s">
        <v>35</v>
      </c>
      <c r="D1771" s="1">
        <v>45959</v>
      </c>
      <c r="E1771" s="1">
        <v>45959</v>
      </c>
      <c r="F1771" s="2">
        <v>35</v>
      </c>
      <c r="G1771" s="3" t="s">
        <v>23</v>
      </c>
      <c r="H1771">
        <v>50</v>
      </c>
      <c r="I1771" s="2">
        <v>0</v>
      </c>
      <c r="J1771" s="2">
        <v>0</v>
      </c>
      <c r="K1771" s="2">
        <v>1</v>
      </c>
      <c r="L1771" s="2">
        <v>0</v>
      </c>
      <c r="M1771">
        <v>0</v>
      </c>
      <c r="N1771">
        <v>0</v>
      </c>
      <c r="O1771" s="2">
        <v>0</v>
      </c>
      <c r="P1771" s="2">
        <v>0</v>
      </c>
      <c r="Q1771">
        <v>0</v>
      </c>
      <c r="R1771" s="2">
        <v>0</v>
      </c>
      <c r="S1771" s="2">
        <v>0</v>
      </c>
      <c r="T1771" t="s">
        <v>965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</row>
    <row r="1772" spans="1:28" hidden="1" x14ac:dyDescent="0.25">
      <c r="A1772" t="s">
        <v>37</v>
      </c>
      <c r="B1772" t="s">
        <v>57</v>
      </c>
      <c r="C1772" t="s">
        <v>39</v>
      </c>
      <c r="D1772" s="1">
        <v>45959</v>
      </c>
      <c r="E1772" s="1">
        <v>45959</v>
      </c>
      <c r="F1772" s="2">
        <v>33</v>
      </c>
      <c r="G1772" s="3" t="s">
        <v>23</v>
      </c>
      <c r="H1772">
        <v>24</v>
      </c>
      <c r="I1772" s="2">
        <v>0</v>
      </c>
      <c r="J1772" s="2">
        <v>0</v>
      </c>
      <c r="K1772" s="2">
        <v>1</v>
      </c>
      <c r="L1772" s="2">
        <v>0</v>
      </c>
      <c r="M1772">
        <v>0</v>
      </c>
      <c r="N1772">
        <v>0</v>
      </c>
      <c r="O1772" s="2">
        <v>0</v>
      </c>
      <c r="P1772" s="2">
        <v>0</v>
      </c>
      <c r="Q1772">
        <v>0</v>
      </c>
      <c r="R1772" s="2">
        <v>0</v>
      </c>
      <c r="S1772" s="2">
        <v>0</v>
      </c>
      <c r="T1772" t="s">
        <v>966</v>
      </c>
      <c r="U1772" s="2">
        <v>0</v>
      </c>
      <c r="V1772" s="2">
        <v>14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</row>
    <row r="1773" spans="1:28" hidden="1" x14ac:dyDescent="0.25">
      <c r="A1773" t="s">
        <v>56</v>
      </c>
      <c r="B1773" t="s">
        <v>47</v>
      </c>
      <c r="C1773" t="s">
        <v>212</v>
      </c>
      <c r="D1773" s="1">
        <v>45959</v>
      </c>
      <c r="E1773" s="1">
        <v>45959</v>
      </c>
      <c r="F1773" s="2">
        <v>0</v>
      </c>
      <c r="G1773" s="3" t="s">
        <v>409</v>
      </c>
      <c r="H1773">
        <v>0</v>
      </c>
      <c r="I1773" s="2">
        <v>0</v>
      </c>
      <c r="J1773" s="2">
        <v>0</v>
      </c>
      <c r="K1773" s="2">
        <v>0</v>
      </c>
      <c r="L1773" s="2">
        <v>0</v>
      </c>
      <c r="M1773">
        <v>0</v>
      </c>
      <c r="N1773">
        <v>0</v>
      </c>
      <c r="O1773" s="2">
        <v>0</v>
      </c>
      <c r="P1773" s="2">
        <v>0</v>
      </c>
      <c r="Q1773">
        <v>0</v>
      </c>
      <c r="R1773" s="2">
        <v>0</v>
      </c>
      <c r="S1773" s="2">
        <v>0</v>
      </c>
      <c r="T1773" t="s">
        <v>377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</row>
    <row r="1774" spans="1:28" hidden="1" x14ac:dyDescent="0.25">
      <c r="A1774" t="s">
        <v>29</v>
      </c>
      <c r="B1774" t="s">
        <v>30</v>
      </c>
      <c r="C1774" t="s">
        <v>212</v>
      </c>
      <c r="D1774" s="1">
        <v>45959</v>
      </c>
      <c r="E1774" s="1">
        <v>45959</v>
      </c>
      <c r="F1774" s="2">
        <v>0</v>
      </c>
      <c r="G1774" s="3" t="s">
        <v>48</v>
      </c>
      <c r="H1774">
        <v>0</v>
      </c>
      <c r="I1774" s="2">
        <v>0</v>
      </c>
      <c r="J1774" s="2">
        <v>0</v>
      </c>
      <c r="K1774" s="2">
        <v>0</v>
      </c>
      <c r="L1774" s="2">
        <v>0</v>
      </c>
      <c r="M1774">
        <v>0</v>
      </c>
      <c r="N1774">
        <v>0</v>
      </c>
      <c r="O1774" s="2">
        <v>0</v>
      </c>
      <c r="P1774" s="2">
        <v>0</v>
      </c>
      <c r="Q1774">
        <v>0</v>
      </c>
      <c r="R1774" s="2">
        <v>0</v>
      </c>
      <c r="S1774" s="2">
        <v>0</v>
      </c>
      <c r="T1774" t="s">
        <v>377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</row>
    <row r="1775" spans="1:28" hidden="1" x14ac:dyDescent="0.25">
      <c r="A1775" t="s">
        <v>47</v>
      </c>
      <c r="B1775" t="s">
        <v>52</v>
      </c>
      <c r="C1775" t="s">
        <v>212</v>
      </c>
      <c r="D1775" s="1">
        <v>45959</v>
      </c>
      <c r="E1775" s="1">
        <v>45959</v>
      </c>
      <c r="F1775" s="2">
        <v>0</v>
      </c>
      <c r="G1775" s="3" t="s">
        <v>572</v>
      </c>
      <c r="H1775">
        <v>0</v>
      </c>
      <c r="I1775" s="2">
        <v>0</v>
      </c>
      <c r="J1775" s="2">
        <v>0</v>
      </c>
      <c r="K1775" s="2">
        <v>0</v>
      </c>
      <c r="L1775" s="2">
        <v>0</v>
      </c>
      <c r="M1775">
        <v>0</v>
      </c>
      <c r="N1775">
        <v>0</v>
      </c>
      <c r="O1775" s="2">
        <v>0</v>
      </c>
      <c r="P1775" s="2">
        <v>0</v>
      </c>
      <c r="Q1775">
        <v>0</v>
      </c>
      <c r="R1775" s="2">
        <v>0</v>
      </c>
      <c r="S1775" s="2">
        <v>0</v>
      </c>
      <c r="T1775" t="s">
        <v>377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</row>
    <row r="1776" spans="1:28" hidden="1" x14ac:dyDescent="0.25">
      <c r="A1776" t="s">
        <v>56</v>
      </c>
      <c r="B1776" t="s">
        <v>21</v>
      </c>
      <c r="C1776" t="s">
        <v>64</v>
      </c>
      <c r="D1776" s="1">
        <v>45960</v>
      </c>
      <c r="E1776" s="1">
        <v>45960</v>
      </c>
      <c r="F1776" s="2">
        <v>40</v>
      </c>
      <c r="G1776" s="3" t="s">
        <v>23</v>
      </c>
      <c r="H1776">
        <f>18+18+2+1+1</f>
        <v>40</v>
      </c>
      <c r="I1776" s="2">
        <v>0</v>
      </c>
      <c r="J1776" s="2">
        <v>0</v>
      </c>
      <c r="K1776" s="2">
        <v>1</v>
      </c>
      <c r="L1776" s="2">
        <v>0</v>
      </c>
      <c r="M1776">
        <v>0</v>
      </c>
      <c r="N1776">
        <v>0</v>
      </c>
      <c r="O1776" s="2">
        <v>0</v>
      </c>
      <c r="P1776" s="2">
        <v>0</v>
      </c>
      <c r="Q1776">
        <v>0</v>
      </c>
      <c r="R1776" s="2">
        <v>0</v>
      </c>
      <c r="S1776" s="2">
        <v>0</v>
      </c>
      <c r="T1776" t="s">
        <v>967</v>
      </c>
      <c r="U1776" s="2">
        <v>0</v>
      </c>
      <c r="V1776" s="2">
        <f>5+5+4</f>
        <v>14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</row>
    <row r="1777" spans="1:28" hidden="1" x14ac:dyDescent="0.25">
      <c r="A1777" t="s">
        <v>53</v>
      </c>
      <c r="B1777" t="s">
        <v>38</v>
      </c>
      <c r="C1777" t="s">
        <v>54</v>
      </c>
      <c r="D1777" s="1">
        <v>45960</v>
      </c>
      <c r="E1777" s="1">
        <v>45960</v>
      </c>
      <c r="F1777" s="2">
        <v>70</v>
      </c>
      <c r="G1777" s="3" t="s">
        <v>23</v>
      </c>
      <c r="H1777">
        <v>14</v>
      </c>
      <c r="I1777" s="2">
        <v>0</v>
      </c>
      <c r="J1777" s="2">
        <v>0</v>
      </c>
      <c r="K1777" s="2">
        <v>1</v>
      </c>
      <c r="L1777" s="2">
        <v>0</v>
      </c>
      <c r="M1777">
        <v>0</v>
      </c>
      <c r="N1777">
        <v>0</v>
      </c>
      <c r="O1777" s="2">
        <v>0</v>
      </c>
      <c r="P1777" s="2">
        <v>0</v>
      </c>
      <c r="Q1777">
        <v>1</v>
      </c>
      <c r="R1777" s="2">
        <v>0</v>
      </c>
      <c r="S1777" s="2">
        <v>0</v>
      </c>
      <c r="T1777" t="s">
        <v>968</v>
      </c>
      <c r="U1777" s="2">
        <v>0</v>
      </c>
      <c r="V1777" s="2">
        <v>25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</row>
    <row r="1778" spans="1:28" hidden="1" x14ac:dyDescent="0.25">
      <c r="A1778" t="s">
        <v>25</v>
      </c>
      <c r="B1778" t="s">
        <v>26</v>
      </c>
      <c r="C1778" t="s">
        <v>27</v>
      </c>
      <c r="D1778" s="1">
        <v>45960</v>
      </c>
      <c r="E1778" s="1">
        <v>45960</v>
      </c>
      <c r="F1778" s="2">
        <v>26</v>
      </c>
      <c r="G1778" s="3" t="s">
        <v>23</v>
      </c>
      <c r="H1778">
        <v>32</v>
      </c>
      <c r="I1778" s="2">
        <v>0</v>
      </c>
      <c r="J1778" s="2">
        <v>0</v>
      </c>
      <c r="K1778" s="2">
        <v>1</v>
      </c>
      <c r="L1778" s="2">
        <v>0</v>
      </c>
      <c r="M1778">
        <v>0</v>
      </c>
      <c r="N1778">
        <v>0</v>
      </c>
      <c r="O1778" s="2">
        <v>0</v>
      </c>
      <c r="P1778" s="2">
        <v>0</v>
      </c>
      <c r="Q1778">
        <v>0</v>
      </c>
      <c r="R1778" s="2">
        <v>0</v>
      </c>
      <c r="S1778" s="2">
        <v>0</v>
      </c>
      <c r="T1778" t="s">
        <v>969</v>
      </c>
      <c r="U1778" s="2">
        <v>0</v>
      </c>
      <c r="V1778" s="2">
        <f>21+15</f>
        <v>36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</row>
    <row r="1779" spans="1:28" hidden="1" x14ac:dyDescent="0.25">
      <c r="A1779" t="s">
        <v>29</v>
      </c>
      <c r="B1779" t="s">
        <v>30</v>
      </c>
      <c r="C1779" t="s">
        <v>31</v>
      </c>
      <c r="D1779" s="1">
        <v>45960</v>
      </c>
      <c r="E1779" s="1">
        <v>45960</v>
      </c>
      <c r="F1779" s="2">
        <v>18</v>
      </c>
      <c r="G1779" s="3" t="s">
        <v>23</v>
      </c>
      <c r="H1779">
        <v>40</v>
      </c>
      <c r="I1779" s="2">
        <v>0</v>
      </c>
      <c r="J1779" s="2">
        <v>0</v>
      </c>
      <c r="K1779" s="2">
        <v>1</v>
      </c>
      <c r="L1779" s="2">
        <v>0</v>
      </c>
      <c r="M1779">
        <v>0</v>
      </c>
      <c r="N1779">
        <v>0</v>
      </c>
      <c r="O1779" s="2">
        <v>0</v>
      </c>
      <c r="P1779" s="2">
        <v>0</v>
      </c>
      <c r="Q1779">
        <v>0</v>
      </c>
      <c r="R1779" s="2">
        <v>0</v>
      </c>
      <c r="S1779" s="2">
        <v>0</v>
      </c>
      <c r="T1779" t="s">
        <v>970</v>
      </c>
      <c r="U1779" s="2">
        <v>0</v>
      </c>
      <c r="V1779" s="2">
        <v>20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</row>
    <row r="1780" spans="1:28" hidden="1" x14ac:dyDescent="0.25">
      <c r="A1780" t="s">
        <v>33</v>
      </c>
      <c r="B1780" t="s">
        <v>34</v>
      </c>
      <c r="C1780" t="s">
        <v>35</v>
      </c>
      <c r="D1780" s="1">
        <v>45960</v>
      </c>
      <c r="E1780" s="1">
        <v>45960</v>
      </c>
      <c r="F1780" s="2">
        <v>54</v>
      </c>
      <c r="G1780" s="3" t="s">
        <v>23</v>
      </c>
      <c r="H1780">
        <v>18</v>
      </c>
      <c r="I1780" s="2">
        <v>0</v>
      </c>
      <c r="J1780" s="2">
        <v>0</v>
      </c>
      <c r="K1780" s="2">
        <v>0</v>
      </c>
      <c r="L1780" s="2">
        <v>1</v>
      </c>
      <c r="M1780">
        <v>1</v>
      </c>
      <c r="N1780">
        <v>0</v>
      </c>
      <c r="O1780" s="2">
        <v>0</v>
      </c>
      <c r="P1780" s="2">
        <v>0</v>
      </c>
      <c r="Q1780">
        <v>1</v>
      </c>
      <c r="R1780" s="2">
        <v>0</v>
      </c>
      <c r="S1780" s="2">
        <v>0</v>
      </c>
      <c r="T1780" t="s">
        <v>971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</row>
    <row r="1781" spans="1:28" hidden="1" x14ac:dyDescent="0.25">
      <c r="A1781" t="s">
        <v>37</v>
      </c>
      <c r="B1781" t="s">
        <v>57</v>
      </c>
      <c r="C1781" t="s">
        <v>39</v>
      </c>
      <c r="D1781" s="1">
        <v>45960</v>
      </c>
      <c r="E1781" s="1">
        <v>45960</v>
      </c>
      <c r="F1781" s="2">
        <v>20</v>
      </c>
      <c r="G1781" s="3" t="s">
        <v>23</v>
      </c>
      <c r="H1781">
        <v>9</v>
      </c>
      <c r="I1781" s="2">
        <v>0</v>
      </c>
      <c r="J1781" s="2">
        <v>0</v>
      </c>
      <c r="K1781" s="2">
        <v>0</v>
      </c>
      <c r="L1781" s="2">
        <v>0</v>
      </c>
      <c r="M1781">
        <v>0</v>
      </c>
      <c r="N1781">
        <v>0</v>
      </c>
      <c r="O1781" s="2">
        <v>0</v>
      </c>
      <c r="P1781" s="2">
        <v>0</v>
      </c>
      <c r="Q1781">
        <v>0</v>
      </c>
      <c r="R1781" s="2">
        <v>0</v>
      </c>
      <c r="S1781" s="2">
        <v>0</v>
      </c>
      <c r="T1781" t="s">
        <v>972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</row>
    <row r="1782" spans="1:28" hidden="1" x14ac:dyDescent="0.25">
      <c r="A1782" t="s">
        <v>568</v>
      </c>
      <c r="B1782" t="s">
        <v>47</v>
      </c>
      <c r="C1782" t="s">
        <v>212</v>
      </c>
      <c r="D1782" s="1">
        <v>45960</v>
      </c>
      <c r="E1782" s="1">
        <v>45960</v>
      </c>
      <c r="F1782" s="2">
        <v>0</v>
      </c>
      <c r="G1782" s="3" t="s">
        <v>48</v>
      </c>
      <c r="H1782">
        <v>0</v>
      </c>
      <c r="I1782" s="2">
        <v>0</v>
      </c>
      <c r="J1782" s="2">
        <v>0</v>
      </c>
      <c r="K1782" s="2">
        <v>0</v>
      </c>
      <c r="L1782" s="2">
        <v>0</v>
      </c>
      <c r="M1782">
        <v>0</v>
      </c>
      <c r="N1782">
        <v>0</v>
      </c>
      <c r="O1782" s="2">
        <v>0</v>
      </c>
      <c r="P1782" s="2">
        <v>0</v>
      </c>
      <c r="Q1782">
        <v>0</v>
      </c>
      <c r="R1782" s="2">
        <v>0</v>
      </c>
      <c r="S1782" s="2">
        <v>0</v>
      </c>
      <c r="T1782" t="s">
        <v>377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</row>
    <row r="1783" spans="1:28" hidden="1" x14ac:dyDescent="0.25">
      <c r="A1783" t="s">
        <v>730</v>
      </c>
      <c r="B1783" t="s">
        <v>47</v>
      </c>
      <c r="C1783" t="s">
        <v>212</v>
      </c>
      <c r="D1783" s="1">
        <v>45960</v>
      </c>
      <c r="E1783" s="1">
        <v>45960</v>
      </c>
      <c r="F1783" s="2">
        <v>0</v>
      </c>
      <c r="G1783" s="3" t="s">
        <v>48</v>
      </c>
      <c r="H1783">
        <v>0</v>
      </c>
      <c r="I1783" s="2">
        <v>0</v>
      </c>
      <c r="J1783" s="2">
        <v>0</v>
      </c>
      <c r="K1783" s="2">
        <v>0</v>
      </c>
      <c r="L1783" s="2">
        <v>0</v>
      </c>
      <c r="M1783">
        <v>0</v>
      </c>
      <c r="N1783">
        <v>0</v>
      </c>
      <c r="O1783" s="2">
        <v>0</v>
      </c>
      <c r="P1783" s="2">
        <v>0</v>
      </c>
      <c r="Q1783">
        <v>0</v>
      </c>
      <c r="R1783" s="2">
        <v>0</v>
      </c>
      <c r="S1783" s="2">
        <v>0</v>
      </c>
      <c r="T1783" t="s">
        <v>377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</row>
    <row r="1784" spans="1:28" hidden="1" x14ac:dyDescent="0.25">
      <c r="A1784" t="s">
        <v>20</v>
      </c>
      <c r="B1784" t="s">
        <v>47</v>
      </c>
      <c r="C1784" t="s">
        <v>212</v>
      </c>
      <c r="D1784" s="1">
        <v>45960</v>
      </c>
      <c r="E1784" s="1">
        <v>45960</v>
      </c>
      <c r="F1784" s="2">
        <v>0</v>
      </c>
      <c r="G1784" s="3" t="s">
        <v>48</v>
      </c>
      <c r="H1784">
        <v>0</v>
      </c>
      <c r="I1784" s="2">
        <v>0</v>
      </c>
      <c r="J1784" s="2">
        <v>0</v>
      </c>
      <c r="K1784" s="2">
        <v>0</v>
      </c>
      <c r="L1784" s="2">
        <v>0</v>
      </c>
      <c r="M1784">
        <v>0</v>
      </c>
      <c r="N1784">
        <v>0</v>
      </c>
      <c r="O1784" s="2">
        <v>0</v>
      </c>
      <c r="P1784" s="2">
        <v>0</v>
      </c>
      <c r="Q1784">
        <v>0</v>
      </c>
      <c r="R1784" s="2">
        <v>0</v>
      </c>
      <c r="S1784" s="2">
        <v>0</v>
      </c>
      <c r="T1784" t="s">
        <v>377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</row>
    <row r="1785" spans="1:28" hidden="1" x14ac:dyDescent="0.25">
      <c r="A1785" t="s">
        <v>47</v>
      </c>
      <c r="B1785" t="s">
        <v>52</v>
      </c>
      <c r="C1785" t="s">
        <v>212</v>
      </c>
      <c r="D1785" s="1">
        <v>45960</v>
      </c>
      <c r="E1785" s="1">
        <v>45960</v>
      </c>
      <c r="F1785" s="2">
        <v>0</v>
      </c>
      <c r="G1785" s="3" t="s">
        <v>572</v>
      </c>
      <c r="H1785">
        <v>0</v>
      </c>
      <c r="I1785" s="2">
        <v>0</v>
      </c>
      <c r="J1785" s="2">
        <v>0</v>
      </c>
      <c r="K1785" s="2">
        <v>0</v>
      </c>
      <c r="L1785" s="2">
        <v>0</v>
      </c>
      <c r="M1785">
        <v>0</v>
      </c>
      <c r="N1785">
        <v>0</v>
      </c>
      <c r="O1785" s="2">
        <v>0</v>
      </c>
      <c r="P1785" s="2">
        <v>0</v>
      </c>
      <c r="Q1785">
        <v>0</v>
      </c>
      <c r="R1785" s="2">
        <v>0</v>
      </c>
      <c r="S1785" s="2">
        <v>0</v>
      </c>
      <c r="T1785" t="s">
        <v>377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</row>
    <row r="1786" spans="1:28" hidden="1" x14ac:dyDescent="0.25">
      <c r="A1786" t="s">
        <v>20</v>
      </c>
      <c r="B1786" t="s">
        <v>21</v>
      </c>
      <c r="C1786" t="s">
        <v>22</v>
      </c>
      <c r="D1786" s="9">
        <v>45961</v>
      </c>
      <c r="E1786" s="9">
        <v>45961</v>
      </c>
      <c r="F1786" s="2">
        <v>35</v>
      </c>
      <c r="G1786" s="3" t="s">
        <v>23</v>
      </c>
      <c r="H1786">
        <v>0</v>
      </c>
      <c r="I1786" s="2">
        <v>0</v>
      </c>
      <c r="J1786" s="2">
        <v>0</v>
      </c>
      <c r="K1786" s="2">
        <v>0</v>
      </c>
      <c r="L1786" s="2">
        <v>0</v>
      </c>
      <c r="M1786">
        <v>0</v>
      </c>
      <c r="N1786">
        <v>0</v>
      </c>
      <c r="O1786" s="2">
        <v>0</v>
      </c>
      <c r="P1786" s="2">
        <v>1</v>
      </c>
      <c r="Q1786">
        <v>3</v>
      </c>
      <c r="R1786" s="2">
        <v>0</v>
      </c>
      <c r="S1786" s="2">
        <v>1</v>
      </c>
      <c r="T1786" t="s">
        <v>973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</row>
    <row r="1787" spans="1:28" hidden="1" x14ac:dyDescent="0.25">
      <c r="A1787" t="s">
        <v>63</v>
      </c>
      <c r="B1787" t="s">
        <v>284</v>
      </c>
      <c r="C1787" t="s">
        <v>102</v>
      </c>
      <c r="D1787" s="9">
        <v>45961</v>
      </c>
      <c r="E1787" s="9">
        <v>45961</v>
      </c>
      <c r="F1787" s="2">
        <v>40</v>
      </c>
      <c r="G1787" s="3" t="s">
        <v>23</v>
      </c>
      <c r="H1787">
        <v>0</v>
      </c>
      <c r="I1787" s="2">
        <v>0</v>
      </c>
      <c r="J1787" s="2">
        <v>0</v>
      </c>
      <c r="K1787" s="2">
        <v>0</v>
      </c>
      <c r="L1787" s="2">
        <v>0</v>
      </c>
      <c r="M1787">
        <v>1</v>
      </c>
      <c r="N1787">
        <v>0</v>
      </c>
      <c r="O1787" s="2">
        <v>0</v>
      </c>
      <c r="P1787" s="2">
        <v>1</v>
      </c>
      <c r="Q1787">
        <v>3</v>
      </c>
      <c r="R1787" s="2">
        <v>0</v>
      </c>
      <c r="S1787" s="2">
        <v>1</v>
      </c>
      <c r="T1787" t="s">
        <v>974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</row>
    <row r="1788" spans="1:28" hidden="1" x14ac:dyDescent="0.25">
      <c r="A1788" t="s">
        <v>29</v>
      </c>
      <c r="B1788" t="s">
        <v>30</v>
      </c>
      <c r="C1788" t="s">
        <v>31</v>
      </c>
      <c r="D1788" s="9">
        <v>45961</v>
      </c>
      <c r="E1788" s="9">
        <v>45961</v>
      </c>
      <c r="F1788" s="2">
        <v>19</v>
      </c>
      <c r="G1788" s="3" t="s">
        <v>23</v>
      </c>
      <c r="H1788">
        <v>0</v>
      </c>
      <c r="I1788" s="2">
        <v>0</v>
      </c>
      <c r="J1788" s="2">
        <v>0</v>
      </c>
      <c r="K1788" s="2">
        <v>0</v>
      </c>
      <c r="L1788" s="2">
        <v>0</v>
      </c>
      <c r="M1788">
        <v>0</v>
      </c>
      <c r="N1788">
        <v>0</v>
      </c>
      <c r="O1788" s="2">
        <v>0</v>
      </c>
      <c r="P1788" s="2">
        <v>1</v>
      </c>
      <c r="Q1788">
        <v>1</v>
      </c>
      <c r="R1788" s="2">
        <v>0</v>
      </c>
      <c r="S1788" s="2">
        <v>1</v>
      </c>
      <c r="T1788" t="s">
        <v>975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</row>
    <row r="1789" spans="1:28" hidden="1" x14ac:dyDescent="0.25">
      <c r="A1789" t="s">
        <v>568</v>
      </c>
      <c r="B1789" t="s">
        <v>47</v>
      </c>
      <c r="C1789" t="s">
        <v>670</v>
      </c>
      <c r="D1789" s="9">
        <v>45961</v>
      </c>
      <c r="E1789" s="9">
        <v>45961</v>
      </c>
      <c r="F1789" s="2">
        <v>75</v>
      </c>
      <c r="G1789" s="3" t="s">
        <v>23</v>
      </c>
      <c r="H1789">
        <v>0</v>
      </c>
      <c r="I1789" s="2">
        <v>0</v>
      </c>
      <c r="J1789" s="2">
        <v>0</v>
      </c>
      <c r="K1789" s="2">
        <v>0</v>
      </c>
      <c r="L1789" s="2">
        <v>0</v>
      </c>
      <c r="M1789">
        <v>0</v>
      </c>
      <c r="N1789">
        <v>0</v>
      </c>
      <c r="O1789" s="2">
        <v>0</v>
      </c>
      <c r="P1789" s="2">
        <v>0</v>
      </c>
      <c r="Q1789">
        <v>3</v>
      </c>
      <c r="R1789" s="2">
        <v>0</v>
      </c>
      <c r="S1789" s="2">
        <v>1</v>
      </c>
      <c r="T1789" t="s">
        <v>976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1</v>
      </c>
    </row>
    <row r="1790" spans="1:28" hidden="1" x14ac:dyDescent="0.25">
      <c r="A1790" t="s">
        <v>730</v>
      </c>
      <c r="B1790" t="s">
        <v>47</v>
      </c>
      <c r="C1790" t="s">
        <v>670</v>
      </c>
      <c r="D1790" s="9">
        <v>45961</v>
      </c>
      <c r="E1790" s="9">
        <v>45961</v>
      </c>
      <c r="F1790" s="2">
        <v>75</v>
      </c>
      <c r="G1790" s="3" t="s">
        <v>23</v>
      </c>
      <c r="H1790">
        <v>0</v>
      </c>
      <c r="I1790" s="2">
        <v>0</v>
      </c>
      <c r="J1790" s="2">
        <v>0</v>
      </c>
      <c r="K1790" s="2">
        <v>0</v>
      </c>
      <c r="L1790" s="2">
        <v>0</v>
      </c>
      <c r="M1790">
        <v>0</v>
      </c>
      <c r="N1790">
        <v>0</v>
      </c>
      <c r="O1790" s="2">
        <v>0</v>
      </c>
      <c r="P1790" s="2">
        <v>0</v>
      </c>
      <c r="Q1790">
        <v>3</v>
      </c>
      <c r="R1790" s="2">
        <v>0</v>
      </c>
      <c r="S1790" s="2">
        <v>1</v>
      </c>
      <c r="T1790" t="s">
        <v>976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1</v>
      </c>
    </row>
    <row r="1791" spans="1:28" hidden="1" x14ac:dyDescent="0.25">
      <c r="A1791" t="s">
        <v>53</v>
      </c>
      <c r="B1791" t="s">
        <v>38</v>
      </c>
      <c r="C1791" t="s">
        <v>670</v>
      </c>
      <c r="D1791" s="9">
        <v>45961</v>
      </c>
      <c r="E1791" s="9">
        <v>45961</v>
      </c>
      <c r="F1791" s="2">
        <v>75</v>
      </c>
      <c r="G1791" s="3" t="s">
        <v>23</v>
      </c>
      <c r="H1791">
        <v>0</v>
      </c>
      <c r="I1791" s="2">
        <v>0</v>
      </c>
      <c r="J1791" s="2">
        <v>0</v>
      </c>
      <c r="K1791" s="2">
        <v>0</v>
      </c>
      <c r="L1791" s="2">
        <v>0</v>
      </c>
      <c r="M1791">
        <v>0</v>
      </c>
      <c r="N1791">
        <v>0</v>
      </c>
      <c r="O1791" s="2">
        <v>0</v>
      </c>
      <c r="P1791" s="2">
        <v>1</v>
      </c>
      <c r="Q1791">
        <v>4</v>
      </c>
      <c r="R1791" s="2">
        <v>0</v>
      </c>
      <c r="S1791" s="2">
        <v>1</v>
      </c>
      <c r="T1791" t="s">
        <v>976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</row>
    <row r="1792" spans="1:28" hidden="1" x14ac:dyDescent="0.25">
      <c r="A1792" t="s">
        <v>25</v>
      </c>
      <c r="B1792" t="s">
        <v>26</v>
      </c>
      <c r="C1792" t="s">
        <v>212</v>
      </c>
      <c r="D1792" s="9">
        <v>45961</v>
      </c>
      <c r="E1792" s="9">
        <v>45961</v>
      </c>
      <c r="F1792" s="2">
        <v>0</v>
      </c>
      <c r="G1792" s="3" t="s">
        <v>378</v>
      </c>
      <c r="H1792">
        <v>0</v>
      </c>
      <c r="I1792" s="2">
        <v>0</v>
      </c>
      <c r="J1792" s="2">
        <v>0</v>
      </c>
      <c r="K1792" s="2">
        <v>0</v>
      </c>
      <c r="L1792" s="2">
        <v>0</v>
      </c>
      <c r="M1792">
        <v>0</v>
      </c>
      <c r="N1792">
        <v>0</v>
      </c>
      <c r="O1792" s="2">
        <v>0</v>
      </c>
      <c r="P1792" s="2">
        <v>0</v>
      </c>
      <c r="Q1792">
        <v>0</v>
      </c>
      <c r="R1792" s="2">
        <v>0</v>
      </c>
      <c r="S1792" s="2">
        <v>0</v>
      </c>
      <c r="T1792" t="s">
        <v>377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</row>
    <row r="1793" spans="1:28" hidden="1" x14ac:dyDescent="0.25">
      <c r="A1793" t="s">
        <v>37</v>
      </c>
      <c r="B1793" t="s">
        <v>57</v>
      </c>
      <c r="C1793" t="s">
        <v>212</v>
      </c>
      <c r="D1793" s="9">
        <v>45961</v>
      </c>
      <c r="E1793" s="9">
        <v>45961</v>
      </c>
      <c r="F1793" s="2">
        <v>0</v>
      </c>
      <c r="G1793" s="3" t="s">
        <v>378</v>
      </c>
      <c r="H1793">
        <v>0</v>
      </c>
      <c r="I1793" s="2">
        <v>0</v>
      </c>
      <c r="J1793" s="2">
        <v>0</v>
      </c>
      <c r="K1793" s="2">
        <v>0</v>
      </c>
      <c r="L1793" s="2">
        <v>0</v>
      </c>
      <c r="M1793">
        <v>0</v>
      </c>
      <c r="N1793">
        <v>0</v>
      </c>
      <c r="O1793" s="2">
        <v>0</v>
      </c>
      <c r="P1793" s="2">
        <v>0</v>
      </c>
      <c r="Q1793">
        <v>0</v>
      </c>
      <c r="R1793" s="2">
        <v>0</v>
      </c>
      <c r="S1793" s="2">
        <v>0</v>
      </c>
      <c r="T1793" t="s">
        <v>377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</row>
    <row r="1794" spans="1:28" hidden="1" x14ac:dyDescent="0.25">
      <c r="A1794" t="s">
        <v>33</v>
      </c>
      <c r="B1794" t="s">
        <v>34</v>
      </c>
      <c r="C1794" t="s">
        <v>212</v>
      </c>
      <c r="D1794" s="9">
        <v>45961</v>
      </c>
      <c r="E1794" s="9">
        <v>45961</v>
      </c>
      <c r="F1794" s="2">
        <v>0</v>
      </c>
      <c r="G1794" s="3" t="s">
        <v>378</v>
      </c>
      <c r="H1794">
        <v>0</v>
      </c>
      <c r="I1794" s="2">
        <v>0</v>
      </c>
      <c r="J1794" s="2">
        <v>0</v>
      </c>
      <c r="K1794" s="2">
        <v>0</v>
      </c>
      <c r="L1794" s="2">
        <v>0</v>
      </c>
      <c r="M1794">
        <v>0</v>
      </c>
      <c r="N1794">
        <v>0</v>
      </c>
      <c r="O1794" s="2">
        <v>0</v>
      </c>
      <c r="P1794" s="2">
        <v>0</v>
      </c>
      <c r="Q1794">
        <v>0</v>
      </c>
      <c r="R1794" s="2">
        <v>0</v>
      </c>
      <c r="S1794" s="2">
        <v>0</v>
      </c>
      <c r="T1794" t="s">
        <v>377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</row>
    <row r="1795" spans="1:28" hidden="1" x14ac:dyDescent="0.25">
      <c r="A1795" t="s">
        <v>47</v>
      </c>
      <c r="B1795" t="s">
        <v>52</v>
      </c>
      <c r="C1795" t="s">
        <v>212</v>
      </c>
      <c r="D1795" s="9">
        <v>45961</v>
      </c>
      <c r="E1795" s="9">
        <v>45961</v>
      </c>
      <c r="F1795" s="2">
        <v>0</v>
      </c>
      <c r="G1795" s="3" t="s">
        <v>378</v>
      </c>
      <c r="H1795">
        <v>0</v>
      </c>
      <c r="I1795" s="2">
        <v>0</v>
      </c>
      <c r="J1795" s="2">
        <v>0</v>
      </c>
      <c r="K1795" s="2">
        <v>0</v>
      </c>
      <c r="L1795" s="2">
        <v>0</v>
      </c>
      <c r="M1795">
        <v>0</v>
      </c>
      <c r="N1795">
        <v>0</v>
      </c>
      <c r="O1795" s="2">
        <v>0</v>
      </c>
      <c r="P1795" s="2">
        <v>0</v>
      </c>
      <c r="Q1795">
        <v>0</v>
      </c>
      <c r="R1795" s="2">
        <v>0</v>
      </c>
      <c r="S1795" s="2">
        <v>0</v>
      </c>
      <c r="T1795" t="s">
        <v>377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</row>
    <row r="1796" spans="1:28" hidden="1" x14ac:dyDescent="0.25">
      <c r="A1796" t="s">
        <v>20</v>
      </c>
      <c r="B1796" t="s">
        <v>21</v>
      </c>
      <c r="C1796" t="s">
        <v>22</v>
      </c>
      <c r="D1796" s="9">
        <v>45962</v>
      </c>
      <c r="E1796" s="9">
        <v>45962</v>
      </c>
      <c r="F1796" s="2">
        <v>78</v>
      </c>
      <c r="G1796" s="3" t="s">
        <v>23</v>
      </c>
      <c r="H1796">
        <v>0</v>
      </c>
      <c r="I1796" s="2">
        <v>0</v>
      </c>
      <c r="J1796" s="2">
        <v>0</v>
      </c>
      <c r="K1796" s="2">
        <v>0</v>
      </c>
      <c r="L1796" s="2">
        <v>0</v>
      </c>
      <c r="M1796">
        <v>0</v>
      </c>
      <c r="N1796">
        <v>0</v>
      </c>
      <c r="O1796" s="2">
        <v>0</v>
      </c>
      <c r="P1796" s="2">
        <v>1</v>
      </c>
      <c r="Q1796">
        <v>9</v>
      </c>
      <c r="R1796" s="2">
        <v>0</v>
      </c>
      <c r="S1796" s="2">
        <v>1</v>
      </c>
      <c r="T1796" t="s">
        <v>977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</row>
    <row r="1797" spans="1:28" hidden="1" x14ac:dyDescent="0.25">
      <c r="A1797" t="s">
        <v>63</v>
      </c>
      <c r="B1797" t="s">
        <v>284</v>
      </c>
      <c r="C1797" t="s">
        <v>102</v>
      </c>
      <c r="D1797" s="9">
        <v>45962</v>
      </c>
      <c r="E1797" s="9">
        <v>45962</v>
      </c>
      <c r="F1797" s="2">
        <v>59</v>
      </c>
      <c r="G1797" s="3" t="s">
        <v>23</v>
      </c>
      <c r="H1797">
        <v>0</v>
      </c>
      <c r="I1797" s="2">
        <v>0</v>
      </c>
      <c r="J1797" s="2">
        <v>0</v>
      </c>
      <c r="K1797" s="2">
        <v>0</v>
      </c>
      <c r="L1797" s="2">
        <v>0</v>
      </c>
      <c r="M1797">
        <v>0</v>
      </c>
      <c r="N1797">
        <v>0</v>
      </c>
      <c r="O1797" s="2">
        <v>0</v>
      </c>
      <c r="P1797" s="2">
        <v>1</v>
      </c>
      <c r="Q1797">
        <v>8</v>
      </c>
      <c r="R1797" s="2">
        <v>0</v>
      </c>
      <c r="S1797" s="2">
        <v>1</v>
      </c>
      <c r="T1797" t="s">
        <v>978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</row>
    <row r="1798" spans="1:28" hidden="1" x14ac:dyDescent="0.25">
      <c r="A1798" t="s">
        <v>568</v>
      </c>
      <c r="B1798" t="s">
        <v>47</v>
      </c>
      <c r="C1798" t="s">
        <v>102</v>
      </c>
      <c r="D1798" s="9">
        <v>45962</v>
      </c>
      <c r="E1798" s="9">
        <v>45962</v>
      </c>
      <c r="F1798" s="2">
        <v>59</v>
      </c>
      <c r="G1798" s="3" t="s">
        <v>23</v>
      </c>
      <c r="H1798">
        <v>0</v>
      </c>
      <c r="I1798" s="2">
        <v>0</v>
      </c>
      <c r="J1798" s="2">
        <v>0</v>
      </c>
      <c r="K1798" s="2">
        <v>0</v>
      </c>
      <c r="L1798" s="2">
        <v>0</v>
      </c>
      <c r="M1798">
        <v>0</v>
      </c>
      <c r="N1798">
        <v>0</v>
      </c>
      <c r="O1798" s="2">
        <v>0</v>
      </c>
      <c r="P1798" s="2">
        <v>0</v>
      </c>
      <c r="Q1798">
        <v>14</v>
      </c>
      <c r="R1798" s="2">
        <v>0</v>
      </c>
      <c r="S1798" s="2">
        <v>1</v>
      </c>
      <c r="T1798" t="s">
        <v>978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1</v>
      </c>
    </row>
    <row r="1799" spans="1:28" hidden="1" x14ac:dyDescent="0.25">
      <c r="A1799" t="s">
        <v>730</v>
      </c>
      <c r="B1799" t="s">
        <v>47</v>
      </c>
      <c r="C1799" t="s">
        <v>102</v>
      </c>
      <c r="D1799" s="9">
        <v>45962</v>
      </c>
      <c r="E1799" s="9">
        <v>45962</v>
      </c>
      <c r="F1799" s="2">
        <v>59</v>
      </c>
      <c r="G1799" s="3" t="s">
        <v>23</v>
      </c>
      <c r="H1799">
        <v>0</v>
      </c>
      <c r="I1799" s="2">
        <v>0</v>
      </c>
      <c r="J1799" s="2">
        <v>0</v>
      </c>
      <c r="K1799" s="2">
        <v>0</v>
      </c>
      <c r="L1799" s="2">
        <v>0</v>
      </c>
      <c r="M1799">
        <v>0</v>
      </c>
      <c r="N1799">
        <v>0</v>
      </c>
      <c r="O1799" s="2">
        <v>0</v>
      </c>
      <c r="P1799" s="2">
        <v>0</v>
      </c>
      <c r="Q1799">
        <v>14</v>
      </c>
      <c r="R1799" s="2">
        <v>0</v>
      </c>
      <c r="S1799" s="2">
        <v>1</v>
      </c>
      <c r="T1799" t="s">
        <v>978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1</v>
      </c>
    </row>
    <row r="1800" spans="1:28" hidden="1" x14ac:dyDescent="0.25">
      <c r="A1800" t="s">
        <v>29</v>
      </c>
      <c r="B1800" t="s">
        <v>30</v>
      </c>
      <c r="C1800" t="s">
        <v>102</v>
      </c>
      <c r="D1800" s="9">
        <v>45962</v>
      </c>
      <c r="E1800" s="9">
        <v>45962</v>
      </c>
      <c r="F1800" s="2">
        <v>59</v>
      </c>
      <c r="G1800" s="3" t="s">
        <v>23</v>
      </c>
      <c r="H1800">
        <v>0</v>
      </c>
      <c r="I1800" s="2">
        <v>0</v>
      </c>
      <c r="J1800" s="2">
        <v>0</v>
      </c>
      <c r="K1800" s="2">
        <v>0</v>
      </c>
      <c r="L1800" s="2">
        <v>0</v>
      </c>
      <c r="M1800">
        <v>0</v>
      </c>
      <c r="N1800">
        <v>0</v>
      </c>
      <c r="O1800" s="2">
        <v>0</v>
      </c>
      <c r="P1800" s="2">
        <v>1</v>
      </c>
      <c r="Q1800">
        <v>9</v>
      </c>
      <c r="R1800" s="2">
        <v>0</v>
      </c>
      <c r="S1800" s="2">
        <v>1</v>
      </c>
      <c r="T1800" t="s">
        <v>978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</row>
    <row r="1801" spans="1:28" hidden="1" x14ac:dyDescent="0.25">
      <c r="A1801" t="s">
        <v>53</v>
      </c>
      <c r="B1801" t="s">
        <v>38</v>
      </c>
      <c r="C1801" t="s">
        <v>102</v>
      </c>
      <c r="D1801" s="9">
        <v>45962</v>
      </c>
      <c r="E1801" s="9">
        <v>45962</v>
      </c>
      <c r="F1801" s="2">
        <v>59</v>
      </c>
      <c r="G1801" s="3" t="s">
        <v>23</v>
      </c>
      <c r="H1801">
        <v>0</v>
      </c>
      <c r="I1801" s="2">
        <v>0</v>
      </c>
      <c r="J1801" s="2">
        <v>0</v>
      </c>
      <c r="K1801" s="2">
        <v>0</v>
      </c>
      <c r="L1801" s="2">
        <v>0</v>
      </c>
      <c r="M1801">
        <v>0</v>
      </c>
      <c r="N1801">
        <v>0</v>
      </c>
      <c r="O1801" s="2">
        <v>0</v>
      </c>
      <c r="P1801" s="2">
        <v>1</v>
      </c>
      <c r="Q1801">
        <v>7</v>
      </c>
      <c r="R1801" s="2">
        <v>0</v>
      </c>
      <c r="S1801" s="2">
        <v>1</v>
      </c>
      <c r="T1801" t="s">
        <v>978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</row>
    <row r="1802" spans="1:28" hidden="1" x14ac:dyDescent="0.25">
      <c r="A1802" t="s">
        <v>25</v>
      </c>
      <c r="B1802" t="s">
        <v>26</v>
      </c>
      <c r="C1802" t="s">
        <v>212</v>
      </c>
      <c r="D1802" s="9">
        <v>45962</v>
      </c>
      <c r="E1802" s="9">
        <v>45962</v>
      </c>
      <c r="F1802" s="2">
        <v>0</v>
      </c>
      <c r="G1802" s="3" t="s">
        <v>378</v>
      </c>
      <c r="H1802">
        <v>0</v>
      </c>
      <c r="I1802" s="2">
        <v>0</v>
      </c>
      <c r="J1802" s="2">
        <v>0</v>
      </c>
      <c r="K1802" s="2">
        <v>0</v>
      </c>
      <c r="L1802" s="2">
        <v>0</v>
      </c>
      <c r="M1802">
        <v>0</v>
      </c>
      <c r="N1802">
        <v>0</v>
      </c>
      <c r="O1802" s="2">
        <v>0</v>
      </c>
      <c r="P1802" s="2">
        <v>0</v>
      </c>
      <c r="Q1802">
        <v>0</v>
      </c>
      <c r="R1802" s="2">
        <v>0</v>
      </c>
      <c r="S1802" s="2">
        <v>0</v>
      </c>
      <c r="T1802" t="s">
        <v>377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</row>
    <row r="1803" spans="1:28" hidden="1" x14ac:dyDescent="0.25">
      <c r="A1803" t="s">
        <v>37</v>
      </c>
      <c r="B1803" t="s">
        <v>57</v>
      </c>
      <c r="C1803" t="s">
        <v>212</v>
      </c>
      <c r="D1803" s="9">
        <v>45962</v>
      </c>
      <c r="E1803" s="9">
        <v>45962</v>
      </c>
      <c r="F1803" s="2">
        <v>0</v>
      </c>
      <c r="G1803" s="3" t="s">
        <v>378</v>
      </c>
      <c r="H1803">
        <v>0</v>
      </c>
      <c r="I1803" s="2">
        <v>0</v>
      </c>
      <c r="J1803" s="2">
        <v>0</v>
      </c>
      <c r="K1803" s="2">
        <v>0</v>
      </c>
      <c r="L1803" s="2">
        <v>0</v>
      </c>
      <c r="M1803">
        <v>0</v>
      </c>
      <c r="N1803">
        <v>0</v>
      </c>
      <c r="O1803" s="2">
        <v>0</v>
      </c>
      <c r="P1803" s="2">
        <v>0</v>
      </c>
      <c r="Q1803">
        <v>0</v>
      </c>
      <c r="R1803" s="2">
        <v>0</v>
      </c>
      <c r="S1803" s="2">
        <v>0</v>
      </c>
      <c r="T1803" t="s">
        <v>377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</row>
    <row r="1804" spans="1:28" hidden="1" x14ac:dyDescent="0.25">
      <c r="A1804" t="s">
        <v>33</v>
      </c>
      <c r="B1804" t="s">
        <v>34</v>
      </c>
      <c r="C1804" t="s">
        <v>212</v>
      </c>
      <c r="D1804" s="9">
        <v>45962</v>
      </c>
      <c r="E1804" s="9">
        <v>45962</v>
      </c>
      <c r="F1804" s="2">
        <v>0</v>
      </c>
      <c r="G1804" s="3" t="s">
        <v>378</v>
      </c>
      <c r="H1804">
        <v>0</v>
      </c>
      <c r="I1804" s="2">
        <v>0</v>
      </c>
      <c r="J1804" s="2">
        <v>0</v>
      </c>
      <c r="K1804" s="2">
        <v>0</v>
      </c>
      <c r="L1804" s="2">
        <v>0</v>
      </c>
      <c r="M1804">
        <v>0</v>
      </c>
      <c r="N1804">
        <v>0</v>
      </c>
      <c r="O1804" s="2">
        <v>0</v>
      </c>
      <c r="P1804" s="2">
        <v>0</v>
      </c>
      <c r="Q1804">
        <v>0</v>
      </c>
      <c r="R1804" s="2">
        <v>0</v>
      </c>
      <c r="S1804" s="2">
        <v>0</v>
      </c>
      <c r="T1804" t="s">
        <v>377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</row>
    <row r="1805" spans="1:28" hidden="1" x14ac:dyDescent="0.25">
      <c r="A1805" t="s">
        <v>47</v>
      </c>
      <c r="B1805" t="s">
        <v>52</v>
      </c>
      <c r="C1805" t="s">
        <v>212</v>
      </c>
      <c r="D1805" s="9">
        <v>45962</v>
      </c>
      <c r="E1805" s="9">
        <v>45962</v>
      </c>
      <c r="F1805" s="2">
        <v>0</v>
      </c>
      <c r="G1805" s="3" t="s">
        <v>378</v>
      </c>
      <c r="H1805">
        <v>0</v>
      </c>
      <c r="I1805" s="2">
        <v>0</v>
      </c>
      <c r="J1805" s="2">
        <v>0</v>
      </c>
      <c r="K1805" s="2">
        <v>0</v>
      </c>
      <c r="L1805" s="2">
        <v>0</v>
      </c>
      <c r="M1805">
        <v>0</v>
      </c>
      <c r="N1805">
        <v>0</v>
      </c>
      <c r="O1805" s="2">
        <v>0</v>
      </c>
      <c r="P1805" s="2">
        <v>0</v>
      </c>
      <c r="Q1805">
        <v>0</v>
      </c>
      <c r="R1805" s="2">
        <v>0</v>
      </c>
      <c r="S1805" s="2">
        <v>0</v>
      </c>
      <c r="T1805" t="s">
        <v>377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</row>
    <row r="1806" spans="1:28" hidden="1" x14ac:dyDescent="0.25">
      <c r="A1806" t="s">
        <v>53</v>
      </c>
      <c r="B1806" t="s">
        <v>38</v>
      </c>
      <c r="C1806" t="s">
        <v>54</v>
      </c>
      <c r="D1806" s="9">
        <v>45963</v>
      </c>
      <c r="E1806" s="9">
        <v>45963</v>
      </c>
      <c r="F1806" s="2">
        <v>67</v>
      </c>
      <c r="G1806" s="3" t="s">
        <v>23</v>
      </c>
      <c r="H1806">
        <v>0</v>
      </c>
      <c r="I1806" s="2">
        <v>0</v>
      </c>
      <c r="J1806" s="2">
        <v>0</v>
      </c>
      <c r="K1806" s="2">
        <v>0</v>
      </c>
      <c r="L1806" s="2">
        <v>0</v>
      </c>
      <c r="M1806">
        <v>0</v>
      </c>
      <c r="N1806">
        <v>0</v>
      </c>
      <c r="O1806" s="2">
        <v>0</v>
      </c>
      <c r="P1806" s="2">
        <v>1</v>
      </c>
      <c r="Q1806">
        <v>8</v>
      </c>
      <c r="R1806" s="2">
        <v>0</v>
      </c>
      <c r="S1806" s="2">
        <v>1</v>
      </c>
      <c r="T1806" t="s">
        <v>979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</row>
    <row r="1807" spans="1:28" hidden="1" x14ac:dyDescent="0.25">
      <c r="A1807" t="s">
        <v>20</v>
      </c>
      <c r="B1807" t="s">
        <v>21</v>
      </c>
      <c r="C1807" t="s">
        <v>22</v>
      </c>
      <c r="D1807" s="9">
        <v>45963</v>
      </c>
      <c r="E1807" s="9">
        <v>45963</v>
      </c>
      <c r="F1807" s="2">
        <v>33</v>
      </c>
      <c r="G1807" s="3" t="s">
        <v>23</v>
      </c>
      <c r="H1807">
        <v>0</v>
      </c>
      <c r="I1807" s="2">
        <v>0</v>
      </c>
      <c r="J1807" s="2">
        <v>0</v>
      </c>
      <c r="K1807" s="2">
        <v>0</v>
      </c>
      <c r="L1807" s="2">
        <v>0</v>
      </c>
      <c r="M1807">
        <v>0</v>
      </c>
      <c r="N1807">
        <v>0</v>
      </c>
      <c r="O1807" s="2">
        <v>0</v>
      </c>
      <c r="P1807" s="2">
        <v>1</v>
      </c>
      <c r="Q1807">
        <v>5</v>
      </c>
      <c r="R1807" s="2">
        <v>0</v>
      </c>
      <c r="S1807" s="2">
        <v>1</v>
      </c>
      <c r="T1807" t="s">
        <v>980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</row>
    <row r="1808" spans="1:28" hidden="1" x14ac:dyDescent="0.25">
      <c r="A1808" t="s">
        <v>63</v>
      </c>
      <c r="B1808" t="s">
        <v>284</v>
      </c>
      <c r="C1808" t="s">
        <v>102</v>
      </c>
      <c r="D1808" s="9">
        <v>45963</v>
      </c>
      <c r="E1808" s="9">
        <v>45963</v>
      </c>
      <c r="F1808" s="2">
        <v>48</v>
      </c>
      <c r="G1808" s="3" t="s">
        <v>23</v>
      </c>
      <c r="H1808">
        <v>0</v>
      </c>
      <c r="I1808" s="2">
        <v>0</v>
      </c>
      <c r="J1808" s="2">
        <v>0</v>
      </c>
      <c r="K1808" s="2">
        <v>0</v>
      </c>
      <c r="L1808" s="2">
        <v>0</v>
      </c>
      <c r="M1808">
        <v>0</v>
      </c>
      <c r="N1808">
        <v>0</v>
      </c>
      <c r="O1808" s="2">
        <v>0</v>
      </c>
      <c r="P1808" s="2">
        <v>1</v>
      </c>
      <c r="Q1808">
        <v>6</v>
      </c>
      <c r="R1808" s="2">
        <v>0</v>
      </c>
      <c r="S1808" s="2">
        <v>1</v>
      </c>
      <c r="T1808" t="s">
        <v>981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</row>
    <row r="1809" spans="1:28" hidden="1" x14ac:dyDescent="0.25">
      <c r="A1809" t="s">
        <v>29</v>
      </c>
      <c r="B1809" t="s">
        <v>30</v>
      </c>
      <c r="C1809" t="s">
        <v>31</v>
      </c>
      <c r="D1809" s="9">
        <v>45963</v>
      </c>
      <c r="E1809" s="9">
        <v>45963</v>
      </c>
      <c r="F1809" s="2">
        <v>21</v>
      </c>
      <c r="G1809" s="3" t="s">
        <v>23</v>
      </c>
      <c r="H1809">
        <v>0</v>
      </c>
      <c r="I1809" s="2">
        <v>0</v>
      </c>
      <c r="J1809" s="2">
        <v>0</v>
      </c>
      <c r="K1809" s="2">
        <v>0</v>
      </c>
      <c r="L1809" s="2">
        <v>0</v>
      </c>
      <c r="M1809">
        <v>0</v>
      </c>
      <c r="N1809">
        <v>0</v>
      </c>
      <c r="O1809" s="2">
        <v>0</v>
      </c>
      <c r="P1809" s="2">
        <v>1</v>
      </c>
      <c r="Q1809">
        <v>5</v>
      </c>
      <c r="R1809" s="2">
        <v>0</v>
      </c>
      <c r="S1809" s="2">
        <v>1</v>
      </c>
      <c r="T1809" t="s">
        <v>982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</row>
    <row r="1810" spans="1:28" hidden="1" x14ac:dyDescent="0.25">
      <c r="A1810" t="s">
        <v>568</v>
      </c>
      <c r="B1810" t="s">
        <v>47</v>
      </c>
      <c r="C1810" t="s">
        <v>670</v>
      </c>
      <c r="D1810" s="9">
        <v>45963</v>
      </c>
      <c r="E1810" s="9">
        <v>45963</v>
      </c>
      <c r="F1810" s="2">
        <v>83</v>
      </c>
      <c r="G1810" s="3" t="s">
        <v>23</v>
      </c>
      <c r="H1810">
        <v>0</v>
      </c>
      <c r="I1810" s="2">
        <v>0</v>
      </c>
      <c r="J1810" s="2">
        <v>0</v>
      </c>
      <c r="K1810" s="2">
        <v>0</v>
      </c>
      <c r="L1810" s="2">
        <v>0</v>
      </c>
      <c r="M1810">
        <v>0</v>
      </c>
      <c r="N1810">
        <v>0</v>
      </c>
      <c r="O1810" s="2">
        <v>0</v>
      </c>
      <c r="P1810" s="2">
        <v>0</v>
      </c>
      <c r="Q1810">
        <v>8</v>
      </c>
      <c r="R1810" s="2">
        <v>0</v>
      </c>
      <c r="S1810" s="2">
        <v>1</v>
      </c>
      <c r="T1810" t="s">
        <v>983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1</v>
      </c>
    </row>
    <row r="1811" spans="1:28" hidden="1" x14ac:dyDescent="0.25">
      <c r="A1811" t="s">
        <v>730</v>
      </c>
      <c r="B1811" t="s">
        <v>47</v>
      </c>
      <c r="C1811" t="s">
        <v>670</v>
      </c>
      <c r="D1811" s="9">
        <v>45963</v>
      </c>
      <c r="E1811" s="9">
        <v>45963</v>
      </c>
      <c r="F1811" s="2">
        <v>83</v>
      </c>
      <c r="G1811" s="3" t="s">
        <v>23</v>
      </c>
      <c r="H1811">
        <v>0</v>
      </c>
      <c r="I1811" s="2">
        <v>0</v>
      </c>
      <c r="J1811" s="2">
        <v>0</v>
      </c>
      <c r="K1811" s="2">
        <v>0</v>
      </c>
      <c r="L1811" s="2">
        <v>0</v>
      </c>
      <c r="M1811">
        <v>0</v>
      </c>
      <c r="N1811">
        <v>0</v>
      </c>
      <c r="O1811" s="2">
        <v>0</v>
      </c>
      <c r="P1811" s="2">
        <v>1</v>
      </c>
      <c r="Q1811">
        <v>8</v>
      </c>
      <c r="R1811" s="2">
        <v>0</v>
      </c>
      <c r="S1811" s="2">
        <v>1</v>
      </c>
      <c r="T1811" t="s">
        <v>983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1</v>
      </c>
    </row>
    <row r="1812" spans="1:28" hidden="1" x14ac:dyDescent="0.25">
      <c r="A1812" t="s">
        <v>25</v>
      </c>
      <c r="B1812" t="s">
        <v>26</v>
      </c>
      <c r="C1812" t="s">
        <v>212</v>
      </c>
      <c r="D1812" s="9">
        <v>45963</v>
      </c>
      <c r="E1812" s="9">
        <v>45963</v>
      </c>
      <c r="F1812" s="2">
        <v>0</v>
      </c>
      <c r="G1812" s="3" t="s">
        <v>378</v>
      </c>
      <c r="H1812">
        <v>0</v>
      </c>
      <c r="I1812" s="2">
        <v>0</v>
      </c>
      <c r="J1812" s="2">
        <v>0</v>
      </c>
      <c r="K1812" s="2">
        <v>0</v>
      </c>
      <c r="L1812" s="2">
        <v>0</v>
      </c>
      <c r="M1812">
        <v>0</v>
      </c>
      <c r="N1812">
        <v>0</v>
      </c>
      <c r="O1812" s="2">
        <v>0</v>
      </c>
      <c r="P1812" s="2">
        <v>0</v>
      </c>
      <c r="Q1812">
        <v>0</v>
      </c>
      <c r="R1812" s="2">
        <v>0</v>
      </c>
      <c r="S1812" s="2">
        <v>0</v>
      </c>
      <c r="T1812" t="s">
        <v>377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</row>
    <row r="1813" spans="1:28" hidden="1" x14ac:dyDescent="0.25">
      <c r="A1813" t="s">
        <v>37</v>
      </c>
      <c r="B1813" t="s">
        <v>57</v>
      </c>
      <c r="C1813" t="s">
        <v>212</v>
      </c>
      <c r="D1813" s="9">
        <v>45963</v>
      </c>
      <c r="E1813" s="9">
        <v>45963</v>
      </c>
      <c r="F1813" s="2">
        <v>0</v>
      </c>
      <c r="G1813" s="3" t="s">
        <v>378</v>
      </c>
      <c r="H1813">
        <v>0</v>
      </c>
      <c r="I1813" s="2">
        <v>0</v>
      </c>
      <c r="J1813" s="2">
        <v>0</v>
      </c>
      <c r="K1813" s="2">
        <v>0</v>
      </c>
      <c r="L1813" s="2">
        <v>0</v>
      </c>
      <c r="M1813">
        <v>0</v>
      </c>
      <c r="N1813">
        <v>0</v>
      </c>
      <c r="O1813" s="2">
        <v>0</v>
      </c>
      <c r="P1813" s="2">
        <v>0</v>
      </c>
      <c r="Q1813">
        <v>0</v>
      </c>
      <c r="R1813" s="2">
        <v>0</v>
      </c>
      <c r="S1813" s="2">
        <v>0</v>
      </c>
      <c r="T1813" t="s">
        <v>377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</row>
    <row r="1814" spans="1:28" hidden="1" x14ac:dyDescent="0.25">
      <c r="A1814" t="s">
        <v>33</v>
      </c>
      <c r="B1814" t="s">
        <v>34</v>
      </c>
      <c r="C1814" t="s">
        <v>212</v>
      </c>
      <c r="D1814" s="9">
        <v>45963</v>
      </c>
      <c r="E1814" s="9">
        <v>45963</v>
      </c>
      <c r="F1814" s="2">
        <v>0</v>
      </c>
      <c r="G1814" s="3" t="s">
        <v>378</v>
      </c>
      <c r="H1814">
        <v>0</v>
      </c>
      <c r="I1814" s="2">
        <v>0</v>
      </c>
      <c r="J1814" s="2">
        <v>0</v>
      </c>
      <c r="K1814" s="2">
        <v>0</v>
      </c>
      <c r="L1814" s="2">
        <v>0</v>
      </c>
      <c r="M1814">
        <v>0</v>
      </c>
      <c r="N1814">
        <v>0</v>
      </c>
      <c r="O1814" s="2">
        <v>0</v>
      </c>
      <c r="P1814" s="2">
        <v>0</v>
      </c>
      <c r="Q1814">
        <v>0</v>
      </c>
      <c r="R1814" s="2">
        <v>0</v>
      </c>
      <c r="S1814" s="2">
        <v>0</v>
      </c>
      <c r="T1814" t="s">
        <v>377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</row>
    <row r="1815" spans="1:28" hidden="1" x14ac:dyDescent="0.25">
      <c r="A1815" t="s">
        <v>47</v>
      </c>
      <c r="B1815" t="s">
        <v>52</v>
      </c>
      <c r="C1815" t="s">
        <v>212</v>
      </c>
      <c r="D1815" s="9">
        <v>45963</v>
      </c>
      <c r="E1815" s="9">
        <v>45963</v>
      </c>
      <c r="F1815" s="2">
        <v>0</v>
      </c>
      <c r="G1815" s="3" t="s">
        <v>378</v>
      </c>
      <c r="H1815">
        <v>0</v>
      </c>
      <c r="I1815" s="2">
        <v>0</v>
      </c>
      <c r="J1815" s="2">
        <v>0</v>
      </c>
      <c r="K1815" s="2">
        <v>0</v>
      </c>
      <c r="L1815" s="2">
        <v>0</v>
      </c>
      <c r="M1815">
        <v>0</v>
      </c>
      <c r="N1815">
        <v>0</v>
      </c>
      <c r="O1815" s="2">
        <v>0</v>
      </c>
      <c r="P1815" s="2">
        <v>0</v>
      </c>
      <c r="Q1815">
        <v>0</v>
      </c>
      <c r="R1815" s="2">
        <v>0</v>
      </c>
      <c r="S1815" s="2">
        <v>0</v>
      </c>
      <c r="T1815" t="s">
        <v>377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</row>
    <row r="1816" spans="1:28" hidden="1" x14ac:dyDescent="0.25">
      <c r="A1816" t="s">
        <v>20</v>
      </c>
      <c r="B1816" t="s">
        <v>21</v>
      </c>
      <c r="C1816" t="s">
        <v>22</v>
      </c>
      <c r="D1816" s="1">
        <v>45964</v>
      </c>
      <c r="E1816" s="1">
        <v>45964</v>
      </c>
      <c r="F1816" s="2">
        <v>38</v>
      </c>
      <c r="G1816" s="3" t="s">
        <v>23</v>
      </c>
      <c r="H1816">
        <v>2</v>
      </c>
      <c r="I1816" s="2">
        <v>0</v>
      </c>
      <c r="J1816" s="2">
        <v>0</v>
      </c>
      <c r="K1816" s="2">
        <v>0</v>
      </c>
      <c r="L1816" s="2">
        <v>0</v>
      </c>
      <c r="M1816">
        <v>0</v>
      </c>
      <c r="N1816">
        <v>0</v>
      </c>
      <c r="O1816" s="2">
        <v>0</v>
      </c>
      <c r="P1816" s="2">
        <v>0</v>
      </c>
      <c r="Q1816">
        <v>0</v>
      </c>
      <c r="R1816" s="2">
        <v>0</v>
      </c>
      <c r="S1816" s="2">
        <v>0</v>
      </c>
      <c r="T1816" t="s">
        <v>984</v>
      </c>
      <c r="U1816" s="2">
        <v>0</v>
      </c>
      <c r="V1816" s="2">
        <v>10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</row>
    <row r="1817" spans="1:28" hidden="1" x14ac:dyDescent="0.25">
      <c r="A1817" t="s">
        <v>25</v>
      </c>
      <c r="B1817" t="s">
        <v>26</v>
      </c>
      <c r="C1817" t="s">
        <v>27</v>
      </c>
      <c r="D1817" s="1">
        <v>45964</v>
      </c>
      <c r="E1817" s="1">
        <v>45964</v>
      </c>
      <c r="F1817" s="2">
        <v>22</v>
      </c>
      <c r="G1817" s="3" t="s">
        <v>23</v>
      </c>
      <c r="H1817">
        <v>0</v>
      </c>
      <c r="I1817" s="2">
        <v>0</v>
      </c>
      <c r="J1817" s="2">
        <v>0</v>
      </c>
      <c r="K1817" s="2">
        <v>0</v>
      </c>
      <c r="L1817" s="2">
        <v>0</v>
      </c>
      <c r="M1817">
        <v>0</v>
      </c>
      <c r="N1817">
        <v>0</v>
      </c>
      <c r="O1817" s="2">
        <v>0</v>
      </c>
      <c r="P1817" s="2">
        <v>0</v>
      </c>
      <c r="Q1817">
        <v>0</v>
      </c>
      <c r="R1817" s="2">
        <v>0</v>
      </c>
      <c r="S1817" s="2">
        <v>0</v>
      </c>
      <c r="T1817" t="s">
        <v>985</v>
      </c>
      <c r="U1817" s="2">
        <v>0</v>
      </c>
      <c r="V1817" s="2">
        <v>20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</row>
    <row r="1818" spans="1:28" hidden="1" x14ac:dyDescent="0.25">
      <c r="A1818" t="s">
        <v>33</v>
      </c>
      <c r="B1818" t="s">
        <v>34</v>
      </c>
      <c r="C1818" t="s">
        <v>35</v>
      </c>
      <c r="D1818" s="1">
        <v>45964</v>
      </c>
      <c r="E1818" s="1">
        <v>45964</v>
      </c>
      <c r="F1818" s="2">
        <v>33</v>
      </c>
      <c r="G1818" s="3" t="s">
        <v>23</v>
      </c>
      <c r="H1818">
        <v>15</v>
      </c>
      <c r="I1818" s="2">
        <v>0</v>
      </c>
      <c r="J1818" s="2">
        <v>0</v>
      </c>
      <c r="K1818" s="2">
        <v>0</v>
      </c>
      <c r="L1818" s="2">
        <v>0</v>
      </c>
      <c r="M1818">
        <v>0</v>
      </c>
      <c r="N1818">
        <v>0</v>
      </c>
      <c r="O1818" s="2">
        <v>0</v>
      </c>
      <c r="P1818" s="2">
        <v>0</v>
      </c>
      <c r="Q1818">
        <v>0</v>
      </c>
      <c r="R1818" s="2">
        <v>0</v>
      </c>
      <c r="S1818" s="2">
        <v>0</v>
      </c>
      <c r="T1818" t="s">
        <v>986</v>
      </c>
      <c r="U1818" s="2">
        <v>0</v>
      </c>
      <c r="V1818" s="2">
        <v>11</v>
      </c>
      <c r="W1818" s="2">
        <v>1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</row>
    <row r="1819" spans="1:28" hidden="1" x14ac:dyDescent="0.25">
      <c r="A1819" t="s">
        <v>37</v>
      </c>
      <c r="B1819" t="s">
        <v>57</v>
      </c>
      <c r="C1819" t="s">
        <v>39</v>
      </c>
      <c r="D1819" s="1">
        <v>45964</v>
      </c>
      <c r="E1819" s="1">
        <v>45964</v>
      </c>
      <c r="F1819" s="2">
        <v>16</v>
      </c>
      <c r="G1819" s="3" t="s">
        <v>23</v>
      </c>
      <c r="H1819">
        <v>0</v>
      </c>
      <c r="I1819" s="2">
        <v>0</v>
      </c>
      <c r="J1819" s="2">
        <v>0</v>
      </c>
      <c r="K1819" s="2">
        <v>0</v>
      </c>
      <c r="L1819" s="2">
        <v>0</v>
      </c>
      <c r="M1819">
        <v>1</v>
      </c>
      <c r="N1819">
        <v>0</v>
      </c>
      <c r="O1819" s="2">
        <v>0</v>
      </c>
      <c r="P1819" s="2">
        <v>0</v>
      </c>
      <c r="Q1819">
        <v>0</v>
      </c>
      <c r="R1819" s="2">
        <v>0</v>
      </c>
      <c r="S1819" s="2">
        <v>0</v>
      </c>
      <c r="T1819" t="s">
        <v>987</v>
      </c>
      <c r="U1819" s="2">
        <v>0</v>
      </c>
      <c r="V1819" s="2">
        <v>22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</row>
    <row r="1820" spans="1:28" hidden="1" x14ac:dyDescent="0.25">
      <c r="A1820" t="s">
        <v>53</v>
      </c>
      <c r="B1820" t="s">
        <v>38</v>
      </c>
      <c r="C1820" t="s">
        <v>39</v>
      </c>
      <c r="D1820" s="1">
        <v>45964</v>
      </c>
      <c r="E1820" s="1">
        <v>45964</v>
      </c>
      <c r="F1820" s="2">
        <v>16</v>
      </c>
      <c r="G1820" s="3" t="s">
        <v>23</v>
      </c>
      <c r="H1820">
        <v>0</v>
      </c>
      <c r="I1820" s="2">
        <v>0</v>
      </c>
      <c r="J1820" s="2">
        <v>0</v>
      </c>
      <c r="K1820" s="2">
        <v>0</v>
      </c>
      <c r="L1820" s="2">
        <v>0</v>
      </c>
      <c r="M1820">
        <v>1</v>
      </c>
      <c r="N1820">
        <v>0</v>
      </c>
      <c r="O1820" s="2">
        <v>0</v>
      </c>
      <c r="P1820" s="2">
        <v>0</v>
      </c>
      <c r="Q1820">
        <v>0</v>
      </c>
      <c r="R1820" s="2">
        <v>0</v>
      </c>
      <c r="S1820" s="2">
        <v>0</v>
      </c>
      <c r="T1820" t="s">
        <v>987</v>
      </c>
      <c r="U1820" s="2">
        <v>0</v>
      </c>
      <c r="V1820" s="2">
        <v>20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</row>
    <row r="1821" spans="1:28" hidden="1" x14ac:dyDescent="0.25">
      <c r="A1821" t="s">
        <v>56</v>
      </c>
      <c r="B1821" t="s">
        <v>47</v>
      </c>
      <c r="C1821" t="s">
        <v>212</v>
      </c>
      <c r="D1821" s="1">
        <v>45964</v>
      </c>
      <c r="E1821" s="1">
        <v>45964</v>
      </c>
      <c r="F1821" s="2">
        <v>0</v>
      </c>
      <c r="G1821" s="3" t="s">
        <v>23</v>
      </c>
      <c r="H1821">
        <v>0</v>
      </c>
      <c r="I1821" s="2">
        <v>0</v>
      </c>
      <c r="J1821" s="2">
        <v>0</v>
      </c>
      <c r="K1821" s="2">
        <v>0</v>
      </c>
      <c r="L1821" s="2">
        <v>0</v>
      </c>
      <c r="M1821">
        <v>0</v>
      </c>
      <c r="N1821">
        <v>0</v>
      </c>
      <c r="O1821" s="2">
        <v>0</v>
      </c>
      <c r="P1821" s="2">
        <v>0</v>
      </c>
      <c r="Q1821">
        <v>2</v>
      </c>
      <c r="R1821" s="2">
        <v>0</v>
      </c>
      <c r="S1821" s="2">
        <v>0</v>
      </c>
      <c r="T1821" t="s">
        <v>377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</row>
    <row r="1822" spans="1:28" hidden="1" x14ac:dyDescent="0.25">
      <c r="A1822" t="s">
        <v>568</v>
      </c>
      <c r="B1822" t="s">
        <v>47</v>
      </c>
      <c r="C1822" t="s">
        <v>212</v>
      </c>
      <c r="D1822" s="1">
        <v>45964</v>
      </c>
      <c r="E1822" s="1">
        <v>45964</v>
      </c>
      <c r="F1822" s="2">
        <v>0</v>
      </c>
      <c r="G1822" s="3" t="s">
        <v>988</v>
      </c>
      <c r="H1822">
        <v>0</v>
      </c>
      <c r="I1822" s="2">
        <v>0</v>
      </c>
      <c r="J1822" s="2">
        <v>0</v>
      </c>
      <c r="K1822" s="2">
        <v>0</v>
      </c>
      <c r="L1822" s="2">
        <v>0</v>
      </c>
      <c r="M1822">
        <v>0</v>
      </c>
      <c r="N1822">
        <v>0</v>
      </c>
      <c r="O1822" s="2">
        <v>0</v>
      </c>
      <c r="P1822" s="2">
        <v>0</v>
      </c>
      <c r="Q1822">
        <v>0</v>
      </c>
      <c r="R1822" s="2">
        <v>0</v>
      </c>
      <c r="S1822" s="2">
        <v>0</v>
      </c>
      <c r="T1822" t="s">
        <v>377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</row>
    <row r="1823" spans="1:28" hidden="1" x14ac:dyDescent="0.25">
      <c r="A1823" t="s">
        <v>730</v>
      </c>
      <c r="B1823" t="s">
        <v>47</v>
      </c>
      <c r="C1823" t="s">
        <v>212</v>
      </c>
      <c r="D1823" s="1">
        <v>45964</v>
      </c>
      <c r="E1823" s="1">
        <v>45964</v>
      </c>
      <c r="F1823" s="2">
        <v>0</v>
      </c>
      <c r="G1823" s="3" t="s">
        <v>50</v>
      </c>
      <c r="H1823">
        <v>0</v>
      </c>
      <c r="I1823" s="2">
        <v>0</v>
      </c>
      <c r="J1823" s="2">
        <v>0</v>
      </c>
      <c r="K1823" s="2">
        <v>0</v>
      </c>
      <c r="L1823" s="2">
        <v>0</v>
      </c>
      <c r="M1823">
        <v>0</v>
      </c>
      <c r="N1823">
        <v>0</v>
      </c>
      <c r="O1823" s="2">
        <v>0</v>
      </c>
      <c r="P1823" s="2">
        <v>0</v>
      </c>
      <c r="Q1823">
        <v>0</v>
      </c>
      <c r="R1823" s="2">
        <v>0</v>
      </c>
      <c r="S1823" s="2">
        <v>0</v>
      </c>
      <c r="T1823" t="s">
        <v>377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</row>
    <row r="1824" spans="1:28" hidden="1" x14ac:dyDescent="0.25">
      <c r="A1824" t="s">
        <v>47</v>
      </c>
      <c r="B1824" t="s">
        <v>52</v>
      </c>
      <c r="C1824" t="s">
        <v>212</v>
      </c>
      <c r="D1824" s="1">
        <v>45964</v>
      </c>
      <c r="E1824" s="1">
        <v>45964</v>
      </c>
      <c r="F1824" s="2">
        <v>0</v>
      </c>
      <c r="G1824" s="3" t="s">
        <v>572</v>
      </c>
      <c r="H1824">
        <v>0</v>
      </c>
      <c r="I1824" s="2">
        <v>0</v>
      </c>
      <c r="J1824" s="2">
        <v>0</v>
      </c>
      <c r="K1824" s="2">
        <v>0</v>
      </c>
      <c r="L1824" s="2">
        <v>0</v>
      </c>
      <c r="M1824">
        <v>0</v>
      </c>
      <c r="N1824">
        <v>0</v>
      </c>
      <c r="O1824" s="2">
        <v>0</v>
      </c>
      <c r="P1824" s="2">
        <v>0</v>
      </c>
      <c r="Q1824">
        <v>0</v>
      </c>
      <c r="R1824" s="2">
        <v>0</v>
      </c>
      <c r="S1824" s="2">
        <v>0</v>
      </c>
      <c r="T1824" t="s">
        <v>377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</row>
    <row r="1825" spans="1:28" hidden="1" x14ac:dyDescent="0.25">
      <c r="A1825" t="s">
        <v>56</v>
      </c>
      <c r="B1825" t="s">
        <v>47</v>
      </c>
      <c r="C1825" t="s">
        <v>64</v>
      </c>
      <c r="D1825" s="1">
        <v>45965</v>
      </c>
      <c r="E1825" s="1">
        <v>45965</v>
      </c>
      <c r="F1825" s="2">
        <v>56</v>
      </c>
      <c r="G1825" s="3" t="s">
        <v>23</v>
      </c>
      <c r="H1825">
        <v>25</v>
      </c>
      <c r="I1825" s="2">
        <v>0</v>
      </c>
      <c r="J1825" s="2">
        <v>0</v>
      </c>
      <c r="K1825" s="2">
        <v>1</v>
      </c>
      <c r="L1825" s="2">
        <v>0</v>
      </c>
      <c r="M1825">
        <v>0</v>
      </c>
      <c r="N1825">
        <v>1</v>
      </c>
      <c r="O1825" s="2">
        <v>0</v>
      </c>
      <c r="P1825" s="2">
        <v>0</v>
      </c>
      <c r="Q1825">
        <v>0</v>
      </c>
      <c r="R1825" s="2">
        <v>0</v>
      </c>
      <c r="S1825" s="2">
        <v>0</v>
      </c>
      <c r="T1825" t="s">
        <v>989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</row>
    <row r="1826" spans="1:28" hidden="1" x14ac:dyDescent="0.25">
      <c r="A1826" t="s">
        <v>568</v>
      </c>
      <c r="B1826" t="s">
        <v>47</v>
      </c>
      <c r="C1826" t="s">
        <v>64</v>
      </c>
      <c r="D1826" s="1">
        <v>45965</v>
      </c>
      <c r="E1826" s="1">
        <v>45965</v>
      </c>
      <c r="F1826" s="2">
        <v>56</v>
      </c>
      <c r="G1826" s="3" t="s">
        <v>23</v>
      </c>
      <c r="H1826">
        <v>25</v>
      </c>
      <c r="I1826" s="2">
        <v>0</v>
      </c>
      <c r="J1826" s="2">
        <v>0</v>
      </c>
      <c r="K1826" s="2">
        <v>1</v>
      </c>
      <c r="L1826" s="2">
        <v>0</v>
      </c>
      <c r="M1826">
        <v>0</v>
      </c>
      <c r="N1826">
        <v>1</v>
      </c>
      <c r="O1826" s="2">
        <v>0</v>
      </c>
      <c r="P1826" s="2">
        <v>0</v>
      </c>
      <c r="Q1826">
        <v>0</v>
      </c>
      <c r="R1826" s="2">
        <v>0</v>
      </c>
      <c r="S1826" s="2">
        <v>0</v>
      </c>
      <c r="T1826" t="s">
        <v>989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</row>
    <row r="1827" spans="1:28" hidden="1" x14ac:dyDescent="0.25">
      <c r="A1827" t="s">
        <v>53</v>
      </c>
      <c r="B1827" t="s">
        <v>38</v>
      </c>
      <c r="C1827" t="s">
        <v>54</v>
      </c>
      <c r="D1827" s="1">
        <v>45965</v>
      </c>
      <c r="E1827" s="1">
        <v>45965</v>
      </c>
      <c r="F1827" s="2">
        <v>42</v>
      </c>
      <c r="G1827" s="3" t="s">
        <v>23</v>
      </c>
      <c r="H1827">
        <v>14</v>
      </c>
      <c r="I1827" s="2">
        <v>0</v>
      </c>
      <c r="J1827" s="2">
        <v>0</v>
      </c>
      <c r="K1827" s="2">
        <v>0</v>
      </c>
      <c r="L1827" s="2">
        <v>1</v>
      </c>
      <c r="M1827">
        <v>0</v>
      </c>
      <c r="N1827">
        <v>0</v>
      </c>
      <c r="O1827" s="2">
        <v>0</v>
      </c>
      <c r="P1827" s="2">
        <v>0</v>
      </c>
      <c r="Q1827">
        <v>0</v>
      </c>
      <c r="R1827" s="2">
        <v>0</v>
      </c>
      <c r="S1827" s="2">
        <v>0</v>
      </c>
      <c r="T1827" t="s">
        <v>990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</row>
    <row r="1828" spans="1:28" hidden="1" x14ac:dyDescent="0.25">
      <c r="A1828" t="s">
        <v>20</v>
      </c>
      <c r="B1828" t="s">
        <v>21</v>
      </c>
      <c r="C1828" t="s">
        <v>22</v>
      </c>
      <c r="D1828" s="1">
        <v>45965</v>
      </c>
      <c r="E1828" s="1">
        <v>45965</v>
      </c>
      <c r="F1828" s="2">
        <v>20</v>
      </c>
      <c r="G1828" s="3" t="s">
        <v>23</v>
      </c>
      <c r="H1828">
        <v>24</v>
      </c>
      <c r="I1828" s="2">
        <v>0</v>
      </c>
      <c r="J1828" s="2">
        <v>0</v>
      </c>
      <c r="K1828" s="2">
        <v>1</v>
      </c>
      <c r="L1828" s="2">
        <v>0</v>
      </c>
      <c r="M1828">
        <v>1</v>
      </c>
      <c r="N1828">
        <v>0</v>
      </c>
      <c r="O1828" s="2">
        <v>0</v>
      </c>
      <c r="P1828" s="2">
        <v>0</v>
      </c>
      <c r="Q1828">
        <v>0</v>
      </c>
      <c r="R1828" s="2">
        <v>0</v>
      </c>
      <c r="S1828" s="2">
        <v>0</v>
      </c>
      <c r="T1828" t="s">
        <v>991</v>
      </c>
      <c r="U1828" s="2">
        <v>0</v>
      </c>
      <c r="V1828" s="2">
        <v>6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</row>
    <row r="1829" spans="1:28" hidden="1" x14ac:dyDescent="0.25">
      <c r="A1829" t="s">
        <v>25</v>
      </c>
      <c r="B1829" t="s">
        <v>26</v>
      </c>
      <c r="C1829" t="s">
        <v>27</v>
      </c>
      <c r="D1829" s="1">
        <v>45965</v>
      </c>
      <c r="E1829" s="1">
        <v>45965</v>
      </c>
      <c r="F1829" s="2">
        <v>37</v>
      </c>
      <c r="G1829" s="3" t="s">
        <v>23</v>
      </c>
      <c r="H1829">
        <v>35</v>
      </c>
      <c r="I1829" s="2">
        <v>0</v>
      </c>
      <c r="J1829" s="2">
        <v>0</v>
      </c>
      <c r="K1829" s="2">
        <v>1</v>
      </c>
      <c r="L1829" s="2">
        <v>0</v>
      </c>
      <c r="M1829">
        <v>0</v>
      </c>
      <c r="N1829">
        <v>0</v>
      </c>
      <c r="O1829" s="2">
        <v>0</v>
      </c>
      <c r="P1829" s="2">
        <v>0</v>
      </c>
      <c r="Q1829">
        <v>0</v>
      </c>
      <c r="R1829" s="2">
        <v>0</v>
      </c>
      <c r="S1829" s="2">
        <v>0</v>
      </c>
      <c r="T1829" t="s">
        <v>992</v>
      </c>
      <c r="U1829" s="2">
        <v>0</v>
      </c>
      <c r="V1829" s="2">
        <v>0</v>
      </c>
      <c r="W1829" s="2">
        <v>1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</row>
    <row r="1830" spans="1:28" hidden="1" x14ac:dyDescent="0.25">
      <c r="A1830" t="s">
        <v>29</v>
      </c>
      <c r="B1830" t="s">
        <v>30</v>
      </c>
      <c r="C1830" t="s">
        <v>27</v>
      </c>
      <c r="D1830" s="1">
        <v>45964</v>
      </c>
      <c r="E1830" s="1">
        <v>45964</v>
      </c>
      <c r="F1830" s="2">
        <v>37</v>
      </c>
      <c r="G1830" s="3" t="s">
        <v>23</v>
      </c>
      <c r="H1830">
        <f>2+5+2+1+1</f>
        <v>11</v>
      </c>
      <c r="I1830" s="2">
        <v>0</v>
      </c>
      <c r="J1830" s="2">
        <v>0</v>
      </c>
      <c r="K1830" s="2">
        <v>0</v>
      </c>
      <c r="L1830" s="2">
        <v>0</v>
      </c>
      <c r="M1830">
        <v>0</v>
      </c>
      <c r="N1830">
        <v>0</v>
      </c>
      <c r="O1830" s="2">
        <v>0</v>
      </c>
      <c r="P1830" s="2">
        <v>0</v>
      </c>
      <c r="Q1830">
        <v>0</v>
      </c>
      <c r="R1830" s="2">
        <v>0</v>
      </c>
      <c r="S1830" s="2">
        <v>0</v>
      </c>
      <c r="T1830" t="s">
        <v>992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</row>
    <row r="1831" spans="1:28" hidden="1" x14ac:dyDescent="0.25">
      <c r="A1831" t="s">
        <v>29</v>
      </c>
      <c r="B1831" t="s">
        <v>30</v>
      </c>
      <c r="C1831" t="s">
        <v>27</v>
      </c>
      <c r="D1831" s="1">
        <v>45965</v>
      </c>
      <c r="E1831" s="1">
        <v>45965</v>
      </c>
      <c r="F1831" s="2">
        <v>37</v>
      </c>
      <c r="G1831" s="3" t="s">
        <v>23</v>
      </c>
      <c r="H1831">
        <v>36</v>
      </c>
      <c r="I1831" s="2">
        <v>0</v>
      </c>
      <c r="J1831" s="2">
        <v>0</v>
      </c>
      <c r="K1831" s="2">
        <v>1</v>
      </c>
      <c r="L1831" s="2">
        <v>0</v>
      </c>
      <c r="M1831">
        <v>0</v>
      </c>
      <c r="N1831">
        <v>0</v>
      </c>
      <c r="O1831" s="2">
        <v>0</v>
      </c>
      <c r="P1831" s="2">
        <v>0</v>
      </c>
      <c r="Q1831">
        <v>0</v>
      </c>
      <c r="R1831" s="2">
        <v>0</v>
      </c>
      <c r="S1831" s="2">
        <v>0</v>
      </c>
      <c r="T1831" t="s">
        <v>992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</row>
    <row r="1832" spans="1:28" hidden="1" x14ac:dyDescent="0.25">
      <c r="A1832" t="s">
        <v>37</v>
      </c>
      <c r="B1832" t="s">
        <v>57</v>
      </c>
      <c r="C1832" t="s">
        <v>212</v>
      </c>
      <c r="D1832" s="1">
        <v>45965</v>
      </c>
      <c r="E1832" s="1">
        <v>45965</v>
      </c>
      <c r="F1832" s="2">
        <v>0</v>
      </c>
      <c r="G1832" s="3" t="s">
        <v>48</v>
      </c>
      <c r="H1832">
        <v>0</v>
      </c>
      <c r="I1832" s="2">
        <v>0</v>
      </c>
      <c r="J1832" s="2">
        <v>0</v>
      </c>
      <c r="K1832" s="2">
        <v>0</v>
      </c>
      <c r="L1832" s="2">
        <v>0</v>
      </c>
      <c r="M1832">
        <v>0</v>
      </c>
      <c r="N1832">
        <v>0</v>
      </c>
      <c r="O1832" s="2">
        <v>0</v>
      </c>
      <c r="P1832" s="2">
        <v>0</v>
      </c>
      <c r="Q1832">
        <v>0</v>
      </c>
      <c r="R1832" s="2">
        <v>0</v>
      </c>
      <c r="S1832" s="2">
        <v>0</v>
      </c>
      <c r="T1832" t="s">
        <v>377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</row>
    <row r="1833" spans="1:28" hidden="1" x14ac:dyDescent="0.25">
      <c r="A1833" t="s">
        <v>33</v>
      </c>
      <c r="B1833" t="s">
        <v>34</v>
      </c>
      <c r="C1833" t="s">
        <v>212</v>
      </c>
      <c r="D1833" s="1">
        <v>45965</v>
      </c>
      <c r="E1833" s="1">
        <v>45965</v>
      </c>
      <c r="F1833" s="2">
        <v>0</v>
      </c>
      <c r="G1833" s="3" t="s">
        <v>48</v>
      </c>
      <c r="H1833">
        <v>0</v>
      </c>
      <c r="I1833" s="2">
        <v>0</v>
      </c>
      <c r="J1833" s="2">
        <v>0</v>
      </c>
      <c r="K1833" s="2">
        <v>0</v>
      </c>
      <c r="L1833" s="2">
        <v>0</v>
      </c>
      <c r="M1833">
        <v>0</v>
      </c>
      <c r="N1833">
        <v>0</v>
      </c>
      <c r="O1833" s="2">
        <v>0</v>
      </c>
      <c r="P1833" s="2">
        <v>0</v>
      </c>
      <c r="Q1833">
        <v>0</v>
      </c>
      <c r="R1833" s="2">
        <v>0</v>
      </c>
      <c r="S1833" s="2">
        <v>0</v>
      </c>
      <c r="T1833" t="s">
        <v>377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</row>
    <row r="1834" spans="1:28" hidden="1" x14ac:dyDescent="0.25">
      <c r="A1834" t="s">
        <v>730</v>
      </c>
      <c r="B1834" t="s">
        <v>47</v>
      </c>
      <c r="C1834" t="s">
        <v>212</v>
      </c>
      <c r="D1834" s="1">
        <v>45965</v>
      </c>
      <c r="E1834" s="1">
        <v>45965</v>
      </c>
      <c r="F1834" s="2">
        <v>0</v>
      </c>
      <c r="G1834" s="3" t="s">
        <v>50</v>
      </c>
      <c r="H1834">
        <v>0</v>
      </c>
      <c r="I1834" s="2">
        <v>0</v>
      </c>
      <c r="J1834" s="2">
        <v>0</v>
      </c>
      <c r="K1834" s="2">
        <v>0</v>
      </c>
      <c r="L1834" s="2">
        <v>0</v>
      </c>
      <c r="M1834">
        <v>0</v>
      </c>
      <c r="N1834">
        <v>0</v>
      </c>
      <c r="O1834" s="2">
        <v>0</v>
      </c>
      <c r="P1834" s="2">
        <v>0</v>
      </c>
      <c r="Q1834">
        <v>0</v>
      </c>
      <c r="R1834" s="2">
        <v>0</v>
      </c>
      <c r="S1834" s="2">
        <v>0</v>
      </c>
      <c r="T1834" t="s">
        <v>377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</row>
    <row r="1835" spans="1:28" hidden="1" x14ac:dyDescent="0.25">
      <c r="A1835" t="s">
        <v>47</v>
      </c>
      <c r="B1835" t="s">
        <v>52</v>
      </c>
      <c r="C1835" t="s">
        <v>212</v>
      </c>
      <c r="D1835" s="1">
        <v>45965</v>
      </c>
      <c r="E1835" s="1">
        <v>45965</v>
      </c>
      <c r="F1835" s="2">
        <v>0</v>
      </c>
      <c r="G1835" s="3" t="s">
        <v>572</v>
      </c>
      <c r="H1835">
        <v>0</v>
      </c>
      <c r="I1835" s="2">
        <v>0</v>
      </c>
      <c r="J1835" s="2">
        <v>0</v>
      </c>
      <c r="K1835" s="2">
        <v>0</v>
      </c>
      <c r="L1835" s="2">
        <v>0</v>
      </c>
      <c r="M1835">
        <v>0</v>
      </c>
      <c r="N1835">
        <v>0</v>
      </c>
      <c r="O1835" s="2">
        <v>0</v>
      </c>
      <c r="P1835" s="2">
        <v>0</v>
      </c>
      <c r="Q1835">
        <v>0</v>
      </c>
      <c r="R1835" s="2">
        <v>0</v>
      </c>
      <c r="S1835" s="2">
        <v>0</v>
      </c>
      <c r="T1835" t="s">
        <v>377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</row>
    <row r="1836" spans="1:28" hidden="1" x14ac:dyDescent="0.25">
      <c r="A1836" t="s">
        <v>53</v>
      </c>
      <c r="B1836" t="s">
        <v>38</v>
      </c>
      <c r="C1836" t="s">
        <v>54</v>
      </c>
      <c r="D1836" s="1">
        <v>45966</v>
      </c>
      <c r="E1836" s="1">
        <v>45966</v>
      </c>
      <c r="F1836" s="2">
        <v>78</v>
      </c>
      <c r="G1836" s="3" t="s">
        <v>23</v>
      </c>
      <c r="H1836">
        <f>14+14+9+3</f>
        <v>40</v>
      </c>
      <c r="I1836" s="2">
        <v>0</v>
      </c>
      <c r="J1836" s="2">
        <v>0</v>
      </c>
      <c r="K1836" s="2">
        <v>1</v>
      </c>
      <c r="L1836" s="2">
        <v>0</v>
      </c>
      <c r="M1836">
        <v>0</v>
      </c>
      <c r="N1836">
        <v>0</v>
      </c>
      <c r="O1836" s="2">
        <v>0</v>
      </c>
      <c r="P1836" s="2">
        <v>0</v>
      </c>
      <c r="Q1836">
        <v>0</v>
      </c>
      <c r="R1836" s="2">
        <v>0</v>
      </c>
      <c r="S1836" s="2">
        <v>0</v>
      </c>
      <c r="T1836" t="s">
        <v>993</v>
      </c>
      <c r="U1836" s="2">
        <v>0</v>
      </c>
      <c r="V1836" s="2">
        <v>10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</row>
    <row r="1837" spans="1:28" hidden="1" x14ac:dyDescent="0.25">
      <c r="A1837" t="s">
        <v>730</v>
      </c>
      <c r="B1837" t="s">
        <v>47</v>
      </c>
      <c r="C1837" t="s">
        <v>54</v>
      </c>
      <c r="D1837" s="1">
        <v>45966</v>
      </c>
      <c r="E1837" s="1">
        <v>45966</v>
      </c>
      <c r="F1837" s="2">
        <v>78</v>
      </c>
      <c r="G1837" s="3" t="s">
        <v>23</v>
      </c>
      <c r="H1837">
        <f>14+14+9+3</f>
        <v>40</v>
      </c>
      <c r="I1837" s="2">
        <v>0</v>
      </c>
      <c r="J1837" s="2">
        <v>0</v>
      </c>
      <c r="K1837" s="2">
        <v>1</v>
      </c>
      <c r="L1837" s="2">
        <v>0</v>
      </c>
      <c r="M1837">
        <v>0</v>
      </c>
      <c r="N1837">
        <v>0</v>
      </c>
      <c r="O1837" s="2">
        <v>0</v>
      </c>
      <c r="P1837" s="2">
        <v>0</v>
      </c>
      <c r="Q1837">
        <v>0</v>
      </c>
      <c r="R1837" s="2">
        <v>0</v>
      </c>
      <c r="S1837" s="2">
        <v>0</v>
      </c>
      <c r="T1837" t="s">
        <v>993</v>
      </c>
      <c r="U1837" s="2">
        <v>0</v>
      </c>
      <c r="V1837" s="2">
        <v>10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</row>
    <row r="1838" spans="1:28" hidden="1" x14ac:dyDescent="0.25">
      <c r="A1838" t="s">
        <v>20</v>
      </c>
      <c r="B1838" t="s">
        <v>21</v>
      </c>
      <c r="C1838" t="s">
        <v>22</v>
      </c>
      <c r="D1838" s="1">
        <v>45966</v>
      </c>
      <c r="E1838" s="1">
        <v>45966</v>
      </c>
      <c r="F1838" s="2">
        <v>30</v>
      </c>
      <c r="G1838" s="3" t="s">
        <v>23</v>
      </c>
      <c r="H1838">
        <v>24</v>
      </c>
      <c r="I1838" s="2">
        <v>0</v>
      </c>
      <c r="J1838" s="2">
        <v>0</v>
      </c>
      <c r="K1838" s="2">
        <v>1</v>
      </c>
      <c r="L1838" s="2">
        <v>0</v>
      </c>
      <c r="M1838">
        <v>0</v>
      </c>
      <c r="N1838">
        <v>0</v>
      </c>
      <c r="O1838" s="2">
        <v>0</v>
      </c>
      <c r="P1838" s="2">
        <v>0</v>
      </c>
      <c r="Q1838">
        <v>0</v>
      </c>
      <c r="R1838" s="2">
        <v>0</v>
      </c>
      <c r="S1838" s="2">
        <v>0</v>
      </c>
      <c r="T1838" t="s">
        <v>994</v>
      </c>
      <c r="U1838" s="2">
        <v>0</v>
      </c>
      <c r="V1838" s="2">
        <f>18+4+2</f>
        <v>24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</row>
    <row r="1839" spans="1:28" hidden="1" x14ac:dyDescent="0.25">
      <c r="A1839" t="s">
        <v>29</v>
      </c>
      <c r="B1839" t="s">
        <v>30</v>
      </c>
      <c r="C1839" t="s">
        <v>31</v>
      </c>
      <c r="D1839" s="1">
        <v>45966</v>
      </c>
      <c r="E1839" s="1">
        <v>45966</v>
      </c>
      <c r="F1839" s="2">
        <v>26</v>
      </c>
      <c r="G1839" s="3" t="s">
        <v>23</v>
      </c>
      <c r="H1839">
        <v>80</v>
      </c>
      <c r="I1839" s="2">
        <v>0</v>
      </c>
      <c r="J1839" s="2">
        <v>0</v>
      </c>
      <c r="K1839" s="2">
        <v>1</v>
      </c>
      <c r="L1839" s="2">
        <v>0</v>
      </c>
      <c r="M1839">
        <v>1</v>
      </c>
      <c r="N1839">
        <v>0</v>
      </c>
      <c r="O1839" s="2">
        <v>0</v>
      </c>
      <c r="P1839" s="2">
        <v>0</v>
      </c>
      <c r="Q1839">
        <v>0</v>
      </c>
      <c r="R1839" s="2">
        <v>0</v>
      </c>
      <c r="S1839" s="2">
        <v>0</v>
      </c>
      <c r="T1839" t="s">
        <v>995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</row>
    <row r="1840" spans="1:28" hidden="1" x14ac:dyDescent="0.25">
      <c r="A1840" t="s">
        <v>33</v>
      </c>
      <c r="B1840" t="s">
        <v>34</v>
      </c>
      <c r="C1840" t="s">
        <v>35</v>
      </c>
      <c r="D1840" s="1">
        <v>45966</v>
      </c>
      <c r="E1840" s="1">
        <v>45966</v>
      </c>
      <c r="F1840" s="2">
        <v>45</v>
      </c>
      <c r="G1840" s="3" t="s">
        <v>23</v>
      </c>
      <c r="H1840">
        <f>10+1+7</f>
        <v>18</v>
      </c>
      <c r="I1840" s="2">
        <v>0</v>
      </c>
      <c r="J1840" s="2">
        <v>0</v>
      </c>
      <c r="K1840" s="2">
        <v>0</v>
      </c>
      <c r="L1840" s="2">
        <v>1</v>
      </c>
      <c r="M1840">
        <v>0</v>
      </c>
      <c r="N1840">
        <v>0</v>
      </c>
      <c r="O1840" s="2">
        <v>0</v>
      </c>
      <c r="P1840" s="2">
        <v>0</v>
      </c>
      <c r="Q1840">
        <v>0</v>
      </c>
      <c r="R1840" s="2">
        <v>0</v>
      </c>
      <c r="S1840" s="2">
        <v>0</v>
      </c>
      <c r="T1840" t="s">
        <v>996</v>
      </c>
      <c r="U1840" s="2">
        <v>0</v>
      </c>
      <c r="V1840" s="2">
        <v>4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</row>
    <row r="1841" spans="1:28" hidden="1" x14ac:dyDescent="0.25">
      <c r="A1841" t="s">
        <v>37</v>
      </c>
      <c r="B1841" t="s">
        <v>57</v>
      </c>
      <c r="C1841" t="s">
        <v>39</v>
      </c>
      <c r="D1841" s="1">
        <v>45966</v>
      </c>
      <c r="E1841" s="1">
        <v>45966</v>
      </c>
      <c r="F1841" s="2">
        <v>16</v>
      </c>
      <c r="G1841" s="3" t="s">
        <v>23</v>
      </c>
      <c r="H1841">
        <f>21+21+4+6</f>
        <v>52</v>
      </c>
      <c r="I1841" s="2">
        <v>0</v>
      </c>
      <c r="J1841" s="2">
        <v>0</v>
      </c>
      <c r="K1841" s="2">
        <v>1</v>
      </c>
      <c r="L1841" s="2">
        <v>0</v>
      </c>
      <c r="M1841">
        <v>0</v>
      </c>
      <c r="N1841">
        <v>0</v>
      </c>
      <c r="O1841" s="2">
        <v>0</v>
      </c>
      <c r="P1841" s="2">
        <v>0</v>
      </c>
      <c r="Q1841">
        <v>0</v>
      </c>
      <c r="R1841" s="2">
        <v>0</v>
      </c>
      <c r="S1841" s="2">
        <v>0</v>
      </c>
      <c r="T1841" t="s">
        <v>997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</row>
    <row r="1842" spans="1:28" hidden="1" x14ac:dyDescent="0.25">
      <c r="A1842" t="s">
        <v>25</v>
      </c>
      <c r="B1842" t="s">
        <v>26</v>
      </c>
      <c r="C1842" t="s">
        <v>212</v>
      </c>
      <c r="D1842" s="1">
        <v>45966</v>
      </c>
      <c r="E1842" s="1">
        <v>45966</v>
      </c>
      <c r="F1842" s="2">
        <v>0</v>
      </c>
      <c r="G1842" s="3" t="s">
        <v>48</v>
      </c>
      <c r="H1842">
        <v>0</v>
      </c>
      <c r="I1842" s="2">
        <v>0</v>
      </c>
      <c r="J1842" s="2">
        <v>0</v>
      </c>
      <c r="K1842" s="2">
        <v>0</v>
      </c>
      <c r="L1842" s="2">
        <v>0</v>
      </c>
      <c r="M1842">
        <v>0</v>
      </c>
      <c r="N1842">
        <v>0</v>
      </c>
      <c r="O1842" s="2">
        <v>0</v>
      </c>
      <c r="P1842" s="2">
        <v>0</v>
      </c>
      <c r="Q1842">
        <v>0</v>
      </c>
      <c r="R1842" s="2">
        <v>0</v>
      </c>
      <c r="S1842" s="2">
        <v>0</v>
      </c>
      <c r="T1842" t="s">
        <v>377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</row>
    <row r="1843" spans="1:28" hidden="1" x14ac:dyDescent="0.25">
      <c r="A1843" t="s">
        <v>56</v>
      </c>
      <c r="B1843" t="s">
        <v>47</v>
      </c>
      <c r="C1843" t="s">
        <v>212</v>
      </c>
      <c r="D1843" s="1">
        <v>45966</v>
      </c>
      <c r="E1843" s="1">
        <v>45966</v>
      </c>
      <c r="F1843" s="2">
        <v>0</v>
      </c>
      <c r="G1843" s="3" t="s">
        <v>48</v>
      </c>
      <c r="H1843">
        <v>0</v>
      </c>
      <c r="I1843" s="2">
        <v>0</v>
      </c>
      <c r="J1843" s="2">
        <v>0</v>
      </c>
      <c r="K1843" s="2">
        <v>0</v>
      </c>
      <c r="L1843" s="2">
        <v>0</v>
      </c>
      <c r="M1843">
        <v>0</v>
      </c>
      <c r="N1843">
        <v>0</v>
      </c>
      <c r="O1843" s="2">
        <v>0</v>
      </c>
      <c r="P1843" s="2">
        <v>0</v>
      </c>
      <c r="Q1843">
        <v>0</v>
      </c>
      <c r="R1843" s="2">
        <v>0</v>
      </c>
      <c r="S1843" s="2">
        <v>0</v>
      </c>
      <c r="T1843" t="s">
        <v>377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</row>
    <row r="1844" spans="1:28" hidden="1" x14ac:dyDescent="0.25">
      <c r="A1844" t="s">
        <v>568</v>
      </c>
      <c r="B1844" t="s">
        <v>47</v>
      </c>
      <c r="C1844" t="s">
        <v>212</v>
      </c>
      <c r="D1844" s="1">
        <v>45966</v>
      </c>
      <c r="E1844" s="1">
        <v>45966</v>
      </c>
      <c r="F1844" s="2">
        <v>0</v>
      </c>
      <c r="G1844" s="3" t="s">
        <v>48</v>
      </c>
      <c r="H1844">
        <v>0</v>
      </c>
      <c r="I1844" s="2">
        <v>0</v>
      </c>
      <c r="J1844" s="2">
        <v>0</v>
      </c>
      <c r="K1844" s="2">
        <v>0</v>
      </c>
      <c r="L1844" s="2">
        <v>0</v>
      </c>
      <c r="M1844">
        <v>0</v>
      </c>
      <c r="N1844">
        <v>0</v>
      </c>
      <c r="O1844" s="2">
        <v>0</v>
      </c>
      <c r="P1844" s="2">
        <v>0</v>
      </c>
      <c r="Q1844">
        <v>0</v>
      </c>
      <c r="R1844" s="2">
        <v>0</v>
      </c>
      <c r="S1844" s="2">
        <v>0</v>
      </c>
      <c r="T1844" t="s">
        <v>377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</row>
    <row r="1845" spans="1:28" hidden="1" x14ac:dyDescent="0.25">
      <c r="A1845" t="s">
        <v>47</v>
      </c>
      <c r="B1845" t="s">
        <v>52</v>
      </c>
      <c r="C1845" t="s">
        <v>212</v>
      </c>
      <c r="D1845" s="1">
        <v>45966</v>
      </c>
      <c r="E1845" s="1">
        <v>45966</v>
      </c>
      <c r="F1845" s="2">
        <v>0</v>
      </c>
      <c r="G1845" s="3" t="s">
        <v>572</v>
      </c>
      <c r="H1845">
        <v>0</v>
      </c>
      <c r="I1845" s="2">
        <v>0</v>
      </c>
      <c r="J1845" s="2">
        <v>0</v>
      </c>
      <c r="K1845" s="2">
        <v>0</v>
      </c>
      <c r="L1845" s="2">
        <v>0</v>
      </c>
      <c r="M1845">
        <v>0</v>
      </c>
      <c r="N1845">
        <v>0</v>
      </c>
      <c r="O1845" s="2">
        <v>0</v>
      </c>
      <c r="P1845" s="2">
        <v>0</v>
      </c>
      <c r="Q1845">
        <v>0</v>
      </c>
      <c r="R1845" s="2">
        <v>0</v>
      </c>
      <c r="S1845" s="2">
        <v>0</v>
      </c>
      <c r="T1845" t="s">
        <v>377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</row>
    <row r="1846" spans="1:28" hidden="1" x14ac:dyDescent="0.25">
      <c r="A1846" t="s">
        <v>56</v>
      </c>
      <c r="B1846" t="s">
        <v>47</v>
      </c>
      <c r="C1846" t="s">
        <v>64</v>
      </c>
      <c r="D1846" s="1">
        <v>45967</v>
      </c>
      <c r="E1846" s="1">
        <v>45967</v>
      </c>
      <c r="F1846" s="2">
        <v>43</v>
      </c>
      <c r="G1846" s="3" t="s">
        <v>23</v>
      </c>
      <c r="H1846">
        <v>14</v>
      </c>
      <c r="I1846" s="2">
        <v>0</v>
      </c>
      <c r="J1846" s="2">
        <v>0</v>
      </c>
      <c r="K1846" s="2">
        <v>1</v>
      </c>
      <c r="L1846" s="2">
        <v>0</v>
      </c>
      <c r="M1846">
        <v>0</v>
      </c>
      <c r="N1846">
        <v>0</v>
      </c>
      <c r="O1846" s="2">
        <v>0</v>
      </c>
      <c r="P1846" s="2">
        <v>0</v>
      </c>
      <c r="Q1846">
        <v>0</v>
      </c>
      <c r="R1846" s="2">
        <v>0</v>
      </c>
      <c r="S1846" s="2">
        <v>0</v>
      </c>
      <c r="T1846" t="s">
        <v>998</v>
      </c>
      <c r="U1846" s="2">
        <v>0</v>
      </c>
      <c r="V1846" s="2">
        <v>18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</row>
    <row r="1847" spans="1:28" hidden="1" x14ac:dyDescent="0.25">
      <c r="A1847" t="s">
        <v>730</v>
      </c>
      <c r="B1847" t="s">
        <v>47</v>
      </c>
      <c r="C1847" t="s">
        <v>64</v>
      </c>
      <c r="D1847" s="1">
        <v>45967</v>
      </c>
      <c r="E1847" s="1">
        <v>45967</v>
      </c>
      <c r="F1847" s="2">
        <v>43</v>
      </c>
      <c r="G1847" s="3" t="s">
        <v>23</v>
      </c>
      <c r="H1847">
        <v>14</v>
      </c>
      <c r="I1847" s="2">
        <v>0</v>
      </c>
      <c r="J1847" s="2">
        <v>0</v>
      </c>
      <c r="K1847" s="2">
        <v>1</v>
      </c>
      <c r="L1847" s="2">
        <v>0</v>
      </c>
      <c r="M1847">
        <v>0</v>
      </c>
      <c r="N1847">
        <v>0</v>
      </c>
      <c r="O1847" s="2">
        <v>0</v>
      </c>
      <c r="P1847" s="2">
        <v>0</v>
      </c>
      <c r="Q1847">
        <v>0</v>
      </c>
      <c r="R1847" s="2">
        <v>0</v>
      </c>
      <c r="S1847" s="2">
        <v>0</v>
      </c>
      <c r="T1847" t="s">
        <v>998</v>
      </c>
      <c r="U1847" s="2">
        <v>0</v>
      </c>
      <c r="V1847" s="2">
        <v>18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</row>
    <row r="1848" spans="1:28" hidden="1" x14ac:dyDescent="0.25">
      <c r="A1848" t="s">
        <v>53</v>
      </c>
      <c r="B1848" t="s">
        <v>38</v>
      </c>
      <c r="C1848" t="s">
        <v>54</v>
      </c>
      <c r="D1848" s="1">
        <v>45967</v>
      </c>
      <c r="E1848" s="1">
        <v>45967</v>
      </c>
      <c r="F1848" s="2">
        <v>38</v>
      </c>
      <c r="G1848" s="3" t="s">
        <v>23</v>
      </c>
      <c r="H1848">
        <v>10</v>
      </c>
      <c r="I1848" s="2">
        <v>0</v>
      </c>
      <c r="J1848" s="2">
        <v>0</v>
      </c>
      <c r="K1848" s="2">
        <v>0</v>
      </c>
      <c r="L1848" s="2">
        <v>0</v>
      </c>
      <c r="M1848">
        <v>0</v>
      </c>
      <c r="N1848">
        <v>0</v>
      </c>
      <c r="O1848" s="2">
        <v>0</v>
      </c>
      <c r="P1848" s="2">
        <v>0</v>
      </c>
      <c r="Q1848">
        <v>0</v>
      </c>
      <c r="R1848" s="2">
        <v>0</v>
      </c>
      <c r="S1848" s="2">
        <v>0</v>
      </c>
      <c r="T1848" t="s">
        <v>999</v>
      </c>
      <c r="U1848" s="2">
        <v>0</v>
      </c>
      <c r="V1848" s="2">
        <v>4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</row>
    <row r="1849" spans="1:28" hidden="1" x14ac:dyDescent="0.25">
      <c r="A1849" t="s">
        <v>20</v>
      </c>
      <c r="B1849" t="s">
        <v>21</v>
      </c>
      <c r="C1849" t="s">
        <v>22</v>
      </c>
      <c r="D1849" s="1">
        <v>45967</v>
      </c>
      <c r="E1849" s="1">
        <v>45967</v>
      </c>
      <c r="F1849" s="2">
        <v>27</v>
      </c>
      <c r="G1849" s="3" t="s">
        <v>23</v>
      </c>
      <c r="H1849">
        <f>16+16</f>
        <v>32</v>
      </c>
      <c r="I1849" s="2">
        <v>0</v>
      </c>
      <c r="J1849" s="2">
        <v>0</v>
      </c>
      <c r="K1849" s="2">
        <v>1</v>
      </c>
      <c r="L1849" s="2">
        <v>0</v>
      </c>
      <c r="M1849">
        <v>0</v>
      </c>
      <c r="N1849">
        <v>0</v>
      </c>
      <c r="O1849" s="2">
        <v>0</v>
      </c>
      <c r="P1849" s="2">
        <v>0</v>
      </c>
      <c r="Q1849">
        <v>0</v>
      </c>
      <c r="R1849" s="2">
        <v>0</v>
      </c>
      <c r="S1849" s="2">
        <v>0</v>
      </c>
      <c r="T1849" t="s">
        <v>1000</v>
      </c>
      <c r="U1849" s="2">
        <v>0</v>
      </c>
      <c r="V1849" s="2">
        <f>4+4</f>
        <v>8</v>
      </c>
      <c r="W1849" s="2">
        <v>3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</row>
    <row r="1850" spans="1:28" hidden="1" x14ac:dyDescent="0.25">
      <c r="A1850" t="s">
        <v>25</v>
      </c>
      <c r="B1850" t="s">
        <v>26</v>
      </c>
      <c r="C1850" t="s">
        <v>27</v>
      </c>
      <c r="D1850" s="1">
        <v>45967</v>
      </c>
      <c r="E1850" s="1">
        <v>45967</v>
      </c>
      <c r="F1850" s="2">
        <v>33</v>
      </c>
      <c r="G1850" s="3" t="s">
        <v>23</v>
      </c>
      <c r="H1850">
        <v>40</v>
      </c>
      <c r="I1850" s="2">
        <v>0</v>
      </c>
      <c r="J1850" s="2">
        <v>0</v>
      </c>
      <c r="K1850" s="2">
        <v>1</v>
      </c>
      <c r="L1850" s="2">
        <v>0</v>
      </c>
      <c r="M1850">
        <v>0</v>
      </c>
      <c r="N1850">
        <v>0</v>
      </c>
      <c r="O1850" s="2">
        <v>0</v>
      </c>
      <c r="P1850" s="2">
        <v>0</v>
      </c>
      <c r="Q1850">
        <v>0</v>
      </c>
      <c r="R1850" s="2">
        <v>0</v>
      </c>
      <c r="S1850" s="2">
        <v>0</v>
      </c>
      <c r="T1850" t="s">
        <v>1001</v>
      </c>
      <c r="U1850" s="2">
        <v>0</v>
      </c>
      <c r="V1850" s="2">
        <v>20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</row>
    <row r="1851" spans="1:28" hidden="1" x14ac:dyDescent="0.25">
      <c r="A1851" t="s">
        <v>29</v>
      </c>
      <c r="B1851" t="s">
        <v>30</v>
      </c>
      <c r="C1851" t="s">
        <v>31</v>
      </c>
      <c r="D1851" s="1">
        <v>45967</v>
      </c>
      <c r="E1851" s="1">
        <v>45967</v>
      </c>
      <c r="F1851" s="2">
        <v>17</v>
      </c>
      <c r="G1851" s="3" t="s">
        <v>23</v>
      </c>
      <c r="H1851">
        <v>14</v>
      </c>
      <c r="I1851" s="2">
        <v>0</v>
      </c>
      <c r="J1851" s="2">
        <v>0</v>
      </c>
      <c r="K1851" s="2">
        <v>0</v>
      </c>
      <c r="L1851" s="2">
        <v>0</v>
      </c>
      <c r="M1851">
        <v>0</v>
      </c>
      <c r="N1851">
        <v>0</v>
      </c>
      <c r="O1851" s="2">
        <v>0</v>
      </c>
      <c r="P1851" s="2">
        <v>0</v>
      </c>
      <c r="Q1851">
        <v>0</v>
      </c>
      <c r="R1851" s="2">
        <v>0</v>
      </c>
      <c r="S1851" s="2">
        <v>0</v>
      </c>
      <c r="T1851" t="s">
        <v>1002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</row>
    <row r="1852" spans="1:28" hidden="1" x14ac:dyDescent="0.25">
      <c r="A1852" t="s">
        <v>33</v>
      </c>
      <c r="B1852" t="s">
        <v>34</v>
      </c>
      <c r="C1852" t="s">
        <v>35</v>
      </c>
      <c r="D1852" s="1">
        <v>45967</v>
      </c>
      <c r="E1852" s="1">
        <v>45967</v>
      </c>
      <c r="F1852" s="2">
        <v>28</v>
      </c>
      <c r="G1852" s="3" t="s">
        <v>23</v>
      </c>
      <c r="H1852">
        <v>16</v>
      </c>
      <c r="I1852" s="2">
        <v>0</v>
      </c>
      <c r="J1852" s="2">
        <v>0</v>
      </c>
      <c r="K1852" s="2">
        <v>0</v>
      </c>
      <c r="L1852" s="2">
        <v>1</v>
      </c>
      <c r="M1852">
        <v>0</v>
      </c>
      <c r="N1852">
        <v>0</v>
      </c>
      <c r="O1852" s="2">
        <v>0</v>
      </c>
      <c r="P1852" s="2">
        <v>0</v>
      </c>
      <c r="Q1852">
        <v>0</v>
      </c>
      <c r="R1852" s="2">
        <v>0</v>
      </c>
      <c r="S1852" s="2">
        <v>0</v>
      </c>
      <c r="T1852" t="s">
        <v>1003</v>
      </c>
      <c r="U1852" s="2">
        <v>0</v>
      </c>
      <c r="V1852" s="2">
        <v>14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</row>
    <row r="1853" spans="1:28" hidden="1" x14ac:dyDescent="0.25">
      <c r="A1853" t="s">
        <v>37</v>
      </c>
      <c r="B1853" t="s">
        <v>57</v>
      </c>
      <c r="C1853" t="s">
        <v>39</v>
      </c>
      <c r="D1853" s="1">
        <v>45967</v>
      </c>
      <c r="E1853" s="1">
        <v>45967</v>
      </c>
      <c r="F1853" s="2">
        <v>15</v>
      </c>
      <c r="G1853" s="3" t="s">
        <v>23</v>
      </c>
      <c r="H1853">
        <v>50</v>
      </c>
      <c r="I1853" s="2">
        <v>0</v>
      </c>
      <c r="J1853" s="2">
        <v>0</v>
      </c>
      <c r="K1853" s="2">
        <v>1</v>
      </c>
      <c r="L1853" s="2">
        <v>0</v>
      </c>
      <c r="M1853">
        <v>0</v>
      </c>
      <c r="N1853">
        <v>0</v>
      </c>
      <c r="O1853" s="2">
        <v>0</v>
      </c>
      <c r="P1853" s="2">
        <v>0</v>
      </c>
      <c r="Q1853">
        <v>0</v>
      </c>
      <c r="R1853" s="2">
        <v>0</v>
      </c>
      <c r="S1853" s="2">
        <v>0</v>
      </c>
      <c r="T1853" t="s">
        <v>1004</v>
      </c>
      <c r="U1853" s="2">
        <v>0</v>
      </c>
      <c r="V1853" s="2">
        <v>0</v>
      </c>
      <c r="W1853" s="2">
        <v>2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</row>
    <row r="1854" spans="1:28" hidden="1" x14ac:dyDescent="0.25">
      <c r="A1854" t="s">
        <v>568</v>
      </c>
      <c r="B1854" t="s">
        <v>47</v>
      </c>
      <c r="C1854" t="s">
        <v>212</v>
      </c>
      <c r="D1854" s="1">
        <v>45967</v>
      </c>
      <c r="E1854" s="1">
        <v>45967</v>
      </c>
      <c r="F1854" s="2">
        <v>0</v>
      </c>
      <c r="G1854" s="3" t="s">
        <v>572</v>
      </c>
      <c r="H1854">
        <v>0</v>
      </c>
      <c r="I1854" s="2">
        <v>0</v>
      </c>
      <c r="J1854" s="2">
        <v>0</v>
      </c>
      <c r="K1854" s="2">
        <v>0</v>
      </c>
      <c r="L1854" s="2">
        <v>0</v>
      </c>
      <c r="M1854">
        <v>0</v>
      </c>
      <c r="N1854">
        <v>0</v>
      </c>
      <c r="O1854" s="2">
        <v>0</v>
      </c>
      <c r="P1854" s="2">
        <v>0</v>
      </c>
      <c r="Q1854">
        <v>0</v>
      </c>
      <c r="R1854" s="2">
        <v>0</v>
      </c>
      <c r="S1854" s="2">
        <v>0</v>
      </c>
      <c r="T1854" t="s">
        <v>377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</row>
    <row r="1855" spans="1:28" hidden="1" x14ac:dyDescent="0.25">
      <c r="A1855" t="s">
        <v>47</v>
      </c>
      <c r="B1855" t="s">
        <v>52</v>
      </c>
      <c r="C1855" t="s">
        <v>212</v>
      </c>
      <c r="D1855" s="1">
        <v>45967</v>
      </c>
      <c r="E1855" s="1">
        <v>45967</v>
      </c>
      <c r="F1855" s="2">
        <v>0</v>
      </c>
      <c r="G1855" s="3" t="s">
        <v>572</v>
      </c>
      <c r="H1855">
        <v>0</v>
      </c>
      <c r="I1855" s="2">
        <v>0</v>
      </c>
      <c r="J1855" s="2">
        <v>0</v>
      </c>
      <c r="K1855" s="2">
        <v>0</v>
      </c>
      <c r="L1855" s="2">
        <v>0</v>
      </c>
      <c r="M1855">
        <v>0</v>
      </c>
      <c r="N1855">
        <v>0</v>
      </c>
      <c r="O1855" s="2">
        <v>0</v>
      </c>
      <c r="P1855" s="2">
        <v>0</v>
      </c>
      <c r="Q1855">
        <v>0</v>
      </c>
      <c r="R1855" s="2">
        <v>0</v>
      </c>
      <c r="S1855" s="2">
        <v>0</v>
      </c>
      <c r="T1855" t="s">
        <v>377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</row>
    <row r="1856" spans="1:28" hidden="1" x14ac:dyDescent="0.25">
      <c r="A1856" t="s">
        <v>56</v>
      </c>
      <c r="B1856" t="s">
        <v>47</v>
      </c>
      <c r="C1856" t="s">
        <v>64</v>
      </c>
      <c r="D1856" s="1">
        <v>45968</v>
      </c>
      <c r="E1856" s="1">
        <v>45968</v>
      </c>
      <c r="F1856" s="2">
        <v>52</v>
      </c>
      <c r="G1856" s="3" t="s">
        <v>23</v>
      </c>
      <c r="H1856">
        <f>9+9+2+2+2+1</f>
        <v>25</v>
      </c>
      <c r="I1856" s="2">
        <v>0</v>
      </c>
      <c r="J1856" s="2">
        <v>0</v>
      </c>
      <c r="K1856" s="2">
        <v>1</v>
      </c>
      <c r="L1856" s="2">
        <v>0</v>
      </c>
      <c r="M1856">
        <v>0</v>
      </c>
      <c r="N1856">
        <v>0</v>
      </c>
      <c r="O1856" s="2">
        <v>0</v>
      </c>
      <c r="P1856" s="2">
        <v>0</v>
      </c>
      <c r="Q1856">
        <v>0</v>
      </c>
      <c r="R1856" s="2">
        <v>0</v>
      </c>
      <c r="S1856" s="2">
        <v>0</v>
      </c>
      <c r="T1856" t="s">
        <v>1005</v>
      </c>
      <c r="U1856" s="2">
        <v>0</v>
      </c>
      <c r="V1856" s="2">
        <f>4+1+6</f>
        <v>11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</row>
    <row r="1857" spans="1:28" hidden="1" x14ac:dyDescent="0.25">
      <c r="A1857" t="s">
        <v>730</v>
      </c>
      <c r="B1857" t="s">
        <v>47</v>
      </c>
      <c r="C1857" t="s">
        <v>64</v>
      </c>
      <c r="D1857" s="1">
        <v>45968</v>
      </c>
      <c r="E1857" s="1">
        <v>45968</v>
      </c>
      <c r="F1857" s="2">
        <v>52</v>
      </c>
      <c r="G1857" s="3" t="s">
        <v>23</v>
      </c>
      <c r="H1857">
        <f>9+9+2+2+2+1</f>
        <v>25</v>
      </c>
      <c r="I1857" s="2">
        <v>0</v>
      </c>
      <c r="J1857" s="2">
        <v>0</v>
      </c>
      <c r="K1857" s="2">
        <v>1</v>
      </c>
      <c r="L1857" s="2">
        <v>0</v>
      </c>
      <c r="M1857">
        <v>0</v>
      </c>
      <c r="N1857">
        <v>0</v>
      </c>
      <c r="O1857" s="2">
        <v>0</v>
      </c>
      <c r="P1857" s="2">
        <v>0</v>
      </c>
      <c r="Q1857">
        <v>0</v>
      </c>
      <c r="R1857" s="2">
        <v>0</v>
      </c>
      <c r="S1857" s="2">
        <v>0</v>
      </c>
      <c r="T1857" t="s">
        <v>1005</v>
      </c>
      <c r="U1857" s="2">
        <v>0</v>
      </c>
      <c r="V1857" s="2">
        <f>4+1+6</f>
        <v>11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</row>
    <row r="1858" spans="1:28" hidden="1" x14ac:dyDescent="0.25">
      <c r="A1858" t="s">
        <v>53</v>
      </c>
      <c r="B1858" t="s">
        <v>47</v>
      </c>
      <c r="C1858" t="s">
        <v>54</v>
      </c>
      <c r="D1858" s="1">
        <v>45968</v>
      </c>
      <c r="E1858" s="1">
        <v>45968</v>
      </c>
      <c r="F1858" s="2">
        <v>41</v>
      </c>
      <c r="G1858" s="3" t="s">
        <v>23</v>
      </c>
      <c r="H1858">
        <v>0</v>
      </c>
      <c r="I1858" s="2">
        <v>0</v>
      </c>
      <c r="J1858" s="2">
        <v>0</v>
      </c>
      <c r="K1858" s="2">
        <v>0</v>
      </c>
      <c r="L1858" s="2">
        <v>0</v>
      </c>
      <c r="M1858">
        <v>0</v>
      </c>
      <c r="N1858">
        <v>0</v>
      </c>
      <c r="O1858" s="2">
        <v>0</v>
      </c>
      <c r="P1858" s="2">
        <v>0</v>
      </c>
      <c r="Q1858">
        <v>0</v>
      </c>
      <c r="R1858" s="2">
        <v>0</v>
      </c>
      <c r="S1858" s="2">
        <v>0</v>
      </c>
      <c r="T1858" t="s">
        <v>1006</v>
      </c>
      <c r="U1858" s="2">
        <v>0</v>
      </c>
      <c r="V1858" s="2">
        <v>35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</row>
    <row r="1859" spans="1:28" hidden="1" x14ac:dyDescent="0.25">
      <c r="A1859" t="s">
        <v>29</v>
      </c>
      <c r="B1859" t="s">
        <v>47</v>
      </c>
      <c r="C1859" t="s">
        <v>54</v>
      </c>
      <c r="D1859" s="1">
        <v>45968</v>
      </c>
      <c r="E1859" s="1">
        <v>45968</v>
      </c>
      <c r="F1859" s="2">
        <v>41</v>
      </c>
      <c r="G1859" s="3" t="s">
        <v>23</v>
      </c>
      <c r="H1859">
        <v>0</v>
      </c>
      <c r="I1859" s="2">
        <v>0</v>
      </c>
      <c r="J1859" s="2">
        <v>0</v>
      </c>
      <c r="K1859" s="2">
        <v>0</v>
      </c>
      <c r="L1859" s="2">
        <v>0</v>
      </c>
      <c r="M1859">
        <v>0</v>
      </c>
      <c r="N1859">
        <v>0</v>
      </c>
      <c r="O1859" s="2">
        <v>0</v>
      </c>
      <c r="P1859" s="2">
        <v>0</v>
      </c>
      <c r="Q1859">
        <v>0</v>
      </c>
      <c r="R1859" s="2">
        <v>0</v>
      </c>
      <c r="S1859" s="2">
        <v>0</v>
      </c>
      <c r="T1859" t="s">
        <v>1006</v>
      </c>
      <c r="U1859" s="2">
        <v>0</v>
      </c>
      <c r="V1859" s="2">
        <v>35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</row>
    <row r="1860" spans="1:28" hidden="1" x14ac:dyDescent="0.25">
      <c r="A1860" t="s">
        <v>25</v>
      </c>
      <c r="B1860" t="s">
        <v>26</v>
      </c>
      <c r="C1860" t="s">
        <v>27</v>
      </c>
      <c r="D1860" s="1">
        <v>45968</v>
      </c>
      <c r="E1860" s="1">
        <v>45968</v>
      </c>
      <c r="F1860" s="2">
        <v>23</v>
      </c>
      <c r="G1860" s="3" t="s">
        <v>23</v>
      </c>
      <c r="H1860">
        <v>28</v>
      </c>
      <c r="I1860" s="2">
        <v>0</v>
      </c>
      <c r="J1860" s="2">
        <v>0</v>
      </c>
      <c r="K1860" s="2">
        <v>1</v>
      </c>
      <c r="L1860" s="2">
        <v>0</v>
      </c>
      <c r="M1860">
        <v>0</v>
      </c>
      <c r="N1860">
        <v>0</v>
      </c>
      <c r="O1860" s="2">
        <v>0</v>
      </c>
      <c r="P1860" s="2">
        <v>0</v>
      </c>
      <c r="Q1860">
        <v>0</v>
      </c>
      <c r="R1860" s="2">
        <v>0</v>
      </c>
      <c r="S1860" s="2">
        <v>0</v>
      </c>
      <c r="T1860" t="s">
        <v>1007</v>
      </c>
      <c r="U1860" s="2">
        <v>0</v>
      </c>
      <c r="V1860" s="2">
        <v>20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</row>
    <row r="1861" spans="1:28" hidden="1" x14ac:dyDescent="0.25">
      <c r="A1861" t="s">
        <v>568</v>
      </c>
      <c r="B1861" t="s">
        <v>30</v>
      </c>
      <c r="C1861" t="s">
        <v>670</v>
      </c>
      <c r="D1861" s="1">
        <v>45968</v>
      </c>
      <c r="E1861" s="1">
        <v>45968</v>
      </c>
      <c r="F1861" s="2">
        <v>28</v>
      </c>
      <c r="G1861" s="3" t="s">
        <v>23</v>
      </c>
      <c r="H1861">
        <f>8+8+2+9+1</f>
        <v>28</v>
      </c>
      <c r="I1861" s="2">
        <v>0</v>
      </c>
      <c r="J1861" s="2">
        <v>0</v>
      </c>
      <c r="K1861" s="2">
        <v>1</v>
      </c>
      <c r="L1861" s="2">
        <v>0</v>
      </c>
      <c r="M1861">
        <v>1</v>
      </c>
      <c r="N1861">
        <v>0</v>
      </c>
      <c r="O1861" s="2">
        <v>0</v>
      </c>
      <c r="P1861" s="2">
        <v>0</v>
      </c>
      <c r="Q1861">
        <v>0</v>
      </c>
      <c r="R1861" s="2">
        <v>0</v>
      </c>
      <c r="S1861" s="2">
        <v>0</v>
      </c>
      <c r="T1861" t="s">
        <v>1008</v>
      </c>
      <c r="U1861" s="2">
        <v>0</v>
      </c>
      <c r="V1861" s="2">
        <f>4+2+1</f>
        <v>7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</row>
    <row r="1862" spans="1:28" hidden="1" x14ac:dyDescent="0.25">
      <c r="A1862" t="s">
        <v>33</v>
      </c>
      <c r="B1862" t="s">
        <v>34</v>
      </c>
      <c r="C1862" t="s">
        <v>35</v>
      </c>
      <c r="D1862" s="1">
        <v>45968</v>
      </c>
      <c r="E1862" s="1">
        <v>45968</v>
      </c>
      <c r="F1862" s="2">
        <v>28</v>
      </c>
      <c r="G1862" s="3" t="s">
        <v>23</v>
      </c>
      <c r="H1862">
        <f>9+9+20</f>
        <v>38</v>
      </c>
      <c r="I1862" s="2">
        <v>0</v>
      </c>
      <c r="J1862" s="2">
        <v>0</v>
      </c>
      <c r="K1862" s="2">
        <v>0</v>
      </c>
      <c r="L1862" s="2">
        <v>1</v>
      </c>
      <c r="M1862">
        <v>0</v>
      </c>
      <c r="N1862">
        <v>0</v>
      </c>
      <c r="O1862" s="2">
        <v>0</v>
      </c>
      <c r="P1862" s="2">
        <v>0</v>
      </c>
      <c r="Q1862">
        <v>0</v>
      </c>
      <c r="R1862" s="2">
        <v>0</v>
      </c>
      <c r="S1862" s="2">
        <v>0</v>
      </c>
      <c r="T1862" t="s">
        <v>1009</v>
      </c>
      <c r="U1862" s="2">
        <v>0</v>
      </c>
      <c r="V1862" s="2">
        <v>20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</row>
    <row r="1863" spans="1:28" hidden="1" x14ac:dyDescent="0.25">
      <c r="A1863" t="s">
        <v>37</v>
      </c>
      <c r="B1863" t="s">
        <v>57</v>
      </c>
      <c r="C1863" t="s">
        <v>39</v>
      </c>
      <c r="D1863" s="1">
        <v>45968</v>
      </c>
      <c r="E1863" s="1">
        <v>45968</v>
      </c>
      <c r="F1863" s="2">
        <v>27</v>
      </c>
      <c r="G1863" s="3" t="s">
        <v>23</v>
      </c>
      <c r="H1863">
        <f>18+18+2+1</f>
        <v>39</v>
      </c>
      <c r="I1863" s="2">
        <v>0</v>
      </c>
      <c r="J1863" s="2">
        <v>0</v>
      </c>
      <c r="K1863" s="2">
        <v>1</v>
      </c>
      <c r="L1863" s="2">
        <v>0</v>
      </c>
      <c r="M1863">
        <v>1</v>
      </c>
      <c r="N1863">
        <v>0</v>
      </c>
      <c r="O1863" s="2">
        <v>0</v>
      </c>
      <c r="P1863" s="2">
        <v>0</v>
      </c>
      <c r="Q1863">
        <v>0</v>
      </c>
      <c r="R1863" s="2">
        <v>0</v>
      </c>
      <c r="S1863" s="2">
        <v>0</v>
      </c>
      <c r="T1863" t="s">
        <v>1010</v>
      </c>
      <c r="U1863" s="2">
        <v>0</v>
      </c>
      <c r="V1863" s="2">
        <f>8+1</f>
        <v>9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</row>
    <row r="1864" spans="1:28" hidden="1" x14ac:dyDescent="0.25">
      <c r="A1864" t="s">
        <v>47</v>
      </c>
      <c r="B1864" t="s">
        <v>38</v>
      </c>
      <c r="C1864" t="s">
        <v>212</v>
      </c>
      <c r="D1864" s="1">
        <v>45968</v>
      </c>
      <c r="E1864" s="1">
        <v>45968</v>
      </c>
      <c r="F1864" s="2">
        <v>0</v>
      </c>
      <c r="G1864" s="3" t="s">
        <v>48</v>
      </c>
      <c r="H1864">
        <v>0</v>
      </c>
      <c r="I1864" s="2">
        <v>0</v>
      </c>
      <c r="J1864" s="2">
        <v>0</v>
      </c>
      <c r="K1864" s="2">
        <v>0</v>
      </c>
      <c r="L1864" s="2">
        <v>0</v>
      </c>
      <c r="M1864">
        <v>0</v>
      </c>
      <c r="N1864">
        <v>0</v>
      </c>
      <c r="O1864" s="2">
        <v>0</v>
      </c>
      <c r="P1864" s="2">
        <v>0</v>
      </c>
      <c r="Q1864">
        <v>0</v>
      </c>
      <c r="R1864" s="2">
        <v>0</v>
      </c>
      <c r="S1864" s="2">
        <v>0</v>
      </c>
      <c r="T1864" t="s">
        <v>377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</row>
    <row r="1865" spans="1:28" hidden="1" x14ac:dyDescent="0.25">
      <c r="A1865" t="s">
        <v>20</v>
      </c>
      <c r="B1865" t="s">
        <v>21</v>
      </c>
      <c r="C1865" t="s">
        <v>212</v>
      </c>
      <c r="D1865" s="1">
        <v>45968</v>
      </c>
      <c r="E1865" s="1">
        <v>45968</v>
      </c>
      <c r="F1865" s="2">
        <v>0</v>
      </c>
      <c r="G1865" s="3" t="s">
        <v>48</v>
      </c>
      <c r="H1865">
        <v>0</v>
      </c>
      <c r="I1865" s="2">
        <v>0</v>
      </c>
      <c r="J1865" s="2">
        <v>0</v>
      </c>
      <c r="K1865" s="2">
        <v>0</v>
      </c>
      <c r="L1865" s="2">
        <v>0</v>
      </c>
      <c r="M1865">
        <v>0</v>
      </c>
      <c r="N1865">
        <v>0</v>
      </c>
      <c r="O1865" s="2">
        <v>0</v>
      </c>
      <c r="P1865" s="2">
        <v>0</v>
      </c>
      <c r="Q1865">
        <v>0</v>
      </c>
      <c r="R1865" s="2">
        <v>0</v>
      </c>
      <c r="S1865" s="2">
        <v>0</v>
      </c>
      <c r="T1865" t="s">
        <v>377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</row>
    <row r="1866" spans="1:28" hidden="1" x14ac:dyDescent="0.25">
      <c r="A1866" t="s">
        <v>47</v>
      </c>
      <c r="B1866" t="s">
        <v>52</v>
      </c>
      <c r="C1866" t="s">
        <v>212</v>
      </c>
      <c r="D1866" s="1">
        <v>45968</v>
      </c>
      <c r="E1866" s="1">
        <v>45968</v>
      </c>
      <c r="F1866" s="2">
        <v>0</v>
      </c>
      <c r="G1866" s="3" t="s">
        <v>572</v>
      </c>
      <c r="H1866">
        <v>0</v>
      </c>
      <c r="I1866" s="2">
        <v>0</v>
      </c>
      <c r="J1866" s="2">
        <v>0</v>
      </c>
      <c r="K1866" s="2">
        <v>0</v>
      </c>
      <c r="L1866" s="2">
        <v>0</v>
      </c>
      <c r="M1866">
        <v>0</v>
      </c>
      <c r="N1866">
        <v>0</v>
      </c>
      <c r="O1866" s="2">
        <v>0</v>
      </c>
      <c r="P1866" s="2">
        <v>0</v>
      </c>
      <c r="Q1866">
        <v>0</v>
      </c>
      <c r="R1866" s="2">
        <v>0</v>
      </c>
      <c r="S1866" s="2">
        <v>0</v>
      </c>
      <c r="T1866" t="s">
        <v>377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</row>
    <row r="1867" spans="1:28" hidden="1" x14ac:dyDescent="0.25">
      <c r="A1867" t="s">
        <v>56</v>
      </c>
      <c r="B1867" t="s">
        <v>47</v>
      </c>
      <c r="C1867" t="s">
        <v>64</v>
      </c>
      <c r="D1867" s="9">
        <v>45969</v>
      </c>
      <c r="E1867" s="9">
        <v>45969</v>
      </c>
      <c r="F1867" s="2">
        <v>25</v>
      </c>
      <c r="G1867" s="3" t="s">
        <v>23</v>
      </c>
      <c r="H1867">
        <v>0</v>
      </c>
      <c r="I1867" s="2">
        <v>0</v>
      </c>
      <c r="J1867" s="2">
        <v>0</v>
      </c>
      <c r="K1867" s="2">
        <v>0</v>
      </c>
      <c r="L1867" s="2">
        <v>0</v>
      </c>
      <c r="M1867">
        <v>0</v>
      </c>
      <c r="N1867">
        <v>0</v>
      </c>
      <c r="O1867" s="2">
        <v>1</v>
      </c>
      <c r="P1867" s="2">
        <v>0</v>
      </c>
      <c r="Q1867">
        <v>5</v>
      </c>
      <c r="R1867" s="2">
        <v>1</v>
      </c>
      <c r="S1867" s="2">
        <v>0</v>
      </c>
      <c r="T1867" t="s">
        <v>1011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</row>
    <row r="1868" spans="1:28" hidden="1" x14ac:dyDescent="0.25">
      <c r="A1868" t="s">
        <v>20</v>
      </c>
      <c r="B1868" t="s">
        <v>47</v>
      </c>
      <c r="C1868" t="s">
        <v>64</v>
      </c>
      <c r="D1868" s="9">
        <v>45969</v>
      </c>
      <c r="E1868" s="9">
        <v>45969</v>
      </c>
      <c r="F1868" s="2">
        <v>25</v>
      </c>
      <c r="G1868" s="3" t="s">
        <v>23</v>
      </c>
      <c r="H1868">
        <v>0</v>
      </c>
      <c r="I1868" s="2">
        <v>0</v>
      </c>
      <c r="J1868" s="2">
        <v>0</v>
      </c>
      <c r="K1868" s="2">
        <v>0</v>
      </c>
      <c r="L1868" s="2">
        <v>0</v>
      </c>
      <c r="M1868">
        <v>0</v>
      </c>
      <c r="N1868">
        <v>0</v>
      </c>
      <c r="O1868" s="2">
        <v>1</v>
      </c>
      <c r="P1868" s="2">
        <v>0</v>
      </c>
      <c r="Q1868">
        <v>5</v>
      </c>
      <c r="R1868" s="2">
        <v>1</v>
      </c>
      <c r="S1868" s="2">
        <v>0</v>
      </c>
      <c r="T1868" t="s">
        <v>1011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</row>
    <row r="1869" spans="1:28" hidden="1" x14ac:dyDescent="0.25">
      <c r="A1869" t="s">
        <v>25</v>
      </c>
      <c r="B1869" t="s">
        <v>26</v>
      </c>
      <c r="C1869" t="s">
        <v>27</v>
      </c>
      <c r="D1869" s="9">
        <v>45969</v>
      </c>
      <c r="E1869" s="9">
        <v>45969</v>
      </c>
      <c r="F1869" s="2">
        <v>35</v>
      </c>
      <c r="G1869" s="3" t="s">
        <v>23</v>
      </c>
      <c r="H1869">
        <v>0</v>
      </c>
      <c r="I1869" s="2">
        <v>0</v>
      </c>
      <c r="J1869" s="2">
        <v>0</v>
      </c>
      <c r="K1869" s="2">
        <v>0</v>
      </c>
      <c r="L1869" s="2">
        <v>0</v>
      </c>
      <c r="M1869">
        <v>0</v>
      </c>
      <c r="N1869">
        <v>0</v>
      </c>
      <c r="O1869" s="2">
        <v>1</v>
      </c>
      <c r="P1869" s="2">
        <v>0</v>
      </c>
      <c r="Q1869">
        <v>2</v>
      </c>
      <c r="R1869" s="2">
        <v>1</v>
      </c>
      <c r="S1869" s="2">
        <v>0</v>
      </c>
      <c r="T1869" t="s">
        <v>1012</v>
      </c>
      <c r="U1869" s="2">
        <v>10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</row>
    <row r="1870" spans="1:28" hidden="1" x14ac:dyDescent="0.25">
      <c r="A1870" t="s">
        <v>568</v>
      </c>
      <c r="B1870" t="s">
        <v>21</v>
      </c>
      <c r="C1870" t="s">
        <v>670</v>
      </c>
      <c r="D1870" s="9">
        <v>45969</v>
      </c>
      <c r="E1870" s="9">
        <v>45969</v>
      </c>
      <c r="F1870" s="2">
        <v>64</v>
      </c>
      <c r="G1870" s="3" t="s">
        <v>23</v>
      </c>
      <c r="H1870">
        <v>0</v>
      </c>
      <c r="I1870" s="2">
        <v>0</v>
      </c>
      <c r="J1870" s="2">
        <v>0</v>
      </c>
      <c r="K1870" s="2">
        <v>0</v>
      </c>
      <c r="L1870" s="2">
        <v>0</v>
      </c>
      <c r="M1870">
        <v>0</v>
      </c>
      <c r="N1870">
        <v>0</v>
      </c>
      <c r="O1870" s="2">
        <v>1</v>
      </c>
      <c r="P1870" s="2">
        <v>0</v>
      </c>
      <c r="Q1870">
        <v>2</v>
      </c>
      <c r="R1870" s="2">
        <v>1</v>
      </c>
      <c r="S1870" s="2">
        <v>0</v>
      </c>
      <c r="T1870" t="s">
        <v>1013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</row>
    <row r="1871" spans="1:28" hidden="1" x14ac:dyDescent="0.25">
      <c r="A1871" t="s">
        <v>33</v>
      </c>
      <c r="B1871" t="s">
        <v>34</v>
      </c>
      <c r="C1871" t="s">
        <v>35</v>
      </c>
      <c r="D1871" s="9">
        <v>45969</v>
      </c>
      <c r="E1871" s="9">
        <v>45969</v>
      </c>
      <c r="F1871" s="2">
        <v>35</v>
      </c>
      <c r="G1871" s="3" t="s">
        <v>23</v>
      </c>
      <c r="H1871">
        <v>0</v>
      </c>
      <c r="I1871" s="2">
        <v>0</v>
      </c>
      <c r="J1871" s="2">
        <v>0</v>
      </c>
      <c r="K1871" s="2">
        <v>0</v>
      </c>
      <c r="L1871" s="2">
        <v>0</v>
      </c>
      <c r="M1871">
        <v>0</v>
      </c>
      <c r="N1871">
        <v>0</v>
      </c>
      <c r="O1871" s="2">
        <v>0</v>
      </c>
      <c r="P1871" s="2">
        <v>0</v>
      </c>
      <c r="Q1871">
        <v>7</v>
      </c>
      <c r="R1871" s="2">
        <v>1</v>
      </c>
      <c r="S1871" s="2">
        <v>0</v>
      </c>
      <c r="T1871" t="s">
        <v>1014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1</v>
      </c>
      <c r="AB1871" s="2">
        <v>0</v>
      </c>
    </row>
    <row r="1872" spans="1:28" hidden="1" x14ac:dyDescent="0.25">
      <c r="A1872" t="s">
        <v>37</v>
      </c>
      <c r="B1872" t="s">
        <v>57</v>
      </c>
      <c r="C1872" t="s">
        <v>39</v>
      </c>
      <c r="D1872" s="9">
        <v>45969</v>
      </c>
      <c r="E1872" s="9">
        <v>45969</v>
      </c>
      <c r="F1872" s="2">
        <v>27</v>
      </c>
      <c r="G1872" s="3" t="s">
        <v>23</v>
      </c>
      <c r="H1872">
        <v>0</v>
      </c>
      <c r="I1872" s="2">
        <v>0</v>
      </c>
      <c r="J1872" s="2">
        <v>0</v>
      </c>
      <c r="K1872" s="2">
        <v>0</v>
      </c>
      <c r="L1872" s="2">
        <v>0</v>
      </c>
      <c r="M1872">
        <v>0</v>
      </c>
      <c r="N1872">
        <v>0</v>
      </c>
      <c r="O1872" s="2">
        <v>1</v>
      </c>
      <c r="P1872" s="2">
        <v>0</v>
      </c>
      <c r="Q1872">
        <v>3</v>
      </c>
      <c r="R1872" s="2">
        <v>1</v>
      </c>
      <c r="S1872" s="2">
        <v>0</v>
      </c>
      <c r="T1872" t="s">
        <v>1015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</row>
    <row r="1873" spans="1:28" hidden="1" x14ac:dyDescent="0.25">
      <c r="A1873" t="s">
        <v>29</v>
      </c>
      <c r="B1873" t="s">
        <v>30</v>
      </c>
      <c r="C1873" t="s">
        <v>212</v>
      </c>
      <c r="D1873" s="9">
        <v>45969</v>
      </c>
      <c r="E1873" s="9">
        <v>45969</v>
      </c>
      <c r="F1873" s="2">
        <v>0</v>
      </c>
      <c r="G1873" s="3" t="s">
        <v>378</v>
      </c>
      <c r="H1873">
        <v>0</v>
      </c>
      <c r="I1873" s="2">
        <v>0</v>
      </c>
      <c r="J1873" s="2">
        <v>0</v>
      </c>
      <c r="K1873" s="2">
        <v>0</v>
      </c>
      <c r="L1873" s="2">
        <v>0</v>
      </c>
      <c r="M1873">
        <v>0</v>
      </c>
      <c r="N1873">
        <v>0</v>
      </c>
      <c r="O1873" s="2">
        <v>0</v>
      </c>
      <c r="P1873" s="2">
        <v>0</v>
      </c>
      <c r="Q1873">
        <v>0</v>
      </c>
      <c r="R1873" s="2">
        <v>0</v>
      </c>
      <c r="S1873" s="2">
        <v>0</v>
      </c>
      <c r="T1873" t="s">
        <v>377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</row>
    <row r="1874" spans="1:28" hidden="1" x14ac:dyDescent="0.25">
      <c r="A1874" t="s">
        <v>53</v>
      </c>
      <c r="B1874" t="s">
        <v>38</v>
      </c>
      <c r="C1874" t="s">
        <v>212</v>
      </c>
      <c r="D1874" s="9">
        <v>45969</v>
      </c>
      <c r="E1874" s="9">
        <v>45969</v>
      </c>
      <c r="F1874" s="2">
        <v>0</v>
      </c>
      <c r="G1874" s="3" t="s">
        <v>378</v>
      </c>
      <c r="H1874">
        <v>0</v>
      </c>
      <c r="I1874" s="2">
        <v>0</v>
      </c>
      <c r="J1874" s="2">
        <v>0</v>
      </c>
      <c r="K1874" s="2">
        <v>0</v>
      </c>
      <c r="L1874" s="2">
        <v>0</v>
      </c>
      <c r="M1874">
        <v>0</v>
      </c>
      <c r="N1874">
        <v>0</v>
      </c>
      <c r="O1874" s="2">
        <v>0</v>
      </c>
      <c r="P1874" s="2">
        <v>0</v>
      </c>
      <c r="Q1874">
        <v>0</v>
      </c>
      <c r="R1874" s="2">
        <v>0</v>
      </c>
      <c r="S1874" s="2">
        <v>0</v>
      </c>
      <c r="T1874" t="s">
        <v>377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</row>
    <row r="1875" spans="1:28" hidden="1" x14ac:dyDescent="0.25">
      <c r="A1875" t="s">
        <v>730</v>
      </c>
      <c r="B1875" t="s">
        <v>47</v>
      </c>
      <c r="C1875" t="s">
        <v>212</v>
      </c>
      <c r="D1875" s="9">
        <v>45969</v>
      </c>
      <c r="E1875" s="9">
        <v>45969</v>
      </c>
      <c r="F1875" s="2">
        <v>0</v>
      </c>
      <c r="G1875" s="3" t="s">
        <v>378</v>
      </c>
      <c r="H1875">
        <v>0</v>
      </c>
      <c r="I1875" s="2">
        <v>0</v>
      </c>
      <c r="J1875" s="2">
        <v>0</v>
      </c>
      <c r="K1875" s="2">
        <v>0</v>
      </c>
      <c r="L1875" s="2">
        <v>0</v>
      </c>
      <c r="M1875">
        <v>0</v>
      </c>
      <c r="N1875">
        <v>0</v>
      </c>
      <c r="O1875" s="2">
        <v>0</v>
      </c>
      <c r="P1875" s="2">
        <v>0</v>
      </c>
      <c r="Q1875">
        <v>0</v>
      </c>
      <c r="R1875" s="2">
        <v>0</v>
      </c>
      <c r="S1875" s="2">
        <v>0</v>
      </c>
      <c r="T1875" t="s">
        <v>377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</row>
    <row r="1876" spans="1:28" hidden="1" x14ac:dyDescent="0.25">
      <c r="A1876" t="s">
        <v>47</v>
      </c>
      <c r="B1876" t="s">
        <v>52</v>
      </c>
      <c r="C1876" t="s">
        <v>212</v>
      </c>
      <c r="D1876" s="9">
        <v>45969</v>
      </c>
      <c r="E1876" s="9">
        <v>45969</v>
      </c>
      <c r="F1876" s="2">
        <v>0</v>
      </c>
      <c r="G1876" s="3" t="s">
        <v>378</v>
      </c>
      <c r="H1876">
        <v>0</v>
      </c>
      <c r="I1876" s="2">
        <v>0</v>
      </c>
      <c r="J1876" s="2">
        <v>0</v>
      </c>
      <c r="K1876" s="2">
        <v>0</v>
      </c>
      <c r="L1876" s="2">
        <v>0</v>
      </c>
      <c r="M1876">
        <v>0</v>
      </c>
      <c r="N1876">
        <v>0</v>
      </c>
      <c r="O1876" s="2">
        <v>0</v>
      </c>
      <c r="P1876" s="2">
        <v>0</v>
      </c>
      <c r="Q1876">
        <v>0</v>
      </c>
      <c r="R1876" s="2">
        <v>0</v>
      </c>
      <c r="S1876" s="2">
        <v>0</v>
      </c>
      <c r="T1876" t="s">
        <v>377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</row>
    <row r="1877" spans="1:28" hidden="1" x14ac:dyDescent="0.25">
      <c r="A1877" t="s">
        <v>56</v>
      </c>
      <c r="B1877" t="s">
        <v>47</v>
      </c>
      <c r="C1877" t="s">
        <v>64</v>
      </c>
      <c r="D1877" s="9">
        <v>45970</v>
      </c>
      <c r="E1877" s="9">
        <v>45970</v>
      </c>
      <c r="F1877" s="2">
        <v>49</v>
      </c>
      <c r="G1877" s="3" t="s">
        <v>23</v>
      </c>
      <c r="H1877">
        <v>0</v>
      </c>
      <c r="I1877" s="2">
        <v>0</v>
      </c>
      <c r="J1877" s="2">
        <v>0</v>
      </c>
      <c r="K1877" s="2">
        <v>0</v>
      </c>
      <c r="L1877" s="2">
        <v>0</v>
      </c>
      <c r="M1877">
        <v>0</v>
      </c>
      <c r="N1877">
        <v>0</v>
      </c>
      <c r="O1877" s="2">
        <v>0</v>
      </c>
      <c r="P1877" s="2">
        <v>1</v>
      </c>
      <c r="Q1877">
        <v>3</v>
      </c>
      <c r="R1877" s="2">
        <v>0</v>
      </c>
      <c r="S1877" s="2">
        <v>1</v>
      </c>
      <c r="T1877" t="s">
        <v>1016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</row>
    <row r="1878" spans="1:28" hidden="1" x14ac:dyDescent="0.25">
      <c r="A1878" t="s">
        <v>20</v>
      </c>
      <c r="B1878" t="s">
        <v>47</v>
      </c>
      <c r="C1878" t="s">
        <v>64</v>
      </c>
      <c r="D1878" s="9">
        <v>45970</v>
      </c>
      <c r="E1878" s="9">
        <v>45970</v>
      </c>
      <c r="F1878" s="2">
        <v>49</v>
      </c>
      <c r="G1878" s="3" t="s">
        <v>23</v>
      </c>
      <c r="H1878">
        <v>0</v>
      </c>
      <c r="I1878" s="2">
        <v>0</v>
      </c>
      <c r="J1878" s="2">
        <v>0</v>
      </c>
      <c r="K1878" s="2">
        <v>0</v>
      </c>
      <c r="L1878" s="2">
        <v>0</v>
      </c>
      <c r="M1878">
        <v>0</v>
      </c>
      <c r="N1878">
        <v>0</v>
      </c>
      <c r="O1878" s="2">
        <v>0</v>
      </c>
      <c r="P1878" s="2">
        <v>1</v>
      </c>
      <c r="Q1878">
        <v>3</v>
      </c>
      <c r="R1878" s="2">
        <v>0</v>
      </c>
      <c r="S1878" s="2">
        <v>1</v>
      </c>
      <c r="T1878" t="s">
        <v>1016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</row>
    <row r="1879" spans="1:28" hidden="1" x14ac:dyDescent="0.25">
      <c r="A1879" t="s">
        <v>25</v>
      </c>
      <c r="B1879" t="s">
        <v>26</v>
      </c>
      <c r="C1879" t="s">
        <v>27</v>
      </c>
      <c r="D1879" s="9">
        <v>45970</v>
      </c>
      <c r="E1879" s="9">
        <v>45970</v>
      </c>
      <c r="F1879" s="2">
        <v>37</v>
      </c>
      <c r="G1879" s="3" t="s">
        <v>23</v>
      </c>
      <c r="H1879">
        <v>0</v>
      </c>
      <c r="I1879" s="2">
        <v>0</v>
      </c>
      <c r="J1879" s="2">
        <v>0</v>
      </c>
      <c r="K1879" s="2">
        <v>0</v>
      </c>
      <c r="L1879" s="2">
        <v>0</v>
      </c>
      <c r="M1879">
        <v>0</v>
      </c>
      <c r="N1879">
        <v>0</v>
      </c>
      <c r="O1879" s="2">
        <v>0</v>
      </c>
      <c r="P1879" s="2">
        <v>1</v>
      </c>
      <c r="Q1879">
        <v>2</v>
      </c>
      <c r="R1879" s="2">
        <v>0</v>
      </c>
      <c r="S1879" s="2">
        <v>1</v>
      </c>
      <c r="T1879" t="s">
        <v>1017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</row>
    <row r="1880" spans="1:28" hidden="1" x14ac:dyDescent="0.25">
      <c r="A1880" t="s">
        <v>568</v>
      </c>
      <c r="B1880" t="s">
        <v>21</v>
      </c>
      <c r="C1880" t="s">
        <v>670</v>
      </c>
      <c r="D1880" s="9">
        <v>45970</v>
      </c>
      <c r="E1880" s="9">
        <v>45970</v>
      </c>
      <c r="F1880" s="2">
        <v>39</v>
      </c>
      <c r="G1880" s="3" t="s">
        <v>23</v>
      </c>
      <c r="H1880">
        <v>0</v>
      </c>
      <c r="I1880" s="2">
        <v>0</v>
      </c>
      <c r="J1880" s="2">
        <v>0</v>
      </c>
      <c r="K1880" s="2">
        <v>0</v>
      </c>
      <c r="L1880" s="2">
        <v>0</v>
      </c>
      <c r="M1880">
        <v>0</v>
      </c>
      <c r="N1880">
        <v>0</v>
      </c>
      <c r="O1880" s="2">
        <v>0</v>
      </c>
      <c r="P1880" s="2">
        <v>1</v>
      </c>
      <c r="Q1880">
        <v>1</v>
      </c>
      <c r="R1880" s="2">
        <v>0</v>
      </c>
      <c r="S1880" s="2">
        <v>1</v>
      </c>
      <c r="T1880" t="s">
        <v>1018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</row>
    <row r="1881" spans="1:28" hidden="1" x14ac:dyDescent="0.25">
      <c r="A1881" t="s">
        <v>33</v>
      </c>
      <c r="B1881" t="s">
        <v>34</v>
      </c>
      <c r="C1881" t="s">
        <v>35</v>
      </c>
      <c r="D1881" s="9">
        <v>45970</v>
      </c>
      <c r="E1881" s="9">
        <v>45970</v>
      </c>
      <c r="F1881" s="2">
        <v>33</v>
      </c>
      <c r="G1881" s="3" t="s">
        <v>23</v>
      </c>
      <c r="H1881">
        <v>0</v>
      </c>
      <c r="I1881" s="2">
        <v>0</v>
      </c>
      <c r="J1881" s="2">
        <v>0</v>
      </c>
      <c r="K1881" s="2">
        <v>0</v>
      </c>
      <c r="L1881" s="2">
        <v>0</v>
      </c>
      <c r="M1881">
        <v>0</v>
      </c>
      <c r="N1881">
        <v>0</v>
      </c>
      <c r="O1881" s="2">
        <v>0</v>
      </c>
      <c r="P1881" s="2">
        <v>0</v>
      </c>
      <c r="Q1881">
        <v>6</v>
      </c>
      <c r="R1881" s="2">
        <v>0</v>
      </c>
      <c r="S1881" s="2">
        <v>1</v>
      </c>
      <c r="T1881" t="s">
        <v>1019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1</v>
      </c>
    </row>
    <row r="1882" spans="1:28" hidden="1" x14ac:dyDescent="0.25">
      <c r="A1882" t="s">
        <v>37</v>
      </c>
      <c r="B1882" t="s">
        <v>57</v>
      </c>
      <c r="C1882" t="s">
        <v>39</v>
      </c>
      <c r="D1882" s="9">
        <v>45970</v>
      </c>
      <c r="E1882" s="9">
        <v>45970</v>
      </c>
      <c r="F1882" s="2">
        <v>19</v>
      </c>
      <c r="G1882" s="3" t="s">
        <v>23</v>
      </c>
      <c r="H1882">
        <v>0</v>
      </c>
      <c r="I1882" s="2">
        <v>0</v>
      </c>
      <c r="J1882" s="2">
        <v>0</v>
      </c>
      <c r="K1882" s="2">
        <v>0</v>
      </c>
      <c r="L1882" s="2">
        <v>0</v>
      </c>
      <c r="M1882">
        <v>1</v>
      </c>
      <c r="N1882">
        <v>0</v>
      </c>
      <c r="O1882" s="2">
        <v>0</v>
      </c>
      <c r="P1882" s="2">
        <v>1</v>
      </c>
      <c r="Q1882">
        <f>5+3</f>
        <v>8</v>
      </c>
      <c r="R1882" s="2">
        <v>0</v>
      </c>
      <c r="S1882" s="2">
        <v>1</v>
      </c>
      <c r="T1882" t="s">
        <v>1020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</row>
    <row r="1883" spans="1:28" hidden="1" x14ac:dyDescent="0.25">
      <c r="A1883" t="s">
        <v>29</v>
      </c>
      <c r="B1883" t="s">
        <v>30</v>
      </c>
      <c r="C1883" t="s">
        <v>212</v>
      </c>
      <c r="D1883" s="9">
        <v>45970</v>
      </c>
      <c r="E1883" s="9">
        <v>45970</v>
      </c>
      <c r="F1883" s="2">
        <v>0</v>
      </c>
      <c r="G1883" s="3" t="s">
        <v>378</v>
      </c>
      <c r="H1883">
        <v>0</v>
      </c>
      <c r="I1883" s="2">
        <v>0</v>
      </c>
      <c r="J1883" s="2">
        <v>0</v>
      </c>
      <c r="K1883" s="2">
        <v>0</v>
      </c>
      <c r="L1883" s="2">
        <v>0</v>
      </c>
      <c r="M1883">
        <v>0</v>
      </c>
      <c r="N1883">
        <v>0</v>
      </c>
      <c r="O1883" s="2">
        <v>0</v>
      </c>
      <c r="P1883" s="2">
        <v>0</v>
      </c>
      <c r="Q1883">
        <v>0</v>
      </c>
      <c r="R1883" s="2">
        <v>0</v>
      </c>
      <c r="S1883" s="2">
        <v>0</v>
      </c>
      <c r="T1883" t="s">
        <v>377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</row>
    <row r="1884" spans="1:28" hidden="1" x14ac:dyDescent="0.25">
      <c r="A1884" t="s">
        <v>53</v>
      </c>
      <c r="B1884" t="s">
        <v>38</v>
      </c>
      <c r="C1884" t="s">
        <v>212</v>
      </c>
      <c r="D1884" s="9">
        <v>45970</v>
      </c>
      <c r="E1884" s="9">
        <v>45970</v>
      </c>
      <c r="F1884" s="2">
        <v>0</v>
      </c>
      <c r="G1884" s="3" t="s">
        <v>378</v>
      </c>
      <c r="H1884">
        <v>0</v>
      </c>
      <c r="I1884" s="2">
        <v>0</v>
      </c>
      <c r="J1884" s="2">
        <v>0</v>
      </c>
      <c r="K1884" s="2">
        <v>0</v>
      </c>
      <c r="L1884" s="2">
        <v>0</v>
      </c>
      <c r="M1884">
        <v>0</v>
      </c>
      <c r="N1884">
        <v>0</v>
      </c>
      <c r="O1884" s="2">
        <v>0</v>
      </c>
      <c r="P1884" s="2">
        <v>0</v>
      </c>
      <c r="Q1884">
        <v>0</v>
      </c>
      <c r="R1884" s="2">
        <v>0</v>
      </c>
      <c r="S1884" s="2">
        <v>0</v>
      </c>
      <c r="T1884" t="s">
        <v>377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</row>
    <row r="1885" spans="1:28" hidden="1" x14ac:dyDescent="0.25">
      <c r="A1885" t="s">
        <v>730</v>
      </c>
      <c r="B1885" t="s">
        <v>47</v>
      </c>
      <c r="C1885" t="s">
        <v>212</v>
      </c>
      <c r="D1885" s="9">
        <v>45970</v>
      </c>
      <c r="E1885" s="9">
        <v>45970</v>
      </c>
      <c r="F1885" s="2">
        <v>0</v>
      </c>
      <c r="G1885" s="3" t="s">
        <v>378</v>
      </c>
      <c r="H1885">
        <v>0</v>
      </c>
      <c r="I1885" s="2">
        <v>0</v>
      </c>
      <c r="J1885" s="2">
        <v>0</v>
      </c>
      <c r="K1885" s="2">
        <v>0</v>
      </c>
      <c r="L1885" s="2">
        <v>0</v>
      </c>
      <c r="M1885">
        <v>0</v>
      </c>
      <c r="N1885">
        <v>0</v>
      </c>
      <c r="O1885" s="2">
        <v>0</v>
      </c>
      <c r="P1885" s="2">
        <v>0</v>
      </c>
      <c r="Q1885">
        <v>0</v>
      </c>
      <c r="R1885" s="2">
        <v>0</v>
      </c>
      <c r="S1885" s="2">
        <v>0</v>
      </c>
      <c r="T1885" t="s">
        <v>377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</row>
    <row r="1886" spans="1:28" hidden="1" x14ac:dyDescent="0.25">
      <c r="A1886" t="s">
        <v>47</v>
      </c>
      <c r="B1886" t="s">
        <v>52</v>
      </c>
      <c r="C1886" t="s">
        <v>212</v>
      </c>
      <c r="D1886" s="9">
        <v>45970</v>
      </c>
      <c r="E1886" s="9">
        <v>45970</v>
      </c>
      <c r="F1886" s="2">
        <v>0</v>
      </c>
      <c r="G1886" s="3" t="s">
        <v>378</v>
      </c>
      <c r="H1886">
        <v>0</v>
      </c>
      <c r="I1886" s="2">
        <v>0</v>
      </c>
      <c r="J1886" s="2">
        <v>0</v>
      </c>
      <c r="K1886" s="2">
        <v>0</v>
      </c>
      <c r="L1886" s="2">
        <v>0</v>
      </c>
      <c r="M1886">
        <v>0</v>
      </c>
      <c r="N1886">
        <v>0</v>
      </c>
      <c r="O1886" s="2">
        <v>0</v>
      </c>
      <c r="P1886" s="2">
        <v>0</v>
      </c>
      <c r="Q1886">
        <v>0</v>
      </c>
      <c r="R1886" s="2">
        <v>0</v>
      </c>
      <c r="S1886" s="2">
        <v>0</v>
      </c>
      <c r="T1886" t="s">
        <v>377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</row>
    <row r="1887" spans="1:28" hidden="1" x14ac:dyDescent="0.25">
      <c r="A1887" t="s">
        <v>56</v>
      </c>
      <c r="B1887" t="s">
        <v>21</v>
      </c>
      <c r="C1887" t="s">
        <v>64</v>
      </c>
      <c r="D1887" s="1">
        <v>45971</v>
      </c>
      <c r="E1887" s="1">
        <v>45971</v>
      </c>
      <c r="F1887" s="2">
        <v>17</v>
      </c>
      <c r="G1887" s="3" t="s">
        <v>23</v>
      </c>
      <c r="H1887">
        <v>4</v>
      </c>
      <c r="I1887" s="2">
        <v>0</v>
      </c>
      <c r="J1887" s="2">
        <v>0</v>
      </c>
      <c r="K1887" s="2">
        <v>0</v>
      </c>
      <c r="L1887" s="2">
        <v>0</v>
      </c>
      <c r="M1887">
        <v>0</v>
      </c>
      <c r="N1887">
        <v>0</v>
      </c>
      <c r="O1887" s="2">
        <v>0</v>
      </c>
      <c r="P1887" s="2">
        <v>0</v>
      </c>
      <c r="Q1887">
        <v>0</v>
      </c>
      <c r="R1887" s="2">
        <v>0</v>
      </c>
      <c r="S1887" s="2">
        <v>0</v>
      </c>
      <c r="T1887" t="s">
        <v>1021</v>
      </c>
      <c r="U1887" s="2">
        <v>0</v>
      </c>
      <c r="V1887" s="2">
        <v>2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</row>
    <row r="1888" spans="1:28" hidden="1" x14ac:dyDescent="0.25">
      <c r="A1888" t="s">
        <v>25</v>
      </c>
      <c r="B1888" t="s">
        <v>26</v>
      </c>
      <c r="C1888" t="s">
        <v>27</v>
      </c>
      <c r="D1888" s="1">
        <v>45971</v>
      </c>
      <c r="E1888" s="1">
        <v>45971</v>
      </c>
      <c r="F1888" s="2">
        <v>25</v>
      </c>
      <c r="G1888" s="3" t="s">
        <v>23</v>
      </c>
      <c r="H1888">
        <v>0</v>
      </c>
      <c r="I1888" s="2">
        <v>0</v>
      </c>
      <c r="J1888" s="2">
        <v>0</v>
      </c>
      <c r="K1888" s="2">
        <v>0</v>
      </c>
      <c r="L1888" s="2">
        <v>0</v>
      </c>
      <c r="M1888">
        <v>0</v>
      </c>
      <c r="N1888">
        <v>0</v>
      </c>
      <c r="O1888" s="2">
        <v>0</v>
      </c>
      <c r="P1888" s="2">
        <v>0</v>
      </c>
      <c r="Q1888">
        <v>0</v>
      </c>
      <c r="R1888" s="2">
        <v>0</v>
      </c>
      <c r="S1888" s="2">
        <v>0</v>
      </c>
      <c r="T1888" t="s">
        <v>1022</v>
      </c>
      <c r="U1888" s="2">
        <v>0</v>
      </c>
      <c r="V1888" s="2">
        <v>20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</row>
    <row r="1889" spans="1:28" hidden="1" x14ac:dyDescent="0.25">
      <c r="A1889" t="s">
        <v>33</v>
      </c>
      <c r="B1889" t="s">
        <v>34</v>
      </c>
      <c r="C1889" t="s">
        <v>35</v>
      </c>
      <c r="D1889" s="1">
        <v>45971</v>
      </c>
      <c r="E1889" s="1">
        <v>45971</v>
      </c>
      <c r="F1889" s="2">
        <v>27</v>
      </c>
      <c r="G1889" s="3" t="s">
        <v>23</v>
      </c>
      <c r="H1889">
        <v>1</v>
      </c>
      <c r="I1889" s="2">
        <v>0</v>
      </c>
      <c r="J1889" s="2">
        <v>0</v>
      </c>
      <c r="K1889" s="2">
        <v>0</v>
      </c>
      <c r="L1889" s="2">
        <v>0</v>
      </c>
      <c r="M1889">
        <v>1</v>
      </c>
      <c r="N1889">
        <v>0</v>
      </c>
      <c r="O1889" s="2">
        <v>0</v>
      </c>
      <c r="P1889" s="2">
        <v>0</v>
      </c>
      <c r="Q1889">
        <v>0</v>
      </c>
      <c r="R1889" s="2">
        <v>0</v>
      </c>
      <c r="S1889" s="2">
        <v>0</v>
      </c>
      <c r="T1889" t="s">
        <v>1023</v>
      </c>
      <c r="U1889" s="2">
        <v>0</v>
      </c>
      <c r="V1889" s="2">
        <v>6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</row>
    <row r="1890" spans="1:28" hidden="1" x14ac:dyDescent="0.25">
      <c r="A1890" t="s">
        <v>37</v>
      </c>
      <c r="B1890" t="s">
        <v>57</v>
      </c>
      <c r="C1890" t="s">
        <v>39</v>
      </c>
      <c r="D1890" s="1">
        <v>45971</v>
      </c>
      <c r="E1890" s="1">
        <v>45971</v>
      </c>
      <c r="F1890" s="2">
        <v>17</v>
      </c>
      <c r="G1890" s="3" t="s">
        <v>23</v>
      </c>
      <c r="H1890">
        <v>0</v>
      </c>
      <c r="I1890" s="2">
        <v>0</v>
      </c>
      <c r="J1890" s="2">
        <v>0</v>
      </c>
      <c r="K1890" s="2">
        <v>0</v>
      </c>
      <c r="L1890" s="2">
        <v>0</v>
      </c>
      <c r="M1890">
        <v>0</v>
      </c>
      <c r="N1890">
        <v>0</v>
      </c>
      <c r="O1890" s="2">
        <v>0</v>
      </c>
      <c r="P1890" s="2">
        <v>0</v>
      </c>
      <c r="Q1890">
        <v>0</v>
      </c>
      <c r="R1890" s="2">
        <v>0</v>
      </c>
      <c r="S1890" s="2">
        <v>0</v>
      </c>
      <c r="T1890" t="s">
        <v>1024</v>
      </c>
      <c r="U1890" s="2">
        <v>0</v>
      </c>
      <c r="V1890" s="2">
        <f>22+3</f>
        <v>25</v>
      </c>
      <c r="W1890" s="2">
        <v>0</v>
      </c>
      <c r="X1890" s="2">
        <v>0</v>
      </c>
      <c r="Y1890" s="2">
        <v>20</v>
      </c>
      <c r="Z1890" s="2">
        <v>0</v>
      </c>
      <c r="AA1890" s="2">
        <v>0</v>
      </c>
      <c r="AB1890" s="2">
        <v>0</v>
      </c>
    </row>
    <row r="1891" spans="1:28" hidden="1" x14ac:dyDescent="0.25">
      <c r="A1891" t="s">
        <v>47</v>
      </c>
      <c r="B1891" t="s">
        <v>38</v>
      </c>
      <c r="C1891" t="s">
        <v>39</v>
      </c>
      <c r="D1891" s="1">
        <v>45971</v>
      </c>
      <c r="E1891" s="1">
        <v>45971</v>
      </c>
      <c r="F1891" s="2">
        <v>17</v>
      </c>
      <c r="G1891" s="3" t="s">
        <v>23</v>
      </c>
      <c r="H1891">
        <v>0</v>
      </c>
      <c r="I1891" s="2">
        <v>0</v>
      </c>
      <c r="J1891" s="2">
        <v>0</v>
      </c>
      <c r="K1891" s="2">
        <v>0</v>
      </c>
      <c r="L1891" s="2">
        <v>0</v>
      </c>
      <c r="M1891">
        <v>0</v>
      </c>
      <c r="N1891">
        <v>0</v>
      </c>
      <c r="O1891" s="2">
        <v>0</v>
      </c>
      <c r="P1891" s="2">
        <v>0</v>
      </c>
      <c r="Q1891">
        <v>0</v>
      </c>
      <c r="R1891" s="2">
        <v>0</v>
      </c>
      <c r="S1891" s="2">
        <v>0</v>
      </c>
      <c r="T1891" t="s">
        <v>1024</v>
      </c>
      <c r="U1891" s="2">
        <v>0</v>
      </c>
      <c r="V1891" s="2">
        <f>10+4</f>
        <v>14</v>
      </c>
      <c r="W1891" s="2">
        <v>3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</row>
    <row r="1892" spans="1:28" hidden="1" x14ac:dyDescent="0.25">
      <c r="A1892" t="s">
        <v>53</v>
      </c>
      <c r="B1892" t="s">
        <v>47</v>
      </c>
      <c r="C1892" t="s">
        <v>39</v>
      </c>
      <c r="D1892" s="1">
        <v>45971</v>
      </c>
      <c r="E1892" s="1">
        <v>45971</v>
      </c>
      <c r="F1892" s="2">
        <v>17</v>
      </c>
      <c r="G1892" s="3" t="s">
        <v>23</v>
      </c>
      <c r="H1892">
        <v>0</v>
      </c>
      <c r="I1892" s="2">
        <v>0</v>
      </c>
      <c r="J1892" s="2">
        <v>0</v>
      </c>
      <c r="K1892" s="2">
        <v>0</v>
      </c>
      <c r="L1892" s="2">
        <v>0</v>
      </c>
      <c r="M1892">
        <v>0</v>
      </c>
      <c r="N1892">
        <v>0</v>
      </c>
      <c r="O1892" s="2">
        <v>0</v>
      </c>
      <c r="P1892" s="2">
        <v>0</v>
      </c>
      <c r="Q1892">
        <v>0</v>
      </c>
      <c r="R1892" s="2">
        <v>0</v>
      </c>
      <c r="S1892" s="2">
        <v>0</v>
      </c>
      <c r="T1892" t="s">
        <v>1024</v>
      </c>
      <c r="U1892" s="2">
        <v>0</v>
      </c>
      <c r="V1892" s="2">
        <f>10+4+20</f>
        <v>34</v>
      </c>
      <c r="W1892" s="2">
        <v>3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</row>
    <row r="1893" spans="1:28" hidden="1" x14ac:dyDescent="0.25">
      <c r="A1893" t="s">
        <v>730</v>
      </c>
      <c r="B1893" t="s">
        <v>47</v>
      </c>
      <c r="C1893" t="s">
        <v>39</v>
      </c>
      <c r="D1893" s="1">
        <v>45971</v>
      </c>
      <c r="E1893" s="1">
        <v>45971</v>
      </c>
      <c r="F1893" s="2">
        <v>17</v>
      </c>
      <c r="G1893" s="3" t="s">
        <v>23</v>
      </c>
      <c r="H1893">
        <v>0</v>
      </c>
      <c r="I1893" s="2">
        <v>0</v>
      </c>
      <c r="J1893" s="2">
        <v>0</v>
      </c>
      <c r="K1893" s="2">
        <v>0</v>
      </c>
      <c r="L1893" s="2">
        <v>0</v>
      </c>
      <c r="M1893">
        <v>0</v>
      </c>
      <c r="N1893">
        <v>0</v>
      </c>
      <c r="O1893" s="2">
        <v>0</v>
      </c>
      <c r="P1893" s="2">
        <v>0</v>
      </c>
      <c r="Q1893">
        <v>0</v>
      </c>
      <c r="R1893" s="2">
        <v>0</v>
      </c>
      <c r="S1893" s="2">
        <v>0</v>
      </c>
      <c r="T1893" t="s">
        <v>1024</v>
      </c>
      <c r="U1893" s="2">
        <v>0</v>
      </c>
      <c r="V1893" s="2">
        <v>20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</row>
    <row r="1894" spans="1:28" hidden="1" x14ac:dyDescent="0.25">
      <c r="A1894" t="s">
        <v>29</v>
      </c>
      <c r="B1894" t="s">
        <v>30</v>
      </c>
      <c r="C1894" t="s">
        <v>39</v>
      </c>
      <c r="D1894" s="1">
        <v>45971</v>
      </c>
      <c r="E1894" s="1">
        <v>45971</v>
      </c>
      <c r="F1894" s="2">
        <v>17</v>
      </c>
      <c r="G1894" s="3" t="s">
        <v>23</v>
      </c>
      <c r="H1894">
        <f>3+1</f>
        <v>4</v>
      </c>
      <c r="I1894" s="2">
        <v>0</v>
      </c>
      <c r="J1894" s="2">
        <v>0</v>
      </c>
      <c r="K1894" s="2">
        <v>0</v>
      </c>
      <c r="L1894" s="2">
        <v>0</v>
      </c>
      <c r="M1894">
        <v>0</v>
      </c>
      <c r="N1894">
        <v>0</v>
      </c>
      <c r="O1894" s="2">
        <v>0</v>
      </c>
      <c r="P1894" s="2">
        <v>0</v>
      </c>
      <c r="Q1894">
        <v>0</v>
      </c>
      <c r="R1894" s="2">
        <v>0</v>
      </c>
      <c r="S1894" s="2">
        <v>0</v>
      </c>
      <c r="T1894" t="s">
        <v>1024</v>
      </c>
      <c r="U1894" s="2">
        <v>0</v>
      </c>
      <c r="V1894" s="2">
        <f>4+20+1+1</f>
        <v>26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</row>
    <row r="1895" spans="1:28" hidden="1" x14ac:dyDescent="0.25">
      <c r="A1895" t="s">
        <v>29</v>
      </c>
      <c r="B1895" t="s">
        <v>30</v>
      </c>
      <c r="C1895" t="s">
        <v>39</v>
      </c>
      <c r="D1895" s="1">
        <v>45972</v>
      </c>
      <c r="E1895" s="1">
        <v>45972</v>
      </c>
      <c r="F1895" s="2">
        <v>17</v>
      </c>
      <c r="G1895" s="3" t="s">
        <v>23</v>
      </c>
      <c r="H1895">
        <f>18+18+1+1+1+1</f>
        <v>40</v>
      </c>
      <c r="I1895" s="2">
        <v>0</v>
      </c>
      <c r="J1895" s="2">
        <v>0</v>
      </c>
      <c r="K1895" s="2">
        <v>0</v>
      </c>
      <c r="L1895" s="2">
        <v>0</v>
      </c>
      <c r="M1895">
        <v>0</v>
      </c>
      <c r="N1895">
        <v>0</v>
      </c>
      <c r="O1895" s="2">
        <v>0</v>
      </c>
      <c r="P1895" s="2">
        <v>0</v>
      </c>
      <c r="Q1895">
        <v>0</v>
      </c>
      <c r="R1895" s="2">
        <v>0</v>
      </c>
      <c r="S1895" s="2">
        <v>0</v>
      </c>
      <c r="T1895" t="s">
        <v>1024</v>
      </c>
      <c r="U1895" s="2">
        <v>0</v>
      </c>
      <c r="V1895" s="2">
        <v>4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</row>
    <row r="1896" spans="1:28" hidden="1" x14ac:dyDescent="0.25">
      <c r="A1896" t="s">
        <v>568</v>
      </c>
      <c r="B1896" t="s">
        <v>47</v>
      </c>
      <c r="C1896" t="s">
        <v>212</v>
      </c>
      <c r="D1896" s="1">
        <v>45971</v>
      </c>
      <c r="E1896" s="1">
        <v>45971</v>
      </c>
      <c r="F1896" s="2">
        <v>0</v>
      </c>
      <c r="G1896" s="3" t="s">
        <v>572</v>
      </c>
      <c r="H1896">
        <v>0</v>
      </c>
      <c r="I1896" s="2">
        <v>0</v>
      </c>
      <c r="J1896" s="2">
        <v>0</v>
      </c>
      <c r="K1896" s="2">
        <v>0</v>
      </c>
      <c r="L1896" s="2">
        <v>0</v>
      </c>
      <c r="M1896">
        <v>0</v>
      </c>
      <c r="N1896">
        <v>0</v>
      </c>
      <c r="O1896" s="2">
        <v>0</v>
      </c>
      <c r="P1896" s="2">
        <v>0</v>
      </c>
      <c r="Q1896">
        <v>0</v>
      </c>
      <c r="R1896" s="2">
        <v>0</v>
      </c>
      <c r="S1896" s="2">
        <v>0</v>
      </c>
      <c r="T1896" t="s">
        <v>377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</row>
    <row r="1897" spans="1:28" hidden="1" x14ac:dyDescent="0.25">
      <c r="A1897" t="s">
        <v>20</v>
      </c>
      <c r="B1897" t="s">
        <v>47</v>
      </c>
      <c r="C1897" t="s">
        <v>212</v>
      </c>
      <c r="D1897" s="1">
        <v>45971</v>
      </c>
      <c r="E1897" s="1">
        <v>45971</v>
      </c>
      <c r="F1897" s="2">
        <v>0</v>
      </c>
      <c r="G1897" s="3" t="s">
        <v>988</v>
      </c>
      <c r="H1897">
        <v>0</v>
      </c>
      <c r="I1897" s="2">
        <v>0</v>
      </c>
      <c r="J1897" s="2">
        <v>0</v>
      </c>
      <c r="K1897" s="2">
        <v>0</v>
      </c>
      <c r="L1897" s="2">
        <v>0</v>
      </c>
      <c r="M1897">
        <v>0</v>
      </c>
      <c r="N1897">
        <v>0</v>
      </c>
      <c r="O1897" s="2">
        <v>0</v>
      </c>
      <c r="P1897" s="2">
        <v>0</v>
      </c>
      <c r="Q1897">
        <v>0</v>
      </c>
      <c r="R1897" s="2">
        <v>0</v>
      </c>
      <c r="S1897" s="2">
        <v>0</v>
      </c>
      <c r="T1897" t="s">
        <v>377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</row>
    <row r="1898" spans="1:28" hidden="1" x14ac:dyDescent="0.25">
      <c r="A1898" t="s">
        <v>47</v>
      </c>
      <c r="B1898" t="s">
        <v>52</v>
      </c>
      <c r="C1898" t="s">
        <v>212</v>
      </c>
      <c r="D1898" s="1">
        <v>45971</v>
      </c>
      <c r="E1898" s="1">
        <v>45971</v>
      </c>
      <c r="F1898" s="2">
        <v>0</v>
      </c>
      <c r="G1898" s="3" t="s">
        <v>572</v>
      </c>
      <c r="H1898">
        <v>0</v>
      </c>
      <c r="I1898" s="2">
        <v>0</v>
      </c>
      <c r="J1898" s="2">
        <v>0</v>
      </c>
      <c r="K1898" s="2">
        <v>0</v>
      </c>
      <c r="L1898" s="2">
        <v>0</v>
      </c>
      <c r="M1898">
        <v>0</v>
      </c>
      <c r="N1898">
        <v>0</v>
      </c>
      <c r="O1898" s="2">
        <v>0</v>
      </c>
      <c r="P1898" s="2">
        <v>0</v>
      </c>
      <c r="Q1898">
        <v>0</v>
      </c>
      <c r="R1898" s="2">
        <v>0</v>
      </c>
      <c r="S1898" s="2">
        <v>0</v>
      </c>
      <c r="T1898" t="s">
        <v>377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</row>
    <row r="1899" spans="1:28" hidden="1" x14ac:dyDescent="0.25">
      <c r="A1899" t="s">
        <v>56</v>
      </c>
      <c r="B1899" t="s">
        <v>47</v>
      </c>
      <c r="C1899" t="s">
        <v>64</v>
      </c>
      <c r="D1899" s="1">
        <v>45972</v>
      </c>
      <c r="E1899" s="1">
        <v>45972</v>
      </c>
      <c r="F1899" s="2">
        <v>55</v>
      </c>
      <c r="G1899" s="3" t="s">
        <v>23</v>
      </c>
      <c r="H1899">
        <v>44</v>
      </c>
      <c r="I1899" s="2">
        <v>0</v>
      </c>
      <c r="J1899" s="2">
        <v>0</v>
      </c>
      <c r="K1899" s="2">
        <v>1</v>
      </c>
      <c r="L1899" s="2">
        <v>0</v>
      </c>
      <c r="M1899">
        <v>1</v>
      </c>
      <c r="N1899">
        <v>0</v>
      </c>
      <c r="O1899" s="2">
        <v>0</v>
      </c>
      <c r="P1899" s="2">
        <v>0</v>
      </c>
      <c r="Q1899">
        <v>0</v>
      </c>
      <c r="R1899" s="2">
        <v>0</v>
      </c>
      <c r="S1899" s="2">
        <v>0</v>
      </c>
      <c r="T1899" t="s">
        <v>1025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</row>
    <row r="1900" spans="1:28" hidden="1" x14ac:dyDescent="0.25">
      <c r="A1900" t="s">
        <v>730</v>
      </c>
      <c r="B1900" t="s">
        <v>47</v>
      </c>
      <c r="C1900" t="s">
        <v>64</v>
      </c>
      <c r="D1900" s="1">
        <v>45972</v>
      </c>
      <c r="E1900" s="1">
        <v>45972</v>
      </c>
      <c r="F1900" s="2">
        <v>55</v>
      </c>
      <c r="G1900" s="3" t="s">
        <v>23</v>
      </c>
      <c r="H1900">
        <v>44</v>
      </c>
      <c r="I1900" s="2">
        <v>0</v>
      </c>
      <c r="J1900" s="2">
        <v>0</v>
      </c>
      <c r="K1900" s="2">
        <v>1</v>
      </c>
      <c r="L1900" s="2">
        <v>0</v>
      </c>
      <c r="M1900">
        <v>1</v>
      </c>
      <c r="N1900">
        <v>0</v>
      </c>
      <c r="O1900" s="2">
        <v>0</v>
      </c>
      <c r="P1900" s="2">
        <v>0</v>
      </c>
      <c r="Q1900">
        <v>0</v>
      </c>
      <c r="R1900" s="2">
        <v>0</v>
      </c>
      <c r="S1900" s="2">
        <v>0</v>
      </c>
      <c r="T1900" t="s">
        <v>1025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</row>
    <row r="1901" spans="1:28" hidden="1" x14ac:dyDescent="0.25">
      <c r="A1901" t="s">
        <v>53</v>
      </c>
      <c r="B1901" t="s">
        <v>38</v>
      </c>
      <c r="C1901" t="s">
        <v>54</v>
      </c>
      <c r="D1901" s="1">
        <v>45972</v>
      </c>
      <c r="E1901" s="1">
        <v>45972</v>
      </c>
      <c r="F1901" s="2">
        <v>43</v>
      </c>
      <c r="G1901" s="3" t="s">
        <v>23</v>
      </c>
      <c r="H1901">
        <v>14</v>
      </c>
      <c r="I1901" s="2">
        <v>0</v>
      </c>
      <c r="J1901" s="2">
        <v>0</v>
      </c>
      <c r="K1901" s="2">
        <v>0</v>
      </c>
      <c r="L1901" s="2">
        <v>1</v>
      </c>
      <c r="M1901">
        <v>0</v>
      </c>
      <c r="N1901">
        <v>0</v>
      </c>
      <c r="O1901" s="2">
        <v>0</v>
      </c>
      <c r="P1901" s="2">
        <v>0</v>
      </c>
      <c r="Q1901">
        <v>0</v>
      </c>
      <c r="R1901" s="2">
        <v>0</v>
      </c>
      <c r="S1901" s="2">
        <v>0</v>
      </c>
      <c r="T1901" t="s">
        <v>1026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</row>
    <row r="1902" spans="1:28" hidden="1" x14ac:dyDescent="0.25">
      <c r="A1902" t="s">
        <v>25</v>
      </c>
      <c r="B1902" t="s">
        <v>26</v>
      </c>
      <c r="C1902" t="s">
        <v>27</v>
      </c>
      <c r="D1902" s="1">
        <v>45972</v>
      </c>
      <c r="E1902" s="1">
        <v>45972</v>
      </c>
      <c r="F1902" s="2">
        <v>24</v>
      </c>
      <c r="G1902" s="3" t="s">
        <v>23</v>
      </c>
      <c r="H1902">
        <v>16</v>
      </c>
      <c r="I1902" s="2">
        <v>0</v>
      </c>
      <c r="J1902" s="2">
        <v>0</v>
      </c>
      <c r="K1902" s="2">
        <v>1</v>
      </c>
      <c r="L1902" s="2">
        <v>0</v>
      </c>
      <c r="M1902">
        <v>0</v>
      </c>
      <c r="N1902">
        <v>0</v>
      </c>
      <c r="O1902" s="2">
        <v>0</v>
      </c>
      <c r="P1902" s="2">
        <v>0</v>
      </c>
      <c r="Q1902">
        <v>0</v>
      </c>
      <c r="R1902" s="2">
        <v>0</v>
      </c>
      <c r="S1902" s="2">
        <v>0</v>
      </c>
      <c r="T1902" t="s">
        <v>1027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</row>
    <row r="1903" spans="1:28" hidden="1" x14ac:dyDescent="0.25">
      <c r="A1903" t="s">
        <v>33</v>
      </c>
      <c r="B1903" t="s">
        <v>47</v>
      </c>
      <c r="C1903" t="s">
        <v>35</v>
      </c>
      <c r="D1903" s="1">
        <v>45972</v>
      </c>
      <c r="E1903" s="1">
        <v>45972</v>
      </c>
      <c r="F1903" s="2">
        <v>25</v>
      </c>
      <c r="G1903" s="3" t="s">
        <v>23</v>
      </c>
      <c r="H1903">
        <v>11</v>
      </c>
      <c r="I1903" s="2">
        <v>0</v>
      </c>
      <c r="J1903" s="2">
        <v>0</v>
      </c>
      <c r="K1903" s="2">
        <v>0</v>
      </c>
      <c r="L1903" s="2">
        <v>0</v>
      </c>
      <c r="M1903">
        <v>0</v>
      </c>
      <c r="N1903">
        <v>0</v>
      </c>
      <c r="O1903" s="2">
        <v>0</v>
      </c>
      <c r="P1903" s="2">
        <v>0</v>
      </c>
      <c r="Q1903">
        <v>0</v>
      </c>
      <c r="R1903" s="2">
        <v>0</v>
      </c>
      <c r="S1903" s="2">
        <v>0</v>
      </c>
      <c r="T1903" t="s">
        <v>1028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</row>
    <row r="1904" spans="1:28" hidden="1" x14ac:dyDescent="0.25">
      <c r="A1904" t="s">
        <v>20</v>
      </c>
      <c r="B1904" t="s">
        <v>47</v>
      </c>
      <c r="C1904" t="s">
        <v>35</v>
      </c>
      <c r="D1904" s="1">
        <v>45972</v>
      </c>
      <c r="E1904" s="1">
        <v>45972</v>
      </c>
      <c r="F1904" s="2">
        <v>25</v>
      </c>
      <c r="G1904" s="3" t="s">
        <v>23</v>
      </c>
      <c r="H1904">
        <v>11</v>
      </c>
      <c r="I1904" s="2">
        <v>0</v>
      </c>
      <c r="J1904" s="2">
        <v>0</v>
      </c>
      <c r="K1904" s="2">
        <v>0</v>
      </c>
      <c r="L1904" s="2">
        <v>0</v>
      </c>
      <c r="M1904">
        <v>0</v>
      </c>
      <c r="N1904">
        <v>0</v>
      </c>
      <c r="O1904" s="2">
        <v>0</v>
      </c>
      <c r="P1904" s="2">
        <v>0</v>
      </c>
      <c r="Q1904">
        <v>0</v>
      </c>
      <c r="R1904" s="2">
        <v>0</v>
      </c>
      <c r="S1904" s="2">
        <v>0</v>
      </c>
      <c r="T1904" t="s">
        <v>1028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</row>
    <row r="1905" spans="1:28" hidden="1" x14ac:dyDescent="0.25">
      <c r="A1905" t="s">
        <v>20</v>
      </c>
      <c r="B1905" t="s">
        <v>47</v>
      </c>
      <c r="C1905" t="s">
        <v>35</v>
      </c>
      <c r="D1905" s="1">
        <v>45973</v>
      </c>
      <c r="E1905" s="1">
        <v>45973</v>
      </c>
      <c r="F1905" s="2">
        <v>25</v>
      </c>
      <c r="G1905" s="3" t="s">
        <v>23</v>
      </c>
      <c r="H1905">
        <v>0</v>
      </c>
      <c r="I1905" s="2">
        <v>0</v>
      </c>
      <c r="J1905" s="2">
        <v>0</v>
      </c>
      <c r="K1905" s="2">
        <v>0</v>
      </c>
      <c r="L1905" s="2">
        <v>0</v>
      </c>
      <c r="M1905">
        <v>0</v>
      </c>
      <c r="N1905">
        <v>0</v>
      </c>
      <c r="O1905" s="2">
        <v>0</v>
      </c>
      <c r="P1905" s="2">
        <v>0</v>
      </c>
      <c r="Q1905">
        <v>0</v>
      </c>
      <c r="R1905" s="2">
        <v>0</v>
      </c>
      <c r="S1905" s="2">
        <v>0</v>
      </c>
      <c r="T1905" t="s">
        <v>1028</v>
      </c>
      <c r="U1905" s="2">
        <v>0</v>
      </c>
      <c r="V1905" s="2">
        <v>20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</row>
    <row r="1906" spans="1:28" hidden="1" x14ac:dyDescent="0.25">
      <c r="A1906" t="s">
        <v>37</v>
      </c>
      <c r="B1906" t="s">
        <v>57</v>
      </c>
      <c r="C1906" t="s">
        <v>39</v>
      </c>
      <c r="D1906" s="1">
        <v>45972</v>
      </c>
      <c r="E1906" s="1">
        <v>45972</v>
      </c>
      <c r="F1906" s="2">
        <v>30</v>
      </c>
      <c r="G1906" s="3" t="s">
        <v>23</v>
      </c>
      <c r="H1906">
        <f>19+5</f>
        <v>24</v>
      </c>
      <c r="I1906" s="2">
        <v>0</v>
      </c>
      <c r="J1906" s="2">
        <v>0</v>
      </c>
      <c r="K1906" s="2">
        <v>1</v>
      </c>
      <c r="L1906" s="2">
        <v>0</v>
      </c>
      <c r="M1906">
        <v>0</v>
      </c>
      <c r="N1906">
        <v>0</v>
      </c>
      <c r="O1906" s="2">
        <v>0</v>
      </c>
      <c r="P1906" s="2">
        <v>0</v>
      </c>
      <c r="Q1906">
        <v>0</v>
      </c>
      <c r="R1906" s="2">
        <v>0</v>
      </c>
      <c r="S1906" s="2">
        <v>0</v>
      </c>
      <c r="T1906" t="s">
        <v>1029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</row>
    <row r="1907" spans="1:28" hidden="1" x14ac:dyDescent="0.25">
      <c r="A1907" t="s">
        <v>568</v>
      </c>
      <c r="B1907" t="s">
        <v>21</v>
      </c>
      <c r="C1907" t="s">
        <v>212</v>
      </c>
      <c r="D1907" s="1">
        <v>45972</v>
      </c>
      <c r="E1907" s="1">
        <v>45972</v>
      </c>
      <c r="F1907" s="2">
        <v>0</v>
      </c>
      <c r="G1907" s="3" t="s">
        <v>1030</v>
      </c>
      <c r="H1907">
        <v>0</v>
      </c>
      <c r="I1907" s="2">
        <v>0</v>
      </c>
      <c r="J1907" s="2">
        <v>0</v>
      </c>
      <c r="K1907" s="2">
        <v>0</v>
      </c>
      <c r="L1907" s="2">
        <v>0</v>
      </c>
      <c r="M1907">
        <v>0</v>
      </c>
      <c r="N1907">
        <v>0</v>
      </c>
      <c r="O1907" s="2">
        <v>0</v>
      </c>
      <c r="P1907" s="2">
        <v>0</v>
      </c>
      <c r="Q1907">
        <v>0</v>
      </c>
      <c r="R1907" s="2">
        <v>0</v>
      </c>
      <c r="S1907" s="2">
        <v>0</v>
      </c>
      <c r="T1907" t="s">
        <v>377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</row>
    <row r="1908" spans="1:28" hidden="1" x14ac:dyDescent="0.25">
      <c r="A1908" t="s">
        <v>47</v>
      </c>
      <c r="B1908" t="s">
        <v>34</v>
      </c>
      <c r="C1908" t="s">
        <v>212</v>
      </c>
      <c r="D1908" s="1">
        <v>45972</v>
      </c>
      <c r="E1908" s="1">
        <v>45972</v>
      </c>
      <c r="F1908" s="2">
        <v>0</v>
      </c>
      <c r="G1908" s="3" t="s">
        <v>1030</v>
      </c>
      <c r="H1908">
        <v>0</v>
      </c>
      <c r="I1908" s="2">
        <v>0</v>
      </c>
      <c r="J1908" s="2">
        <v>0</v>
      </c>
      <c r="K1908" s="2">
        <v>0</v>
      </c>
      <c r="L1908" s="2">
        <v>0</v>
      </c>
      <c r="M1908">
        <v>0</v>
      </c>
      <c r="N1908">
        <v>0</v>
      </c>
      <c r="O1908" s="2">
        <v>0</v>
      </c>
      <c r="P1908" s="2">
        <v>0</v>
      </c>
      <c r="Q1908">
        <v>0</v>
      </c>
      <c r="R1908" s="2">
        <v>0</v>
      </c>
      <c r="S1908" s="2">
        <v>0</v>
      </c>
      <c r="T1908" t="s">
        <v>377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</row>
    <row r="1909" spans="1:28" hidden="1" x14ac:dyDescent="0.25">
      <c r="A1909" t="s">
        <v>47</v>
      </c>
      <c r="B1909" t="s">
        <v>52</v>
      </c>
      <c r="C1909" t="s">
        <v>212</v>
      </c>
      <c r="D1909" s="1">
        <v>45972</v>
      </c>
      <c r="E1909" s="1">
        <v>45972</v>
      </c>
      <c r="F1909" s="2">
        <v>0</v>
      </c>
      <c r="G1909" s="3" t="s">
        <v>572</v>
      </c>
      <c r="H1909">
        <v>0</v>
      </c>
      <c r="I1909" s="2">
        <v>0</v>
      </c>
      <c r="J1909" s="2">
        <v>0</v>
      </c>
      <c r="K1909" s="2">
        <v>0</v>
      </c>
      <c r="L1909" s="2">
        <v>0</v>
      </c>
      <c r="M1909">
        <v>0</v>
      </c>
      <c r="N1909">
        <v>0</v>
      </c>
      <c r="O1909" s="2">
        <v>0</v>
      </c>
      <c r="P1909" s="2">
        <v>0</v>
      </c>
      <c r="Q1909">
        <v>0</v>
      </c>
      <c r="R1909" s="2">
        <v>0</v>
      </c>
      <c r="S1909" s="2">
        <v>0</v>
      </c>
      <c r="T1909" t="s">
        <v>377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</row>
    <row r="1910" spans="1:28" hidden="1" x14ac:dyDescent="0.25">
      <c r="A1910" t="s">
        <v>25</v>
      </c>
      <c r="B1910" t="s">
        <v>26</v>
      </c>
      <c r="C1910" t="s">
        <v>27</v>
      </c>
      <c r="D1910" s="1">
        <v>45973</v>
      </c>
      <c r="E1910" s="1">
        <v>45973</v>
      </c>
      <c r="F1910" s="2">
        <v>27</v>
      </c>
      <c r="G1910" s="3" t="s">
        <v>23</v>
      </c>
      <c r="H1910">
        <v>30</v>
      </c>
      <c r="I1910" s="2">
        <v>0</v>
      </c>
      <c r="J1910" s="2">
        <v>0</v>
      </c>
      <c r="K1910" s="2">
        <v>1</v>
      </c>
      <c r="L1910" s="2">
        <v>0</v>
      </c>
      <c r="M1910">
        <v>1</v>
      </c>
      <c r="N1910">
        <v>0</v>
      </c>
      <c r="O1910" s="2">
        <v>0</v>
      </c>
      <c r="P1910" s="2">
        <v>0</v>
      </c>
      <c r="Q1910">
        <v>0</v>
      </c>
      <c r="R1910" s="2">
        <v>0</v>
      </c>
      <c r="S1910" s="2">
        <v>0</v>
      </c>
      <c r="T1910" t="s">
        <v>1031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</row>
    <row r="1911" spans="1:28" hidden="1" x14ac:dyDescent="0.25">
      <c r="A1911" t="s">
        <v>29</v>
      </c>
      <c r="B1911" t="s">
        <v>30</v>
      </c>
      <c r="C1911" t="s">
        <v>31</v>
      </c>
      <c r="D1911" s="1">
        <v>45973</v>
      </c>
      <c r="E1911" s="1">
        <v>45973</v>
      </c>
      <c r="F1911" s="2">
        <v>17</v>
      </c>
      <c r="G1911" s="3" t="s">
        <v>23</v>
      </c>
      <c r="H1911">
        <v>42</v>
      </c>
      <c r="I1911" s="2">
        <v>0</v>
      </c>
      <c r="J1911" s="2">
        <v>0</v>
      </c>
      <c r="K1911" s="2">
        <v>1</v>
      </c>
      <c r="L1911" s="2">
        <v>0</v>
      </c>
      <c r="M1911">
        <v>0</v>
      </c>
      <c r="N1911">
        <v>0</v>
      </c>
      <c r="O1911" s="2">
        <v>0</v>
      </c>
      <c r="P1911" s="2">
        <v>0</v>
      </c>
      <c r="Q1911">
        <v>0</v>
      </c>
      <c r="R1911" s="2">
        <v>0</v>
      </c>
      <c r="S1911" s="2">
        <v>0</v>
      </c>
      <c r="T1911" t="s">
        <v>1032</v>
      </c>
      <c r="U1911" s="2">
        <v>0</v>
      </c>
      <c r="V1911" s="2">
        <v>20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</row>
    <row r="1912" spans="1:28" hidden="1" x14ac:dyDescent="0.25">
      <c r="A1912" t="s">
        <v>568</v>
      </c>
      <c r="B1912" t="s">
        <v>21</v>
      </c>
      <c r="C1912" t="s">
        <v>670</v>
      </c>
      <c r="D1912" s="1">
        <v>45973</v>
      </c>
      <c r="E1912" s="1">
        <v>45973</v>
      </c>
      <c r="F1912" s="2">
        <v>48</v>
      </c>
      <c r="G1912" s="3" t="s">
        <v>23</v>
      </c>
      <c r="H1912">
        <v>42</v>
      </c>
      <c r="I1912" s="2">
        <v>0</v>
      </c>
      <c r="J1912" s="2">
        <v>0</v>
      </c>
      <c r="K1912" s="2">
        <v>1</v>
      </c>
      <c r="L1912" s="2">
        <v>0</v>
      </c>
      <c r="M1912">
        <v>0</v>
      </c>
      <c r="N1912">
        <v>0</v>
      </c>
      <c r="O1912" s="2">
        <v>0</v>
      </c>
      <c r="P1912" s="2">
        <v>0</v>
      </c>
      <c r="Q1912">
        <v>0</v>
      </c>
      <c r="R1912" s="2">
        <v>0</v>
      </c>
      <c r="S1912" s="2">
        <v>0</v>
      </c>
      <c r="T1912" t="s">
        <v>1033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</row>
    <row r="1913" spans="1:28" hidden="1" x14ac:dyDescent="0.25">
      <c r="A1913" t="s">
        <v>33</v>
      </c>
      <c r="B1913" t="s">
        <v>34</v>
      </c>
      <c r="C1913" t="s">
        <v>35</v>
      </c>
      <c r="D1913" s="1">
        <v>45973</v>
      </c>
      <c r="E1913" s="1">
        <v>45973</v>
      </c>
      <c r="F1913" s="2">
        <v>34</v>
      </c>
      <c r="G1913" s="3" t="s">
        <v>23</v>
      </c>
      <c r="H1913">
        <v>31</v>
      </c>
      <c r="I1913" s="2">
        <v>0</v>
      </c>
      <c r="J1913" s="2">
        <v>0</v>
      </c>
      <c r="K1913" s="2">
        <v>0</v>
      </c>
      <c r="L1913" s="2">
        <v>1</v>
      </c>
      <c r="M1913">
        <v>0</v>
      </c>
      <c r="N1913">
        <v>0</v>
      </c>
      <c r="O1913" s="2">
        <v>0</v>
      </c>
      <c r="P1913" s="2">
        <v>0</v>
      </c>
      <c r="Q1913">
        <v>0</v>
      </c>
      <c r="R1913" s="2">
        <v>0</v>
      </c>
      <c r="S1913" s="2">
        <v>0</v>
      </c>
      <c r="T1913" t="s">
        <v>1034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</row>
    <row r="1914" spans="1:28" hidden="1" x14ac:dyDescent="0.25">
      <c r="A1914" t="s">
        <v>37</v>
      </c>
      <c r="B1914" t="s">
        <v>57</v>
      </c>
      <c r="C1914" t="s">
        <v>39</v>
      </c>
      <c r="D1914" s="1">
        <v>45973</v>
      </c>
      <c r="E1914" s="1">
        <v>45973</v>
      </c>
      <c r="F1914" s="2">
        <v>17</v>
      </c>
      <c r="G1914" s="3" t="s">
        <v>23</v>
      </c>
      <c r="H1914">
        <v>28</v>
      </c>
      <c r="I1914" s="2">
        <v>0</v>
      </c>
      <c r="J1914" s="2">
        <v>0</v>
      </c>
      <c r="K1914" s="2">
        <v>1</v>
      </c>
      <c r="L1914" s="2">
        <v>0</v>
      </c>
      <c r="M1914">
        <v>0</v>
      </c>
      <c r="N1914">
        <v>0</v>
      </c>
      <c r="O1914" s="2">
        <v>0</v>
      </c>
      <c r="P1914" s="2">
        <v>0</v>
      </c>
      <c r="Q1914">
        <v>0</v>
      </c>
      <c r="R1914" s="2">
        <v>0</v>
      </c>
      <c r="S1914" s="2">
        <v>0</v>
      </c>
      <c r="T1914" t="s">
        <v>1035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</row>
    <row r="1915" spans="1:28" hidden="1" x14ac:dyDescent="0.25">
      <c r="A1915" t="s">
        <v>53</v>
      </c>
      <c r="B1915" t="s">
        <v>38</v>
      </c>
      <c r="C1915" t="s">
        <v>212</v>
      </c>
      <c r="D1915" s="1">
        <v>45973</v>
      </c>
      <c r="E1915" s="1">
        <v>45973</v>
      </c>
      <c r="F1915" s="2">
        <v>0</v>
      </c>
      <c r="G1915" s="3" t="s">
        <v>1030</v>
      </c>
      <c r="H1915">
        <v>0</v>
      </c>
      <c r="I1915" s="2">
        <v>0</v>
      </c>
      <c r="J1915" s="2">
        <v>0</v>
      </c>
      <c r="K1915" s="2">
        <v>0</v>
      </c>
      <c r="L1915" s="2">
        <v>0</v>
      </c>
      <c r="M1915">
        <v>0</v>
      </c>
      <c r="N1915">
        <v>0</v>
      </c>
      <c r="O1915" s="2">
        <v>0</v>
      </c>
      <c r="P1915" s="2">
        <v>0</v>
      </c>
      <c r="Q1915">
        <v>0</v>
      </c>
      <c r="R1915" s="2">
        <v>0</v>
      </c>
      <c r="S1915" s="2">
        <v>0</v>
      </c>
      <c r="T1915" t="s">
        <v>377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</row>
    <row r="1916" spans="1:28" hidden="1" x14ac:dyDescent="0.25">
      <c r="A1916" t="s">
        <v>56</v>
      </c>
      <c r="B1916" t="s">
        <v>47</v>
      </c>
      <c r="C1916" t="s">
        <v>212</v>
      </c>
      <c r="D1916" s="1">
        <v>45973</v>
      </c>
      <c r="E1916" s="1">
        <v>45973</v>
      </c>
      <c r="F1916" s="2">
        <v>0</v>
      </c>
      <c r="G1916" s="3" t="s">
        <v>409</v>
      </c>
      <c r="H1916">
        <v>0</v>
      </c>
      <c r="I1916" s="2">
        <v>0</v>
      </c>
      <c r="J1916" s="2">
        <v>0</v>
      </c>
      <c r="K1916" s="2">
        <v>0</v>
      </c>
      <c r="L1916" s="2">
        <v>0</v>
      </c>
      <c r="M1916">
        <v>0</v>
      </c>
      <c r="N1916">
        <v>0</v>
      </c>
      <c r="O1916" s="2">
        <v>0</v>
      </c>
      <c r="P1916" s="2">
        <v>0</v>
      </c>
      <c r="Q1916">
        <v>0</v>
      </c>
      <c r="R1916" s="2">
        <v>0</v>
      </c>
      <c r="S1916" s="2">
        <v>0</v>
      </c>
      <c r="T1916" t="s">
        <v>377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</row>
    <row r="1917" spans="1:28" hidden="1" x14ac:dyDescent="0.25">
      <c r="A1917" t="s">
        <v>730</v>
      </c>
      <c r="B1917" t="s">
        <v>47</v>
      </c>
      <c r="C1917" t="s">
        <v>212</v>
      </c>
      <c r="D1917" s="1">
        <v>45973</v>
      </c>
      <c r="E1917" s="1">
        <v>45973</v>
      </c>
      <c r="F1917" s="2">
        <v>0</v>
      </c>
      <c r="G1917" s="3" t="s">
        <v>409</v>
      </c>
      <c r="H1917">
        <v>0</v>
      </c>
      <c r="I1917" s="2">
        <v>0</v>
      </c>
      <c r="J1917" s="2">
        <v>0</v>
      </c>
      <c r="K1917" s="2">
        <v>0</v>
      </c>
      <c r="L1917" s="2">
        <v>0</v>
      </c>
      <c r="M1917">
        <v>0</v>
      </c>
      <c r="N1917">
        <v>0</v>
      </c>
      <c r="O1917" s="2">
        <v>0</v>
      </c>
      <c r="P1917" s="2">
        <v>0</v>
      </c>
      <c r="Q1917">
        <v>0</v>
      </c>
      <c r="R1917" s="2">
        <v>0</v>
      </c>
      <c r="S1917" s="2">
        <v>0</v>
      </c>
      <c r="T1917" t="s">
        <v>377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</row>
    <row r="1918" spans="1:28" hidden="1" x14ac:dyDescent="0.25">
      <c r="A1918" t="s">
        <v>47</v>
      </c>
      <c r="B1918" t="s">
        <v>52</v>
      </c>
      <c r="C1918" t="s">
        <v>212</v>
      </c>
      <c r="D1918" s="1">
        <v>45973</v>
      </c>
      <c r="E1918" s="1">
        <v>45973</v>
      </c>
      <c r="F1918" s="2">
        <v>0</v>
      </c>
      <c r="G1918" s="3" t="s">
        <v>572</v>
      </c>
      <c r="H1918">
        <v>0</v>
      </c>
      <c r="I1918" s="2">
        <v>0</v>
      </c>
      <c r="J1918" s="2">
        <v>0</v>
      </c>
      <c r="K1918" s="2">
        <v>0</v>
      </c>
      <c r="L1918" s="2">
        <v>0</v>
      </c>
      <c r="M1918">
        <v>0</v>
      </c>
      <c r="N1918">
        <v>0</v>
      </c>
      <c r="O1918" s="2">
        <v>0</v>
      </c>
      <c r="P1918" s="2">
        <v>0</v>
      </c>
      <c r="Q1918">
        <v>0</v>
      </c>
      <c r="R1918" s="2">
        <v>0</v>
      </c>
      <c r="S1918" s="2">
        <v>0</v>
      </c>
      <c r="T1918" t="s">
        <v>377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</row>
    <row r="1919" spans="1:28" hidden="1" x14ac:dyDescent="0.25">
      <c r="A1919" t="s">
        <v>56</v>
      </c>
      <c r="B1919" t="s">
        <v>47</v>
      </c>
      <c r="C1919" t="s">
        <v>64</v>
      </c>
      <c r="D1919" s="1">
        <v>45974</v>
      </c>
      <c r="E1919" s="1">
        <v>45974</v>
      </c>
      <c r="F1919" s="2">
        <v>80</v>
      </c>
      <c r="G1919" s="3" t="s">
        <v>23</v>
      </c>
      <c r="H1919">
        <v>39</v>
      </c>
      <c r="I1919" s="2">
        <v>0</v>
      </c>
      <c r="J1919" s="2">
        <v>0</v>
      </c>
      <c r="K1919" s="2">
        <v>1</v>
      </c>
      <c r="L1919" s="2">
        <v>0</v>
      </c>
      <c r="M1919">
        <v>0</v>
      </c>
      <c r="N1919">
        <v>0</v>
      </c>
      <c r="O1919" s="2">
        <v>0</v>
      </c>
      <c r="P1919" s="2">
        <v>0</v>
      </c>
      <c r="Q1919">
        <v>0</v>
      </c>
      <c r="R1919" s="2">
        <v>0</v>
      </c>
      <c r="S1919" s="2">
        <v>0</v>
      </c>
      <c r="T1919" t="s">
        <v>1036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</row>
    <row r="1920" spans="1:28" hidden="1" x14ac:dyDescent="0.25">
      <c r="A1920" t="s">
        <v>730</v>
      </c>
      <c r="B1920" t="s">
        <v>47</v>
      </c>
      <c r="C1920" t="s">
        <v>64</v>
      </c>
      <c r="D1920" s="1">
        <v>45974</v>
      </c>
      <c r="E1920" s="1">
        <v>45974</v>
      </c>
      <c r="F1920" s="2">
        <v>80</v>
      </c>
      <c r="G1920" s="3" t="s">
        <v>23</v>
      </c>
      <c r="H1920">
        <v>39</v>
      </c>
      <c r="I1920" s="2">
        <v>0</v>
      </c>
      <c r="J1920" s="2">
        <v>0</v>
      </c>
      <c r="K1920" s="2">
        <v>1</v>
      </c>
      <c r="L1920" s="2">
        <v>0</v>
      </c>
      <c r="M1920">
        <v>0</v>
      </c>
      <c r="N1920">
        <v>0</v>
      </c>
      <c r="O1920" s="2">
        <v>0</v>
      </c>
      <c r="P1920" s="2">
        <v>0</v>
      </c>
      <c r="Q1920">
        <v>0</v>
      </c>
      <c r="R1920" s="2">
        <v>0</v>
      </c>
      <c r="S1920" s="2">
        <v>0</v>
      </c>
      <c r="T1920" t="s">
        <v>1036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</row>
    <row r="1921" spans="1:28" hidden="1" x14ac:dyDescent="0.25">
      <c r="A1921" t="s">
        <v>25</v>
      </c>
      <c r="B1921" t="s">
        <v>26</v>
      </c>
      <c r="C1921" t="s">
        <v>27</v>
      </c>
      <c r="D1921" s="1">
        <v>45974</v>
      </c>
      <c r="E1921" s="1">
        <v>45974</v>
      </c>
      <c r="F1921" s="2">
        <v>24</v>
      </c>
      <c r="G1921" s="3" t="s">
        <v>23</v>
      </c>
      <c r="H1921">
        <v>26</v>
      </c>
      <c r="I1921" s="2">
        <v>0</v>
      </c>
      <c r="J1921" s="2">
        <v>0</v>
      </c>
      <c r="K1921" s="2">
        <v>0</v>
      </c>
      <c r="L1921" s="2">
        <v>0</v>
      </c>
      <c r="M1921">
        <v>0</v>
      </c>
      <c r="N1921">
        <v>0</v>
      </c>
      <c r="O1921" s="2">
        <v>0</v>
      </c>
      <c r="P1921" s="2">
        <v>0</v>
      </c>
      <c r="Q1921">
        <v>0</v>
      </c>
      <c r="R1921" s="2">
        <v>0</v>
      </c>
      <c r="S1921" s="2">
        <v>0</v>
      </c>
      <c r="T1921" t="s">
        <v>1037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</row>
    <row r="1922" spans="1:28" hidden="1" x14ac:dyDescent="0.25">
      <c r="A1922" t="s">
        <v>568</v>
      </c>
      <c r="B1922" t="s">
        <v>47</v>
      </c>
      <c r="C1922" t="s">
        <v>670</v>
      </c>
      <c r="D1922" s="1">
        <v>45974</v>
      </c>
      <c r="E1922" s="1">
        <v>45974</v>
      </c>
      <c r="F1922" s="2">
        <v>137</v>
      </c>
      <c r="G1922" s="3" t="s">
        <v>23</v>
      </c>
      <c r="H1922">
        <v>43</v>
      </c>
      <c r="I1922" s="2">
        <v>0</v>
      </c>
      <c r="J1922" s="2">
        <v>1</v>
      </c>
      <c r="K1922" s="2">
        <v>1</v>
      </c>
      <c r="L1922" s="2">
        <v>0</v>
      </c>
      <c r="M1922">
        <v>0</v>
      </c>
      <c r="N1922">
        <v>0</v>
      </c>
      <c r="O1922" s="2">
        <v>0</v>
      </c>
      <c r="P1922" s="2">
        <v>0</v>
      </c>
      <c r="Q1922">
        <v>0</v>
      </c>
      <c r="R1922" s="2">
        <v>0</v>
      </c>
      <c r="S1922" s="2">
        <v>0</v>
      </c>
      <c r="T1922" t="s">
        <v>1038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</row>
    <row r="1923" spans="1:28" hidden="1" x14ac:dyDescent="0.25">
      <c r="A1923" t="s">
        <v>47</v>
      </c>
      <c r="B1923" t="s">
        <v>21</v>
      </c>
      <c r="C1923" t="s">
        <v>670</v>
      </c>
      <c r="D1923" s="1">
        <v>45974</v>
      </c>
      <c r="E1923" s="1">
        <v>45974</v>
      </c>
      <c r="F1923" s="2">
        <v>137</v>
      </c>
      <c r="G1923" s="3" t="s">
        <v>23</v>
      </c>
      <c r="H1923">
        <v>40</v>
      </c>
      <c r="I1923" s="2">
        <v>0</v>
      </c>
      <c r="J1923" s="2">
        <v>1</v>
      </c>
      <c r="K1923" s="2">
        <v>1</v>
      </c>
      <c r="L1923" s="2">
        <v>0</v>
      </c>
      <c r="M1923">
        <v>0</v>
      </c>
      <c r="N1923">
        <v>0</v>
      </c>
      <c r="O1923" s="2">
        <v>0</v>
      </c>
      <c r="P1923" s="2">
        <v>0</v>
      </c>
      <c r="Q1923">
        <v>0</v>
      </c>
      <c r="R1923" s="2">
        <v>0</v>
      </c>
      <c r="S1923" s="2">
        <v>0</v>
      </c>
      <c r="T1923" t="s">
        <v>1038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</row>
    <row r="1924" spans="1:28" hidden="1" x14ac:dyDescent="0.25">
      <c r="A1924" t="s">
        <v>33</v>
      </c>
      <c r="B1924" t="s">
        <v>34</v>
      </c>
      <c r="C1924" t="s">
        <v>35</v>
      </c>
      <c r="D1924" s="1">
        <v>45974</v>
      </c>
      <c r="E1924" s="1">
        <v>45974</v>
      </c>
      <c r="F1924" s="2">
        <v>30</v>
      </c>
      <c r="G1924" s="3" t="s">
        <v>23</v>
      </c>
      <c r="H1924">
        <v>32</v>
      </c>
      <c r="I1924" s="2">
        <v>0</v>
      </c>
      <c r="J1924" s="2">
        <v>0</v>
      </c>
      <c r="K1924" s="2">
        <v>1</v>
      </c>
      <c r="L1924" s="2">
        <v>0</v>
      </c>
      <c r="M1924">
        <v>0</v>
      </c>
      <c r="N1924">
        <v>0</v>
      </c>
      <c r="O1924" s="2">
        <v>0</v>
      </c>
      <c r="P1924" s="2">
        <v>0</v>
      </c>
      <c r="Q1924">
        <v>0</v>
      </c>
      <c r="R1924" s="2">
        <v>0</v>
      </c>
      <c r="S1924" s="2">
        <v>0</v>
      </c>
      <c r="T1924" t="s">
        <v>1039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</row>
    <row r="1925" spans="1:28" hidden="1" x14ac:dyDescent="0.25">
      <c r="A1925" t="s">
        <v>37</v>
      </c>
      <c r="B1925" t="s">
        <v>57</v>
      </c>
      <c r="C1925" t="s">
        <v>39</v>
      </c>
      <c r="D1925" s="1">
        <v>45974</v>
      </c>
      <c r="E1925" s="1">
        <v>45974</v>
      </c>
      <c r="F1925" s="2">
        <v>22</v>
      </c>
      <c r="G1925" s="3" t="s">
        <v>23</v>
      </c>
      <c r="H1925">
        <v>24</v>
      </c>
      <c r="I1925" s="2">
        <v>0</v>
      </c>
      <c r="J1925" s="2">
        <v>0</v>
      </c>
      <c r="K1925" s="2">
        <v>1</v>
      </c>
      <c r="L1925" s="2">
        <v>0</v>
      </c>
      <c r="M1925">
        <v>0</v>
      </c>
      <c r="N1925">
        <v>0</v>
      </c>
      <c r="O1925" s="2">
        <v>0</v>
      </c>
      <c r="P1925" s="2">
        <v>0</v>
      </c>
      <c r="Q1925">
        <v>0</v>
      </c>
      <c r="R1925" s="2">
        <v>0</v>
      </c>
      <c r="S1925" s="2">
        <v>0</v>
      </c>
      <c r="T1925" t="s">
        <v>1040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</row>
    <row r="1926" spans="1:28" hidden="1" x14ac:dyDescent="0.25">
      <c r="A1926" t="s">
        <v>20</v>
      </c>
      <c r="B1926" t="s">
        <v>47</v>
      </c>
      <c r="C1926" t="s">
        <v>39</v>
      </c>
      <c r="D1926" s="1">
        <v>45974</v>
      </c>
      <c r="E1926" s="1">
        <v>45974</v>
      </c>
      <c r="F1926" s="2">
        <v>22</v>
      </c>
      <c r="G1926" s="3" t="s">
        <v>23</v>
      </c>
      <c r="H1926">
        <v>3</v>
      </c>
      <c r="I1926" s="2">
        <v>0</v>
      </c>
      <c r="J1926" s="2">
        <v>0</v>
      </c>
      <c r="K1926" s="2">
        <v>0</v>
      </c>
      <c r="L1926" s="2">
        <v>0</v>
      </c>
      <c r="M1926">
        <v>0</v>
      </c>
      <c r="N1926">
        <v>0</v>
      </c>
      <c r="O1926" s="2">
        <v>0</v>
      </c>
      <c r="P1926" s="2">
        <v>0</v>
      </c>
      <c r="Q1926">
        <v>0</v>
      </c>
      <c r="R1926" s="2">
        <v>0</v>
      </c>
      <c r="S1926" s="2">
        <v>0</v>
      </c>
      <c r="T1926" t="s">
        <v>1040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</row>
    <row r="1927" spans="1:28" hidden="1" x14ac:dyDescent="0.25">
      <c r="A1927" t="s">
        <v>29</v>
      </c>
      <c r="B1927" t="s">
        <v>30</v>
      </c>
      <c r="C1927" t="s">
        <v>212</v>
      </c>
      <c r="D1927" s="1">
        <v>45974</v>
      </c>
      <c r="E1927" s="1">
        <v>45974</v>
      </c>
      <c r="F1927" s="2">
        <v>0</v>
      </c>
      <c r="G1927" s="3" t="s">
        <v>1030</v>
      </c>
      <c r="H1927">
        <v>0</v>
      </c>
      <c r="I1927" s="2">
        <v>0</v>
      </c>
      <c r="J1927" s="2">
        <v>0</v>
      </c>
      <c r="K1927" s="2">
        <v>0</v>
      </c>
      <c r="L1927" s="2">
        <v>0</v>
      </c>
      <c r="M1927">
        <v>0</v>
      </c>
      <c r="N1927">
        <v>0</v>
      </c>
      <c r="O1927" s="2">
        <v>0</v>
      </c>
      <c r="P1927" s="2">
        <v>0</v>
      </c>
      <c r="Q1927">
        <v>0</v>
      </c>
      <c r="R1927" s="2">
        <v>0</v>
      </c>
      <c r="S1927" s="2">
        <v>0</v>
      </c>
      <c r="T1927" t="s">
        <v>377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</row>
    <row r="1928" spans="1:28" hidden="1" x14ac:dyDescent="0.25">
      <c r="A1928" t="s">
        <v>47</v>
      </c>
      <c r="B1928" t="s">
        <v>52</v>
      </c>
      <c r="C1928" t="s">
        <v>212</v>
      </c>
      <c r="D1928" s="1">
        <v>45974</v>
      </c>
      <c r="E1928" s="1">
        <v>45974</v>
      </c>
      <c r="F1928" s="2">
        <v>0</v>
      </c>
      <c r="G1928" s="3" t="s">
        <v>572</v>
      </c>
      <c r="H1928">
        <v>0</v>
      </c>
      <c r="I1928" s="2">
        <v>0</v>
      </c>
      <c r="J1928" s="2">
        <v>0</v>
      </c>
      <c r="K1928" s="2">
        <v>0</v>
      </c>
      <c r="L1928" s="2">
        <v>0</v>
      </c>
      <c r="M1928">
        <v>0</v>
      </c>
      <c r="N1928">
        <v>0</v>
      </c>
      <c r="O1928" s="2">
        <v>0</v>
      </c>
      <c r="P1928" s="2">
        <v>0</v>
      </c>
      <c r="Q1928">
        <v>0</v>
      </c>
      <c r="R1928" s="2">
        <v>0</v>
      </c>
      <c r="S1928" s="2">
        <v>0</v>
      </c>
      <c r="T1928" t="s">
        <v>377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</row>
    <row r="1929" spans="1:28" hidden="1" x14ac:dyDescent="0.25">
      <c r="A1929" t="s">
        <v>56</v>
      </c>
      <c r="B1929" t="s">
        <v>47</v>
      </c>
      <c r="C1929" t="s">
        <v>64</v>
      </c>
      <c r="D1929" s="1">
        <v>45975</v>
      </c>
      <c r="E1929" s="1">
        <v>45975</v>
      </c>
      <c r="F1929" s="2">
        <v>51</v>
      </c>
      <c r="G1929" s="3" t="s">
        <v>23</v>
      </c>
      <c r="H1929">
        <v>25</v>
      </c>
      <c r="I1929" s="2">
        <v>0</v>
      </c>
      <c r="J1929" s="2">
        <v>0</v>
      </c>
      <c r="K1929" s="2">
        <v>0</v>
      </c>
      <c r="L1929" s="2">
        <v>0</v>
      </c>
      <c r="M1929">
        <v>0</v>
      </c>
      <c r="N1929">
        <v>0</v>
      </c>
      <c r="O1929" s="2">
        <v>0</v>
      </c>
      <c r="P1929" s="2">
        <v>0</v>
      </c>
      <c r="Q1929">
        <v>0</v>
      </c>
      <c r="R1929" s="2">
        <v>0</v>
      </c>
      <c r="S1929" s="2">
        <v>0</v>
      </c>
      <c r="T1929" t="s">
        <v>1041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</row>
    <row r="1930" spans="1:28" hidden="1" x14ac:dyDescent="0.25">
      <c r="A1930" t="s">
        <v>25</v>
      </c>
      <c r="B1930" t="s">
        <v>26</v>
      </c>
      <c r="C1930" t="s">
        <v>27</v>
      </c>
      <c r="D1930" s="1">
        <v>45975</v>
      </c>
      <c r="E1930" s="1">
        <v>45975</v>
      </c>
      <c r="F1930" s="2">
        <v>23</v>
      </c>
      <c r="G1930" s="3" t="s">
        <v>23</v>
      </c>
      <c r="H1930">
        <v>19</v>
      </c>
      <c r="I1930" s="2">
        <v>0</v>
      </c>
      <c r="J1930" s="2">
        <v>0</v>
      </c>
      <c r="K1930" s="2">
        <v>1</v>
      </c>
      <c r="L1930" s="2">
        <v>0</v>
      </c>
      <c r="M1930">
        <v>0</v>
      </c>
      <c r="N1930">
        <v>0</v>
      </c>
      <c r="O1930" s="2">
        <v>0</v>
      </c>
      <c r="P1930" s="2">
        <v>0</v>
      </c>
      <c r="Q1930">
        <v>0</v>
      </c>
      <c r="R1930" s="2">
        <v>0</v>
      </c>
      <c r="S1930" s="2">
        <v>0</v>
      </c>
      <c r="T1930" t="s">
        <v>1042</v>
      </c>
      <c r="U1930" s="2">
        <v>0</v>
      </c>
      <c r="V1930" s="2">
        <v>22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</row>
    <row r="1931" spans="1:28" hidden="1" x14ac:dyDescent="0.25">
      <c r="A1931" t="s">
        <v>568</v>
      </c>
      <c r="B1931" t="s">
        <v>21</v>
      </c>
      <c r="C1931" t="s">
        <v>670</v>
      </c>
      <c r="D1931" s="1">
        <v>45975</v>
      </c>
      <c r="E1931" s="1">
        <v>45975</v>
      </c>
      <c r="F1931" s="2">
        <v>134</v>
      </c>
      <c r="G1931" s="3" t="s">
        <v>23</v>
      </c>
      <c r="H1931">
        <v>28</v>
      </c>
      <c r="I1931" s="2">
        <v>0</v>
      </c>
      <c r="J1931" s="2">
        <v>0</v>
      </c>
      <c r="K1931" s="2">
        <v>1</v>
      </c>
      <c r="L1931" s="2">
        <v>0</v>
      </c>
      <c r="M1931">
        <v>0</v>
      </c>
      <c r="N1931">
        <v>0</v>
      </c>
      <c r="O1931" s="2">
        <v>0</v>
      </c>
      <c r="P1931" s="2">
        <v>0</v>
      </c>
      <c r="Q1931">
        <v>0</v>
      </c>
      <c r="R1931" s="2">
        <v>0</v>
      </c>
      <c r="S1931" s="2">
        <v>0</v>
      </c>
      <c r="T1931" t="s">
        <v>1043</v>
      </c>
      <c r="U1931" s="2">
        <v>0</v>
      </c>
      <c r="V1931" s="2">
        <v>23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</row>
    <row r="1932" spans="1:28" hidden="1" x14ac:dyDescent="0.25">
      <c r="A1932" t="s">
        <v>33</v>
      </c>
      <c r="B1932" t="s">
        <v>34</v>
      </c>
      <c r="C1932" t="s">
        <v>35</v>
      </c>
      <c r="D1932" s="1">
        <v>45975</v>
      </c>
      <c r="E1932" s="1">
        <v>45975</v>
      </c>
      <c r="F1932" s="2">
        <v>32</v>
      </c>
      <c r="G1932" s="3" t="s">
        <v>23</v>
      </c>
      <c r="H1932">
        <v>22</v>
      </c>
      <c r="I1932" s="2">
        <v>0</v>
      </c>
      <c r="J1932" s="2">
        <v>0</v>
      </c>
      <c r="K1932" s="2">
        <v>1</v>
      </c>
      <c r="L1932" s="2">
        <v>0</v>
      </c>
      <c r="M1932">
        <v>0</v>
      </c>
      <c r="N1932">
        <v>0</v>
      </c>
      <c r="O1932" s="2">
        <v>0</v>
      </c>
      <c r="P1932" s="2">
        <v>0</v>
      </c>
      <c r="Q1932">
        <v>0</v>
      </c>
      <c r="R1932" s="2">
        <v>0</v>
      </c>
      <c r="S1932" s="2">
        <v>0</v>
      </c>
      <c r="T1932" t="s">
        <v>1044</v>
      </c>
      <c r="U1932" s="2">
        <v>0</v>
      </c>
      <c r="V1932" s="2">
        <v>11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</row>
    <row r="1933" spans="1:28" hidden="1" x14ac:dyDescent="0.25">
      <c r="A1933" t="s">
        <v>37</v>
      </c>
      <c r="B1933" t="s">
        <v>57</v>
      </c>
      <c r="C1933" t="s">
        <v>39</v>
      </c>
      <c r="D1933" s="1">
        <v>45975</v>
      </c>
      <c r="E1933" s="1">
        <v>45975</v>
      </c>
      <c r="F1933" s="2">
        <v>19</v>
      </c>
      <c r="G1933" s="3" t="s">
        <v>23</v>
      </c>
      <c r="H1933">
        <v>22</v>
      </c>
      <c r="I1933" s="2">
        <v>0</v>
      </c>
      <c r="J1933" s="2">
        <v>0</v>
      </c>
      <c r="K1933" s="2">
        <v>0</v>
      </c>
      <c r="L1933" s="2">
        <v>0</v>
      </c>
      <c r="M1933">
        <v>0</v>
      </c>
      <c r="N1933">
        <v>1</v>
      </c>
      <c r="O1933" s="2">
        <v>0</v>
      </c>
      <c r="P1933" s="2">
        <v>0</v>
      </c>
      <c r="Q1933">
        <v>0</v>
      </c>
      <c r="R1933" s="2">
        <v>0</v>
      </c>
      <c r="S1933" s="2">
        <v>0</v>
      </c>
      <c r="T1933" t="s">
        <v>1045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</row>
    <row r="1934" spans="1:28" hidden="1" x14ac:dyDescent="0.25">
      <c r="A1934" t="s">
        <v>47</v>
      </c>
      <c r="B1934" t="s">
        <v>30</v>
      </c>
      <c r="C1934" t="s">
        <v>1046</v>
      </c>
      <c r="D1934" s="1">
        <v>45975</v>
      </c>
      <c r="E1934" s="1">
        <v>45975</v>
      </c>
      <c r="F1934" s="2">
        <v>28</v>
      </c>
      <c r="G1934" s="3" t="s">
        <v>23</v>
      </c>
      <c r="H1934">
        <v>37</v>
      </c>
      <c r="I1934" s="2">
        <v>0</v>
      </c>
      <c r="J1934" s="2">
        <v>0</v>
      </c>
      <c r="K1934" s="2">
        <v>1</v>
      </c>
      <c r="L1934" s="2">
        <v>0</v>
      </c>
      <c r="M1934">
        <v>0</v>
      </c>
      <c r="N1934">
        <v>0</v>
      </c>
      <c r="O1934" s="2">
        <v>0</v>
      </c>
      <c r="P1934" s="2">
        <v>0</v>
      </c>
      <c r="Q1934">
        <v>0</v>
      </c>
      <c r="R1934" s="2">
        <v>0</v>
      </c>
      <c r="S1934" s="2">
        <v>0</v>
      </c>
      <c r="T1934" t="s">
        <v>1047</v>
      </c>
      <c r="U1934" s="2">
        <v>0</v>
      </c>
      <c r="V1934" s="2">
        <v>11</v>
      </c>
      <c r="W1934" s="2">
        <v>1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</row>
    <row r="1935" spans="1:28" hidden="1" x14ac:dyDescent="0.25">
      <c r="A1935" t="s">
        <v>29</v>
      </c>
      <c r="B1935" t="s">
        <v>47</v>
      </c>
      <c r="C1935" t="s">
        <v>1046</v>
      </c>
      <c r="D1935" s="1">
        <v>45975</v>
      </c>
      <c r="E1935" s="1">
        <v>45975</v>
      </c>
      <c r="F1935" s="2">
        <v>28</v>
      </c>
      <c r="G1935" s="3" t="s">
        <v>23</v>
      </c>
      <c r="H1935">
        <v>37</v>
      </c>
      <c r="I1935" s="2">
        <v>0</v>
      </c>
      <c r="J1935" s="2">
        <v>0</v>
      </c>
      <c r="K1935" s="2">
        <v>1</v>
      </c>
      <c r="L1935" s="2">
        <v>0</v>
      </c>
      <c r="M1935">
        <v>0</v>
      </c>
      <c r="N1935">
        <v>0</v>
      </c>
      <c r="O1935" s="2">
        <v>0</v>
      </c>
      <c r="P1935" s="2">
        <v>0</v>
      </c>
      <c r="Q1935">
        <v>0</v>
      </c>
      <c r="R1935" s="2">
        <v>0</v>
      </c>
      <c r="S1935" s="2">
        <v>0</v>
      </c>
      <c r="T1935" t="s">
        <v>1047</v>
      </c>
      <c r="U1935" s="2">
        <v>0</v>
      </c>
      <c r="V1935" s="2">
        <v>11</v>
      </c>
      <c r="W1935" s="2">
        <v>1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</row>
    <row r="1936" spans="1:28" hidden="1" x14ac:dyDescent="0.25">
      <c r="A1936" t="s">
        <v>20</v>
      </c>
      <c r="B1936" t="s">
        <v>47</v>
      </c>
      <c r="C1936" t="s">
        <v>212</v>
      </c>
      <c r="D1936" s="1">
        <v>45975</v>
      </c>
      <c r="E1936" s="1">
        <v>45975</v>
      </c>
      <c r="F1936" s="2">
        <v>0</v>
      </c>
      <c r="G1936" s="3" t="s">
        <v>1048</v>
      </c>
      <c r="H1936">
        <v>0</v>
      </c>
      <c r="I1936" s="2">
        <v>0</v>
      </c>
      <c r="J1936" s="2">
        <v>0</v>
      </c>
      <c r="K1936" s="2">
        <v>0</v>
      </c>
      <c r="L1936" s="2">
        <v>0</v>
      </c>
      <c r="M1936">
        <v>0</v>
      </c>
      <c r="N1936">
        <v>0</v>
      </c>
      <c r="O1936" s="2">
        <v>0</v>
      </c>
      <c r="P1936" s="2">
        <v>0</v>
      </c>
      <c r="Q1936">
        <v>0</v>
      </c>
      <c r="R1936" s="2">
        <v>0</v>
      </c>
      <c r="S1936" s="2">
        <v>0</v>
      </c>
      <c r="T1936" t="s">
        <v>377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</row>
    <row r="1937" spans="1:28" hidden="1" x14ac:dyDescent="0.25">
      <c r="A1937" t="s">
        <v>47</v>
      </c>
      <c r="B1937" t="s">
        <v>52</v>
      </c>
      <c r="C1937" t="s">
        <v>212</v>
      </c>
      <c r="D1937" s="1">
        <v>45975</v>
      </c>
      <c r="E1937" s="1">
        <v>45975</v>
      </c>
      <c r="F1937" s="2">
        <v>0</v>
      </c>
      <c r="G1937" s="3" t="s">
        <v>572</v>
      </c>
      <c r="H1937">
        <v>0</v>
      </c>
      <c r="I1937" s="2">
        <v>0</v>
      </c>
      <c r="J1937" s="2">
        <v>0</v>
      </c>
      <c r="K1937" s="2">
        <v>0</v>
      </c>
      <c r="L1937" s="2">
        <v>0</v>
      </c>
      <c r="M1937">
        <v>0</v>
      </c>
      <c r="N1937">
        <v>0</v>
      </c>
      <c r="O1937" s="2">
        <v>0</v>
      </c>
      <c r="P1937" s="2">
        <v>0</v>
      </c>
      <c r="Q1937">
        <v>0</v>
      </c>
      <c r="R1937" s="2">
        <v>0</v>
      </c>
      <c r="S1937" s="2">
        <v>0</v>
      </c>
      <c r="T1937" t="s">
        <v>377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</row>
    <row r="1938" spans="1:28" hidden="1" x14ac:dyDescent="0.25">
      <c r="A1938" t="s">
        <v>53</v>
      </c>
      <c r="B1938" t="s">
        <v>38</v>
      </c>
      <c r="C1938" t="s">
        <v>64</v>
      </c>
      <c r="D1938" s="1">
        <v>45974</v>
      </c>
      <c r="E1938" s="1">
        <v>45974</v>
      </c>
      <c r="F1938" s="2">
        <v>80</v>
      </c>
      <c r="G1938" s="3" t="s">
        <v>23</v>
      </c>
      <c r="H1938">
        <f>8+8</f>
        <v>16</v>
      </c>
      <c r="I1938" s="2">
        <v>0</v>
      </c>
      <c r="J1938" s="2">
        <v>0</v>
      </c>
      <c r="K1938" s="2">
        <v>0</v>
      </c>
      <c r="L1938" s="2">
        <v>1</v>
      </c>
      <c r="M1938">
        <v>0</v>
      </c>
      <c r="N1938">
        <v>0</v>
      </c>
      <c r="O1938" s="2">
        <v>0</v>
      </c>
      <c r="P1938" s="2">
        <v>0</v>
      </c>
      <c r="Q1938">
        <v>0</v>
      </c>
      <c r="R1938" s="2">
        <v>0</v>
      </c>
      <c r="S1938" s="2">
        <v>0</v>
      </c>
      <c r="T1938" t="s">
        <v>1036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</row>
    <row r="1939" spans="1:28" hidden="1" x14ac:dyDescent="0.25">
      <c r="A1939" t="s">
        <v>53</v>
      </c>
      <c r="B1939" t="s">
        <v>38</v>
      </c>
      <c r="C1939" t="s">
        <v>64</v>
      </c>
      <c r="D1939" s="1">
        <v>45975</v>
      </c>
      <c r="E1939" s="1">
        <v>45975</v>
      </c>
      <c r="F1939" s="2">
        <v>80</v>
      </c>
      <c r="G1939" s="3" t="s">
        <v>23</v>
      </c>
      <c r="H1939">
        <f>9+9</f>
        <v>18</v>
      </c>
      <c r="I1939" s="2">
        <v>0</v>
      </c>
      <c r="J1939" s="2">
        <v>0</v>
      </c>
      <c r="K1939" s="2">
        <v>0</v>
      </c>
      <c r="L1939" s="2">
        <v>1</v>
      </c>
      <c r="M1939">
        <v>0</v>
      </c>
      <c r="N1939">
        <v>0</v>
      </c>
      <c r="O1939" s="2">
        <v>0</v>
      </c>
      <c r="P1939" s="2">
        <v>0</v>
      </c>
      <c r="Q1939">
        <v>0</v>
      </c>
      <c r="R1939" s="2">
        <v>0</v>
      </c>
      <c r="S1939" s="2">
        <v>0</v>
      </c>
      <c r="T1939" t="s">
        <v>1036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</row>
    <row r="1940" spans="1:28" hidden="1" x14ac:dyDescent="0.25">
      <c r="A1940" t="s">
        <v>53</v>
      </c>
      <c r="B1940" t="s">
        <v>38</v>
      </c>
      <c r="C1940" t="s">
        <v>54</v>
      </c>
      <c r="D1940" s="9">
        <v>45976</v>
      </c>
      <c r="E1940" s="9">
        <v>45976</v>
      </c>
      <c r="F1940" s="2">
        <v>54</v>
      </c>
      <c r="G1940" s="3" t="s">
        <v>23</v>
      </c>
      <c r="H1940">
        <v>0</v>
      </c>
      <c r="I1940" s="2">
        <v>0</v>
      </c>
      <c r="J1940" s="2">
        <v>0</v>
      </c>
      <c r="K1940" s="2">
        <v>0</v>
      </c>
      <c r="L1940" s="2">
        <v>0</v>
      </c>
      <c r="M1940">
        <v>0</v>
      </c>
      <c r="N1940">
        <v>0</v>
      </c>
      <c r="O1940" s="2">
        <v>1</v>
      </c>
      <c r="P1940" s="2">
        <v>0</v>
      </c>
      <c r="Q1940">
        <v>7</v>
      </c>
      <c r="R1940" s="2">
        <v>1</v>
      </c>
      <c r="S1940" s="2">
        <v>0</v>
      </c>
      <c r="T1940" t="s">
        <v>1049</v>
      </c>
      <c r="U1940" s="2">
        <v>16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1</v>
      </c>
      <c r="AB1940" s="2">
        <v>0</v>
      </c>
    </row>
    <row r="1941" spans="1:28" hidden="1" x14ac:dyDescent="0.25">
      <c r="A1941" t="s">
        <v>63</v>
      </c>
      <c r="B1941" t="s">
        <v>284</v>
      </c>
      <c r="C1941" t="s">
        <v>102</v>
      </c>
      <c r="D1941" s="9">
        <v>45976</v>
      </c>
      <c r="E1941" s="9">
        <v>45976</v>
      </c>
      <c r="F1941" s="2">
        <v>17</v>
      </c>
      <c r="G1941" s="3" t="s">
        <v>23</v>
      </c>
      <c r="H1941">
        <v>0</v>
      </c>
      <c r="I1941" s="2">
        <v>0</v>
      </c>
      <c r="J1941" s="2">
        <v>0</v>
      </c>
      <c r="K1941" s="2">
        <v>0</v>
      </c>
      <c r="L1941" s="2">
        <v>0</v>
      </c>
      <c r="M1941">
        <v>0</v>
      </c>
      <c r="N1941">
        <v>0</v>
      </c>
      <c r="O1941" s="2">
        <v>1</v>
      </c>
      <c r="P1941" s="2">
        <v>0</v>
      </c>
      <c r="Q1941">
        <v>2</v>
      </c>
      <c r="R1941" s="2">
        <v>1</v>
      </c>
      <c r="S1941" s="2">
        <v>0</v>
      </c>
      <c r="T1941" t="s">
        <v>1050</v>
      </c>
      <c r="U1941" s="2">
        <v>12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</row>
    <row r="1942" spans="1:28" hidden="1" x14ac:dyDescent="0.25">
      <c r="A1942" t="s">
        <v>568</v>
      </c>
      <c r="B1942" t="s">
        <v>21</v>
      </c>
      <c r="C1942" t="s">
        <v>670</v>
      </c>
      <c r="D1942" s="9">
        <v>45976</v>
      </c>
      <c r="E1942" s="9">
        <v>45976</v>
      </c>
      <c r="F1942" s="2">
        <v>57</v>
      </c>
      <c r="G1942" s="3" t="s">
        <v>23</v>
      </c>
      <c r="H1942">
        <v>0</v>
      </c>
      <c r="I1942" s="2">
        <v>0</v>
      </c>
      <c r="J1942" s="2">
        <v>0</v>
      </c>
      <c r="K1942" s="2">
        <v>0</v>
      </c>
      <c r="L1942" s="2">
        <v>0</v>
      </c>
      <c r="M1942">
        <v>0</v>
      </c>
      <c r="N1942">
        <v>0</v>
      </c>
      <c r="O1942" s="2">
        <v>1</v>
      </c>
      <c r="P1942" s="2">
        <v>0</v>
      </c>
      <c r="Q1942">
        <v>1</v>
      </c>
      <c r="R1942" s="2">
        <v>1</v>
      </c>
      <c r="S1942" s="2">
        <v>0</v>
      </c>
      <c r="T1942" t="s">
        <v>1051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</row>
    <row r="1943" spans="1:28" hidden="1" x14ac:dyDescent="0.25">
      <c r="A1943" t="s">
        <v>105</v>
      </c>
      <c r="B1943" t="s">
        <v>34</v>
      </c>
      <c r="C1943" t="s">
        <v>107</v>
      </c>
      <c r="D1943" s="9">
        <v>45976</v>
      </c>
      <c r="E1943" s="9">
        <v>45976</v>
      </c>
      <c r="F1943" s="2">
        <v>40</v>
      </c>
      <c r="G1943" s="3" t="s">
        <v>23</v>
      </c>
      <c r="H1943">
        <v>0</v>
      </c>
      <c r="I1943" s="2">
        <v>0</v>
      </c>
      <c r="J1943" s="2">
        <v>0</v>
      </c>
      <c r="K1943" s="2">
        <v>0</v>
      </c>
      <c r="L1943" s="2">
        <v>0</v>
      </c>
      <c r="M1943">
        <v>0</v>
      </c>
      <c r="N1943">
        <v>0</v>
      </c>
      <c r="O1943" s="2">
        <v>1</v>
      </c>
      <c r="P1943" s="2">
        <v>0</v>
      </c>
      <c r="Q1943">
        <v>1</v>
      </c>
      <c r="R1943" s="2">
        <v>1</v>
      </c>
      <c r="S1943" s="2">
        <v>0</v>
      </c>
      <c r="T1943" t="s">
        <v>1052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</row>
    <row r="1944" spans="1:28" hidden="1" x14ac:dyDescent="0.25">
      <c r="A1944" t="s">
        <v>29</v>
      </c>
      <c r="B1944" t="s">
        <v>30</v>
      </c>
      <c r="C1944" t="s">
        <v>107</v>
      </c>
      <c r="D1944" s="9">
        <v>45976</v>
      </c>
      <c r="E1944" s="9">
        <v>45976</v>
      </c>
      <c r="F1944" s="2">
        <v>40</v>
      </c>
      <c r="G1944" s="3" t="s">
        <v>23</v>
      </c>
      <c r="H1944">
        <v>0</v>
      </c>
      <c r="I1944" s="2">
        <v>0</v>
      </c>
      <c r="J1944" s="2">
        <v>0</v>
      </c>
      <c r="K1944" s="2">
        <v>0</v>
      </c>
      <c r="L1944" s="2">
        <v>0</v>
      </c>
      <c r="M1944">
        <v>0</v>
      </c>
      <c r="N1944">
        <v>0</v>
      </c>
      <c r="O1944" s="2">
        <v>1</v>
      </c>
      <c r="P1944" s="2">
        <v>0</v>
      </c>
      <c r="Q1944">
        <v>1</v>
      </c>
      <c r="R1944" s="2">
        <v>1</v>
      </c>
      <c r="S1944" s="2">
        <v>0</v>
      </c>
      <c r="T1944" t="s">
        <v>1052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</row>
    <row r="1945" spans="1:28" hidden="1" x14ac:dyDescent="0.25">
      <c r="A1945" t="s">
        <v>37</v>
      </c>
      <c r="B1945" t="s">
        <v>57</v>
      </c>
      <c r="C1945" t="s">
        <v>212</v>
      </c>
      <c r="D1945" s="9">
        <v>45976</v>
      </c>
      <c r="E1945" s="9">
        <v>45976</v>
      </c>
      <c r="F1945" s="2">
        <v>0</v>
      </c>
      <c r="G1945" s="3" t="s">
        <v>378</v>
      </c>
      <c r="H1945">
        <v>0</v>
      </c>
      <c r="I1945" s="2">
        <v>0</v>
      </c>
      <c r="J1945" s="2">
        <v>0</v>
      </c>
      <c r="K1945" s="2">
        <v>0</v>
      </c>
      <c r="L1945" s="2">
        <v>0</v>
      </c>
      <c r="M1945">
        <v>0</v>
      </c>
      <c r="N1945">
        <v>0</v>
      </c>
      <c r="O1945" s="2">
        <v>0</v>
      </c>
      <c r="P1945" s="2">
        <v>0</v>
      </c>
      <c r="Q1945">
        <v>0</v>
      </c>
      <c r="R1945" s="2">
        <v>0</v>
      </c>
      <c r="S1945" s="2">
        <v>0</v>
      </c>
      <c r="T1945" t="s">
        <v>377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</row>
    <row r="1946" spans="1:28" hidden="1" x14ac:dyDescent="0.25">
      <c r="A1946" t="s">
        <v>25</v>
      </c>
      <c r="B1946" t="s">
        <v>1053</v>
      </c>
      <c r="C1946" t="s">
        <v>212</v>
      </c>
      <c r="D1946" s="9">
        <v>45976</v>
      </c>
      <c r="E1946" s="9">
        <v>45976</v>
      </c>
      <c r="F1946" s="2">
        <v>0</v>
      </c>
      <c r="G1946" s="3" t="s">
        <v>378</v>
      </c>
      <c r="H1946">
        <v>0</v>
      </c>
      <c r="I1946" s="2">
        <v>0</v>
      </c>
      <c r="J1946" s="2">
        <v>0</v>
      </c>
      <c r="K1946" s="2">
        <v>0</v>
      </c>
      <c r="L1946" s="2">
        <v>0</v>
      </c>
      <c r="M1946">
        <v>0</v>
      </c>
      <c r="N1946">
        <v>0</v>
      </c>
      <c r="O1946" s="2">
        <v>0</v>
      </c>
      <c r="P1946" s="2">
        <v>0</v>
      </c>
      <c r="Q1946">
        <v>0</v>
      </c>
      <c r="R1946" s="2">
        <v>0</v>
      </c>
      <c r="S1946" s="2">
        <v>0</v>
      </c>
      <c r="T1946" t="s">
        <v>377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</row>
    <row r="1947" spans="1:28" hidden="1" x14ac:dyDescent="0.25">
      <c r="A1947" t="s">
        <v>33</v>
      </c>
      <c r="B1947" t="s">
        <v>47</v>
      </c>
      <c r="C1947" t="s">
        <v>212</v>
      </c>
      <c r="D1947" s="9">
        <v>45976</v>
      </c>
      <c r="E1947" s="9">
        <v>45976</v>
      </c>
      <c r="F1947" s="2">
        <v>0</v>
      </c>
      <c r="G1947" s="3" t="s">
        <v>378</v>
      </c>
      <c r="H1947">
        <v>0</v>
      </c>
      <c r="I1947" s="2">
        <v>0</v>
      </c>
      <c r="J1947" s="2">
        <v>0</v>
      </c>
      <c r="K1947" s="2">
        <v>0</v>
      </c>
      <c r="L1947" s="2">
        <v>0</v>
      </c>
      <c r="M1947">
        <v>0</v>
      </c>
      <c r="N1947">
        <v>0</v>
      </c>
      <c r="O1947" s="2">
        <v>0</v>
      </c>
      <c r="P1947" s="2">
        <v>0</v>
      </c>
      <c r="Q1947">
        <v>0</v>
      </c>
      <c r="R1947" s="2">
        <v>0</v>
      </c>
      <c r="S1947" s="2">
        <v>0</v>
      </c>
      <c r="T1947" t="s">
        <v>377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</row>
    <row r="1948" spans="1:28" hidden="1" x14ac:dyDescent="0.25">
      <c r="A1948" t="s">
        <v>730</v>
      </c>
      <c r="B1948" t="s">
        <v>47</v>
      </c>
      <c r="C1948" t="s">
        <v>212</v>
      </c>
      <c r="D1948" s="9">
        <v>45976</v>
      </c>
      <c r="E1948" s="9">
        <v>45976</v>
      </c>
      <c r="F1948" s="2">
        <v>0</v>
      </c>
      <c r="G1948" s="3" t="s">
        <v>378</v>
      </c>
      <c r="H1948">
        <v>0</v>
      </c>
      <c r="I1948" s="2">
        <v>0</v>
      </c>
      <c r="J1948" s="2">
        <v>0</v>
      </c>
      <c r="K1948" s="2">
        <v>0</v>
      </c>
      <c r="L1948" s="2">
        <v>0</v>
      </c>
      <c r="M1948">
        <v>0</v>
      </c>
      <c r="N1948">
        <v>0</v>
      </c>
      <c r="O1948" s="2">
        <v>0</v>
      </c>
      <c r="P1948" s="2">
        <v>0</v>
      </c>
      <c r="Q1948">
        <v>0</v>
      </c>
      <c r="R1948" s="2">
        <v>0</v>
      </c>
      <c r="S1948" s="2">
        <v>0</v>
      </c>
      <c r="T1948" t="s">
        <v>377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</row>
    <row r="1949" spans="1:28" hidden="1" x14ac:dyDescent="0.25">
      <c r="A1949" t="s">
        <v>47</v>
      </c>
      <c r="B1949" t="s">
        <v>52</v>
      </c>
      <c r="C1949" t="s">
        <v>212</v>
      </c>
      <c r="D1949" s="9">
        <v>45976</v>
      </c>
      <c r="E1949" s="9">
        <v>45976</v>
      </c>
      <c r="F1949" s="2">
        <v>0</v>
      </c>
      <c r="G1949" s="3" t="s">
        <v>378</v>
      </c>
      <c r="H1949">
        <v>0</v>
      </c>
      <c r="I1949" s="2">
        <v>0</v>
      </c>
      <c r="J1949" s="2">
        <v>0</v>
      </c>
      <c r="K1949" s="2">
        <v>0</v>
      </c>
      <c r="L1949" s="2">
        <v>0</v>
      </c>
      <c r="M1949">
        <v>0</v>
      </c>
      <c r="N1949">
        <v>0</v>
      </c>
      <c r="O1949" s="2">
        <v>0</v>
      </c>
      <c r="P1949" s="2">
        <v>0</v>
      </c>
      <c r="Q1949">
        <v>0</v>
      </c>
      <c r="R1949" s="2">
        <v>0</v>
      </c>
      <c r="S1949" s="2">
        <v>0</v>
      </c>
      <c r="T1949" t="s">
        <v>377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</row>
    <row r="1950" spans="1:28" hidden="1" x14ac:dyDescent="0.25">
      <c r="A1950" t="s">
        <v>63</v>
      </c>
      <c r="B1950" t="s">
        <v>284</v>
      </c>
      <c r="C1950" t="s">
        <v>102</v>
      </c>
      <c r="D1950" s="9">
        <v>45977</v>
      </c>
      <c r="E1950" s="9">
        <v>45977</v>
      </c>
      <c r="F1950" s="2">
        <v>17</v>
      </c>
      <c r="G1950" s="3" t="s">
        <v>23</v>
      </c>
      <c r="H1950">
        <v>0</v>
      </c>
      <c r="I1950" s="2">
        <v>0</v>
      </c>
      <c r="J1950" s="2">
        <v>0</v>
      </c>
      <c r="K1950" s="2">
        <v>0</v>
      </c>
      <c r="L1950" s="2">
        <v>0</v>
      </c>
      <c r="M1950">
        <v>0</v>
      </c>
      <c r="N1950">
        <v>0</v>
      </c>
      <c r="O1950" s="2">
        <v>0</v>
      </c>
      <c r="P1950" s="2">
        <v>1</v>
      </c>
      <c r="Q1950">
        <v>2</v>
      </c>
      <c r="R1950" s="2">
        <v>0</v>
      </c>
      <c r="S1950" s="2">
        <v>1</v>
      </c>
      <c r="T1950" t="s">
        <v>1054</v>
      </c>
      <c r="U1950" s="2">
        <v>16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</row>
    <row r="1951" spans="1:28" hidden="1" x14ac:dyDescent="0.25">
      <c r="A1951" t="s">
        <v>29</v>
      </c>
      <c r="B1951" t="s">
        <v>30</v>
      </c>
      <c r="C1951" t="s">
        <v>31</v>
      </c>
      <c r="D1951" s="9">
        <v>45977</v>
      </c>
      <c r="E1951" s="9">
        <v>45977</v>
      </c>
      <c r="F1951" s="2">
        <v>30</v>
      </c>
      <c r="G1951" s="3" t="s">
        <v>23</v>
      </c>
      <c r="H1951">
        <v>0</v>
      </c>
      <c r="I1951" s="2">
        <v>0</v>
      </c>
      <c r="J1951" s="2">
        <v>0</v>
      </c>
      <c r="K1951" s="2">
        <v>0</v>
      </c>
      <c r="L1951" s="2">
        <v>0</v>
      </c>
      <c r="M1951">
        <v>0</v>
      </c>
      <c r="N1951">
        <v>0</v>
      </c>
      <c r="O1951" s="2">
        <v>0</v>
      </c>
      <c r="P1951" s="2">
        <v>1</v>
      </c>
      <c r="Q1951">
        <v>1</v>
      </c>
      <c r="R1951" s="2">
        <v>0</v>
      </c>
      <c r="S1951" s="2">
        <v>1</v>
      </c>
      <c r="T1951" t="s">
        <v>1055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</row>
    <row r="1952" spans="1:28" hidden="1" x14ac:dyDescent="0.25">
      <c r="A1952" t="s">
        <v>568</v>
      </c>
      <c r="B1952" t="s">
        <v>21</v>
      </c>
      <c r="C1952" t="s">
        <v>670</v>
      </c>
      <c r="D1952" s="9">
        <v>45977</v>
      </c>
      <c r="E1952" s="9">
        <v>45977</v>
      </c>
      <c r="F1952" s="2">
        <v>43</v>
      </c>
      <c r="G1952" s="3" t="s">
        <v>23</v>
      </c>
      <c r="H1952">
        <v>0</v>
      </c>
      <c r="I1952" s="2">
        <v>0</v>
      </c>
      <c r="J1952" s="2">
        <v>0</v>
      </c>
      <c r="K1952" s="2">
        <v>0</v>
      </c>
      <c r="L1952" s="2">
        <v>0</v>
      </c>
      <c r="M1952">
        <v>0</v>
      </c>
      <c r="N1952">
        <v>0</v>
      </c>
      <c r="O1952" s="2">
        <v>0</v>
      </c>
      <c r="P1952" s="2">
        <v>1</v>
      </c>
      <c r="Q1952">
        <v>1</v>
      </c>
      <c r="R1952" s="2">
        <v>0</v>
      </c>
      <c r="S1952" s="2">
        <v>1</v>
      </c>
      <c r="T1952" t="s">
        <v>1056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</row>
    <row r="1953" spans="1:28" hidden="1" x14ac:dyDescent="0.25">
      <c r="A1953" t="s">
        <v>105</v>
      </c>
      <c r="B1953" t="s">
        <v>34</v>
      </c>
      <c r="C1953" t="s">
        <v>107</v>
      </c>
      <c r="D1953" s="9">
        <v>45977</v>
      </c>
      <c r="E1953" s="9">
        <v>45977</v>
      </c>
      <c r="F1953" s="2">
        <v>53</v>
      </c>
      <c r="G1953" s="3" t="s">
        <v>23</v>
      </c>
      <c r="H1953">
        <v>0</v>
      </c>
      <c r="I1953" s="2">
        <v>0</v>
      </c>
      <c r="J1953" s="2">
        <v>0</v>
      </c>
      <c r="K1953" s="2">
        <v>0</v>
      </c>
      <c r="L1953" s="2">
        <v>0</v>
      </c>
      <c r="M1953">
        <v>0</v>
      </c>
      <c r="N1953">
        <v>0</v>
      </c>
      <c r="O1953" s="2">
        <v>0</v>
      </c>
      <c r="P1953" s="2">
        <v>1</v>
      </c>
      <c r="Q1953">
        <v>1</v>
      </c>
      <c r="R1953" s="2">
        <v>0</v>
      </c>
      <c r="S1953" s="2">
        <v>1</v>
      </c>
      <c r="T1953" t="s">
        <v>1057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</row>
    <row r="1954" spans="1:28" hidden="1" x14ac:dyDescent="0.25">
      <c r="A1954" t="s">
        <v>53</v>
      </c>
      <c r="B1954" t="s">
        <v>38</v>
      </c>
      <c r="C1954" t="s">
        <v>107</v>
      </c>
      <c r="D1954" s="9">
        <v>45977</v>
      </c>
      <c r="E1954" s="9">
        <v>45977</v>
      </c>
      <c r="F1954" s="2">
        <v>53</v>
      </c>
      <c r="G1954" s="3" t="s">
        <v>23</v>
      </c>
      <c r="H1954">
        <v>0</v>
      </c>
      <c r="I1954" s="2">
        <v>0</v>
      </c>
      <c r="J1954" s="2">
        <v>0</v>
      </c>
      <c r="K1954" s="2">
        <v>0</v>
      </c>
      <c r="L1954" s="2">
        <v>0</v>
      </c>
      <c r="M1954">
        <v>0</v>
      </c>
      <c r="N1954">
        <v>0</v>
      </c>
      <c r="O1954" s="2">
        <v>0</v>
      </c>
      <c r="P1954" s="2">
        <v>1</v>
      </c>
      <c r="Q1954">
        <v>5</v>
      </c>
      <c r="R1954" s="2">
        <v>0</v>
      </c>
      <c r="S1954" s="2">
        <v>1</v>
      </c>
      <c r="T1954" t="s">
        <v>1057</v>
      </c>
      <c r="U1954" s="2">
        <v>15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1</v>
      </c>
    </row>
    <row r="1955" spans="1:28" hidden="1" x14ac:dyDescent="0.25">
      <c r="A1955" t="s">
        <v>37</v>
      </c>
      <c r="B1955" t="s">
        <v>57</v>
      </c>
      <c r="C1955" t="s">
        <v>212</v>
      </c>
      <c r="D1955" s="9">
        <v>45977</v>
      </c>
      <c r="E1955" s="9">
        <v>45977</v>
      </c>
      <c r="F1955" s="2">
        <v>0</v>
      </c>
      <c r="G1955" s="3" t="s">
        <v>378</v>
      </c>
      <c r="H1955">
        <v>0</v>
      </c>
      <c r="I1955" s="2">
        <v>0</v>
      </c>
      <c r="J1955" s="2">
        <v>0</v>
      </c>
      <c r="K1955" s="2">
        <v>0</v>
      </c>
      <c r="L1955" s="2">
        <v>0</v>
      </c>
      <c r="M1955">
        <v>0</v>
      </c>
      <c r="N1955">
        <v>0</v>
      </c>
      <c r="O1955" s="2">
        <v>0</v>
      </c>
      <c r="P1955" s="2">
        <v>0</v>
      </c>
      <c r="Q1955">
        <v>0</v>
      </c>
      <c r="R1955" s="2">
        <v>0</v>
      </c>
      <c r="S1955" s="2">
        <v>0</v>
      </c>
      <c r="T1955" t="s">
        <v>377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</row>
    <row r="1956" spans="1:28" hidden="1" x14ac:dyDescent="0.25">
      <c r="A1956" t="s">
        <v>25</v>
      </c>
      <c r="B1956" t="s">
        <v>1053</v>
      </c>
      <c r="C1956" t="s">
        <v>212</v>
      </c>
      <c r="D1956" s="9">
        <v>45977</v>
      </c>
      <c r="E1956" s="9">
        <v>45977</v>
      </c>
      <c r="F1956" s="2">
        <v>0</v>
      </c>
      <c r="G1956" s="3" t="s">
        <v>378</v>
      </c>
      <c r="H1956">
        <v>0</v>
      </c>
      <c r="I1956" s="2">
        <v>0</v>
      </c>
      <c r="J1956" s="2">
        <v>0</v>
      </c>
      <c r="K1956" s="2">
        <v>0</v>
      </c>
      <c r="L1956" s="2">
        <v>0</v>
      </c>
      <c r="M1956">
        <v>0</v>
      </c>
      <c r="N1956">
        <v>0</v>
      </c>
      <c r="O1956" s="2">
        <v>0</v>
      </c>
      <c r="P1956" s="2">
        <v>0</v>
      </c>
      <c r="Q1956">
        <v>0</v>
      </c>
      <c r="R1956" s="2">
        <v>0</v>
      </c>
      <c r="S1956" s="2">
        <v>0</v>
      </c>
      <c r="T1956" t="s">
        <v>377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</row>
    <row r="1957" spans="1:28" hidden="1" x14ac:dyDescent="0.25">
      <c r="A1957" t="s">
        <v>33</v>
      </c>
      <c r="B1957" t="s">
        <v>47</v>
      </c>
      <c r="C1957" t="s">
        <v>212</v>
      </c>
      <c r="D1957" s="9">
        <v>45977</v>
      </c>
      <c r="E1957" s="9">
        <v>45977</v>
      </c>
      <c r="F1957" s="2">
        <v>0</v>
      </c>
      <c r="G1957" s="3" t="s">
        <v>378</v>
      </c>
      <c r="H1957">
        <v>0</v>
      </c>
      <c r="I1957" s="2">
        <v>0</v>
      </c>
      <c r="J1957" s="2">
        <v>0</v>
      </c>
      <c r="K1957" s="2">
        <v>0</v>
      </c>
      <c r="L1957" s="2">
        <v>0</v>
      </c>
      <c r="M1957">
        <v>0</v>
      </c>
      <c r="N1957">
        <v>0</v>
      </c>
      <c r="O1957" s="2">
        <v>0</v>
      </c>
      <c r="P1957" s="2">
        <v>0</v>
      </c>
      <c r="Q1957">
        <v>0</v>
      </c>
      <c r="R1957" s="2">
        <v>0</v>
      </c>
      <c r="S1957" s="2">
        <v>0</v>
      </c>
      <c r="T1957" t="s">
        <v>377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</row>
    <row r="1958" spans="1:28" hidden="1" x14ac:dyDescent="0.25">
      <c r="A1958" t="s">
        <v>730</v>
      </c>
      <c r="B1958" t="s">
        <v>47</v>
      </c>
      <c r="C1958" t="s">
        <v>212</v>
      </c>
      <c r="D1958" s="9">
        <v>45977</v>
      </c>
      <c r="E1958" s="9">
        <v>45977</v>
      </c>
      <c r="F1958" s="2">
        <v>0</v>
      </c>
      <c r="G1958" s="3" t="s">
        <v>378</v>
      </c>
      <c r="H1958">
        <v>0</v>
      </c>
      <c r="I1958" s="2">
        <v>0</v>
      </c>
      <c r="J1958" s="2">
        <v>0</v>
      </c>
      <c r="K1958" s="2">
        <v>0</v>
      </c>
      <c r="L1958" s="2">
        <v>0</v>
      </c>
      <c r="M1958">
        <v>0</v>
      </c>
      <c r="N1958">
        <v>0</v>
      </c>
      <c r="O1958" s="2">
        <v>0</v>
      </c>
      <c r="P1958" s="2">
        <v>0</v>
      </c>
      <c r="Q1958">
        <v>0</v>
      </c>
      <c r="R1958" s="2">
        <v>0</v>
      </c>
      <c r="S1958" s="2">
        <v>0</v>
      </c>
      <c r="T1958" t="s">
        <v>377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</row>
    <row r="1959" spans="1:28" hidden="1" x14ac:dyDescent="0.25">
      <c r="A1959" t="s">
        <v>47</v>
      </c>
      <c r="B1959" t="s">
        <v>52</v>
      </c>
      <c r="C1959" t="s">
        <v>212</v>
      </c>
      <c r="D1959" s="9">
        <v>45977</v>
      </c>
      <c r="E1959" s="9">
        <v>45977</v>
      </c>
      <c r="F1959" s="2">
        <v>0</v>
      </c>
      <c r="G1959" s="3" t="s">
        <v>378</v>
      </c>
      <c r="H1959">
        <v>0</v>
      </c>
      <c r="I1959" s="2">
        <v>0</v>
      </c>
      <c r="J1959" s="2">
        <v>0</v>
      </c>
      <c r="K1959" s="2">
        <v>0</v>
      </c>
      <c r="L1959" s="2">
        <v>0</v>
      </c>
      <c r="M1959">
        <v>0</v>
      </c>
      <c r="N1959">
        <v>0</v>
      </c>
      <c r="O1959" s="2">
        <v>0</v>
      </c>
      <c r="P1959" s="2">
        <v>0</v>
      </c>
      <c r="Q1959">
        <v>0</v>
      </c>
      <c r="R1959" s="2">
        <v>0</v>
      </c>
      <c r="S1959" s="2">
        <v>0</v>
      </c>
      <c r="T1959" t="s">
        <v>377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</row>
    <row r="1960" spans="1:28" hidden="1" x14ac:dyDescent="0.25">
      <c r="A1960" t="s">
        <v>56</v>
      </c>
      <c r="B1960" t="s">
        <v>47</v>
      </c>
      <c r="C1960" t="s">
        <v>64</v>
      </c>
      <c r="D1960" s="1">
        <v>45978</v>
      </c>
      <c r="E1960" s="1">
        <v>45978</v>
      </c>
      <c r="F1960" s="2">
        <v>18</v>
      </c>
      <c r="G1960" s="3" t="s">
        <v>23</v>
      </c>
      <c r="H1960">
        <v>11</v>
      </c>
      <c r="I1960" s="2">
        <v>0</v>
      </c>
      <c r="J1960" s="2">
        <v>0</v>
      </c>
      <c r="K1960" s="2">
        <v>0</v>
      </c>
      <c r="L1960" s="2">
        <v>0</v>
      </c>
      <c r="M1960">
        <v>0</v>
      </c>
      <c r="N1960">
        <v>0</v>
      </c>
      <c r="O1960" s="2">
        <v>0</v>
      </c>
      <c r="P1960" s="2">
        <v>0</v>
      </c>
      <c r="Q1960">
        <v>0</v>
      </c>
      <c r="R1960" s="2">
        <v>0</v>
      </c>
      <c r="S1960" s="2">
        <v>0</v>
      </c>
      <c r="T1960" t="s">
        <v>1058</v>
      </c>
      <c r="U1960" s="2">
        <v>0</v>
      </c>
      <c r="V1960" s="2">
        <v>10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</row>
    <row r="1961" spans="1:28" hidden="1" x14ac:dyDescent="0.25">
      <c r="A1961" t="s">
        <v>730</v>
      </c>
      <c r="B1961" t="s">
        <v>47</v>
      </c>
      <c r="C1961" t="s">
        <v>64</v>
      </c>
      <c r="D1961" s="1">
        <v>45978</v>
      </c>
      <c r="E1961" s="1">
        <v>45978</v>
      </c>
      <c r="F1961" s="2">
        <v>18</v>
      </c>
      <c r="G1961" s="3" t="s">
        <v>23</v>
      </c>
      <c r="H1961">
        <v>11</v>
      </c>
      <c r="I1961" s="2">
        <v>0</v>
      </c>
      <c r="J1961" s="2">
        <v>0</v>
      </c>
      <c r="K1961" s="2">
        <v>0</v>
      </c>
      <c r="L1961" s="2">
        <v>0</v>
      </c>
      <c r="M1961">
        <v>0</v>
      </c>
      <c r="N1961">
        <v>0</v>
      </c>
      <c r="O1961" s="2">
        <v>0</v>
      </c>
      <c r="P1961" s="2">
        <v>0</v>
      </c>
      <c r="Q1961">
        <v>0</v>
      </c>
      <c r="R1961" s="2">
        <v>0</v>
      </c>
      <c r="S1961" s="2">
        <v>0</v>
      </c>
      <c r="T1961" t="s">
        <v>1058</v>
      </c>
      <c r="U1961" s="2">
        <v>0</v>
      </c>
      <c r="V1961" s="2">
        <v>10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</row>
    <row r="1962" spans="1:28" hidden="1" x14ac:dyDescent="0.25">
      <c r="A1962" t="s">
        <v>53</v>
      </c>
      <c r="B1962" t="s">
        <v>38</v>
      </c>
      <c r="C1962" t="s">
        <v>54</v>
      </c>
      <c r="D1962" s="1">
        <v>45978</v>
      </c>
      <c r="E1962" s="1">
        <v>45978</v>
      </c>
      <c r="F1962" s="2">
        <v>51</v>
      </c>
      <c r="G1962" s="3" t="s">
        <v>23</v>
      </c>
      <c r="H1962">
        <v>12</v>
      </c>
      <c r="I1962" s="2">
        <v>0</v>
      </c>
      <c r="J1962" s="2">
        <v>0</v>
      </c>
      <c r="K1962" s="2">
        <v>0</v>
      </c>
      <c r="L1962" s="2">
        <v>0</v>
      </c>
      <c r="M1962">
        <v>1</v>
      </c>
      <c r="N1962">
        <v>0</v>
      </c>
      <c r="O1962" s="2">
        <v>0</v>
      </c>
      <c r="P1962" s="2">
        <v>0</v>
      </c>
      <c r="Q1962">
        <v>0</v>
      </c>
      <c r="R1962" s="2">
        <v>0</v>
      </c>
      <c r="S1962" s="2">
        <v>0</v>
      </c>
      <c r="T1962" t="s">
        <v>1059</v>
      </c>
      <c r="U1962" s="2">
        <v>0</v>
      </c>
      <c r="V1962" s="2">
        <v>1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</row>
    <row r="1963" spans="1:28" hidden="1" x14ac:dyDescent="0.25">
      <c r="A1963" t="s">
        <v>25</v>
      </c>
      <c r="B1963" t="s">
        <v>26</v>
      </c>
      <c r="C1963" t="s">
        <v>27</v>
      </c>
      <c r="D1963" s="1">
        <v>45978</v>
      </c>
      <c r="E1963" s="1">
        <v>45978</v>
      </c>
      <c r="F1963" s="2">
        <v>23</v>
      </c>
      <c r="G1963" s="3" t="s">
        <v>23</v>
      </c>
      <c r="H1963">
        <v>0</v>
      </c>
      <c r="I1963" s="2">
        <v>0</v>
      </c>
      <c r="J1963" s="2">
        <v>0</v>
      </c>
      <c r="K1963" s="2">
        <v>0</v>
      </c>
      <c r="L1963" s="2">
        <v>0</v>
      </c>
      <c r="M1963">
        <v>0</v>
      </c>
      <c r="N1963">
        <v>0</v>
      </c>
      <c r="O1963" s="2">
        <v>0</v>
      </c>
      <c r="P1963" s="2">
        <v>0</v>
      </c>
      <c r="Q1963">
        <v>1</v>
      </c>
      <c r="R1963" s="2">
        <v>0</v>
      </c>
      <c r="S1963" s="2">
        <v>0</v>
      </c>
      <c r="T1963" t="s">
        <v>1060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</row>
    <row r="1964" spans="1:28" hidden="1" x14ac:dyDescent="0.25">
      <c r="A1964" t="s">
        <v>33</v>
      </c>
      <c r="B1964" t="s">
        <v>34</v>
      </c>
      <c r="C1964" t="s">
        <v>35</v>
      </c>
      <c r="D1964" s="1">
        <v>45978</v>
      </c>
      <c r="E1964" s="1">
        <v>45978</v>
      </c>
      <c r="F1964" s="2">
        <v>56</v>
      </c>
      <c r="G1964" s="3" t="s">
        <v>23</v>
      </c>
      <c r="H1964">
        <v>24</v>
      </c>
      <c r="I1964" s="2">
        <v>0</v>
      </c>
      <c r="J1964" s="2">
        <v>1</v>
      </c>
      <c r="K1964" s="2">
        <v>0</v>
      </c>
      <c r="L1964" s="2">
        <v>0</v>
      </c>
      <c r="M1964">
        <v>0</v>
      </c>
      <c r="N1964">
        <v>1</v>
      </c>
      <c r="O1964" s="2">
        <v>0</v>
      </c>
      <c r="P1964" s="2">
        <v>0</v>
      </c>
      <c r="Q1964">
        <v>0</v>
      </c>
      <c r="R1964" s="2">
        <v>0</v>
      </c>
      <c r="S1964" s="2">
        <v>0</v>
      </c>
      <c r="T1964" t="s">
        <v>1061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</row>
    <row r="1965" spans="1:28" hidden="1" x14ac:dyDescent="0.25">
      <c r="A1965" t="s">
        <v>568</v>
      </c>
      <c r="B1965" t="s">
        <v>21</v>
      </c>
      <c r="C1965" t="s">
        <v>212</v>
      </c>
      <c r="D1965" s="1">
        <v>45978</v>
      </c>
      <c r="E1965" s="1">
        <v>45978</v>
      </c>
      <c r="F1965" s="2">
        <v>0</v>
      </c>
      <c r="G1965" s="3" t="s">
        <v>572</v>
      </c>
      <c r="H1965">
        <v>0</v>
      </c>
      <c r="I1965" s="2">
        <v>0</v>
      </c>
      <c r="J1965" s="2">
        <v>0</v>
      </c>
      <c r="K1965" s="2">
        <v>0</v>
      </c>
      <c r="L1965" s="2">
        <v>0</v>
      </c>
      <c r="M1965">
        <v>0</v>
      </c>
      <c r="N1965">
        <v>0</v>
      </c>
      <c r="O1965" s="2">
        <v>0</v>
      </c>
      <c r="P1965" s="2">
        <v>0</v>
      </c>
      <c r="Q1965">
        <v>0</v>
      </c>
      <c r="R1965" s="2">
        <v>0</v>
      </c>
      <c r="S1965" s="2">
        <v>0</v>
      </c>
      <c r="T1965" t="s">
        <v>377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</row>
    <row r="1966" spans="1:28" hidden="1" x14ac:dyDescent="0.25">
      <c r="A1966" t="s">
        <v>20</v>
      </c>
      <c r="B1966" t="s">
        <v>47</v>
      </c>
      <c r="C1966" t="s">
        <v>212</v>
      </c>
      <c r="D1966" s="1">
        <v>45978</v>
      </c>
      <c r="E1966" s="1">
        <v>45978</v>
      </c>
      <c r="F1966" s="2">
        <v>0</v>
      </c>
      <c r="G1966" s="3" t="s">
        <v>572</v>
      </c>
      <c r="H1966">
        <v>0</v>
      </c>
      <c r="I1966" s="2">
        <v>0</v>
      </c>
      <c r="J1966" s="2">
        <v>0</v>
      </c>
      <c r="K1966" s="2">
        <v>0</v>
      </c>
      <c r="L1966" s="2">
        <v>0</v>
      </c>
      <c r="M1966">
        <v>0</v>
      </c>
      <c r="N1966">
        <v>0</v>
      </c>
      <c r="O1966" s="2">
        <v>0</v>
      </c>
      <c r="P1966" s="2">
        <v>0</v>
      </c>
      <c r="Q1966">
        <v>0</v>
      </c>
      <c r="R1966" s="2">
        <v>0</v>
      </c>
      <c r="S1966" s="2">
        <v>0</v>
      </c>
      <c r="T1966" t="s">
        <v>377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</row>
    <row r="1967" spans="1:28" hidden="1" x14ac:dyDescent="0.25">
      <c r="A1967" t="s">
        <v>47</v>
      </c>
      <c r="B1967" t="s">
        <v>26</v>
      </c>
      <c r="C1967" t="s">
        <v>212</v>
      </c>
      <c r="D1967" s="1">
        <v>45978</v>
      </c>
      <c r="E1967" s="1">
        <v>45978</v>
      </c>
      <c r="F1967" s="2">
        <v>0</v>
      </c>
      <c r="G1967" s="3" t="s">
        <v>572</v>
      </c>
      <c r="H1967">
        <v>0</v>
      </c>
      <c r="I1967" s="2">
        <v>0</v>
      </c>
      <c r="J1967" s="2">
        <v>0</v>
      </c>
      <c r="K1967" s="2">
        <v>0</v>
      </c>
      <c r="L1967" s="2">
        <v>0</v>
      </c>
      <c r="M1967">
        <v>0</v>
      </c>
      <c r="N1967">
        <v>0</v>
      </c>
      <c r="O1967" s="2">
        <v>0</v>
      </c>
      <c r="P1967" s="2">
        <v>0</v>
      </c>
      <c r="Q1967">
        <v>0</v>
      </c>
      <c r="R1967" s="2">
        <v>0</v>
      </c>
      <c r="S1967" s="2">
        <v>0</v>
      </c>
      <c r="T1967" t="s">
        <v>377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</row>
    <row r="1968" spans="1:28" hidden="1" x14ac:dyDescent="0.25">
      <c r="A1968" t="s">
        <v>37</v>
      </c>
      <c r="B1968" t="s">
        <v>57</v>
      </c>
      <c r="C1968" t="s">
        <v>212</v>
      </c>
      <c r="D1968" s="1">
        <v>45978</v>
      </c>
      <c r="E1968" s="1">
        <v>45978</v>
      </c>
      <c r="F1968" s="2">
        <v>0</v>
      </c>
      <c r="G1968" s="3" t="s">
        <v>572</v>
      </c>
      <c r="H1968">
        <v>0</v>
      </c>
      <c r="I1968" s="2">
        <v>0</v>
      </c>
      <c r="J1968" s="2">
        <v>0</v>
      </c>
      <c r="K1968" s="2">
        <v>0</v>
      </c>
      <c r="L1968" s="2">
        <v>0</v>
      </c>
      <c r="M1968">
        <v>0</v>
      </c>
      <c r="N1968">
        <v>0</v>
      </c>
      <c r="O1968" s="2">
        <v>0</v>
      </c>
      <c r="P1968" s="2">
        <v>0</v>
      </c>
      <c r="Q1968">
        <v>0</v>
      </c>
      <c r="R1968" s="2">
        <v>0</v>
      </c>
      <c r="S1968" s="2">
        <v>0</v>
      </c>
      <c r="T1968" t="s">
        <v>377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</row>
    <row r="1969" spans="1:28" hidden="1" x14ac:dyDescent="0.25">
      <c r="A1969" t="s">
        <v>47</v>
      </c>
      <c r="B1969" t="s">
        <v>52</v>
      </c>
      <c r="C1969" t="s">
        <v>212</v>
      </c>
      <c r="D1969" s="1">
        <v>45978</v>
      </c>
      <c r="E1969" s="1">
        <v>45978</v>
      </c>
      <c r="F1969" s="2">
        <v>0</v>
      </c>
      <c r="G1969" s="3" t="s">
        <v>572</v>
      </c>
      <c r="H1969">
        <v>0</v>
      </c>
      <c r="I1969" s="2">
        <v>0</v>
      </c>
      <c r="J1969" s="2">
        <v>0</v>
      </c>
      <c r="K1969" s="2">
        <v>0</v>
      </c>
      <c r="L1969" s="2">
        <v>0</v>
      </c>
      <c r="M1969">
        <v>0</v>
      </c>
      <c r="N1969">
        <v>0</v>
      </c>
      <c r="O1969" s="2">
        <v>0</v>
      </c>
      <c r="P1969" s="2">
        <v>0</v>
      </c>
      <c r="Q1969">
        <v>0</v>
      </c>
      <c r="R1969" s="2">
        <v>0</v>
      </c>
      <c r="S1969" s="2">
        <v>0</v>
      </c>
      <c r="T1969" t="s">
        <v>377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</row>
    <row r="1970" spans="1:28" hidden="1" x14ac:dyDescent="0.25">
      <c r="A1970" t="s">
        <v>56</v>
      </c>
      <c r="B1970" t="s">
        <v>47</v>
      </c>
      <c r="C1970" t="s">
        <v>64</v>
      </c>
      <c r="D1970" s="1">
        <v>45979</v>
      </c>
      <c r="E1970" s="1">
        <v>45979</v>
      </c>
      <c r="F1970" s="2">
        <v>29</v>
      </c>
      <c r="G1970" s="3" t="s">
        <v>23</v>
      </c>
      <c r="H1970">
        <v>47</v>
      </c>
      <c r="I1970" s="2">
        <v>0</v>
      </c>
      <c r="J1970" s="2">
        <v>0</v>
      </c>
      <c r="K1970" s="2">
        <v>1</v>
      </c>
      <c r="L1970" s="2">
        <v>0</v>
      </c>
      <c r="M1970">
        <v>0</v>
      </c>
      <c r="N1970">
        <v>1</v>
      </c>
      <c r="O1970" s="2">
        <v>0</v>
      </c>
      <c r="P1970" s="2">
        <v>0</v>
      </c>
      <c r="Q1970">
        <v>0</v>
      </c>
      <c r="R1970" s="2">
        <v>0</v>
      </c>
      <c r="S1970" s="2">
        <v>0</v>
      </c>
      <c r="T1970" t="s">
        <v>1062</v>
      </c>
      <c r="U1970" s="2">
        <v>0</v>
      </c>
      <c r="V1970" s="2">
        <v>4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</row>
    <row r="1971" spans="1:28" hidden="1" x14ac:dyDescent="0.25">
      <c r="A1971" t="s">
        <v>730</v>
      </c>
      <c r="B1971" t="s">
        <v>47</v>
      </c>
      <c r="C1971" t="s">
        <v>64</v>
      </c>
      <c r="D1971" s="1">
        <v>45979</v>
      </c>
      <c r="E1971" s="1">
        <v>45979</v>
      </c>
      <c r="F1971" s="2">
        <v>29</v>
      </c>
      <c r="G1971" s="3" t="s">
        <v>23</v>
      </c>
      <c r="H1971">
        <v>47</v>
      </c>
      <c r="I1971" s="2">
        <v>0</v>
      </c>
      <c r="J1971" s="2">
        <v>0</v>
      </c>
      <c r="K1971" s="2">
        <v>1</v>
      </c>
      <c r="L1971" s="2">
        <v>0</v>
      </c>
      <c r="M1971">
        <v>0</v>
      </c>
      <c r="N1971">
        <v>1</v>
      </c>
      <c r="O1971" s="2">
        <v>0</v>
      </c>
      <c r="P1971" s="2">
        <v>0</v>
      </c>
      <c r="Q1971">
        <v>0</v>
      </c>
      <c r="R1971" s="2">
        <v>0</v>
      </c>
      <c r="S1971" s="2">
        <v>0</v>
      </c>
      <c r="T1971" t="s">
        <v>1062</v>
      </c>
      <c r="U1971" s="2">
        <v>0</v>
      </c>
      <c r="V1971" s="2">
        <v>4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</row>
    <row r="1972" spans="1:28" hidden="1" x14ac:dyDescent="0.25">
      <c r="A1972" t="s">
        <v>29</v>
      </c>
      <c r="B1972" t="s">
        <v>30</v>
      </c>
      <c r="C1972" t="s">
        <v>31</v>
      </c>
      <c r="D1972" s="1">
        <v>45978</v>
      </c>
      <c r="E1972" s="1">
        <v>45978</v>
      </c>
      <c r="F1972" s="2">
        <v>12</v>
      </c>
      <c r="G1972" s="3" t="s">
        <v>23</v>
      </c>
      <c r="H1972">
        <v>16</v>
      </c>
      <c r="I1972" s="2">
        <v>0</v>
      </c>
      <c r="J1972" s="2">
        <v>0</v>
      </c>
      <c r="K1972" s="2">
        <v>0</v>
      </c>
      <c r="L1972" s="2">
        <v>0</v>
      </c>
      <c r="M1972">
        <v>0</v>
      </c>
      <c r="N1972">
        <v>1</v>
      </c>
      <c r="O1972" s="2">
        <v>0</v>
      </c>
      <c r="P1972" s="2">
        <v>0</v>
      </c>
      <c r="Q1972">
        <v>0</v>
      </c>
      <c r="R1972" s="2">
        <v>0</v>
      </c>
      <c r="S1972" s="2">
        <v>0</v>
      </c>
      <c r="T1972" t="s">
        <v>1063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</row>
    <row r="1973" spans="1:28" hidden="1" x14ac:dyDescent="0.25">
      <c r="A1973" t="s">
        <v>29</v>
      </c>
      <c r="B1973" t="s">
        <v>30</v>
      </c>
      <c r="C1973" t="s">
        <v>31</v>
      </c>
      <c r="D1973" s="1">
        <v>45979</v>
      </c>
      <c r="E1973" s="1">
        <v>45979</v>
      </c>
      <c r="F1973" s="2">
        <v>12</v>
      </c>
      <c r="G1973" s="3" t="s">
        <v>23</v>
      </c>
      <c r="H1973">
        <v>14</v>
      </c>
      <c r="I1973" s="2">
        <v>0</v>
      </c>
      <c r="J1973" s="2">
        <v>0</v>
      </c>
      <c r="K1973" s="2">
        <v>1</v>
      </c>
      <c r="L1973" s="2">
        <v>0</v>
      </c>
      <c r="M1973">
        <v>0</v>
      </c>
      <c r="N1973">
        <v>0</v>
      </c>
      <c r="O1973" s="2">
        <v>0</v>
      </c>
      <c r="P1973" s="2">
        <v>0</v>
      </c>
      <c r="Q1973">
        <v>2</v>
      </c>
      <c r="R1973" s="2">
        <v>0</v>
      </c>
      <c r="S1973" s="2">
        <v>0</v>
      </c>
      <c r="T1973" t="s">
        <v>1063</v>
      </c>
      <c r="U1973" s="2">
        <v>0</v>
      </c>
      <c r="V1973" s="2">
        <f>4+20+3</f>
        <v>27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</row>
    <row r="1974" spans="1:28" hidden="1" x14ac:dyDescent="0.25">
      <c r="A1974" t="s">
        <v>568</v>
      </c>
      <c r="B1974" t="s">
        <v>21</v>
      </c>
      <c r="C1974" t="s">
        <v>670</v>
      </c>
      <c r="D1974" s="1">
        <v>45979</v>
      </c>
      <c r="E1974" s="1">
        <v>45979</v>
      </c>
      <c r="F1974" s="2">
        <v>42</v>
      </c>
      <c r="G1974" s="3" t="s">
        <v>23</v>
      </c>
      <c r="H1974">
        <v>15</v>
      </c>
      <c r="I1974" s="2">
        <v>0</v>
      </c>
      <c r="J1974" s="2">
        <v>0</v>
      </c>
      <c r="K1974" s="2">
        <v>0</v>
      </c>
      <c r="L1974" s="2">
        <v>0</v>
      </c>
      <c r="M1974">
        <v>1</v>
      </c>
      <c r="N1974">
        <v>0</v>
      </c>
      <c r="O1974" s="2">
        <v>0</v>
      </c>
      <c r="P1974" s="2">
        <v>0</v>
      </c>
      <c r="Q1974">
        <v>2</v>
      </c>
      <c r="R1974" s="2">
        <v>0</v>
      </c>
      <c r="S1974" s="2">
        <v>0</v>
      </c>
      <c r="T1974" t="s">
        <v>1064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</row>
    <row r="1975" spans="1:28" hidden="1" x14ac:dyDescent="0.25">
      <c r="A1975" t="s">
        <v>33</v>
      </c>
      <c r="B1975" t="s">
        <v>34</v>
      </c>
      <c r="C1975" t="s">
        <v>35</v>
      </c>
      <c r="D1975" s="1">
        <v>45979</v>
      </c>
      <c r="E1975" s="1">
        <v>45979</v>
      </c>
      <c r="F1975" s="2">
        <v>64</v>
      </c>
      <c r="G1975" s="3" t="s">
        <v>23</v>
      </c>
      <c r="H1975">
        <v>28</v>
      </c>
      <c r="I1975" s="2">
        <v>0</v>
      </c>
      <c r="J1975" s="2">
        <v>0</v>
      </c>
      <c r="K1975" s="2">
        <v>1</v>
      </c>
      <c r="L1975" s="2">
        <v>0</v>
      </c>
      <c r="M1975">
        <v>0</v>
      </c>
      <c r="N1975">
        <v>0</v>
      </c>
      <c r="O1975" s="2">
        <v>0</v>
      </c>
      <c r="P1975" s="2">
        <v>0</v>
      </c>
      <c r="Q1975">
        <v>1</v>
      </c>
      <c r="R1975" s="2">
        <v>0</v>
      </c>
      <c r="S1975" s="2">
        <v>0</v>
      </c>
      <c r="T1975" t="s">
        <v>1065</v>
      </c>
      <c r="U1975" s="2">
        <v>0</v>
      </c>
      <c r="V1975" s="2">
        <v>12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</row>
    <row r="1976" spans="1:28" hidden="1" x14ac:dyDescent="0.25">
      <c r="A1976" t="s">
        <v>37</v>
      </c>
      <c r="B1976" t="s">
        <v>57</v>
      </c>
      <c r="C1976" t="s">
        <v>39</v>
      </c>
      <c r="D1976" s="1">
        <v>45979</v>
      </c>
      <c r="E1976" s="1">
        <v>45979</v>
      </c>
      <c r="F1976" s="2">
        <v>16</v>
      </c>
      <c r="G1976" s="3" t="s">
        <v>23</v>
      </c>
      <c r="H1976">
        <v>26</v>
      </c>
      <c r="I1976" s="2">
        <v>0</v>
      </c>
      <c r="J1976" s="2">
        <v>0</v>
      </c>
      <c r="K1976" s="2">
        <v>1</v>
      </c>
      <c r="L1976" s="2">
        <v>0</v>
      </c>
      <c r="M1976">
        <v>0</v>
      </c>
      <c r="N1976">
        <v>0</v>
      </c>
      <c r="O1976" s="2">
        <v>0</v>
      </c>
      <c r="P1976" s="2">
        <v>0</v>
      </c>
      <c r="Q1976">
        <v>0</v>
      </c>
      <c r="R1976" s="2">
        <v>0</v>
      </c>
      <c r="S1976" s="2">
        <v>0</v>
      </c>
      <c r="T1976" t="s">
        <v>1066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</row>
    <row r="1977" spans="1:28" hidden="1" x14ac:dyDescent="0.25">
      <c r="A1977" t="s">
        <v>53</v>
      </c>
      <c r="B1977" t="s">
        <v>38</v>
      </c>
      <c r="C1977" t="s">
        <v>39</v>
      </c>
      <c r="D1977" s="1">
        <v>45979</v>
      </c>
      <c r="E1977" s="1">
        <v>45979</v>
      </c>
      <c r="F1977" s="2">
        <v>16</v>
      </c>
      <c r="G1977" s="3" t="s">
        <v>23</v>
      </c>
      <c r="H1977">
        <f>7+7+2+2+3+2+2+1</f>
        <v>26</v>
      </c>
      <c r="I1977" s="2">
        <v>0</v>
      </c>
      <c r="J1977" s="2">
        <v>0</v>
      </c>
      <c r="K1977" s="2">
        <v>0</v>
      </c>
      <c r="L1977" s="2">
        <v>1</v>
      </c>
      <c r="M1977">
        <v>0</v>
      </c>
      <c r="N1977">
        <v>0</v>
      </c>
      <c r="O1977" s="2">
        <v>0</v>
      </c>
      <c r="P1977" s="2">
        <v>0</v>
      </c>
      <c r="Q1977">
        <v>1</v>
      </c>
      <c r="R1977" s="2">
        <v>0</v>
      </c>
      <c r="S1977" s="2">
        <v>0</v>
      </c>
      <c r="T1977" t="s">
        <v>1066</v>
      </c>
      <c r="U1977" s="2">
        <v>0</v>
      </c>
      <c r="V1977" s="2">
        <f>4+2+4+2</f>
        <v>12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</row>
    <row r="1978" spans="1:28" hidden="1" x14ac:dyDescent="0.25">
      <c r="A1978" t="s">
        <v>25</v>
      </c>
      <c r="B1978" t="s">
        <v>26</v>
      </c>
      <c r="C1978" t="s">
        <v>212</v>
      </c>
      <c r="D1978" s="1">
        <v>45979</v>
      </c>
      <c r="E1978" s="1">
        <v>45979</v>
      </c>
      <c r="F1978" s="2">
        <v>0</v>
      </c>
      <c r="G1978" s="3" t="s">
        <v>48</v>
      </c>
      <c r="H1978">
        <v>0</v>
      </c>
      <c r="I1978" s="2">
        <v>0</v>
      </c>
      <c r="J1978" s="2">
        <v>0</v>
      </c>
      <c r="K1978" s="2">
        <v>0</v>
      </c>
      <c r="L1978" s="2">
        <v>0</v>
      </c>
      <c r="M1978">
        <v>0</v>
      </c>
      <c r="N1978">
        <v>0</v>
      </c>
      <c r="O1978" s="2">
        <v>0</v>
      </c>
      <c r="P1978" s="2">
        <v>0</v>
      </c>
      <c r="Q1978">
        <v>0</v>
      </c>
      <c r="R1978" s="2">
        <v>0</v>
      </c>
      <c r="S1978" s="2">
        <v>0</v>
      </c>
      <c r="T1978" t="s">
        <v>377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</row>
    <row r="1979" spans="1:28" hidden="1" x14ac:dyDescent="0.25">
      <c r="A1979" t="s">
        <v>20</v>
      </c>
      <c r="B1979" t="s">
        <v>47</v>
      </c>
      <c r="C1979" t="s">
        <v>212</v>
      </c>
      <c r="D1979" s="1">
        <v>45979</v>
      </c>
      <c r="E1979" s="1">
        <v>45979</v>
      </c>
      <c r="F1979" s="2">
        <v>0</v>
      </c>
      <c r="G1979" s="3" t="s">
        <v>572</v>
      </c>
      <c r="H1979">
        <v>0</v>
      </c>
      <c r="I1979" s="2">
        <v>0</v>
      </c>
      <c r="J1979" s="2">
        <v>0</v>
      </c>
      <c r="K1979" s="2">
        <v>0</v>
      </c>
      <c r="L1979" s="2">
        <v>0</v>
      </c>
      <c r="M1979">
        <v>0</v>
      </c>
      <c r="N1979">
        <v>0</v>
      </c>
      <c r="O1979" s="2">
        <v>0</v>
      </c>
      <c r="P1979" s="2">
        <v>0</v>
      </c>
      <c r="Q1979">
        <v>0</v>
      </c>
      <c r="R1979" s="2">
        <v>0</v>
      </c>
      <c r="S1979" s="2">
        <v>0</v>
      </c>
      <c r="T1979" t="s">
        <v>377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</row>
    <row r="1980" spans="1:28" hidden="1" x14ac:dyDescent="0.25">
      <c r="A1980" t="s">
        <v>47</v>
      </c>
      <c r="B1980" t="s">
        <v>52</v>
      </c>
      <c r="C1980" t="s">
        <v>212</v>
      </c>
      <c r="D1980" s="1">
        <v>45979</v>
      </c>
      <c r="E1980" s="1">
        <v>45979</v>
      </c>
      <c r="F1980" s="2">
        <v>0</v>
      </c>
      <c r="G1980" s="3" t="s">
        <v>572</v>
      </c>
      <c r="H1980">
        <v>0</v>
      </c>
      <c r="I1980" s="2">
        <v>0</v>
      </c>
      <c r="J1980" s="2">
        <v>0</v>
      </c>
      <c r="K1980" s="2">
        <v>0</v>
      </c>
      <c r="L1980" s="2">
        <v>0</v>
      </c>
      <c r="M1980">
        <v>0</v>
      </c>
      <c r="N1980">
        <v>0</v>
      </c>
      <c r="O1980" s="2">
        <v>0</v>
      </c>
      <c r="P1980" s="2">
        <v>0</v>
      </c>
      <c r="Q1980">
        <v>0</v>
      </c>
      <c r="R1980" s="2">
        <v>0</v>
      </c>
      <c r="S1980" s="2">
        <v>0</v>
      </c>
      <c r="T1980" t="s">
        <v>377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</row>
    <row r="1981" spans="1:28" hidden="1" x14ac:dyDescent="0.25">
      <c r="A1981" t="s">
        <v>29</v>
      </c>
      <c r="B1981" t="s">
        <v>30</v>
      </c>
      <c r="C1981" t="s">
        <v>31</v>
      </c>
      <c r="D1981" s="1">
        <v>45980</v>
      </c>
      <c r="E1981" s="1">
        <v>45980</v>
      </c>
      <c r="F1981" s="2">
        <v>12</v>
      </c>
      <c r="G1981" s="3" t="s">
        <v>23</v>
      </c>
      <c r="H1981">
        <v>28</v>
      </c>
      <c r="I1981" s="2">
        <v>0</v>
      </c>
      <c r="J1981" s="2">
        <v>0</v>
      </c>
      <c r="K1981" s="2">
        <v>1</v>
      </c>
      <c r="L1981" s="2">
        <v>0</v>
      </c>
      <c r="M1981">
        <v>0</v>
      </c>
      <c r="N1981">
        <v>0</v>
      </c>
      <c r="O1981" s="2">
        <v>0</v>
      </c>
      <c r="P1981" s="2">
        <v>0</v>
      </c>
      <c r="Q1981">
        <v>0</v>
      </c>
      <c r="R1981" s="2">
        <v>0</v>
      </c>
      <c r="S1981" s="2">
        <v>0</v>
      </c>
      <c r="T1981" t="s">
        <v>1063</v>
      </c>
      <c r="U1981" s="2">
        <v>0</v>
      </c>
      <c r="V1981" s="2">
        <f>2+1+2+1</f>
        <v>6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</row>
    <row r="1982" spans="1:28" hidden="1" x14ac:dyDescent="0.25">
      <c r="A1982" t="s">
        <v>25</v>
      </c>
      <c r="B1982" t="s">
        <v>26</v>
      </c>
      <c r="C1982" t="s">
        <v>212</v>
      </c>
      <c r="D1982" s="1">
        <v>45980</v>
      </c>
      <c r="E1982" s="1">
        <v>45980</v>
      </c>
      <c r="F1982" s="2">
        <v>0</v>
      </c>
      <c r="G1982" s="3" t="s">
        <v>23</v>
      </c>
      <c r="H1982">
        <f>10+1</f>
        <v>11</v>
      </c>
      <c r="I1982" s="2">
        <v>0</v>
      </c>
      <c r="J1982" s="2">
        <v>0</v>
      </c>
      <c r="K1982" s="2">
        <v>0</v>
      </c>
      <c r="L1982" s="2">
        <v>1</v>
      </c>
      <c r="M1982">
        <v>0</v>
      </c>
      <c r="N1982">
        <v>0</v>
      </c>
      <c r="O1982" s="2">
        <v>0</v>
      </c>
      <c r="P1982" s="2">
        <v>0</v>
      </c>
      <c r="Q1982">
        <v>0</v>
      </c>
      <c r="R1982" s="2">
        <v>0</v>
      </c>
      <c r="S1982" s="2">
        <v>0</v>
      </c>
      <c r="T1982" t="s">
        <v>377</v>
      </c>
      <c r="U1982" s="2">
        <v>0</v>
      </c>
      <c r="V1982" s="2">
        <v>10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</row>
    <row r="1983" spans="1:28" hidden="1" x14ac:dyDescent="0.25">
      <c r="A1983" t="s">
        <v>53</v>
      </c>
      <c r="B1983" t="s">
        <v>38</v>
      </c>
      <c r="C1983" t="s">
        <v>39</v>
      </c>
      <c r="D1983" s="1">
        <v>45980</v>
      </c>
      <c r="E1983" s="1">
        <v>45980</v>
      </c>
      <c r="F1983" s="2">
        <v>16</v>
      </c>
      <c r="G1983" s="3" t="s">
        <v>23</v>
      </c>
      <c r="H1983">
        <f>7+7+2+2+3+2+2+1</f>
        <v>26</v>
      </c>
      <c r="I1983" s="2">
        <v>0</v>
      </c>
      <c r="J1983" s="2">
        <v>0</v>
      </c>
      <c r="K1983" s="2">
        <v>1</v>
      </c>
      <c r="L1983" s="2">
        <v>0</v>
      </c>
      <c r="M1983">
        <v>0</v>
      </c>
      <c r="N1983">
        <v>0</v>
      </c>
      <c r="O1983" s="2">
        <v>0</v>
      </c>
      <c r="P1983" s="2">
        <v>0</v>
      </c>
      <c r="Q1983">
        <v>1</v>
      </c>
      <c r="R1983" s="2">
        <v>0</v>
      </c>
      <c r="S1983" s="2">
        <v>0</v>
      </c>
      <c r="T1983" t="s">
        <v>1066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</row>
    <row r="1984" spans="1:28" hidden="1" x14ac:dyDescent="0.25">
      <c r="A1984" t="s">
        <v>568</v>
      </c>
      <c r="B1984" t="s">
        <v>21</v>
      </c>
      <c r="C1984" t="s">
        <v>670</v>
      </c>
      <c r="D1984" s="1">
        <v>45980</v>
      </c>
      <c r="E1984" s="1">
        <v>45980</v>
      </c>
      <c r="F1984" s="2">
        <v>176</v>
      </c>
      <c r="G1984" s="3" t="s">
        <v>23</v>
      </c>
      <c r="H1984">
        <f>21+21+1+1+2+1</f>
        <v>47</v>
      </c>
      <c r="I1984" s="2">
        <v>0</v>
      </c>
      <c r="J1984" s="2">
        <v>0</v>
      </c>
      <c r="K1984" s="2">
        <v>1</v>
      </c>
      <c r="L1984" s="2">
        <v>0</v>
      </c>
      <c r="M1984">
        <v>0</v>
      </c>
      <c r="N1984">
        <v>0</v>
      </c>
      <c r="O1984" s="2">
        <v>0</v>
      </c>
      <c r="P1984" s="2">
        <v>0</v>
      </c>
      <c r="Q1984">
        <v>0</v>
      </c>
      <c r="R1984" s="2">
        <v>0</v>
      </c>
      <c r="S1984" s="2">
        <v>0</v>
      </c>
      <c r="T1984" t="s">
        <v>1067</v>
      </c>
      <c r="U1984" s="2">
        <v>0</v>
      </c>
      <c r="V1984" s="2">
        <v>5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</row>
    <row r="1985" spans="1:28" hidden="1" x14ac:dyDescent="0.25">
      <c r="A1985" t="s">
        <v>33</v>
      </c>
      <c r="B1985" t="s">
        <v>34</v>
      </c>
      <c r="C1985" t="s">
        <v>35</v>
      </c>
      <c r="D1985" s="1">
        <v>45980</v>
      </c>
      <c r="E1985" s="1">
        <v>45980</v>
      </c>
      <c r="F1985" s="2">
        <v>25</v>
      </c>
      <c r="G1985" s="3" t="s">
        <v>23</v>
      </c>
      <c r="H1985">
        <f>20+20+7</f>
        <v>47</v>
      </c>
      <c r="I1985" s="2">
        <v>0</v>
      </c>
      <c r="J1985" s="2">
        <v>0</v>
      </c>
      <c r="K1985" s="2">
        <v>1</v>
      </c>
      <c r="L1985" s="2">
        <v>0</v>
      </c>
      <c r="M1985">
        <v>1</v>
      </c>
      <c r="N1985">
        <v>0</v>
      </c>
      <c r="O1985" s="2">
        <v>0</v>
      </c>
      <c r="P1985" s="2">
        <v>0</v>
      </c>
      <c r="Q1985">
        <v>0</v>
      </c>
      <c r="R1985" s="2">
        <v>0</v>
      </c>
      <c r="S1985" s="2">
        <v>0</v>
      </c>
      <c r="T1985" t="s">
        <v>1068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</row>
    <row r="1986" spans="1:28" hidden="1" x14ac:dyDescent="0.25">
      <c r="A1986" t="s">
        <v>56</v>
      </c>
      <c r="B1986" t="s">
        <v>47</v>
      </c>
      <c r="C1986" t="s">
        <v>212</v>
      </c>
      <c r="D1986" s="1">
        <v>45980</v>
      </c>
      <c r="E1986" s="1">
        <v>45980</v>
      </c>
      <c r="F1986" s="2">
        <v>0</v>
      </c>
      <c r="G1986" s="3" t="s">
        <v>48</v>
      </c>
      <c r="H1986">
        <v>0</v>
      </c>
      <c r="I1986" s="2">
        <v>0</v>
      </c>
      <c r="J1986" s="2">
        <v>0</v>
      </c>
      <c r="K1986" s="2">
        <v>0</v>
      </c>
      <c r="L1986" s="2">
        <v>0</v>
      </c>
      <c r="M1986">
        <v>0</v>
      </c>
      <c r="N1986">
        <v>0</v>
      </c>
      <c r="O1986" s="2">
        <v>0</v>
      </c>
      <c r="P1986" s="2">
        <v>0</v>
      </c>
      <c r="Q1986">
        <v>0</v>
      </c>
      <c r="R1986" s="2">
        <v>0</v>
      </c>
      <c r="S1986" s="2">
        <v>0</v>
      </c>
      <c r="T1986" t="s">
        <v>377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</row>
    <row r="1987" spans="1:28" hidden="1" x14ac:dyDescent="0.25">
      <c r="A1987" t="s">
        <v>37</v>
      </c>
      <c r="B1987" t="s">
        <v>57</v>
      </c>
      <c r="C1987" t="s">
        <v>212</v>
      </c>
      <c r="D1987" s="1">
        <v>45980</v>
      </c>
      <c r="E1987" s="1">
        <v>45980</v>
      </c>
      <c r="F1987" s="2">
        <v>0</v>
      </c>
      <c r="G1987" s="3" t="s">
        <v>48</v>
      </c>
      <c r="H1987">
        <v>0</v>
      </c>
      <c r="I1987" s="2">
        <v>0</v>
      </c>
      <c r="J1987" s="2">
        <v>0</v>
      </c>
      <c r="K1987" s="2">
        <v>0</v>
      </c>
      <c r="L1987" s="2">
        <v>0</v>
      </c>
      <c r="M1987">
        <v>0</v>
      </c>
      <c r="N1987">
        <v>0</v>
      </c>
      <c r="O1987" s="2">
        <v>0</v>
      </c>
      <c r="P1987" s="2">
        <v>0</v>
      </c>
      <c r="Q1987">
        <v>0</v>
      </c>
      <c r="R1987" s="2">
        <v>0</v>
      </c>
      <c r="S1987" s="2">
        <v>0</v>
      </c>
      <c r="T1987" t="s">
        <v>377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</row>
    <row r="1988" spans="1:28" hidden="1" x14ac:dyDescent="0.25">
      <c r="A1988" t="s">
        <v>20</v>
      </c>
      <c r="B1988" t="s">
        <v>47</v>
      </c>
      <c r="C1988" t="s">
        <v>212</v>
      </c>
      <c r="D1988" s="1">
        <v>45980</v>
      </c>
      <c r="E1988" s="1">
        <v>45980</v>
      </c>
      <c r="F1988" s="2">
        <v>0</v>
      </c>
      <c r="G1988" s="3" t="s">
        <v>48</v>
      </c>
      <c r="H1988">
        <v>0</v>
      </c>
      <c r="I1988" s="2">
        <v>0</v>
      </c>
      <c r="J1988" s="2">
        <v>0</v>
      </c>
      <c r="K1988" s="2">
        <v>0</v>
      </c>
      <c r="L1988" s="2">
        <v>0</v>
      </c>
      <c r="M1988">
        <v>0</v>
      </c>
      <c r="N1988">
        <v>0</v>
      </c>
      <c r="O1988" s="2">
        <v>0</v>
      </c>
      <c r="P1988" s="2">
        <v>0</v>
      </c>
      <c r="Q1988">
        <v>0</v>
      </c>
      <c r="R1988" s="2">
        <v>0</v>
      </c>
      <c r="S1988" s="2">
        <v>0</v>
      </c>
      <c r="T1988" t="s">
        <v>377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</row>
    <row r="1989" spans="1:28" hidden="1" x14ac:dyDescent="0.25">
      <c r="A1989" t="s">
        <v>20</v>
      </c>
      <c r="B1989" t="s">
        <v>47</v>
      </c>
      <c r="C1989" t="s">
        <v>212</v>
      </c>
      <c r="D1989" s="1">
        <v>45981</v>
      </c>
      <c r="E1989" s="1">
        <v>45981</v>
      </c>
      <c r="F1989" s="2">
        <v>0</v>
      </c>
      <c r="G1989" s="3" t="s">
        <v>23</v>
      </c>
      <c r="H1989">
        <v>0</v>
      </c>
      <c r="I1989" s="2">
        <v>0</v>
      </c>
      <c r="J1989" s="2">
        <v>0</v>
      </c>
      <c r="K1989" s="2">
        <v>0</v>
      </c>
      <c r="L1989" s="2">
        <v>0</v>
      </c>
      <c r="M1989">
        <v>0</v>
      </c>
      <c r="N1989">
        <v>0</v>
      </c>
      <c r="O1989" s="2">
        <v>0</v>
      </c>
      <c r="P1989" s="2">
        <v>0</v>
      </c>
      <c r="Q1989">
        <v>0</v>
      </c>
      <c r="R1989" s="2">
        <v>0</v>
      </c>
      <c r="S1989" s="2">
        <v>0</v>
      </c>
      <c r="T1989" t="s">
        <v>377</v>
      </c>
      <c r="U1989" s="2">
        <v>0</v>
      </c>
      <c r="V1989" s="2">
        <v>20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</row>
    <row r="1990" spans="1:28" hidden="1" x14ac:dyDescent="0.25">
      <c r="A1990" t="s">
        <v>730</v>
      </c>
      <c r="B1990" t="s">
        <v>47</v>
      </c>
      <c r="C1990" t="s">
        <v>212</v>
      </c>
      <c r="D1990" s="1">
        <v>45980</v>
      </c>
      <c r="E1990" s="1">
        <v>45980</v>
      </c>
      <c r="F1990" s="2">
        <v>0</v>
      </c>
      <c r="G1990" s="3" t="s">
        <v>572</v>
      </c>
      <c r="H1990">
        <v>0</v>
      </c>
      <c r="I1990" s="2">
        <v>0</v>
      </c>
      <c r="J1990" s="2">
        <v>0</v>
      </c>
      <c r="K1990" s="2">
        <v>0</v>
      </c>
      <c r="L1990" s="2">
        <v>0</v>
      </c>
      <c r="M1990">
        <v>0</v>
      </c>
      <c r="N1990">
        <v>0</v>
      </c>
      <c r="O1990" s="2">
        <v>0</v>
      </c>
      <c r="P1990" s="2">
        <v>0</v>
      </c>
      <c r="Q1990">
        <v>0</v>
      </c>
      <c r="R1990" s="2">
        <v>0</v>
      </c>
      <c r="S1990" s="2">
        <v>0</v>
      </c>
      <c r="T1990" t="s">
        <v>377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</row>
    <row r="1991" spans="1:28" hidden="1" x14ac:dyDescent="0.25">
      <c r="A1991" t="s">
        <v>47</v>
      </c>
      <c r="B1991" t="s">
        <v>52</v>
      </c>
      <c r="C1991" t="s">
        <v>212</v>
      </c>
      <c r="D1991" s="1">
        <v>45980</v>
      </c>
      <c r="E1991" s="1">
        <v>45980</v>
      </c>
      <c r="F1991" s="2">
        <v>0</v>
      </c>
      <c r="G1991" s="3" t="s">
        <v>572</v>
      </c>
      <c r="H1991">
        <v>0</v>
      </c>
      <c r="I1991" s="2">
        <v>0</v>
      </c>
      <c r="J1991" s="2">
        <v>0</v>
      </c>
      <c r="K1991" s="2">
        <v>0</v>
      </c>
      <c r="L1991" s="2">
        <v>0</v>
      </c>
      <c r="M1991">
        <v>0</v>
      </c>
      <c r="N1991">
        <v>0</v>
      </c>
      <c r="O1991" s="2">
        <v>0</v>
      </c>
      <c r="P1991" s="2">
        <v>0</v>
      </c>
      <c r="Q1991">
        <v>0</v>
      </c>
      <c r="R1991" s="2">
        <v>0</v>
      </c>
      <c r="S1991" s="2">
        <v>0</v>
      </c>
      <c r="T1991" t="s">
        <v>377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</row>
    <row r="1992" spans="1:28" hidden="1" x14ac:dyDescent="0.25">
      <c r="A1992" t="s">
        <v>56</v>
      </c>
      <c r="B1992" t="s">
        <v>47</v>
      </c>
      <c r="C1992" t="s">
        <v>64</v>
      </c>
      <c r="D1992" s="1">
        <v>45981</v>
      </c>
      <c r="E1992" s="1">
        <v>45981</v>
      </c>
      <c r="F1992" s="2">
        <v>21</v>
      </c>
      <c r="G1992" s="3" t="s">
        <v>23</v>
      </c>
      <c r="H1992">
        <f>18+18</f>
        <v>36</v>
      </c>
      <c r="I1992" s="2">
        <v>0</v>
      </c>
      <c r="J1992" s="2">
        <v>1</v>
      </c>
      <c r="K1992" s="2">
        <v>1</v>
      </c>
      <c r="L1992" s="2">
        <v>0</v>
      </c>
      <c r="M1992">
        <v>0</v>
      </c>
      <c r="N1992">
        <v>0</v>
      </c>
      <c r="O1992" s="2">
        <v>0</v>
      </c>
      <c r="P1992" s="2">
        <v>0</v>
      </c>
      <c r="Q1992">
        <v>0</v>
      </c>
      <c r="R1992" s="2">
        <v>0</v>
      </c>
      <c r="S1992" s="2">
        <v>0</v>
      </c>
      <c r="T1992" t="s">
        <v>1069</v>
      </c>
      <c r="U1992" s="2">
        <v>0</v>
      </c>
      <c r="V1992" s="2">
        <v>20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</row>
    <row r="1993" spans="1:28" hidden="1" x14ac:dyDescent="0.25">
      <c r="A1993" t="s">
        <v>730</v>
      </c>
      <c r="B1993" t="s">
        <v>47</v>
      </c>
      <c r="C1993" t="s">
        <v>64</v>
      </c>
      <c r="D1993" s="1">
        <v>45981</v>
      </c>
      <c r="E1993" s="1">
        <v>45981</v>
      </c>
      <c r="F1993" s="2">
        <v>21</v>
      </c>
      <c r="G1993" s="3" t="s">
        <v>23</v>
      </c>
      <c r="H1993">
        <f>18+18</f>
        <v>36</v>
      </c>
      <c r="I1993" s="2">
        <v>0</v>
      </c>
      <c r="J1993" s="2">
        <v>1</v>
      </c>
      <c r="K1993" s="2">
        <v>1</v>
      </c>
      <c r="L1993" s="2">
        <v>0</v>
      </c>
      <c r="M1993">
        <v>0</v>
      </c>
      <c r="N1993">
        <v>0</v>
      </c>
      <c r="O1993" s="2">
        <v>0</v>
      </c>
      <c r="P1993" s="2">
        <v>0</v>
      </c>
      <c r="Q1993">
        <v>0</v>
      </c>
      <c r="R1993" s="2">
        <v>0</v>
      </c>
      <c r="S1993" s="2">
        <v>0</v>
      </c>
      <c r="T1993" t="s">
        <v>1069</v>
      </c>
      <c r="U1993" s="2">
        <v>0</v>
      </c>
      <c r="V1993" s="2">
        <v>20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</row>
    <row r="1994" spans="1:28" hidden="1" x14ac:dyDescent="0.25">
      <c r="A1994" t="s">
        <v>25</v>
      </c>
      <c r="B1994" t="s">
        <v>26</v>
      </c>
      <c r="C1994" t="s">
        <v>27</v>
      </c>
      <c r="D1994" s="1">
        <v>45981</v>
      </c>
      <c r="E1994" s="1">
        <v>45981</v>
      </c>
      <c r="F1994" s="2">
        <v>27</v>
      </c>
      <c r="G1994" s="3" t="s">
        <v>23</v>
      </c>
      <c r="H1994">
        <f>8+8</f>
        <v>16</v>
      </c>
      <c r="I1994" s="2">
        <v>0</v>
      </c>
      <c r="J1994" s="2">
        <v>0</v>
      </c>
      <c r="K1994" s="2">
        <v>0</v>
      </c>
      <c r="L1994" s="2">
        <v>1</v>
      </c>
      <c r="M1994">
        <v>0</v>
      </c>
      <c r="N1994">
        <v>0</v>
      </c>
      <c r="O1994" s="2">
        <v>0</v>
      </c>
      <c r="P1994" s="2">
        <v>0</v>
      </c>
      <c r="Q1994">
        <v>0</v>
      </c>
      <c r="R1994" s="2">
        <v>0</v>
      </c>
      <c r="S1994" s="2">
        <v>0</v>
      </c>
      <c r="T1994" t="s">
        <v>1070</v>
      </c>
      <c r="U1994" s="2">
        <v>0</v>
      </c>
      <c r="V1994" s="2">
        <f>20+4+2+20+4+4</f>
        <v>54</v>
      </c>
      <c r="W1994" s="2">
        <v>1</v>
      </c>
      <c r="X1994" s="2">
        <f>1+9</f>
        <v>10</v>
      </c>
      <c r="Y1994" s="2">
        <v>0</v>
      </c>
      <c r="Z1994" s="2">
        <v>0</v>
      </c>
      <c r="AA1994" s="2">
        <v>0</v>
      </c>
      <c r="AB1994" s="2">
        <v>0</v>
      </c>
    </row>
    <row r="1995" spans="1:28" hidden="1" x14ac:dyDescent="0.25">
      <c r="A1995" t="s">
        <v>63</v>
      </c>
      <c r="B1995" t="s">
        <v>38</v>
      </c>
      <c r="C1995" t="s">
        <v>102</v>
      </c>
      <c r="D1995" s="1">
        <v>45981</v>
      </c>
      <c r="E1995" s="1">
        <v>45981</v>
      </c>
      <c r="F1995" s="2">
        <v>62</v>
      </c>
      <c r="G1995" s="3" t="s">
        <v>23</v>
      </c>
      <c r="H1995">
        <f>8+3</f>
        <v>11</v>
      </c>
      <c r="I1995" s="2">
        <v>0</v>
      </c>
      <c r="J1995" s="2">
        <v>1</v>
      </c>
      <c r="K1995" s="2">
        <v>0</v>
      </c>
      <c r="L1995" s="2">
        <v>0</v>
      </c>
      <c r="M1995">
        <v>0</v>
      </c>
      <c r="N1995">
        <v>0</v>
      </c>
      <c r="O1995" s="2">
        <v>0</v>
      </c>
      <c r="P1995" s="2">
        <v>0</v>
      </c>
      <c r="Q1995">
        <v>3</v>
      </c>
      <c r="R1995" s="2">
        <v>0</v>
      </c>
      <c r="S1995" s="2">
        <v>0</v>
      </c>
      <c r="T1995" t="s">
        <v>1071</v>
      </c>
      <c r="U1995" s="2">
        <v>0</v>
      </c>
      <c r="V1995" s="2">
        <f>20+20</f>
        <v>40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</row>
    <row r="1996" spans="1:28" hidden="1" x14ac:dyDescent="0.25">
      <c r="A1996" t="s">
        <v>37</v>
      </c>
      <c r="B1996" t="s">
        <v>57</v>
      </c>
      <c r="C1996" t="s">
        <v>39</v>
      </c>
      <c r="D1996" s="1">
        <v>45981</v>
      </c>
      <c r="E1996" s="1">
        <v>45981</v>
      </c>
      <c r="F1996" s="2">
        <v>17</v>
      </c>
      <c r="G1996" s="3" t="s">
        <v>23</v>
      </c>
      <c r="H1996">
        <f>16+16+7</f>
        <v>39</v>
      </c>
      <c r="I1996" s="2">
        <v>0</v>
      </c>
      <c r="J1996" s="2">
        <v>0</v>
      </c>
      <c r="K1996" s="2">
        <v>1</v>
      </c>
      <c r="L1996" s="2">
        <v>0</v>
      </c>
      <c r="M1996">
        <v>0</v>
      </c>
      <c r="N1996">
        <v>0</v>
      </c>
      <c r="O1996" s="2">
        <v>0</v>
      </c>
      <c r="P1996" s="2">
        <v>0</v>
      </c>
      <c r="Q1996">
        <v>0</v>
      </c>
      <c r="R1996" s="2">
        <v>0</v>
      </c>
      <c r="S1996" s="2">
        <v>0</v>
      </c>
      <c r="T1996" t="s">
        <v>1072</v>
      </c>
      <c r="U1996" s="2">
        <v>0</v>
      </c>
      <c r="V1996" s="2">
        <f>6+1+2+18+4</f>
        <v>31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</row>
    <row r="1997" spans="1:28" hidden="1" x14ac:dyDescent="0.25">
      <c r="A1997" t="s">
        <v>568</v>
      </c>
      <c r="B1997" t="s">
        <v>21</v>
      </c>
      <c r="C1997" t="s">
        <v>39</v>
      </c>
      <c r="D1997" s="1">
        <v>45981</v>
      </c>
      <c r="E1997" s="1">
        <v>45981</v>
      </c>
      <c r="F1997" s="2">
        <v>17</v>
      </c>
      <c r="G1997" s="3" t="s">
        <v>23</v>
      </c>
      <c r="H1997">
        <v>40</v>
      </c>
      <c r="I1997" s="2">
        <v>0</v>
      </c>
      <c r="J1997" s="2">
        <v>1</v>
      </c>
      <c r="K1997" s="2">
        <v>1</v>
      </c>
      <c r="L1997" s="2">
        <v>0</v>
      </c>
      <c r="M1997">
        <v>0</v>
      </c>
      <c r="N1997">
        <v>0</v>
      </c>
      <c r="O1997" s="2">
        <v>0</v>
      </c>
      <c r="P1997" s="2">
        <v>0</v>
      </c>
      <c r="Q1997">
        <v>0</v>
      </c>
      <c r="R1997" s="2">
        <v>0</v>
      </c>
      <c r="S1997" s="2">
        <v>0</v>
      </c>
      <c r="T1997" t="s">
        <v>1072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</row>
    <row r="1998" spans="1:28" hidden="1" x14ac:dyDescent="0.25">
      <c r="A1998" t="s">
        <v>29</v>
      </c>
      <c r="B1998" t="s">
        <v>1073</v>
      </c>
      <c r="C1998" t="s">
        <v>39</v>
      </c>
      <c r="D1998" s="1">
        <v>45981</v>
      </c>
      <c r="E1998" s="1">
        <v>45981</v>
      </c>
      <c r="F1998" s="2">
        <v>17</v>
      </c>
      <c r="G1998" s="3" t="s">
        <v>23</v>
      </c>
      <c r="H1998">
        <v>14</v>
      </c>
      <c r="I1998" s="2">
        <v>0</v>
      </c>
      <c r="J1998" s="2">
        <v>1</v>
      </c>
      <c r="K1998" s="2">
        <v>1</v>
      </c>
      <c r="L1998" s="2">
        <v>0</v>
      </c>
      <c r="M1998">
        <v>0</v>
      </c>
      <c r="N1998">
        <v>0</v>
      </c>
      <c r="O1998" s="2">
        <v>0</v>
      </c>
      <c r="P1998" s="2">
        <v>0</v>
      </c>
      <c r="Q1998">
        <v>0</v>
      </c>
      <c r="R1998" s="2">
        <v>0</v>
      </c>
      <c r="S1998" s="2">
        <v>0</v>
      </c>
      <c r="T1998" t="s">
        <v>1072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</row>
    <row r="1999" spans="1:28" hidden="1" x14ac:dyDescent="0.25">
      <c r="A1999" t="s">
        <v>47</v>
      </c>
      <c r="B1999" t="s">
        <v>34</v>
      </c>
      <c r="C1999" t="s">
        <v>212</v>
      </c>
      <c r="D1999" s="1">
        <v>45981</v>
      </c>
      <c r="E1999" s="1">
        <v>45981</v>
      </c>
      <c r="F1999" s="2">
        <v>0</v>
      </c>
      <c r="G1999" s="3" t="s">
        <v>988</v>
      </c>
      <c r="H1999">
        <v>0</v>
      </c>
      <c r="I1999" s="2">
        <v>0</v>
      </c>
      <c r="J1999" s="2">
        <v>0</v>
      </c>
      <c r="K1999" s="2">
        <v>0</v>
      </c>
      <c r="L1999" s="2">
        <v>0</v>
      </c>
      <c r="M1999">
        <v>0</v>
      </c>
      <c r="N1999">
        <v>0</v>
      </c>
      <c r="O1999" s="2">
        <v>0</v>
      </c>
      <c r="P1999" s="2">
        <v>0</v>
      </c>
      <c r="Q1999">
        <v>0</v>
      </c>
      <c r="R1999" s="2">
        <v>0</v>
      </c>
      <c r="S1999" s="2">
        <v>0</v>
      </c>
      <c r="T1999" t="s">
        <v>377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</row>
    <row r="2000" spans="1:28" hidden="1" x14ac:dyDescent="0.25">
      <c r="A2000" t="s">
        <v>33</v>
      </c>
      <c r="B2000" t="s">
        <v>47</v>
      </c>
      <c r="C2000" t="s">
        <v>212</v>
      </c>
      <c r="D2000" s="1">
        <v>45981</v>
      </c>
      <c r="E2000" s="1">
        <v>45981</v>
      </c>
      <c r="F2000" s="2">
        <v>0</v>
      </c>
      <c r="G2000" s="3" t="s">
        <v>48</v>
      </c>
      <c r="H2000">
        <v>0</v>
      </c>
      <c r="I2000" s="2">
        <v>0</v>
      </c>
      <c r="J2000" s="2">
        <v>0</v>
      </c>
      <c r="K2000" s="2">
        <v>0</v>
      </c>
      <c r="L2000" s="2">
        <v>0</v>
      </c>
      <c r="M2000">
        <v>0</v>
      </c>
      <c r="N2000">
        <v>0</v>
      </c>
      <c r="O2000" s="2">
        <v>0</v>
      </c>
      <c r="P2000" s="2">
        <v>0</v>
      </c>
      <c r="Q2000">
        <v>0</v>
      </c>
      <c r="R2000" s="2">
        <v>0</v>
      </c>
      <c r="S2000" s="2">
        <v>0</v>
      </c>
      <c r="T2000" t="s">
        <v>377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</row>
    <row r="2001" spans="1:28" hidden="1" x14ac:dyDescent="0.25">
      <c r="A2001" t="s">
        <v>53</v>
      </c>
      <c r="B2001" t="s">
        <v>47</v>
      </c>
      <c r="C2001" t="s">
        <v>212</v>
      </c>
      <c r="D2001" s="1">
        <v>45981</v>
      </c>
      <c r="E2001" s="1">
        <v>45981</v>
      </c>
      <c r="F2001" s="2">
        <v>0</v>
      </c>
      <c r="G2001" s="3" t="s">
        <v>48</v>
      </c>
      <c r="H2001">
        <v>0</v>
      </c>
      <c r="I2001" s="2">
        <v>0</v>
      </c>
      <c r="J2001" s="2">
        <v>0</v>
      </c>
      <c r="K2001" s="2">
        <v>0</v>
      </c>
      <c r="L2001" s="2">
        <v>0</v>
      </c>
      <c r="M2001">
        <v>0</v>
      </c>
      <c r="N2001">
        <v>0</v>
      </c>
      <c r="O2001" s="2">
        <v>0</v>
      </c>
      <c r="P2001" s="2">
        <v>0</v>
      </c>
      <c r="Q2001">
        <v>0</v>
      </c>
      <c r="R2001" s="2">
        <v>0</v>
      </c>
      <c r="S2001" s="2">
        <v>0</v>
      </c>
      <c r="T2001" t="s">
        <v>377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</row>
    <row r="2002" spans="1:28" hidden="1" x14ac:dyDescent="0.25">
      <c r="A2002" t="s">
        <v>47</v>
      </c>
      <c r="B2002" t="s">
        <v>52</v>
      </c>
      <c r="C2002" t="s">
        <v>212</v>
      </c>
      <c r="D2002" s="1">
        <v>45981</v>
      </c>
      <c r="E2002" s="1">
        <v>45981</v>
      </c>
      <c r="F2002" s="2">
        <v>0</v>
      </c>
      <c r="G2002" s="3" t="s">
        <v>572</v>
      </c>
      <c r="H2002">
        <v>0</v>
      </c>
      <c r="I2002" s="2">
        <v>0</v>
      </c>
      <c r="J2002" s="2">
        <v>0</v>
      </c>
      <c r="K2002" s="2">
        <v>0</v>
      </c>
      <c r="L2002" s="2">
        <v>0</v>
      </c>
      <c r="M2002">
        <v>0</v>
      </c>
      <c r="N2002">
        <v>0</v>
      </c>
      <c r="O2002" s="2">
        <v>0</v>
      </c>
      <c r="P2002" s="2">
        <v>0</v>
      </c>
      <c r="Q2002">
        <v>0</v>
      </c>
      <c r="R2002" s="2">
        <v>0</v>
      </c>
      <c r="S2002" s="2">
        <v>0</v>
      </c>
      <c r="T2002" t="s">
        <v>377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</row>
    <row r="2003" spans="1:28" hidden="1" x14ac:dyDescent="0.25">
      <c r="A2003" t="s">
        <v>56</v>
      </c>
      <c r="B2003" t="s">
        <v>47</v>
      </c>
      <c r="C2003" t="s">
        <v>64</v>
      </c>
      <c r="D2003" s="1">
        <v>45982</v>
      </c>
      <c r="E2003" s="1">
        <v>45982</v>
      </c>
      <c r="F2003" s="2">
        <v>63</v>
      </c>
      <c r="G2003" s="3" t="s">
        <v>23</v>
      </c>
      <c r="H2003">
        <f>18+18+2+2</f>
        <v>40</v>
      </c>
      <c r="I2003" s="2">
        <v>0</v>
      </c>
      <c r="J2003" s="2">
        <v>1</v>
      </c>
      <c r="K2003" s="2">
        <v>1</v>
      </c>
      <c r="L2003" s="2">
        <v>0</v>
      </c>
      <c r="M2003">
        <v>0</v>
      </c>
      <c r="N2003">
        <v>0</v>
      </c>
      <c r="O2003" s="2">
        <v>0</v>
      </c>
      <c r="P2003" s="2">
        <v>0</v>
      </c>
      <c r="Q2003">
        <v>0</v>
      </c>
      <c r="R2003" s="2">
        <v>0</v>
      </c>
      <c r="S2003" s="2">
        <v>0</v>
      </c>
      <c r="T2003" t="s">
        <v>1074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</row>
    <row r="2004" spans="1:28" hidden="1" x14ac:dyDescent="0.25">
      <c r="A2004" t="s">
        <v>20</v>
      </c>
      <c r="B2004" t="s">
        <v>47</v>
      </c>
      <c r="C2004" t="s">
        <v>64</v>
      </c>
      <c r="D2004" s="1">
        <v>45982</v>
      </c>
      <c r="E2004" s="1">
        <v>45982</v>
      </c>
      <c r="F2004" s="2">
        <v>63</v>
      </c>
      <c r="G2004" s="3" t="s">
        <v>23</v>
      </c>
      <c r="H2004">
        <f>18+18+2+2</f>
        <v>40</v>
      </c>
      <c r="I2004" s="2">
        <v>0</v>
      </c>
      <c r="J2004" s="2">
        <v>1</v>
      </c>
      <c r="K2004" s="2">
        <v>1</v>
      </c>
      <c r="L2004" s="2">
        <v>0</v>
      </c>
      <c r="M2004">
        <v>0</v>
      </c>
      <c r="N2004">
        <v>0</v>
      </c>
      <c r="O2004" s="2">
        <v>0</v>
      </c>
      <c r="P2004" s="2">
        <v>0</v>
      </c>
      <c r="Q2004">
        <v>0</v>
      </c>
      <c r="R2004" s="2">
        <v>0</v>
      </c>
      <c r="S2004" s="2">
        <v>0</v>
      </c>
      <c r="T2004" t="s">
        <v>1074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</row>
    <row r="2005" spans="1:28" hidden="1" x14ac:dyDescent="0.25">
      <c r="A2005" t="s">
        <v>53</v>
      </c>
      <c r="B2005" t="s">
        <v>38</v>
      </c>
      <c r="C2005" t="s">
        <v>54</v>
      </c>
      <c r="D2005" s="1">
        <v>45982</v>
      </c>
      <c r="E2005" s="1">
        <v>45982</v>
      </c>
      <c r="F2005" s="2">
        <v>49</v>
      </c>
      <c r="G2005" s="3" t="s">
        <v>23</v>
      </c>
      <c r="H2005">
        <v>0</v>
      </c>
      <c r="I2005" s="2">
        <v>0</v>
      </c>
      <c r="J2005" s="2">
        <v>0</v>
      </c>
      <c r="K2005" s="2">
        <v>0</v>
      </c>
      <c r="L2005" s="2">
        <v>0</v>
      </c>
      <c r="M2005">
        <v>0</v>
      </c>
      <c r="N2005">
        <v>0</v>
      </c>
      <c r="O2005" s="2">
        <v>0</v>
      </c>
      <c r="P2005" s="2">
        <v>0</v>
      </c>
      <c r="Q2005">
        <v>0</v>
      </c>
      <c r="R2005" s="2">
        <v>0</v>
      </c>
      <c r="S2005" s="2">
        <v>0</v>
      </c>
      <c r="T2005" t="s">
        <v>1075</v>
      </c>
      <c r="U2005" s="2">
        <v>0</v>
      </c>
      <c r="V2005" s="2">
        <f>66+4+4</f>
        <v>74</v>
      </c>
      <c r="W2005" s="2">
        <v>0</v>
      </c>
      <c r="X2005" s="2">
        <v>10</v>
      </c>
      <c r="Y2005" s="2">
        <v>0</v>
      </c>
      <c r="Z2005" s="2">
        <v>0</v>
      </c>
      <c r="AA2005" s="2">
        <v>0</v>
      </c>
      <c r="AB2005" s="2">
        <v>0</v>
      </c>
    </row>
    <row r="2006" spans="1:28" hidden="1" x14ac:dyDescent="0.25">
      <c r="A2006" t="s">
        <v>25</v>
      </c>
      <c r="B2006" t="s">
        <v>26</v>
      </c>
      <c r="C2006" t="s">
        <v>27</v>
      </c>
      <c r="D2006" s="1">
        <v>45982</v>
      </c>
      <c r="E2006" s="1">
        <v>45982</v>
      </c>
      <c r="F2006" s="2">
        <v>25</v>
      </c>
      <c r="G2006" s="3" t="s">
        <v>23</v>
      </c>
      <c r="H2006">
        <v>18</v>
      </c>
      <c r="I2006" s="2">
        <v>0</v>
      </c>
      <c r="J2006" s="2">
        <v>0</v>
      </c>
      <c r="K2006" s="2">
        <v>0</v>
      </c>
      <c r="L2006" s="2">
        <v>1</v>
      </c>
      <c r="M2006">
        <v>0</v>
      </c>
      <c r="N2006">
        <v>0</v>
      </c>
      <c r="O2006" s="2">
        <v>0</v>
      </c>
      <c r="P2006" s="2">
        <v>0</v>
      </c>
      <c r="Q2006">
        <v>0</v>
      </c>
      <c r="R2006" s="2">
        <v>0</v>
      </c>
      <c r="S2006" s="2">
        <v>0</v>
      </c>
      <c r="T2006" t="s">
        <v>1076</v>
      </c>
      <c r="U2006" s="2">
        <v>0</v>
      </c>
      <c r="V2006" s="2">
        <f>27+19+2</f>
        <v>48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</row>
    <row r="2007" spans="1:28" hidden="1" x14ac:dyDescent="0.25">
      <c r="A2007" t="s">
        <v>568</v>
      </c>
      <c r="B2007" t="s">
        <v>21</v>
      </c>
      <c r="C2007" t="s">
        <v>670</v>
      </c>
      <c r="D2007" s="1">
        <v>45982</v>
      </c>
      <c r="E2007" s="1">
        <v>45982</v>
      </c>
      <c r="F2007" s="2">
        <v>32</v>
      </c>
      <c r="G2007" s="3" t="s">
        <v>23</v>
      </c>
      <c r="H2007">
        <v>18</v>
      </c>
      <c r="I2007" s="2">
        <v>0</v>
      </c>
      <c r="J2007" s="2">
        <v>1</v>
      </c>
      <c r="K2007" s="2">
        <v>1</v>
      </c>
      <c r="L2007" s="2">
        <v>0</v>
      </c>
      <c r="M2007">
        <v>0</v>
      </c>
      <c r="N2007">
        <v>0</v>
      </c>
      <c r="O2007" s="2">
        <v>0</v>
      </c>
      <c r="P2007" s="2">
        <v>0</v>
      </c>
      <c r="Q2007">
        <v>0</v>
      </c>
      <c r="R2007" s="2">
        <v>0</v>
      </c>
      <c r="S2007" s="2">
        <v>0</v>
      </c>
      <c r="T2007" t="s">
        <v>1077</v>
      </c>
      <c r="U2007" s="2">
        <v>0</v>
      </c>
      <c r="V2007" s="2">
        <v>36</v>
      </c>
      <c r="W2007" s="2">
        <v>1</v>
      </c>
      <c r="X2007" s="2">
        <v>1</v>
      </c>
      <c r="Y2007" s="2">
        <v>0</v>
      </c>
      <c r="Z2007" s="2">
        <v>0</v>
      </c>
      <c r="AA2007" s="2">
        <v>0</v>
      </c>
      <c r="AB2007" s="2">
        <v>0</v>
      </c>
    </row>
    <row r="2008" spans="1:28" hidden="1" x14ac:dyDescent="0.25">
      <c r="A2008" t="s">
        <v>33</v>
      </c>
      <c r="B2008" t="s">
        <v>34</v>
      </c>
      <c r="C2008" t="s">
        <v>35</v>
      </c>
      <c r="D2008" s="1">
        <v>45982</v>
      </c>
      <c r="E2008" s="1">
        <v>45982</v>
      </c>
      <c r="F2008" s="2">
        <v>60</v>
      </c>
      <c r="G2008" s="3" t="s">
        <v>23</v>
      </c>
      <c r="H2008">
        <v>36</v>
      </c>
      <c r="I2008" s="2">
        <v>0</v>
      </c>
      <c r="J2008" s="2">
        <v>0</v>
      </c>
      <c r="K2008" s="2">
        <v>1</v>
      </c>
      <c r="L2008" s="2">
        <v>0</v>
      </c>
      <c r="M2008">
        <v>0</v>
      </c>
      <c r="N2008">
        <v>0</v>
      </c>
      <c r="O2008" s="2">
        <v>0</v>
      </c>
      <c r="P2008" s="2">
        <v>0</v>
      </c>
      <c r="Q2008">
        <v>0</v>
      </c>
      <c r="R2008" s="2">
        <v>0</v>
      </c>
      <c r="S2008" s="2">
        <v>0</v>
      </c>
      <c r="T2008" t="s">
        <v>1078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</row>
    <row r="2009" spans="1:28" hidden="1" x14ac:dyDescent="0.25">
      <c r="A2009" t="s">
        <v>37</v>
      </c>
      <c r="B2009" t="s">
        <v>57</v>
      </c>
      <c r="C2009" t="s">
        <v>39</v>
      </c>
      <c r="D2009" s="1">
        <v>45982</v>
      </c>
      <c r="E2009" s="1">
        <v>45982</v>
      </c>
      <c r="F2009" s="2">
        <v>27</v>
      </c>
      <c r="G2009" s="3" t="s">
        <v>23</v>
      </c>
      <c r="H2009">
        <v>16</v>
      </c>
      <c r="I2009" s="2">
        <v>0</v>
      </c>
      <c r="J2009" s="2">
        <v>0</v>
      </c>
      <c r="K2009" s="2">
        <v>1</v>
      </c>
      <c r="L2009" s="2">
        <v>0</v>
      </c>
      <c r="M2009">
        <v>0</v>
      </c>
      <c r="N2009">
        <v>0</v>
      </c>
      <c r="O2009" s="2">
        <v>0</v>
      </c>
      <c r="P2009" s="2">
        <v>0</v>
      </c>
      <c r="Q2009">
        <v>0</v>
      </c>
      <c r="R2009" s="2">
        <v>0</v>
      </c>
      <c r="S2009" s="2">
        <v>1</v>
      </c>
      <c r="T2009" t="s">
        <v>1079</v>
      </c>
      <c r="U2009" s="2">
        <v>0</v>
      </c>
      <c r="V2009" s="2">
        <f>19+2+1+11+4</f>
        <v>37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</row>
    <row r="2010" spans="1:28" hidden="1" x14ac:dyDescent="0.25">
      <c r="A2010" t="s">
        <v>29</v>
      </c>
      <c r="B2010" t="s">
        <v>30</v>
      </c>
      <c r="C2010" t="s">
        <v>212</v>
      </c>
      <c r="D2010" s="1">
        <v>45982</v>
      </c>
      <c r="E2010" s="1">
        <v>45982</v>
      </c>
      <c r="F2010" s="2">
        <v>0</v>
      </c>
      <c r="G2010" s="3" t="s">
        <v>48</v>
      </c>
      <c r="H2010">
        <v>0</v>
      </c>
      <c r="I2010" s="2">
        <v>0</v>
      </c>
      <c r="J2010" s="2">
        <v>0</v>
      </c>
      <c r="K2010" s="2">
        <v>0</v>
      </c>
      <c r="L2010" s="2">
        <v>0</v>
      </c>
      <c r="M2010">
        <v>0</v>
      </c>
      <c r="N2010">
        <v>0</v>
      </c>
      <c r="O2010" s="2">
        <v>0</v>
      </c>
      <c r="P2010" s="2">
        <v>0</v>
      </c>
      <c r="Q2010">
        <v>0</v>
      </c>
      <c r="R2010" s="2">
        <v>0</v>
      </c>
      <c r="S2010" s="2">
        <v>0</v>
      </c>
      <c r="T2010" t="s">
        <v>377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</row>
    <row r="2011" spans="1:28" hidden="1" x14ac:dyDescent="0.25">
      <c r="A2011" t="s">
        <v>730</v>
      </c>
      <c r="B2011" t="s">
        <v>47</v>
      </c>
      <c r="C2011" t="s">
        <v>212</v>
      </c>
      <c r="D2011" s="1">
        <v>45982</v>
      </c>
      <c r="E2011" s="1">
        <v>45982</v>
      </c>
      <c r="F2011" s="2">
        <v>0</v>
      </c>
      <c r="G2011" s="3" t="s">
        <v>48</v>
      </c>
      <c r="H2011">
        <v>0</v>
      </c>
      <c r="I2011" s="2">
        <v>0</v>
      </c>
      <c r="J2011" s="2">
        <v>0</v>
      </c>
      <c r="K2011" s="2">
        <v>0</v>
      </c>
      <c r="L2011" s="2">
        <v>0</v>
      </c>
      <c r="M2011">
        <v>0</v>
      </c>
      <c r="N2011">
        <v>0</v>
      </c>
      <c r="O2011" s="2">
        <v>0</v>
      </c>
      <c r="P2011" s="2">
        <v>0</v>
      </c>
      <c r="Q2011">
        <v>0</v>
      </c>
      <c r="R2011" s="2">
        <v>0</v>
      </c>
      <c r="S2011" s="2">
        <v>0</v>
      </c>
      <c r="T2011" t="s">
        <v>377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</row>
    <row r="2012" spans="1:28" hidden="1" x14ac:dyDescent="0.25">
      <c r="A2012" t="s">
        <v>47</v>
      </c>
      <c r="B2012" t="s">
        <v>52</v>
      </c>
      <c r="C2012" t="s">
        <v>212</v>
      </c>
      <c r="D2012" s="1">
        <v>45982</v>
      </c>
      <c r="E2012" s="1">
        <v>45982</v>
      </c>
      <c r="F2012" s="2">
        <v>0</v>
      </c>
      <c r="G2012" s="3" t="s">
        <v>572</v>
      </c>
      <c r="H2012">
        <v>0</v>
      </c>
      <c r="I2012" s="2">
        <v>0</v>
      </c>
      <c r="J2012" s="2">
        <v>0</v>
      </c>
      <c r="K2012" s="2">
        <v>0</v>
      </c>
      <c r="L2012" s="2">
        <v>0</v>
      </c>
      <c r="M2012">
        <v>0</v>
      </c>
      <c r="N2012">
        <v>0</v>
      </c>
      <c r="O2012" s="2">
        <v>0</v>
      </c>
      <c r="P2012" s="2">
        <v>0</v>
      </c>
      <c r="Q2012">
        <v>0</v>
      </c>
      <c r="R2012" s="2">
        <v>0</v>
      </c>
      <c r="S2012" s="2">
        <v>0</v>
      </c>
      <c r="T2012" t="s">
        <v>377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</row>
    <row r="2013" spans="1:28" hidden="1" x14ac:dyDescent="0.25">
      <c r="A2013" t="s">
        <v>56</v>
      </c>
      <c r="B2013" t="s">
        <v>47</v>
      </c>
      <c r="C2013" t="s">
        <v>64</v>
      </c>
      <c r="D2013" s="9">
        <v>45983</v>
      </c>
      <c r="E2013" s="9">
        <v>45983</v>
      </c>
      <c r="F2013" s="2">
        <v>27</v>
      </c>
      <c r="G2013" s="3" t="s">
        <v>23</v>
      </c>
      <c r="H2013">
        <v>0</v>
      </c>
      <c r="I2013" s="2">
        <v>0</v>
      </c>
      <c r="J2013" s="2">
        <v>0</v>
      </c>
      <c r="K2013" s="2">
        <v>0</v>
      </c>
      <c r="L2013" s="2">
        <v>0</v>
      </c>
      <c r="M2013">
        <v>0</v>
      </c>
      <c r="N2013">
        <v>0</v>
      </c>
      <c r="O2013" s="2">
        <v>1</v>
      </c>
      <c r="P2013" s="2">
        <v>0</v>
      </c>
      <c r="Q2013">
        <v>3</v>
      </c>
      <c r="R2013" s="2">
        <v>1</v>
      </c>
      <c r="S2013" s="2">
        <v>0</v>
      </c>
      <c r="T2013" t="s">
        <v>1080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</row>
    <row r="2014" spans="1:28" hidden="1" x14ac:dyDescent="0.25">
      <c r="A2014" t="s">
        <v>20</v>
      </c>
      <c r="B2014" t="s">
        <v>47</v>
      </c>
      <c r="C2014" t="s">
        <v>64</v>
      </c>
      <c r="D2014" s="9">
        <v>45983</v>
      </c>
      <c r="E2014" s="9">
        <v>45983</v>
      </c>
      <c r="F2014" s="2">
        <v>27</v>
      </c>
      <c r="G2014" s="3" t="s">
        <v>23</v>
      </c>
      <c r="H2014">
        <v>0</v>
      </c>
      <c r="I2014" s="2">
        <v>0</v>
      </c>
      <c r="J2014" s="2">
        <v>0</v>
      </c>
      <c r="K2014" s="2">
        <v>0</v>
      </c>
      <c r="L2014" s="2">
        <v>0</v>
      </c>
      <c r="M2014">
        <v>0</v>
      </c>
      <c r="N2014">
        <v>0</v>
      </c>
      <c r="O2014" s="2">
        <v>1</v>
      </c>
      <c r="P2014" s="2">
        <v>0</v>
      </c>
      <c r="Q2014">
        <v>3</v>
      </c>
      <c r="R2014" s="2">
        <v>1</v>
      </c>
      <c r="S2014" s="2">
        <v>0</v>
      </c>
      <c r="T2014" t="s">
        <v>1080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</row>
    <row r="2015" spans="1:28" hidden="1" x14ac:dyDescent="0.25">
      <c r="A2015" t="s">
        <v>25</v>
      </c>
      <c r="B2015" t="s">
        <v>26</v>
      </c>
      <c r="C2015" t="s">
        <v>27</v>
      </c>
      <c r="D2015" s="9">
        <v>45983</v>
      </c>
      <c r="E2015" s="9">
        <v>45983</v>
      </c>
      <c r="F2015" s="2">
        <v>37</v>
      </c>
      <c r="G2015" s="3" t="s">
        <v>23</v>
      </c>
      <c r="H2015">
        <v>0</v>
      </c>
      <c r="I2015" s="2">
        <v>0</v>
      </c>
      <c r="J2015" s="2">
        <v>0</v>
      </c>
      <c r="K2015" s="2">
        <v>0</v>
      </c>
      <c r="L2015" s="2">
        <v>0</v>
      </c>
      <c r="M2015">
        <v>0</v>
      </c>
      <c r="N2015">
        <v>0</v>
      </c>
      <c r="O2015" s="2">
        <v>1</v>
      </c>
      <c r="P2015" s="2">
        <v>0</v>
      </c>
      <c r="Q2015">
        <v>6</v>
      </c>
      <c r="R2015" s="2">
        <v>1</v>
      </c>
      <c r="S2015" s="2">
        <v>0</v>
      </c>
      <c r="T2015" t="s">
        <v>1081</v>
      </c>
      <c r="U2015" s="2">
        <v>16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1</v>
      </c>
      <c r="AB2015" s="2">
        <v>0</v>
      </c>
    </row>
    <row r="2016" spans="1:28" hidden="1" x14ac:dyDescent="0.25">
      <c r="A2016" t="s">
        <v>33</v>
      </c>
      <c r="B2016" t="s">
        <v>34</v>
      </c>
      <c r="C2016" t="s">
        <v>35</v>
      </c>
      <c r="D2016" s="9">
        <v>45983</v>
      </c>
      <c r="E2016" s="9">
        <v>45983</v>
      </c>
      <c r="F2016" s="2">
        <v>30</v>
      </c>
      <c r="G2016" s="3" t="s">
        <v>23</v>
      </c>
      <c r="H2016">
        <v>0</v>
      </c>
      <c r="I2016" s="2">
        <v>0</v>
      </c>
      <c r="J2016" s="2">
        <v>0</v>
      </c>
      <c r="K2016" s="2">
        <v>0</v>
      </c>
      <c r="L2016" s="2">
        <v>0</v>
      </c>
      <c r="M2016">
        <v>0</v>
      </c>
      <c r="N2016">
        <v>0</v>
      </c>
      <c r="O2016" s="2">
        <v>1</v>
      </c>
      <c r="P2016" s="2">
        <v>0</v>
      </c>
      <c r="Q2016">
        <v>0</v>
      </c>
      <c r="R2016" s="2">
        <v>1</v>
      </c>
      <c r="S2016" s="2">
        <v>0</v>
      </c>
      <c r="T2016" t="s">
        <v>1082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</row>
    <row r="2017" spans="1:28" hidden="1" x14ac:dyDescent="0.25">
      <c r="A2017" t="s">
        <v>37</v>
      </c>
      <c r="B2017" t="s">
        <v>57</v>
      </c>
      <c r="C2017" t="s">
        <v>39</v>
      </c>
      <c r="D2017" s="9">
        <v>45983</v>
      </c>
      <c r="E2017" s="9">
        <v>45983</v>
      </c>
      <c r="F2017" s="2">
        <v>18</v>
      </c>
      <c r="G2017" s="3" t="s">
        <v>23</v>
      </c>
      <c r="H2017">
        <v>0</v>
      </c>
      <c r="I2017" s="2">
        <v>0</v>
      </c>
      <c r="J2017" s="2">
        <v>0</v>
      </c>
      <c r="K2017" s="2">
        <v>0</v>
      </c>
      <c r="L2017" s="2">
        <v>0</v>
      </c>
      <c r="M2017">
        <v>0</v>
      </c>
      <c r="N2017">
        <v>0</v>
      </c>
      <c r="O2017" s="2">
        <v>1</v>
      </c>
      <c r="P2017" s="2">
        <v>0</v>
      </c>
      <c r="Q2017">
        <v>2</v>
      </c>
      <c r="R2017" s="2">
        <v>1</v>
      </c>
      <c r="S2017" s="2">
        <v>0</v>
      </c>
      <c r="T2017" t="s">
        <v>1083</v>
      </c>
      <c r="U2017" s="2">
        <v>12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</row>
    <row r="2018" spans="1:28" hidden="1" x14ac:dyDescent="0.25">
      <c r="A2018" t="s">
        <v>29</v>
      </c>
      <c r="B2018" t="s">
        <v>30</v>
      </c>
      <c r="C2018" t="s">
        <v>39</v>
      </c>
      <c r="D2018" s="9">
        <v>45983</v>
      </c>
      <c r="E2018" s="9">
        <v>45983</v>
      </c>
      <c r="F2018" s="2">
        <v>18</v>
      </c>
      <c r="G2018" s="3" t="s">
        <v>23</v>
      </c>
      <c r="H2018">
        <v>0</v>
      </c>
      <c r="I2018" s="2">
        <v>0</v>
      </c>
      <c r="J2018" s="2">
        <v>0</v>
      </c>
      <c r="K2018" s="2">
        <v>0</v>
      </c>
      <c r="L2018" s="2">
        <v>0</v>
      </c>
      <c r="M2018">
        <v>0</v>
      </c>
      <c r="N2018">
        <v>0</v>
      </c>
      <c r="O2018" s="2">
        <v>1</v>
      </c>
      <c r="P2018" s="2">
        <v>0</v>
      </c>
      <c r="Q2018">
        <v>3</v>
      </c>
      <c r="R2018" s="2">
        <v>1</v>
      </c>
      <c r="S2018" s="2">
        <v>0</v>
      </c>
      <c r="T2018" t="s">
        <v>1083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</row>
    <row r="2019" spans="1:28" hidden="1" x14ac:dyDescent="0.25">
      <c r="A2019" t="s">
        <v>568</v>
      </c>
      <c r="B2019" t="s">
        <v>21</v>
      </c>
      <c r="C2019" t="s">
        <v>212</v>
      </c>
      <c r="D2019" s="9">
        <v>45983</v>
      </c>
      <c r="E2019" s="9">
        <v>45983</v>
      </c>
      <c r="F2019" s="2">
        <v>0</v>
      </c>
      <c r="G2019" s="3" t="s">
        <v>378</v>
      </c>
      <c r="H2019">
        <v>0</v>
      </c>
      <c r="I2019" s="2">
        <v>0</v>
      </c>
      <c r="J2019" s="2">
        <v>0</v>
      </c>
      <c r="K2019" s="2">
        <v>0</v>
      </c>
      <c r="L2019" s="2">
        <v>0</v>
      </c>
      <c r="M2019">
        <v>0</v>
      </c>
      <c r="N2019">
        <v>0</v>
      </c>
      <c r="O2019" s="2">
        <v>0</v>
      </c>
      <c r="P2019" s="2">
        <v>0</v>
      </c>
      <c r="Q2019">
        <v>0</v>
      </c>
      <c r="R2019" s="2">
        <v>0</v>
      </c>
      <c r="S2019" s="2">
        <v>0</v>
      </c>
      <c r="T2019" t="s">
        <v>377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</row>
    <row r="2020" spans="1:28" hidden="1" x14ac:dyDescent="0.25">
      <c r="A2020" t="s">
        <v>53</v>
      </c>
      <c r="B2020" t="s">
        <v>38</v>
      </c>
      <c r="C2020" t="s">
        <v>212</v>
      </c>
      <c r="D2020" s="9">
        <v>45983</v>
      </c>
      <c r="E2020" s="9">
        <v>45983</v>
      </c>
      <c r="F2020" s="2">
        <v>0</v>
      </c>
      <c r="G2020" s="3" t="s">
        <v>378</v>
      </c>
      <c r="H2020">
        <v>0</v>
      </c>
      <c r="I2020" s="2">
        <v>0</v>
      </c>
      <c r="J2020" s="2">
        <v>0</v>
      </c>
      <c r="K2020" s="2">
        <v>0</v>
      </c>
      <c r="L2020" s="2">
        <v>0</v>
      </c>
      <c r="M2020">
        <v>0</v>
      </c>
      <c r="N2020">
        <v>0</v>
      </c>
      <c r="O2020" s="2">
        <v>0</v>
      </c>
      <c r="P2020" s="2">
        <v>0</v>
      </c>
      <c r="Q2020">
        <v>0</v>
      </c>
      <c r="R2020" s="2">
        <v>0</v>
      </c>
      <c r="S2020" s="2">
        <v>0</v>
      </c>
      <c r="T2020" t="s">
        <v>377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</row>
    <row r="2021" spans="1:28" hidden="1" x14ac:dyDescent="0.25">
      <c r="A2021" t="s">
        <v>730</v>
      </c>
      <c r="B2021" t="s">
        <v>47</v>
      </c>
      <c r="C2021" t="s">
        <v>212</v>
      </c>
      <c r="D2021" s="9">
        <v>45983</v>
      </c>
      <c r="E2021" s="9">
        <v>45983</v>
      </c>
      <c r="F2021" s="2">
        <v>0</v>
      </c>
      <c r="G2021" s="3" t="s">
        <v>378</v>
      </c>
      <c r="H2021">
        <v>0</v>
      </c>
      <c r="I2021" s="2">
        <v>0</v>
      </c>
      <c r="J2021" s="2">
        <v>0</v>
      </c>
      <c r="K2021" s="2">
        <v>0</v>
      </c>
      <c r="L2021" s="2">
        <v>0</v>
      </c>
      <c r="M2021">
        <v>0</v>
      </c>
      <c r="N2021">
        <v>0</v>
      </c>
      <c r="O2021" s="2">
        <v>0</v>
      </c>
      <c r="P2021" s="2">
        <v>0</v>
      </c>
      <c r="Q2021">
        <v>0</v>
      </c>
      <c r="R2021" s="2">
        <v>0</v>
      </c>
      <c r="S2021" s="2">
        <v>0</v>
      </c>
      <c r="T2021" t="s">
        <v>377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</row>
    <row r="2022" spans="1:28" hidden="1" x14ac:dyDescent="0.25">
      <c r="A2022" t="s">
        <v>47</v>
      </c>
      <c r="B2022" t="s">
        <v>52</v>
      </c>
      <c r="C2022" t="s">
        <v>212</v>
      </c>
      <c r="D2022" s="9">
        <v>45983</v>
      </c>
      <c r="E2022" s="9">
        <v>45983</v>
      </c>
      <c r="F2022" s="2">
        <v>0</v>
      </c>
      <c r="G2022" s="3" t="s">
        <v>378</v>
      </c>
      <c r="H2022">
        <v>0</v>
      </c>
      <c r="I2022" s="2">
        <v>0</v>
      </c>
      <c r="J2022" s="2">
        <v>0</v>
      </c>
      <c r="K2022" s="2">
        <v>0</v>
      </c>
      <c r="L2022" s="2">
        <v>0</v>
      </c>
      <c r="M2022">
        <v>0</v>
      </c>
      <c r="N2022">
        <v>0</v>
      </c>
      <c r="O2022" s="2">
        <v>0</v>
      </c>
      <c r="P2022" s="2">
        <v>0</v>
      </c>
      <c r="Q2022">
        <v>0</v>
      </c>
      <c r="R2022" s="2">
        <v>0</v>
      </c>
      <c r="S2022" s="2">
        <v>0</v>
      </c>
      <c r="T2022" t="s">
        <v>377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</row>
    <row r="2023" spans="1:28" hidden="1" x14ac:dyDescent="0.25">
      <c r="A2023" t="s">
        <v>56</v>
      </c>
      <c r="B2023" t="s">
        <v>47</v>
      </c>
      <c r="C2023" t="s">
        <v>64</v>
      </c>
      <c r="D2023" s="9">
        <v>45984</v>
      </c>
      <c r="E2023" s="9">
        <v>45984</v>
      </c>
      <c r="F2023" s="2">
        <v>23</v>
      </c>
      <c r="G2023" s="3" t="s">
        <v>23</v>
      </c>
      <c r="H2023">
        <v>0</v>
      </c>
      <c r="I2023" s="2">
        <v>0</v>
      </c>
      <c r="J2023" s="2">
        <v>0</v>
      </c>
      <c r="K2023" s="2">
        <v>0</v>
      </c>
      <c r="L2023" s="2">
        <v>0</v>
      </c>
      <c r="M2023">
        <v>0</v>
      </c>
      <c r="N2023">
        <v>0</v>
      </c>
      <c r="O2023" s="2">
        <v>0</v>
      </c>
      <c r="P2023" s="2">
        <v>1</v>
      </c>
      <c r="Q2023">
        <v>4</v>
      </c>
      <c r="R2023" s="2">
        <v>0</v>
      </c>
      <c r="S2023" s="2">
        <v>1</v>
      </c>
      <c r="T2023" t="s">
        <v>1084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</row>
    <row r="2024" spans="1:28" hidden="1" x14ac:dyDescent="0.25">
      <c r="A2024" t="s">
        <v>20</v>
      </c>
      <c r="B2024" t="s">
        <v>47</v>
      </c>
      <c r="C2024" t="s">
        <v>64</v>
      </c>
      <c r="D2024" s="9">
        <v>45984</v>
      </c>
      <c r="E2024" s="9">
        <v>45984</v>
      </c>
      <c r="F2024" s="2">
        <v>23</v>
      </c>
      <c r="G2024" s="3" t="s">
        <v>23</v>
      </c>
      <c r="H2024">
        <v>0</v>
      </c>
      <c r="I2024" s="2">
        <v>0</v>
      </c>
      <c r="J2024" s="2">
        <v>0</v>
      </c>
      <c r="K2024" s="2">
        <v>0</v>
      </c>
      <c r="L2024" s="2">
        <v>0</v>
      </c>
      <c r="M2024">
        <v>0</v>
      </c>
      <c r="N2024">
        <v>0</v>
      </c>
      <c r="O2024" s="2">
        <v>0</v>
      </c>
      <c r="P2024" s="2">
        <v>1</v>
      </c>
      <c r="Q2024">
        <v>4</v>
      </c>
      <c r="R2024" s="2">
        <v>0</v>
      </c>
      <c r="S2024" s="2">
        <v>1</v>
      </c>
      <c r="T2024" t="s">
        <v>1084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</row>
    <row r="2025" spans="1:28" hidden="1" x14ac:dyDescent="0.25">
      <c r="A2025" t="s">
        <v>25</v>
      </c>
      <c r="B2025" t="s">
        <v>26</v>
      </c>
      <c r="C2025" t="s">
        <v>27</v>
      </c>
      <c r="D2025" s="9">
        <v>45984</v>
      </c>
      <c r="E2025" s="9">
        <v>45984</v>
      </c>
      <c r="F2025" s="2">
        <v>56</v>
      </c>
      <c r="G2025" s="3" t="s">
        <v>23</v>
      </c>
      <c r="H2025">
        <v>0</v>
      </c>
      <c r="I2025" s="2">
        <v>0</v>
      </c>
      <c r="J2025" s="2">
        <v>0</v>
      </c>
      <c r="K2025" s="2">
        <v>0</v>
      </c>
      <c r="L2025" s="2">
        <v>0</v>
      </c>
      <c r="M2025">
        <v>0</v>
      </c>
      <c r="N2025">
        <v>0</v>
      </c>
      <c r="O2025" s="2">
        <v>0</v>
      </c>
      <c r="P2025" s="2">
        <v>1</v>
      </c>
      <c r="Q2025">
        <v>8</v>
      </c>
      <c r="R2025" s="2">
        <v>0</v>
      </c>
      <c r="S2025" s="2">
        <v>1</v>
      </c>
      <c r="T2025" t="s">
        <v>1085</v>
      </c>
      <c r="U2025" s="2">
        <v>16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1</v>
      </c>
    </row>
    <row r="2026" spans="1:28" hidden="1" x14ac:dyDescent="0.25">
      <c r="A2026" t="s">
        <v>33</v>
      </c>
      <c r="B2026" t="s">
        <v>284</v>
      </c>
      <c r="C2026" t="s">
        <v>35</v>
      </c>
      <c r="D2026" s="9">
        <v>45984</v>
      </c>
      <c r="E2026" s="9">
        <v>45984</v>
      </c>
      <c r="F2026" s="2">
        <v>18</v>
      </c>
      <c r="G2026" s="3" t="s">
        <v>23</v>
      </c>
      <c r="H2026">
        <v>0</v>
      </c>
      <c r="I2026" s="2">
        <v>0</v>
      </c>
      <c r="J2026" s="2">
        <v>0</v>
      </c>
      <c r="K2026" s="2">
        <v>0</v>
      </c>
      <c r="L2026" s="2">
        <v>0</v>
      </c>
      <c r="M2026">
        <v>0</v>
      </c>
      <c r="N2026">
        <v>0</v>
      </c>
      <c r="O2026" s="2">
        <v>0</v>
      </c>
      <c r="P2026" s="2">
        <v>1</v>
      </c>
      <c r="Q2026">
        <v>4</v>
      </c>
      <c r="R2026" s="2">
        <v>0</v>
      </c>
      <c r="S2026" s="2">
        <v>1</v>
      </c>
      <c r="T2026" t="s">
        <v>1086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</row>
    <row r="2027" spans="1:28" hidden="1" x14ac:dyDescent="0.25">
      <c r="A2027" t="s">
        <v>29</v>
      </c>
      <c r="B2027" t="s">
        <v>30</v>
      </c>
      <c r="C2027" t="s">
        <v>39</v>
      </c>
      <c r="D2027" s="9">
        <v>45984</v>
      </c>
      <c r="E2027" s="9">
        <v>45984</v>
      </c>
      <c r="F2027" s="2">
        <v>19</v>
      </c>
      <c r="G2027" s="3" t="s">
        <v>23</v>
      </c>
      <c r="H2027">
        <v>0</v>
      </c>
      <c r="I2027" s="2">
        <v>0</v>
      </c>
      <c r="J2027" s="2">
        <v>0</v>
      </c>
      <c r="K2027" s="2">
        <v>0</v>
      </c>
      <c r="L2027" s="2">
        <v>0</v>
      </c>
      <c r="M2027">
        <v>0</v>
      </c>
      <c r="N2027">
        <v>0</v>
      </c>
      <c r="O2027" s="2">
        <v>0</v>
      </c>
      <c r="P2027" s="2">
        <v>1</v>
      </c>
      <c r="Q2027">
        <v>6</v>
      </c>
      <c r="R2027" s="2">
        <v>0</v>
      </c>
      <c r="S2027" s="2">
        <v>1</v>
      </c>
      <c r="T2027" t="s">
        <v>1087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</row>
    <row r="2028" spans="1:28" hidden="1" x14ac:dyDescent="0.25">
      <c r="A2028" t="s">
        <v>37</v>
      </c>
      <c r="B2028" t="s">
        <v>57</v>
      </c>
      <c r="C2028" t="s">
        <v>39</v>
      </c>
      <c r="D2028" s="9">
        <v>45984</v>
      </c>
      <c r="E2028" s="9">
        <v>45984</v>
      </c>
      <c r="F2028" s="2">
        <v>19</v>
      </c>
      <c r="G2028" s="3" t="s">
        <v>23</v>
      </c>
      <c r="H2028">
        <v>0</v>
      </c>
      <c r="I2028" s="2">
        <v>0</v>
      </c>
      <c r="J2028" s="2">
        <v>0</v>
      </c>
      <c r="K2028" s="2">
        <v>0</v>
      </c>
      <c r="L2028" s="2">
        <v>0</v>
      </c>
      <c r="M2028">
        <v>0</v>
      </c>
      <c r="N2028">
        <v>0</v>
      </c>
      <c r="O2028" s="2">
        <v>0</v>
      </c>
      <c r="P2028" s="2">
        <v>1</v>
      </c>
      <c r="Q2028">
        <v>4</v>
      </c>
      <c r="R2028" s="2">
        <v>0</v>
      </c>
      <c r="S2028" s="2">
        <v>1</v>
      </c>
      <c r="T2028" t="s">
        <v>1087</v>
      </c>
      <c r="U2028" s="2">
        <v>16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</row>
    <row r="2029" spans="1:28" hidden="1" x14ac:dyDescent="0.25">
      <c r="A2029" t="s">
        <v>568</v>
      </c>
      <c r="B2029" t="s">
        <v>21</v>
      </c>
      <c r="C2029" t="s">
        <v>212</v>
      </c>
      <c r="D2029" s="9">
        <v>45984</v>
      </c>
      <c r="E2029" s="9">
        <v>45984</v>
      </c>
      <c r="F2029" s="2">
        <v>0</v>
      </c>
      <c r="G2029" s="3" t="s">
        <v>378</v>
      </c>
      <c r="H2029">
        <v>0</v>
      </c>
      <c r="I2029" s="2">
        <v>0</v>
      </c>
      <c r="J2029" s="2">
        <v>0</v>
      </c>
      <c r="K2029" s="2">
        <v>0</v>
      </c>
      <c r="L2029" s="2">
        <v>0</v>
      </c>
      <c r="M2029">
        <v>0</v>
      </c>
      <c r="N2029">
        <v>0</v>
      </c>
      <c r="O2029" s="2">
        <v>0</v>
      </c>
      <c r="P2029" s="2">
        <v>0</v>
      </c>
      <c r="Q2029">
        <v>0</v>
      </c>
      <c r="R2029" s="2">
        <v>0</v>
      </c>
      <c r="S2029" s="2">
        <v>0</v>
      </c>
      <c r="T2029" t="s">
        <v>377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</row>
    <row r="2030" spans="1:28" hidden="1" x14ac:dyDescent="0.25">
      <c r="A2030" t="s">
        <v>53</v>
      </c>
      <c r="B2030" t="s">
        <v>38</v>
      </c>
      <c r="C2030" t="s">
        <v>212</v>
      </c>
      <c r="D2030" s="9">
        <v>45984</v>
      </c>
      <c r="E2030" s="9">
        <v>45984</v>
      </c>
      <c r="F2030" s="2">
        <v>0</v>
      </c>
      <c r="G2030" s="3" t="s">
        <v>378</v>
      </c>
      <c r="H2030">
        <v>0</v>
      </c>
      <c r="I2030" s="2">
        <v>0</v>
      </c>
      <c r="J2030" s="2">
        <v>0</v>
      </c>
      <c r="K2030" s="2">
        <v>0</v>
      </c>
      <c r="L2030" s="2">
        <v>0</v>
      </c>
      <c r="M2030">
        <v>0</v>
      </c>
      <c r="N2030">
        <v>0</v>
      </c>
      <c r="O2030" s="2">
        <v>0</v>
      </c>
      <c r="P2030" s="2">
        <v>0</v>
      </c>
      <c r="Q2030">
        <v>0</v>
      </c>
      <c r="R2030" s="2">
        <v>0</v>
      </c>
      <c r="S2030" s="2">
        <v>0</v>
      </c>
      <c r="T2030" t="s">
        <v>377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</row>
    <row r="2031" spans="1:28" hidden="1" x14ac:dyDescent="0.25">
      <c r="A2031" t="s">
        <v>730</v>
      </c>
      <c r="B2031" t="s">
        <v>47</v>
      </c>
      <c r="C2031" t="s">
        <v>212</v>
      </c>
      <c r="D2031" s="9">
        <v>45984</v>
      </c>
      <c r="E2031" s="9">
        <v>45984</v>
      </c>
      <c r="F2031" s="2">
        <v>0</v>
      </c>
      <c r="G2031" s="3" t="s">
        <v>378</v>
      </c>
      <c r="H2031">
        <v>0</v>
      </c>
      <c r="I2031" s="2">
        <v>0</v>
      </c>
      <c r="J2031" s="2">
        <v>0</v>
      </c>
      <c r="K2031" s="2">
        <v>0</v>
      </c>
      <c r="L2031" s="2">
        <v>0</v>
      </c>
      <c r="M2031">
        <v>0</v>
      </c>
      <c r="N2031">
        <v>0</v>
      </c>
      <c r="O2031" s="2">
        <v>0</v>
      </c>
      <c r="P2031" s="2">
        <v>0</v>
      </c>
      <c r="Q2031">
        <v>0</v>
      </c>
      <c r="R2031" s="2">
        <v>0</v>
      </c>
      <c r="S2031" s="2">
        <v>0</v>
      </c>
      <c r="T2031" t="s">
        <v>377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</row>
    <row r="2032" spans="1:28" hidden="1" x14ac:dyDescent="0.25">
      <c r="A2032" t="s">
        <v>47</v>
      </c>
      <c r="B2032" t="s">
        <v>34</v>
      </c>
      <c r="C2032" t="s">
        <v>212</v>
      </c>
      <c r="D2032" s="9">
        <v>45984</v>
      </c>
      <c r="E2032" s="9">
        <v>45984</v>
      </c>
      <c r="F2032" s="2">
        <v>0</v>
      </c>
      <c r="G2032" s="3" t="s">
        <v>378</v>
      </c>
      <c r="H2032">
        <v>0</v>
      </c>
      <c r="I2032" s="2">
        <v>0</v>
      </c>
      <c r="J2032" s="2">
        <v>0</v>
      </c>
      <c r="K2032" s="2">
        <v>0</v>
      </c>
      <c r="L2032" s="2">
        <v>0</v>
      </c>
      <c r="M2032">
        <v>0</v>
      </c>
      <c r="N2032">
        <v>0</v>
      </c>
      <c r="O2032" s="2">
        <v>0</v>
      </c>
      <c r="P2032" s="2">
        <v>0</v>
      </c>
      <c r="Q2032">
        <v>0</v>
      </c>
      <c r="R2032" s="2">
        <v>0</v>
      </c>
      <c r="S2032" s="2">
        <v>0</v>
      </c>
      <c r="T2032" t="s">
        <v>377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</row>
    <row r="2033" spans="1:28" hidden="1" x14ac:dyDescent="0.25">
      <c r="A2033" t="s">
        <v>47</v>
      </c>
      <c r="B2033" t="s">
        <v>52</v>
      </c>
      <c r="C2033" t="s">
        <v>212</v>
      </c>
      <c r="D2033" s="9">
        <v>45984</v>
      </c>
      <c r="E2033" s="9">
        <v>45984</v>
      </c>
      <c r="F2033" s="2">
        <v>0</v>
      </c>
      <c r="G2033" s="3" t="s">
        <v>378</v>
      </c>
      <c r="H2033">
        <v>0</v>
      </c>
      <c r="I2033" s="2">
        <v>0</v>
      </c>
      <c r="J2033" s="2">
        <v>0</v>
      </c>
      <c r="K2033" s="2">
        <v>0</v>
      </c>
      <c r="L2033" s="2">
        <v>0</v>
      </c>
      <c r="M2033">
        <v>0</v>
      </c>
      <c r="N2033">
        <v>0</v>
      </c>
      <c r="O2033" s="2">
        <v>0</v>
      </c>
      <c r="P2033" s="2">
        <v>0</v>
      </c>
      <c r="Q2033">
        <v>0</v>
      </c>
      <c r="R2033" s="2">
        <v>0</v>
      </c>
      <c r="S2033" s="2">
        <v>0</v>
      </c>
      <c r="T2033" t="s">
        <v>377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</row>
    <row r="2034" spans="1:28" hidden="1" x14ac:dyDescent="0.25">
      <c r="A2034" t="s">
        <v>56</v>
      </c>
      <c r="B2034" t="s">
        <v>30</v>
      </c>
      <c r="C2034" t="s">
        <v>64</v>
      </c>
      <c r="D2034" s="1">
        <v>45985</v>
      </c>
      <c r="E2034" s="1">
        <v>45985</v>
      </c>
      <c r="F2034" s="2">
        <v>27</v>
      </c>
      <c r="G2034" s="3" t="s">
        <v>23</v>
      </c>
      <c r="H2034">
        <v>0</v>
      </c>
      <c r="I2034" s="2">
        <v>0</v>
      </c>
      <c r="J2034" s="2">
        <v>0</v>
      </c>
      <c r="K2034" s="2">
        <v>0</v>
      </c>
      <c r="L2034" s="2">
        <v>0</v>
      </c>
      <c r="M2034">
        <v>0</v>
      </c>
      <c r="N2034">
        <v>0</v>
      </c>
      <c r="O2034" s="2">
        <v>0</v>
      </c>
      <c r="P2034" s="2">
        <v>0</v>
      </c>
      <c r="Q2034">
        <v>0</v>
      </c>
      <c r="R2034" s="2">
        <v>0</v>
      </c>
      <c r="S2034" s="2">
        <v>0</v>
      </c>
      <c r="T2034" t="s">
        <v>1088</v>
      </c>
      <c r="U2034" s="2">
        <v>0</v>
      </c>
      <c r="V2034" s="2">
        <v>10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</row>
    <row r="2035" spans="1:28" hidden="1" x14ac:dyDescent="0.25">
      <c r="A2035" t="s">
        <v>568</v>
      </c>
      <c r="B2035" t="s">
        <v>47</v>
      </c>
      <c r="C2035" t="s">
        <v>670</v>
      </c>
      <c r="D2035" s="1">
        <v>45985</v>
      </c>
      <c r="E2035" s="1">
        <v>45985</v>
      </c>
      <c r="F2035" s="2">
        <v>98</v>
      </c>
      <c r="G2035" s="3" t="s">
        <v>23</v>
      </c>
      <c r="H2035">
        <v>2</v>
      </c>
      <c r="I2035" s="2">
        <v>0</v>
      </c>
      <c r="J2035" s="2">
        <v>0</v>
      </c>
      <c r="K2035" s="2">
        <v>0</v>
      </c>
      <c r="L2035" s="2">
        <v>0</v>
      </c>
      <c r="M2035">
        <v>0</v>
      </c>
      <c r="N2035">
        <v>0</v>
      </c>
      <c r="O2035" s="2">
        <v>0</v>
      </c>
      <c r="P2035" s="2">
        <v>0</v>
      </c>
      <c r="Q2035">
        <v>0</v>
      </c>
      <c r="R2035" s="2">
        <v>0</v>
      </c>
      <c r="S2035" s="2">
        <v>0</v>
      </c>
      <c r="T2035" t="s">
        <v>1089</v>
      </c>
      <c r="U2035" s="2">
        <v>0</v>
      </c>
      <c r="V2035" s="2">
        <v>6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</row>
    <row r="2036" spans="1:28" hidden="1" x14ac:dyDescent="0.25">
      <c r="A2036" t="s">
        <v>25</v>
      </c>
      <c r="B2036" t="s">
        <v>26</v>
      </c>
      <c r="C2036" t="s">
        <v>670</v>
      </c>
      <c r="D2036" s="1">
        <v>45985</v>
      </c>
      <c r="E2036" s="1">
        <v>45985</v>
      </c>
      <c r="F2036" s="2">
        <v>98</v>
      </c>
      <c r="G2036" s="3" t="s">
        <v>572</v>
      </c>
      <c r="H2036">
        <v>0</v>
      </c>
      <c r="I2036" s="2">
        <v>0</v>
      </c>
      <c r="J2036" s="2">
        <v>0</v>
      </c>
      <c r="K2036" s="2">
        <v>0</v>
      </c>
      <c r="L2036" s="2">
        <v>0</v>
      </c>
      <c r="M2036">
        <v>0</v>
      </c>
      <c r="N2036">
        <v>0</v>
      </c>
      <c r="O2036" s="2">
        <v>0</v>
      </c>
      <c r="P2036" s="2">
        <v>0</v>
      </c>
      <c r="Q2036">
        <v>0</v>
      </c>
      <c r="R2036" s="2">
        <v>0</v>
      </c>
      <c r="S2036" s="2">
        <v>0</v>
      </c>
      <c r="T2036" t="s">
        <v>1089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</row>
    <row r="2037" spans="1:28" hidden="1" x14ac:dyDescent="0.25">
      <c r="A2037" t="s">
        <v>730</v>
      </c>
      <c r="B2037" t="s">
        <v>47</v>
      </c>
      <c r="C2037" t="s">
        <v>670</v>
      </c>
      <c r="D2037" s="1">
        <v>45985</v>
      </c>
      <c r="E2037" s="1">
        <v>45985</v>
      </c>
      <c r="F2037" s="2">
        <v>98</v>
      </c>
      <c r="G2037" s="3" t="s">
        <v>23</v>
      </c>
      <c r="H2037">
        <v>2</v>
      </c>
      <c r="I2037" s="2">
        <v>0</v>
      </c>
      <c r="J2037" s="2">
        <v>0</v>
      </c>
      <c r="K2037" s="2">
        <v>0</v>
      </c>
      <c r="L2037" s="2">
        <v>0</v>
      </c>
      <c r="M2037">
        <v>0</v>
      </c>
      <c r="N2037">
        <v>0</v>
      </c>
      <c r="O2037" s="2">
        <v>0</v>
      </c>
      <c r="P2037" s="2">
        <v>0</v>
      </c>
      <c r="Q2037">
        <v>0</v>
      </c>
      <c r="R2037" s="2">
        <v>0</v>
      </c>
      <c r="S2037" s="2">
        <v>0</v>
      </c>
      <c r="T2037" t="s">
        <v>1089</v>
      </c>
      <c r="U2037" s="2">
        <v>0</v>
      </c>
      <c r="V2037" s="2">
        <v>6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</row>
    <row r="2038" spans="1:28" hidden="1" x14ac:dyDescent="0.25">
      <c r="A2038" t="s">
        <v>33</v>
      </c>
      <c r="B2038" t="s">
        <v>34</v>
      </c>
      <c r="C2038" t="s">
        <v>35</v>
      </c>
      <c r="D2038" s="1">
        <v>45985</v>
      </c>
      <c r="E2038" s="1">
        <v>45985</v>
      </c>
      <c r="F2038" s="2">
        <v>35</v>
      </c>
      <c r="G2038" s="3" t="s">
        <v>23</v>
      </c>
      <c r="H2038">
        <v>0</v>
      </c>
      <c r="I2038" s="2">
        <v>0</v>
      </c>
      <c r="J2038" s="2">
        <v>0</v>
      </c>
      <c r="K2038" s="2">
        <v>0</v>
      </c>
      <c r="L2038" s="2">
        <v>0</v>
      </c>
      <c r="M2038">
        <v>0</v>
      </c>
      <c r="N2038">
        <v>0</v>
      </c>
      <c r="O2038" s="2">
        <v>0</v>
      </c>
      <c r="P2038" s="2">
        <v>0</v>
      </c>
      <c r="Q2038">
        <v>0</v>
      </c>
      <c r="R2038" s="2">
        <v>0</v>
      </c>
      <c r="S2038" s="2">
        <v>0</v>
      </c>
      <c r="T2038" t="s">
        <v>1090</v>
      </c>
      <c r="U2038" s="2">
        <v>0</v>
      </c>
      <c r="V2038" s="2">
        <v>20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</row>
    <row r="2039" spans="1:28" hidden="1" x14ac:dyDescent="0.25">
      <c r="A2039" t="s">
        <v>37</v>
      </c>
      <c r="B2039" t="s">
        <v>57</v>
      </c>
      <c r="C2039" t="s">
        <v>39</v>
      </c>
      <c r="D2039" s="1">
        <v>45985</v>
      </c>
      <c r="E2039" s="1">
        <v>45985</v>
      </c>
      <c r="F2039" s="2">
        <v>14</v>
      </c>
      <c r="G2039" s="3" t="s">
        <v>23</v>
      </c>
      <c r="H2039">
        <v>0</v>
      </c>
      <c r="I2039" s="2">
        <v>0</v>
      </c>
      <c r="J2039" s="2">
        <v>0</v>
      </c>
      <c r="K2039" s="2">
        <v>0</v>
      </c>
      <c r="L2039" s="2">
        <v>0</v>
      </c>
      <c r="M2039">
        <v>0</v>
      </c>
      <c r="N2039">
        <v>0</v>
      </c>
      <c r="O2039" s="2">
        <v>0</v>
      </c>
      <c r="P2039" s="2">
        <v>0</v>
      </c>
      <c r="Q2039">
        <v>0</v>
      </c>
      <c r="R2039" s="2">
        <v>0</v>
      </c>
      <c r="S2039" s="2">
        <v>0</v>
      </c>
      <c r="T2039" t="s">
        <v>1091</v>
      </c>
      <c r="U2039" s="2">
        <v>0</v>
      </c>
      <c r="V2039" s="2">
        <v>22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</row>
    <row r="2040" spans="1:28" hidden="1" x14ac:dyDescent="0.25">
      <c r="A2040" t="s">
        <v>20</v>
      </c>
      <c r="B2040" t="s">
        <v>21</v>
      </c>
      <c r="C2040" t="s">
        <v>39</v>
      </c>
      <c r="D2040" s="1">
        <v>45985</v>
      </c>
      <c r="E2040" s="1">
        <v>45985</v>
      </c>
      <c r="F2040" s="2">
        <v>14</v>
      </c>
      <c r="G2040" s="3" t="s">
        <v>23</v>
      </c>
      <c r="H2040">
        <v>0</v>
      </c>
      <c r="I2040" s="2">
        <v>0</v>
      </c>
      <c r="J2040" s="2">
        <v>0</v>
      </c>
      <c r="K2040" s="2">
        <v>0</v>
      </c>
      <c r="L2040" s="2">
        <v>0</v>
      </c>
      <c r="M2040">
        <v>0</v>
      </c>
      <c r="N2040">
        <v>0</v>
      </c>
      <c r="O2040" s="2">
        <v>0</v>
      </c>
      <c r="P2040" s="2">
        <v>0</v>
      </c>
      <c r="Q2040">
        <v>0</v>
      </c>
      <c r="R2040" s="2">
        <v>0</v>
      </c>
      <c r="S2040" s="2">
        <v>0</v>
      </c>
      <c r="T2040" t="s">
        <v>1091</v>
      </c>
      <c r="U2040" s="2">
        <v>0</v>
      </c>
      <c r="V2040" s="2">
        <v>22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</row>
    <row r="2041" spans="1:28" hidden="1" x14ac:dyDescent="0.25">
      <c r="A2041" t="s">
        <v>53</v>
      </c>
      <c r="B2041" t="s">
        <v>38</v>
      </c>
      <c r="C2041" t="s">
        <v>39</v>
      </c>
      <c r="D2041" s="1">
        <v>45985</v>
      </c>
      <c r="E2041" s="1">
        <v>45985</v>
      </c>
      <c r="F2041" s="2">
        <v>14</v>
      </c>
      <c r="G2041" s="3" t="s">
        <v>23</v>
      </c>
      <c r="H2041">
        <v>0</v>
      </c>
      <c r="I2041" s="2">
        <v>0</v>
      </c>
      <c r="J2041" s="2">
        <v>0</v>
      </c>
      <c r="K2041" s="2">
        <v>0</v>
      </c>
      <c r="L2041" s="2">
        <v>0</v>
      </c>
      <c r="M2041">
        <v>0</v>
      </c>
      <c r="N2041">
        <v>0</v>
      </c>
      <c r="O2041" s="2">
        <v>0</v>
      </c>
      <c r="P2041" s="2">
        <v>0</v>
      </c>
      <c r="Q2041">
        <v>0</v>
      </c>
      <c r="R2041" s="2">
        <v>0</v>
      </c>
      <c r="S2041" s="2">
        <v>0</v>
      </c>
      <c r="T2041" t="s">
        <v>1091</v>
      </c>
      <c r="U2041" s="2">
        <v>0</v>
      </c>
      <c r="V2041" s="2">
        <f>11+4</f>
        <v>15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</row>
    <row r="2042" spans="1:28" hidden="1" x14ac:dyDescent="0.25">
      <c r="A2042" t="s">
        <v>29</v>
      </c>
      <c r="B2042" t="s">
        <v>47</v>
      </c>
      <c r="C2042" t="s">
        <v>39</v>
      </c>
      <c r="D2042" s="1">
        <v>45985</v>
      </c>
      <c r="E2042" s="1">
        <v>45985</v>
      </c>
      <c r="F2042" s="2">
        <v>14</v>
      </c>
      <c r="G2042" s="3" t="s">
        <v>572</v>
      </c>
      <c r="H2042">
        <v>0</v>
      </c>
      <c r="I2042" s="2">
        <v>0</v>
      </c>
      <c r="J2042" s="2">
        <v>0</v>
      </c>
      <c r="K2042" s="2">
        <v>0</v>
      </c>
      <c r="L2042" s="2">
        <v>0</v>
      </c>
      <c r="M2042">
        <v>0</v>
      </c>
      <c r="N2042">
        <v>0</v>
      </c>
      <c r="O2042" s="2">
        <v>0</v>
      </c>
      <c r="P2042" s="2">
        <v>0</v>
      </c>
      <c r="Q2042">
        <v>0</v>
      </c>
      <c r="R2042" s="2">
        <v>0</v>
      </c>
      <c r="S2042" s="2">
        <v>0</v>
      </c>
      <c r="T2042" t="s">
        <v>1091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</row>
    <row r="2043" spans="1:28" hidden="1" x14ac:dyDescent="0.25">
      <c r="A2043" t="s">
        <v>47</v>
      </c>
      <c r="B2043" t="s">
        <v>52</v>
      </c>
      <c r="C2043" t="s">
        <v>212</v>
      </c>
      <c r="D2043" s="1">
        <v>45985</v>
      </c>
      <c r="E2043" s="1">
        <v>45985</v>
      </c>
      <c r="F2043" s="2">
        <v>0</v>
      </c>
      <c r="G2043" s="3" t="s">
        <v>572</v>
      </c>
      <c r="H2043">
        <v>0</v>
      </c>
      <c r="I2043" s="2">
        <v>0</v>
      </c>
      <c r="J2043" s="2">
        <v>0</v>
      </c>
      <c r="K2043" s="2">
        <v>0</v>
      </c>
      <c r="L2043" s="2">
        <v>0</v>
      </c>
      <c r="M2043">
        <v>0</v>
      </c>
      <c r="N2043">
        <v>0</v>
      </c>
      <c r="O2043" s="2">
        <v>0</v>
      </c>
      <c r="P2043" s="2">
        <v>0</v>
      </c>
      <c r="Q2043">
        <v>0</v>
      </c>
      <c r="R2043" s="2">
        <v>0</v>
      </c>
      <c r="S2043" s="2">
        <v>0</v>
      </c>
      <c r="T2043" t="s">
        <v>377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</row>
    <row r="2044" spans="1:28" hidden="1" x14ac:dyDescent="0.25">
      <c r="A2044" t="s">
        <v>56</v>
      </c>
      <c r="B2044" t="s">
        <v>21</v>
      </c>
      <c r="C2044" t="s">
        <v>64</v>
      </c>
      <c r="D2044" s="1">
        <v>45986</v>
      </c>
      <c r="E2044" s="1">
        <v>45986</v>
      </c>
      <c r="F2044" s="2">
        <v>33</v>
      </c>
      <c r="G2044" s="3" t="s">
        <v>23</v>
      </c>
      <c r="H2044">
        <v>34</v>
      </c>
      <c r="I2044" s="2">
        <v>0</v>
      </c>
      <c r="J2044" s="2">
        <v>0</v>
      </c>
      <c r="K2044" s="2">
        <v>0</v>
      </c>
      <c r="L2044" s="2">
        <v>1</v>
      </c>
      <c r="M2044">
        <v>0</v>
      </c>
      <c r="N2044">
        <v>0</v>
      </c>
      <c r="O2044" s="2">
        <v>0</v>
      </c>
      <c r="P2044" s="2">
        <v>0</v>
      </c>
      <c r="Q2044">
        <v>0</v>
      </c>
      <c r="R2044" s="2">
        <v>0</v>
      </c>
      <c r="S2044" s="2">
        <v>0</v>
      </c>
      <c r="T2044" t="s">
        <v>1092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</row>
    <row r="2045" spans="1:28" hidden="1" x14ac:dyDescent="0.25">
      <c r="A2045" t="s">
        <v>53</v>
      </c>
      <c r="B2045" t="s">
        <v>47</v>
      </c>
      <c r="C2045" t="s">
        <v>54</v>
      </c>
      <c r="D2045" s="1">
        <v>45986</v>
      </c>
      <c r="E2045" s="1">
        <v>45986</v>
      </c>
      <c r="F2045" s="2">
        <v>42</v>
      </c>
      <c r="G2045" s="3" t="s">
        <v>23</v>
      </c>
      <c r="H2045">
        <v>56</v>
      </c>
      <c r="I2045" s="2">
        <v>0</v>
      </c>
      <c r="J2045" s="2">
        <v>0</v>
      </c>
      <c r="K2045" s="2">
        <v>1</v>
      </c>
      <c r="L2045" s="2">
        <v>0</v>
      </c>
      <c r="M2045">
        <v>0</v>
      </c>
      <c r="N2045">
        <v>0</v>
      </c>
      <c r="O2045" s="2">
        <v>0</v>
      </c>
      <c r="P2045" s="2">
        <v>0</v>
      </c>
      <c r="Q2045">
        <v>0</v>
      </c>
      <c r="R2045" s="2">
        <v>0</v>
      </c>
      <c r="S2045" s="2">
        <v>0</v>
      </c>
      <c r="T2045" t="s">
        <v>1093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</row>
    <row r="2046" spans="1:28" hidden="1" x14ac:dyDescent="0.25">
      <c r="A2046" t="s">
        <v>730</v>
      </c>
      <c r="B2046" t="s">
        <v>47</v>
      </c>
      <c r="C2046" t="s">
        <v>54</v>
      </c>
      <c r="D2046" s="1">
        <v>45986</v>
      </c>
      <c r="E2046" s="1">
        <v>45986</v>
      </c>
      <c r="F2046" s="2">
        <v>42</v>
      </c>
      <c r="G2046" s="3" t="s">
        <v>23</v>
      </c>
      <c r="H2046">
        <v>56</v>
      </c>
      <c r="I2046" s="2">
        <v>0</v>
      </c>
      <c r="J2046" s="2">
        <v>0</v>
      </c>
      <c r="K2046" s="2">
        <v>1</v>
      </c>
      <c r="L2046" s="2">
        <v>0</v>
      </c>
      <c r="M2046">
        <v>0</v>
      </c>
      <c r="N2046">
        <v>0</v>
      </c>
      <c r="O2046" s="2">
        <v>0</v>
      </c>
      <c r="P2046" s="2">
        <v>0</v>
      </c>
      <c r="Q2046">
        <v>0</v>
      </c>
      <c r="R2046" s="2">
        <v>0</v>
      </c>
      <c r="S2046" s="2">
        <v>0</v>
      </c>
      <c r="T2046" t="s">
        <v>1093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</row>
    <row r="2047" spans="1:28" hidden="1" x14ac:dyDescent="0.25">
      <c r="A2047" t="s">
        <v>25</v>
      </c>
      <c r="B2047" t="s">
        <v>26</v>
      </c>
      <c r="C2047" t="s">
        <v>27</v>
      </c>
      <c r="D2047" s="1">
        <v>45986</v>
      </c>
      <c r="E2047" s="1">
        <v>45986</v>
      </c>
      <c r="F2047" s="2">
        <v>20</v>
      </c>
      <c r="G2047" s="3" t="s">
        <v>23</v>
      </c>
      <c r="H2047">
        <v>31</v>
      </c>
      <c r="I2047" s="2">
        <v>0</v>
      </c>
      <c r="J2047" s="2">
        <v>0</v>
      </c>
      <c r="K2047" s="2">
        <v>1</v>
      </c>
      <c r="L2047" s="2">
        <v>0</v>
      </c>
      <c r="M2047">
        <v>0</v>
      </c>
      <c r="N2047">
        <v>0</v>
      </c>
      <c r="O2047" s="2">
        <v>0</v>
      </c>
      <c r="P2047" s="2">
        <v>0</v>
      </c>
      <c r="Q2047">
        <v>0</v>
      </c>
      <c r="R2047" s="2">
        <v>0</v>
      </c>
      <c r="S2047" s="2">
        <v>0</v>
      </c>
      <c r="T2047" t="s">
        <v>1094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</row>
    <row r="2048" spans="1:28" hidden="1" x14ac:dyDescent="0.25">
      <c r="A2048" t="s">
        <v>29</v>
      </c>
      <c r="B2048" t="s">
        <v>30</v>
      </c>
      <c r="C2048" t="s">
        <v>31</v>
      </c>
      <c r="D2048" s="1">
        <v>45986</v>
      </c>
      <c r="E2048" s="1">
        <v>45986</v>
      </c>
      <c r="F2048" s="2">
        <v>18</v>
      </c>
      <c r="G2048" s="3" t="s">
        <v>23</v>
      </c>
      <c r="H2048">
        <v>36</v>
      </c>
      <c r="I2048" s="2">
        <v>0</v>
      </c>
      <c r="J2048" s="2">
        <v>0</v>
      </c>
      <c r="K2048" s="2">
        <v>1</v>
      </c>
      <c r="L2048" s="2">
        <v>0</v>
      </c>
      <c r="M2048">
        <v>0</v>
      </c>
      <c r="N2048">
        <v>0</v>
      </c>
      <c r="O2048" s="2">
        <v>0</v>
      </c>
      <c r="P2048" s="2">
        <v>0</v>
      </c>
      <c r="Q2048">
        <v>0</v>
      </c>
      <c r="R2048" s="2">
        <v>0</v>
      </c>
      <c r="S2048" s="2">
        <v>0</v>
      </c>
      <c r="T2048" t="s">
        <v>1095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</row>
    <row r="2049" spans="1:28" hidden="1" x14ac:dyDescent="0.25">
      <c r="A2049" t="s">
        <v>33</v>
      </c>
      <c r="B2049" t="s">
        <v>34</v>
      </c>
      <c r="C2049" t="s">
        <v>35</v>
      </c>
      <c r="D2049" s="1">
        <v>45986</v>
      </c>
      <c r="E2049" s="1">
        <v>45986</v>
      </c>
      <c r="F2049" s="2">
        <v>39</v>
      </c>
      <c r="G2049" s="3" t="s">
        <v>23</v>
      </c>
      <c r="H2049">
        <v>31</v>
      </c>
      <c r="I2049" s="2">
        <v>0</v>
      </c>
      <c r="J2049" s="2">
        <v>0</v>
      </c>
      <c r="K2049" s="2">
        <v>1</v>
      </c>
      <c r="L2049" s="2">
        <v>0</v>
      </c>
      <c r="M2049">
        <v>1</v>
      </c>
      <c r="N2049">
        <v>0</v>
      </c>
      <c r="O2049" s="2">
        <v>0</v>
      </c>
      <c r="P2049" s="2">
        <v>0</v>
      </c>
      <c r="Q2049">
        <v>0</v>
      </c>
      <c r="R2049" s="2">
        <v>0</v>
      </c>
      <c r="S2049" s="2">
        <v>0</v>
      </c>
      <c r="T2049" t="s">
        <v>1096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</row>
    <row r="2050" spans="1:28" hidden="1" x14ac:dyDescent="0.25">
      <c r="A2050" t="s">
        <v>37</v>
      </c>
      <c r="B2050" t="s">
        <v>57</v>
      </c>
      <c r="C2050" t="s">
        <v>39</v>
      </c>
      <c r="D2050" s="1">
        <v>45986</v>
      </c>
      <c r="E2050" s="1">
        <v>45986</v>
      </c>
      <c r="F2050" s="2">
        <v>27</v>
      </c>
      <c r="G2050" s="3" t="s">
        <v>23</v>
      </c>
      <c r="H2050">
        <v>8</v>
      </c>
      <c r="I2050" s="2">
        <v>0</v>
      </c>
      <c r="J2050" s="2">
        <v>0</v>
      </c>
      <c r="K2050" s="2">
        <v>0</v>
      </c>
      <c r="L2050" s="2">
        <v>0</v>
      </c>
      <c r="M2050">
        <v>0</v>
      </c>
      <c r="N2050">
        <v>1</v>
      </c>
      <c r="O2050" s="2">
        <v>0</v>
      </c>
      <c r="P2050" s="2">
        <v>0</v>
      </c>
      <c r="Q2050">
        <v>0</v>
      </c>
      <c r="R2050" s="2">
        <v>0</v>
      </c>
      <c r="S2050" s="2">
        <v>0</v>
      </c>
      <c r="T2050" t="s">
        <v>1097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</row>
    <row r="2051" spans="1:28" hidden="1" x14ac:dyDescent="0.25">
      <c r="A2051" t="s">
        <v>20</v>
      </c>
      <c r="B2051" t="s">
        <v>47</v>
      </c>
      <c r="C2051" t="s">
        <v>39</v>
      </c>
      <c r="D2051" s="1">
        <v>45986</v>
      </c>
      <c r="E2051" s="1">
        <v>45986</v>
      </c>
      <c r="F2051" s="2">
        <v>14</v>
      </c>
      <c r="G2051" s="3" t="s">
        <v>1030</v>
      </c>
      <c r="H2051">
        <v>0</v>
      </c>
      <c r="I2051" s="2">
        <v>0</v>
      </c>
      <c r="J2051" s="2">
        <v>0</v>
      </c>
      <c r="K2051" s="2">
        <v>0</v>
      </c>
      <c r="L2051" s="2">
        <v>0</v>
      </c>
      <c r="M2051">
        <v>0</v>
      </c>
      <c r="N2051">
        <v>0</v>
      </c>
      <c r="O2051" s="2">
        <v>0</v>
      </c>
      <c r="P2051" s="2">
        <v>0</v>
      </c>
      <c r="Q2051">
        <v>0</v>
      </c>
      <c r="R2051" s="2">
        <v>0</v>
      </c>
      <c r="S2051" s="2">
        <v>0</v>
      </c>
      <c r="T2051" t="s">
        <v>1091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</row>
    <row r="2052" spans="1:28" hidden="1" x14ac:dyDescent="0.25">
      <c r="A2052" t="s">
        <v>568</v>
      </c>
      <c r="B2052" t="s">
        <v>47</v>
      </c>
      <c r="C2052" t="s">
        <v>39</v>
      </c>
      <c r="D2052" s="1">
        <v>45986</v>
      </c>
      <c r="E2052" s="1">
        <v>45986</v>
      </c>
      <c r="F2052" s="2">
        <v>14</v>
      </c>
      <c r="G2052" s="3" t="s">
        <v>1030</v>
      </c>
      <c r="H2052">
        <v>0</v>
      </c>
      <c r="I2052" s="2">
        <v>0</v>
      </c>
      <c r="J2052" s="2">
        <v>0</v>
      </c>
      <c r="K2052" s="2">
        <v>0</v>
      </c>
      <c r="L2052" s="2">
        <v>0</v>
      </c>
      <c r="M2052">
        <v>0</v>
      </c>
      <c r="N2052">
        <v>0</v>
      </c>
      <c r="O2052" s="2">
        <v>0</v>
      </c>
      <c r="P2052" s="2">
        <v>0</v>
      </c>
      <c r="Q2052">
        <v>0</v>
      </c>
      <c r="R2052" s="2">
        <v>0</v>
      </c>
      <c r="S2052" s="2">
        <v>0</v>
      </c>
      <c r="T2052" t="s">
        <v>1091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</row>
    <row r="2053" spans="1:28" hidden="1" x14ac:dyDescent="0.25">
      <c r="A2053" t="s">
        <v>47</v>
      </c>
      <c r="B2053" t="s">
        <v>38</v>
      </c>
      <c r="C2053" t="s">
        <v>39</v>
      </c>
      <c r="D2053" s="1">
        <v>45986</v>
      </c>
      <c r="E2053" s="1">
        <v>45986</v>
      </c>
      <c r="F2053" s="2">
        <v>14</v>
      </c>
      <c r="G2053" s="3" t="s">
        <v>1030</v>
      </c>
      <c r="H2053">
        <v>0</v>
      </c>
      <c r="I2053" s="2">
        <v>0</v>
      </c>
      <c r="J2053" s="2">
        <v>0</v>
      </c>
      <c r="K2053" s="2">
        <v>0</v>
      </c>
      <c r="L2053" s="2">
        <v>0</v>
      </c>
      <c r="M2053">
        <v>0</v>
      </c>
      <c r="N2053">
        <v>0</v>
      </c>
      <c r="O2053" s="2">
        <v>0</v>
      </c>
      <c r="P2053" s="2">
        <v>0</v>
      </c>
      <c r="Q2053">
        <v>0</v>
      </c>
      <c r="R2053" s="2">
        <v>0</v>
      </c>
      <c r="S2053" s="2">
        <v>0</v>
      </c>
      <c r="T2053" t="s">
        <v>1091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</row>
    <row r="2054" spans="1:28" hidden="1" x14ac:dyDescent="0.25">
      <c r="A2054" t="s">
        <v>47</v>
      </c>
      <c r="B2054" t="s">
        <v>52</v>
      </c>
      <c r="C2054" t="s">
        <v>212</v>
      </c>
      <c r="D2054" s="1">
        <v>45986</v>
      </c>
      <c r="E2054" s="1">
        <v>45986</v>
      </c>
      <c r="F2054" s="2">
        <v>0</v>
      </c>
      <c r="G2054" s="3" t="s">
        <v>572</v>
      </c>
      <c r="H2054">
        <v>0</v>
      </c>
      <c r="I2054" s="2">
        <v>0</v>
      </c>
      <c r="J2054" s="2">
        <v>0</v>
      </c>
      <c r="K2054" s="2">
        <v>0</v>
      </c>
      <c r="L2054" s="2">
        <v>0</v>
      </c>
      <c r="M2054">
        <v>0</v>
      </c>
      <c r="N2054">
        <v>0</v>
      </c>
      <c r="O2054" s="2">
        <v>0</v>
      </c>
      <c r="P2054" s="2">
        <v>0</v>
      </c>
      <c r="Q2054">
        <v>0</v>
      </c>
      <c r="R2054" s="2">
        <v>0</v>
      </c>
      <c r="S2054" s="2">
        <v>0</v>
      </c>
      <c r="T2054" t="s">
        <v>377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</row>
    <row r="2055" spans="1:28" hidden="1" x14ac:dyDescent="0.25">
      <c r="A2055" t="s">
        <v>20</v>
      </c>
      <c r="B2055" t="s">
        <v>21</v>
      </c>
      <c r="C2055" t="s">
        <v>22</v>
      </c>
      <c r="D2055" s="1">
        <v>45987</v>
      </c>
      <c r="E2055" s="1">
        <v>45987</v>
      </c>
      <c r="F2055" s="2">
        <v>48</v>
      </c>
      <c r="G2055" s="3" t="s">
        <v>23</v>
      </c>
      <c r="H2055">
        <v>14</v>
      </c>
      <c r="I2055" s="2">
        <v>0</v>
      </c>
      <c r="J2055" s="2">
        <v>0</v>
      </c>
      <c r="K2055" s="2">
        <v>0</v>
      </c>
      <c r="L2055" s="2">
        <v>1</v>
      </c>
      <c r="M2055">
        <v>0</v>
      </c>
      <c r="N2055">
        <v>0</v>
      </c>
      <c r="O2055" s="2">
        <v>0</v>
      </c>
      <c r="P2055" s="2">
        <v>0</v>
      </c>
      <c r="Q2055">
        <v>0</v>
      </c>
      <c r="R2055" s="2">
        <v>0</v>
      </c>
      <c r="S2055" s="2">
        <v>0</v>
      </c>
      <c r="T2055" t="s">
        <v>1098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</row>
    <row r="2056" spans="1:28" hidden="1" x14ac:dyDescent="0.25">
      <c r="A2056" t="s">
        <v>29</v>
      </c>
      <c r="B2056" t="s">
        <v>30</v>
      </c>
      <c r="C2056" t="s">
        <v>31</v>
      </c>
      <c r="D2056" s="1">
        <v>45987</v>
      </c>
      <c r="E2056" s="1">
        <v>45987</v>
      </c>
      <c r="F2056" s="2">
        <v>26</v>
      </c>
      <c r="G2056" s="3" t="s">
        <v>23</v>
      </c>
      <c r="H2056">
        <v>46</v>
      </c>
      <c r="I2056" s="2">
        <v>0</v>
      </c>
      <c r="J2056" s="2">
        <v>0</v>
      </c>
      <c r="K2056" s="2">
        <v>0</v>
      </c>
      <c r="L2056" s="2">
        <v>0</v>
      </c>
      <c r="M2056">
        <v>1</v>
      </c>
      <c r="N2056">
        <v>0</v>
      </c>
      <c r="O2056" s="2">
        <v>0</v>
      </c>
      <c r="P2056" s="2">
        <v>0</v>
      </c>
      <c r="Q2056">
        <v>0</v>
      </c>
      <c r="R2056" s="2">
        <v>0</v>
      </c>
      <c r="S2056" s="2">
        <v>0</v>
      </c>
      <c r="T2056" t="s">
        <v>1099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</row>
    <row r="2057" spans="1:28" hidden="1" x14ac:dyDescent="0.25">
      <c r="A2057" t="s">
        <v>568</v>
      </c>
      <c r="B2057" t="s">
        <v>47</v>
      </c>
      <c r="C2057" t="s">
        <v>670</v>
      </c>
      <c r="D2057" s="1">
        <v>45987</v>
      </c>
      <c r="E2057" s="1">
        <v>45987</v>
      </c>
      <c r="F2057" s="2">
        <v>71</v>
      </c>
      <c r="G2057" s="3" t="s">
        <v>23</v>
      </c>
      <c r="H2057">
        <v>37</v>
      </c>
      <c r="I2057" s="2">
        <v>0</v>
      </c>
      <c r="J2057" s="2">
        <v>0</v>
      </c>
      <c r="K2057" s="2">
        <v>1</v>
      </c>
      <c r="L2057" s="2">
        <v>0</v>
      </c>
      <c r="M2057">
        <v>0</v>
      </c>
      <c r="N2057">
        <v>0</v>
      </c>
      <c r="O2057" s="2">
        <v>0</v>
      </c>
      <c r="P2057" s="2">
        <v>0</v>
      </c>
      <c r="Q2057">
        <v>0</v>
      </c>
      <c r="R2057" s="2">
        <v>0</v>
      </c>
      <c r="S2057" s="2">
        <v>0</v>
      </c>
      <c r="T2057" t="s">
        <v>1100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</row>
    <row r="2058" spans="1:28" hidden="1" x14ac:dyDescent="0.25">
      <c r="A2058" t="s">
        <v>730</v>
      </c>
      <c r="B2058" t="s">
        <v>47</v>
      </c>
      <c r="C2058" t="s">
        <v>670</v>
      </c>
      <c r="D2058" s="1">
        <v>45987</v>
      </c>
      <c r="E2058" s="1">
        <v>45987</v>
      </c>
      <c r="F2058" s="2">
        <v>71</v>
      </c>
      <c r="G2058" s="3" t="s">
        <v>23</v>
      </c>
      <c r="H2058">
        <v>37</v>
      </c>
      <c r="I2058" s="2">
        <v>0</v>
      </c>
      <c r="J2058" s="2">
        <v>0</v>
      </c>
      <c r="K2058" s="2">
        <v>1</v>
      </c>
      <c r="L2058" s="2">
        <v>0</v>
      </c>
      <c r="M2058">
        <v>0</v>
      </c>
      <c r="N2058">
        <v>0</v>
      </c>
      <c r="O2058" s="2">
        <v>0</v>
      </c>
      <c r="P2058" s="2">
        <v>0</v>
      </c>
      <c r="Q2058">
        <v>0</v>
      </c>
      <c r="R2058" s="2">
        <v>0</v>
      </c>
      <c r="S2058" s="2">
        <v>0</v>
      </c>
      <c r="T2058" t="s">
        <v>1100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</row>
    <row r="2059" spans="1:28" hidden="1" x14ac:dyDescent="0.25">
      <c r="A2059" t="s">
        <v>53</v>
      </c>
      <c r="B2059" t="s">
        <v>38</v>
      </c>
      <c r="C2059" t="s">
        <v>670</v>
      </c>
      <c r="D2059" s="1">
        <v>45987</v>
      </c>
      <c r="E2059" s="1">
        <v>45987</v>
      </c>
      <c r="F2059" s="2">
        <v>71</v>
      </c>
      <c r="G2059" s="3" t="s">
        <v>23</v>
      </c>
      <c r="H2059">
        <f>21+21</f>
        <v>42</v>
      </c>
      <c r="I2059" s="2">
        <v>0</v>
      </c>
      <c r="J2059" s="2">
        <v>0</v>
      </c>
      <c r="K2059" s="2">
        <v>1</v>
      </c>
      <c r="L2059" s="2">
        <v>0</v>
      </c>
      <c r="M2059">
        <v>0</v>
      </c>
      <c r="N2059">
        <v>0</v>
      </c>
      <c r="O2059" s="2">
        <v>0</v>
      </c>
      <c r="P2059" s="2">
        <v>0</v>
      </c>
      <c r="Q2059">
        <v>0</v>
      </c>
      <c r="R2059" s="2">
        <v>0</v>
      </c>
      <c r="S2059" s="2">
        <v>0</v>
      </c>
      <c r="T2059" t="s">
        <v>1100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</row>
    <row r="2060" spans="1:28" hidden="1" x14ac:dyDescent="0.25">
      <c r="A2060" t="s">
        <v>33</v>
      </c>
      <c r="B2060" t="s">
        <v>34</v>
      </c>
      <c r="C2060" t="s">
        <v>35</v>
      </c>
      <c r="D2060" s="1">
        <v>45987</v>
      </c>
      <c r="E2060" s="1">
        <v>45987</v>
      </c>
      <c r="F2060" s="2">
        <v>33</v>
      </c>
      <c r="G2060" s="3" t="s">
        <v>23</v>
      </c>
      <c r="H2060">
        <v>12</v>
      </c>
      <c r="I2060" s="2">
        <v>0</v>
      </c>
      <c r="J2060" s="2">
        <v>0</v>
      </c>
      <c r="K2060" s="2">
        <v>0</v>
      </c>
      <c r="L2060" s="2">
        <v>0</v>
      </c>
      <c r="M2060">
        <v>0</v>
      </c>
      <c r="N2060">
        <v>0</v>
      </c>
      <c r="O2060" s="2">
        <v>0</v>
      </c>
      <c r="P2060" s="2">
        <v>0</v>
      </c>
      <c r="Q2060">
        <v>0</v>
      </c>
      <c r="R2060" s="2">
        <v>0</v>
      </c>
      <c r="S2060" s="2">
        <v>0</v>
      </c>
      <c r="T2060" t="s">
        <v>1101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</row>
    <row r="2061" spans="1:28" hidden="1" x14ac:dyDescent="0.25">
      <c r="A2061" t="s">
        <v>37</v>
      </c>
      <c r="B2061" t="s">
        <v>57</v>
      </c>
      <c r="C2061" t="s">
        <v>39</v>
      </c>
      <c r="D2061" s="1">
        <v>45987</v>
      </c>
      <c r="E2061" s="1">
        <v>45987</v>
      </c>
      <c r="F2061" s="2">
        <v>22</v>
      </c>
      <c r="G2061" s="3" t="s">
        <v>23</v>
      </c>
      <c r="H2061">
        <v>36</v>
      </c>
      <c r="I2061" s="2">
        <v>0</v>
      </c>
      <c r="J2061" s="2">
        <v>0</v>
      </c>
      <c r="K2061" s="2">
        <v>1</v>
      </c>
      <c r="L2061" s="2">
        <v>0</v>
      </c>
      <c r="M2061">
        <v>0</v>
      </c>
      <c r="N2061">
        <v>0</v>
      </c>
      <c r="O2061" s="2">
        <v>0</v>
      </c>
      <c r="P2061" s="2">
        <v>0</v>
      </c>
      <c r="Q2061">
        <v>0</v>
      </c>
      <c r="R2061" s="2">
        <v>0</v>
      </c>
      <c r="S2061" s="2">
        <v>0</v>
      </c>
      <c r="T2061" t="s">
        <v>1102</v>
      </c>
      <c r="U2061" s="2">
        <v>0</v>
      </c>
      <c r="V2061" s="2">
        <v>3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</row>
    <row r="2062" spans="1:28" hidden="1" x14ac:dyDescent="0.25">
      <c r="A2062" t="s">
        <v>25</v>
      </c>
      <c r="B2062" t="s">
        <v>26</v>
      </c>
      <c r="C2062" t="s">
        <v>39</v>
      </c>
      <c r="D2062" s="1">
        <v>45987</v>
      </c>
      <c r="E2062" s="1">
        <v>45987</v>
      </c>
      <c r="F2062" s="2">
        <v>14</v>
      </c>
      <c r="G2062" s="3" t="s">
        <v>572</v>
      </c>
      <c r="H2062">
        <v>0</v>
      </c>
      <c r="I2062" s="2">
        <v>0</v>
      </c>
      <c r="J2062" s="2">
        <v>0</v>
      </c>
      <c r="K2062" s="2">
        <v>0</v>
      </c>
      <c r="L2062" s="2">
        <v>0</v>
      </c>
      <c r="M2062">
        <v>0</v>
      </c>
      <c r="N2062">
        <v>0</v>
      </c>
      <c r="O2062" s="2">
        <v>0</v>
      </c>
      <c r="P2062" s="2">
        <v>0</v>
      </c>
      <c r="Q2062">
        <v>0</v>
      </c>
      <c r="R2062" s="2">
        <v>0</v>
      </c>
      <c r="S2062" s="2">
        <v>0</v>
      </c>
      <c r="T2062" t="s">
        <v>1091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</row>
    <row r="2063" spans="1:28" hidden="1" x14ac:dyDescent="0.25">
      <c r="A2063" t="s">
        <v>56</v>
      </c>
      <c r="B2063" t="s">
        <v>47</v>
      </c>
      <c r="C2063" t="s">
        <v>39</v>
      </c>
      <c r="D2063" s="1">
        <v>45987</v>
      </c>
      <c r="E2063" s="1">
        <v>45987</v>
      </c>
      <c r="F2063" s="2">
        <v>14</v>
      </c>
      <c r="G2063" s="3" t="s">
        <v>572</v>
      </c>
      <c r="H2063">
        <v>0</v>
      </c>
      <c r="I2063" s="2">
        <v>0</v>
      </c>
      <c r="J2063" s="2">
        <v>0</v>
      </c>
      <c r="K2063" s="2">
        <v>0</v>
      </c>
      <c r="L2063" s="2">
        <v>0</v>
      </c>
      <c r="M2063">
        <v>0</v>
      </c>
      <c r="N2063">
        <v>0</v>
      </c>
      <c r="O2063" s="2">
        <v>0</v>
      </c>
      <c r="P2063" s="2">
        <v>0</v>
      </c>
      <c r="Q2063">
        <v>0</v>
      </c>
      <c r="R2063" s="2">
        <v>0</v>
      </c>
      <c r="S2063" s="2">
        <v>0</v>
      </c>
      <c r="T2063" t="s">
        <v>1091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</row>
    <row r="2064" spans="1:28" hidden="1" x14ac:dyDescent="0.25">
      <c r="A2064" t="s">
        <v>47</v>
      </c>
      <c r="B2064" t="s">
        <v>52</v>
      </c>
      <c r="C2064" t="s">
        <v>212</v>
      </c>
      <c r="D2064" s="1">
        <v>45987</v>
      </c>
      <c r="E2064" s="1">
        <v>45987</v>
      </c>
      <c r="F2064" s="2">
        <v>0</v>
      </c>
      <c r="G2064" s="3" t="s">
        <v>572</v>
      </c>
      <c r="H2064">
        <v>0</v>
      </c>
      <c r="I2064" s="2">
        <v>0</v>
      </c>
      <c r="J2064" s="2">
        <v>0</v>
      </c>
      <c r="K2064" s="2">
        <v>0</v>
      </c>
      <c r="L2064" s="2">
        <v>0</v>
      </c>
      <c r="M2064">
        <v>0</v>
      </c>
      <c r="N2064">
        <v>0</v>
      </c>
      <c r="O2064" s="2">
        <v>0</v>
      </c>
      <c r="P2064" s="2">
        <v>0</v>
      </c>
      <c r="Q2064">
        <v>0</v>
      </c>
      <c r="R2064" s="2">
        <v>0</v>
      </c>
      <c r="S2064" s="2">
        <v>0</v>
      </c>
      <c r="T2064" t="s">
        <v>377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</row>
    <row r="2065" spans="1:28" hidden="1" x14ac:dyDescent="0.25">
      <c r="A2065" t="s">
        <v>56</v>
      </c>
      <c r="B2065" t="s">
        <v>21</v>
      </c>
      <c r="C2065" t="s">
        <v>64</v>
      </c>
      <c r="D2065" s="1">
        <v>45988</v>
      </c>
      <c r="E2065" s="1">
        <v>45988</v>
      </c>
      <c r="F2065" s="2">
        <v>40</v>
      </c>
      <c r="G2065" s="3" t="s">
        <v>23</v>
      </c>
      <c r="H2065">
        <v>3</v>
      </c>
      <c r="I2065" s="2">
        <v>0</v>
      </c>
      <c r="J2065" s="2">
        <v>0</v>
      </c>
      <c r="K2065" s="2">
        <v>0</v>
      </c>
      <c r="L2065" s="2">
        <v>0</v>
      </c>
      <c r="M2065">
        <v>0</v>
      </c>
      <c r="N2065">
        <v>1</v>
      </c>
      <c r="O2065" s="2">
        <v>0</v>
      </c>
      <c r="P2065" s="2">
        <v>0</v>
      </c>
      <c r="Q2065">
        <v>0</v>
      </c>
      <c r="R2065" s="2">
        <v>0</v>
      </c>
      <c r="S2065" s="2">
        <v>0</v>
      </c>
      <c r="T2065" t="s">
        <v>1103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</row>
    <row r="2066" spans="1:28" hidden="1" x14ac:dyDescent="0.25">
      <c r="A2066" t="s">
        <v>53</v>
      </c>
      <c r="B2066" t="s">
        <v>38</v>
      </c>
      <c r="C2066" t="s">
        <v>54</v>
      </c>
      <c r="D2066" s="1">
        <v>45988</v>
      </c>
      <c r="E2066" s="1">
        <v>45988</v>
      </c>
      <c r="F2066" s="2">
        <v>42</v>
      </c>
      <c r="G2066" s="3" t="s">
        <v>23</v>
      </c>
      <c r="H2066">
        <v>37</v>
      </c>
      <c r="I2066" s="2">
        <v>0</v>
      </c>
      <c r="J2066" s="2">
        <v>1</v>
      </c>
      <c r="K2066" s="2">
        <v>1</v>
      </c>
      <c r="L2066" s="2">
        <v>0</v>
      </c>
      <c r="M2066">
        <v>0</v>
      </c>
      <c r="N2066">
        <v>0</v>
      </c>
      <c r="O2066" s="2">
        <v>0</v>
      </c>
      <c r="P2066" s="2">
        <v>0</v>
      </c>
      <c r="Q2066">
        <v>0</v>
      </c>
      <c r="R2066" s="2">
        <v>0</v>
      </c>
      <c r="S2066" s="2">
        <v>0</v>
      </c>
      <c r="T2066" t="s">
        <v>1104</v>
      </c>
      <c r="U2066" s="2">
        <v>0</v>
      </c>
      <c r="V2066">
        <f>20+2</f>
        <v>22</v>
      </c>
      <c r="W2066" s="2">
        <v>3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</row>
    <row r="2067" spans="1:28" hidden="1" x14ac:dyDescent="0.25">
      <c r="A2067" t="s">
        <v>20</v>
      </c>
      <c r="B2067" t="s">
        <v>21</v>
      </c>
      <c r="C2067" t="s">
        <v>22</v>
      </c>
      <c r="D2067" s="1">
        <v>45988</v>
      </c>
      <c r="E2067" s="1">
        <v>45988</v>
      </c>
      <c r="F2067" s="2">
        <v>22</v>
      </c>
      <c r="G2067" s="3" t="s">
        <v>23</v>
      </c>
      <c r="H2067">
        <v>16</v>
      </c>
      <c r="I2067" s="2">
        <v>0</v>
      </c>
      <c r="J2067" s="2">
        <v>0</v>
      </c>
      <c r="K2067" s="2">
        <v>0</v>
      </c>
      <c r="L2067" s="2">
        <v>1</v>
      </c>
      <c r="M2067">
        <v>0</v>
      </c>
      <c r="N2067">
        <v>0</v>
      </c>
      <c r="O2067" s="2">
        <v>0</v>
      </c>
      <c r="P2067" s="2">
        <v>0</v>
      </c>
      <c r="Q2067">
        <v>0</v>
      </c>
      <c r="R2067" s="2">
        <v>0</v>
      </c>
      <c r="S2067" s="2">
        <v>0</v>
      </c>
      <c r="T2067" t="s">
        <v>1105</v>
      </c>
      <c r="U2067" s="2">
        <v>0</v>
      </c>
      <c r="V2067" s="2">
        <f>22+4+18+42</f>
        <v>86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</row>
    <row r="2068" spans="1:28" hidden="1" x14ac:dyDescent="0.25">
      <c r="A2068" t="s">
        <v>25</v>
      </c>
      <c r="B2068" t="s">
        <v>26</v>
      </c>
      <c r="C2068" t="s">
        <v>27</v>
      </c>
      <c r="D2068" s="1">
        <v>45988</v>
      </c>
      <c r="E2068" s="1">
        <v>45988</v>
      </c>
      <c r="F2068" s="2">
        <v>19</v>
      </c>
      <c r="G2068" s="3" t="s">
        <v>23</v>
      </c>
      <c r="H2068">
        <v>0</v>
      </c>
      <c r="I2068" s="2">
        <v>0</v>
      </c>
      <c r="J2068" s="2">
        <v>0</v>
      </c>
      <c r="K2068" s="2">
        <v>0</v>
      </c>
      <c r="L2068" s="2">
        <v>0</v>
      </c>
      <c r="M2068">
        <v>0</v>
      </c>
      <c r="N2068">
        <v>0</v>
      </c>
      <c r="O2068" s="2">
        <v>0</v>
      </c>
      <c r="P2068" s="2">
        <v>0</v>
      </c>
      <c r="Q2068">
        <v>0</v>
      </c>
      <c r="R2068" s="2">
        <v>0</v>
      </c>
      <c r="S2068" s="2">
        <v>0</v>
      </c>
      <c r="T2068" t="s">
        <v>1106</v>
      </c>
      <c r="U2068" s="2">
        <v>0</v>
      </c>
      <c r="V2068" s="2">
        <f>22+2+4+2+4</f>
        <v>34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</row>
    <row r="2069" spans="1:28" hidden="1" x14ac:dyDescent="0.25">
      <c r="A2069" t="s">
        <v>568</v>
      </c>
      <c r="B2069" t="s">
        <v>47</v>
      </c>
      <c r="C2069" t="s">
        <v>670</v>
      </c>
      <c r="D2069" s="1">
        <v>45988</v>
      </c>
      <c r="E2069" s="1">
        <v>45988</v>
      </c>
      <c r="F2069" s="2">
        <v>42</v>
      </c>
      <c r="G2069" s="3" t="s">
        <v>23</v>
      </c>
      <c r="H2069">
        <f>7+7+1+1+5+1</f>
        <v>22</v>
      </c>
      <c r="I2069" s="2">
        <v>0</v>
      </c>
      <c r="J2069" s="2">
        <v>0</v>
      </c>
      <c r="K2069" s="2">
        <v>1</v>
      </c>
      <c r="L2069" s="2">
        <v>0</v>
      </c>
      <c r="M2069">
        <v>0</v>
      </c>
      <c r="N2069">
        <v>0</v>
      </c>
      <c r="O2069" s="2">
        <v>0</v>
      </c>
      <c r="P2069" s="2">
        <v>0</v>
      </c>
      <c r="Q2069">
        <v>0</v>
      </c>
      <c r="R2069" s="2">
        <v>0</v>
      </c>
      <c r="S2069" s="2">
        <v>0</v>
      </c>
      <c r="T2069" t="s">
        <v>1107</v>
      </c>
      <c r="U2069" s="2">
        <v>0</v>
      </c>
      <c r="V2069" s="2">
        <v>1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</row>
    <row r="2070" spans="1:28" hidden="1" x14ac:dyDescent="0.25">
      <c r="A2070" t="s">
        <v>730</v>
      </c>
      <c r="B2070" t="s">
        <v>47</v>
      </c>
      <c r="C2070" t="s">
        <v>670</v>
      </c>
      <c r="D2070" s="1">
        <v>45988</v>
      </c>
      <c r="E2070" s="1">
        <v>45988</v>
      </c>
      <c r="F2070" s="2">
        <v>42</v>
      </c>
      <c r="G2070" s="3" t="s">
        <v>23</v>
      </c>
      <c r="H2070">
        <f>7+7+1+1+5+1</f>
        <v>22</v>
      </c>
      <c r="I2070" s="2">
        <v>0</v>
      </c>
      <c r="J2070" s="2">
        <v>0</v>
      </c>
      <c r="K2070" s="2">
        <v>1</v>
      </c>
      <c r="L2070" s="2">
        <v>0</v>
      </c>
      <c r="M2070">
        <v>0</v>
      </c>
      <c r="N2070">
        <v>0</v>
      </c>
      <c r="O2070" s="2">
        <v>0</v>
      </c>
      <c r="P2070" s="2">
        <v>0</v>
      </c>
      <c r="Q2070">
        <v>0</v>
      </c>
      <c r="R2070" s="2">
        <v>0</v>
      </c>
      <c r="S2070" s="2">
        <v>0</v>
      </c>
      <c r="T2070" t="s">
        <v>1107</v>
      </c>
      <c r="U2070" s="2">
        <v>0</v>
      </c>
      <c r="V2070" s="2">
        <v>1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</row>
    <row r="2071" spans="1:28" hidden="1" x14ac:dyDescent="0.25">
      <c r="A2071" t="s">
        <v>33</v>
      </c>
      <c r="B2071" t="s">
        <v>34</v>
      </c>
      <c r="C2071" t="s">
        <v>35</v>
      </c>
      <c r="D2071" s="1">
        <v>45988</v>
      </c>
      <c r="E2071" s="1">
        <v>45988</v>
      </c>
      <c r="F2071" s="2">
        <v>27</v>
      </c>
      <c r="G2071" s="3" t="s">
        <v>23</v>
      </c>
      <c r="H2071">
        <v>41</v>
      </c>
      <c r="I2071" s="2">
        <v>0</v>
      </c>
      <c r="J2071" s="2">
        <v>0</v>
      </c>
      <c r="K2071" s="2">
        <v>1</v>
      </c>
      <c r="L2071" s="2">
        <v>0</v>
      </c>
      <c r="M2071">
        <v>1</v>
      </c>
      <c r="N2071">
        <v>0</v>
      </c>
      <c r="O2071" s="2">
        <v>0</v>
      </c>
      <c r="P2071" s="2">
        <v>0</v>
      </c>
      <c r="Q2071">
        <v>0</v>
      </c>
      <c r="R2071" s="2">
        <v>0</v>
      </c>
      <c r="S2071" s="2">
        <v>0</v>
      </c>
      <c r="T2071" t="s">
        <v>1108</v>
      </c>
      <c r="U2071" s="2">
        <v>0</v>
      </c>
      <c r="V2071" s="2">
        <f>5+6+3</f>
        <v>14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</row>
    <row r="2072" spans="1:28" hidden="1" x14ac:dyDescent="0.25">
      <c r="A2072" t="s">
        <v>37</v>
      </c>
      <c r="B2072" t="s">
        <v>57</v>
      </c>
      <c r="C2072" t="s">
        <v>39</v>
      </c>
      <c r="D2072" s="1">
        <v>45988</v>
      </c>
      <c r="E2072" s="1">
        <v>45988</v>
      </c>
      <c r="F2072" s="2">
        <v>19</v>
      </c>
      <c r="G2072" s="3" t="s">
        <v>23</v>
      </c>
      <c r="H2072">
        <f>16*2</f>
        <v>32</v>
      </c>
      <c r="I2072" s="2">
        <v>0</v>
      </c>
      <c r="J2072" s="2">
        <v>0</v>
      </c>
      <c r="K2072" s="2">
        <v>1</v>
      </c>
      <c r="L2072" s="2">
        <v>0</v>
      </c>
      <c r="M2072">
        <v>0</v>
      </c>
      <c r="N2072">
        <v>0</v>
      </c>
      <c r="O2072" s="2">
        <v>0</v>
      </c>
      <c r="P2072" s="2">
        <v>0</v>
      </c>
      <c r="Q2072">
        <v>0</v>
      </c>
      <c r="R2072" s="2">
        <v>0</v>
      </c>
      <c r="S2072" s="2">
        <v>0</v>
      </c>
      <c r="T2072" t="s">
        <v>1109</v>
      </c>
      <c r="U2072" s="2">
        <v>0</v>
      </c>
      <c r="V2072" s="2">
        <f>22+18+2+42</f>
        <v>84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</row>
    <row r="2073" spans="1:28" hidden="1" x14ac:dyDescent="0.25">
      <c r="A2073" t="s">
        <v>29</v>
      </c>
      <c r="B2073" t="s">
        <v>30</v>
      </c>
      <c r="C2073" t="s">
        <v>39</v>
      </c>
      <c r="D2073" s="1">
        <v>45988</v>
      </c>
      <c r="E2073" s="1">
        <v>45988</v>
      </c>
      <c r="F2073" s="2">
        <v>14</v>
      </c>
      <c r="G2073" s="3" t="s">
        <v>1030</v>
      </c>
      <c r="H2073">
        <v>0</v>
      </c>
      <c r="I2073" s="2">
        <v>0</v>
      </c>
      <c r="J2073" s="2">
        <v>0</v>
      </c>
      <c r="K2073" s="2">
        <v>0</v>
      </c>
      <c r="L2073" s="2">
        <v>0</v>
      </c>
      <c r="M2073">
        <v>0</v>
      </c>
      <c r="N2073">
        <v>0</v>
      </c>
      <c r="O2073" s="2">
        <v>0</v>
      </c>
      <c r="P2073" s="2">
        <v>0</v>
      </c>
      <c r="Q2073">
        <v>0</v>
      </c>
      <c r="R2073" s="2">
        <v>0</v>
      </c>
      <c r="S2073" s="2">
        <v>0</v>
      </c>
      <c r="T2073" t="s">
        <v>1091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</row>
    <row r="2074" spans="1:28" hidden="1" x14ac:dyDescent="0.25">
      <c r="A2074" t="s">
        <v>47</v>
      </c>
      <c r="B2074" t="s">
        <v>52</v>
      </c>
      <c r="C2074" t="s">
        <v>212</v>
      </c>
      <c r="D2074" s="1">
        <v>45988</v>
      </c>
      <c r="E2074" s="1">
        <v>45988</v>
      </c>
      <c r="F2074" s="2">
        <v>0</v>
      </c>
      <c r="G2074" s="3" t="s">
        <v>572</v>
      </c>
      <c r="H2074">
        <v>0</v>
      </c>
      <c r="I2074" s="2">
        <v>0</v>
      </c>
      <c r="J2074" s="2">
        <v>0</v>
      </c>
      <c r="K2074" s="2">
        <v>0</v>
      </c>
      <c r="L2074" s="2">
        <v>0</v>
      </c>
      <c r="M2074">
        <v>0</v>
      </c>
      <c r="N2074">
        <v>0</v>
      </c>
      <c r="O2074" s="2">
        <v>0</v>
      </c>
      <c r="P2074" s="2">
        <v>0</v>
      </c>
      <c r="Q2074">
        <v>0</v>
      </c>
      <c r="R2074" s="2">
        <v>0</v>
      </c>
      <c r="S2074" s="2">
        <v>0</v>
      </c>
      <c r="T2074" t="s">
        <v>377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</row>
    <row r="2075" spans="1:28" hidden="1" x14ac:dyDescent="0.25">
      <c r="A2075" t="s">
        <v>53</v>
      </c>
      <c r="B2075" t="s">
        <v>38</v>
      </c>
      <c r="C2075" t="s">
        <v>54</v>
      </c>
      <c r="D2075" s="1">
        <v>45989</v>
      </c>
      <c r="E2075" s="1">
        <v>45989</v>
      </c>
      <c r="F2075" s="2">
        <v>47</v>
      </c>
      <c r="G2075" s="3" t="s">
        <v>23</v>
      </c>
      <c r="H2075">
        <v>36</v>
      </c>
      <c r="I2075" s="2">
        <v>0</v>
      </c>
      <c r="J2075" s="2">
        <v>0</v>
      </c>
      <c r="K2075" s="2">
        <v>1</v>
      </c>
      <c r="L2075" s="2">
        <v>0</v>
      </c>
      <c r="M2075">
        <v>0</v>
      </c>
      <c r="N2075">
        <v>0</v>
      </c>
      <c r="O2075" s="2">
        <v>0</v>
      </c>
      <c r="P2075" s="2">
        <v>0</v>
      </c>
      <c r="Q2075">
        <v>0</v>
      </c>
      <c r="R2075" s="2">
        <v>0</v>
      </c>
      <c r="S2075" s="2">
        <v>0</v>
      </c>
      <c r="T2075" t="s">
        <v>1110</v>
      </c>
      <c r="U2075" s="2">
        <v>0</v>
      </c>
      <c r="V2075" s="2">
        <v>40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</row>
    <row r="2076" spans="1:28" hidden="1" x14ac:dyDescent="0.25">
      <c r="A2076" t="s">
        <v>37</v>
      </c>
      <c r="B2076" t="s">
        <v>57</v>
      </c>
      <c r="C2076" t="s">
        <v>54</v>
      </c>
      <c r="D2076" s="1">
        <v>45989</v>
      </c>
      <c r="E2076" s="1">
        <v>45989</v>
      </c>
      <c r="F2076" s="2">
        <v>47</v>
      </c>
      <c r="G2076" s="3" t="s">
        <v>23</v>
      </c>
      <c r="H2076">
        <v>0</v>
      </c>
      <c r="I2076" s="2">
        <v>0</v>
      </c>
      <c r="J2076" s="2">
        <v>0</v>
      </c>
      <c r="K2076" s="2">
        <v>0</v>
      </c>
      <c r="L2076" s="2">
        <v>0</v>
      </c>
      <c r="M2076">
        <v>0</v>
      </c>
      <c r="N2076">
        <v>0</v>
      </c>
      <c r="O2076" s="2">
        <v>0</v>
      </c>
      <c r="P2076" s="2">
        <v>0</v>
      </c>
      <c r="Q2076">
        <v>0</v>
      </c>
      <c r="R2076" s="2">
        <v>0</v>
      </c>
      <c r="S2076" s="2">
        <v>0</v>
      </c>
      <c r="T2076" t="s">
        <v>1110</v>
      </c>
      <c r="U2076" s="2">
        <v>0</v>
      </c>
      <c r="V2076" s="2">
        <f>5+4+2+20+2</f>
        <v>33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</row>
    <row r="2077" spans="1:28" hidden="1" x14ac:dyDescent="0.25">
      <c r="A2077" t="s">
        <v>20</v>
      </c>
      <c r="B2077" t="s">
        <v>47</v>
      </c>
      <c r="C2077" t="s">
        <v>22</v>
      </c>
      <c r="D2077" s="1">
        <v>45989</v>
      </c>
      <c r="E2077" s="1">
        <v>45989</v>
      </c>
      <c r="F2077" s="2">
        <v>113</v>
      </c>
      <c r="G2077" s="3" t="s">
        <v>23</v>
      </c>
      <c r="H2077">
        <v>18</v>
      </c>
      <c r="I2077" s="2">
        <v>0</v>
      </c>
      <c r="J2077" s="2">
        <v>0</v>
      </c>
      <c r="K2077" s="2">
        <v>0</v>
      </c>
      <c r="L2077" s="2">
        <v>1</v>
      </c>
      <c r="M2077">
        <v>0</v>
      </c>
      <c r="N2077">
        <v>0</v>
      </c>
      <c r="O2077" s="2">
        <v>0</v>
      </c>
      <c r="P2077" s="2">
        <v>0</v>
      </c>
      <c r="Q2077">
        <v>0</v>
      </c>
      <c r="R2077" s="2">
        <v>0</v>
      </c>
      <c r="S2077" s="2">
        <v>0</v>
      </c>
      <c r="T2077" t="s">
        <v>1111</v>
      </c>
      <c r="U2077" s="2">
        <v>0</v>
      </c>
      <c r="V2077" s="2">
        <v>10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</row>
    <row r="2078" spans="1:28" hidden="1" x14ac:dyDescent="0.25">
      <c r="A2078" t="s">
        <v>56</v>
      </c>
      <c r="B2078" t="s">
        <v>47</v>
      </c>
      <c r="C2078" t="s">
        <v>22</v>
      </c>
      <c r="D2078" s="1">
        <v>45989</v>
      </c>
      <c r="E2078" s="1">
        <v>45989</v>
      </c>
      <c r="F2078" s="2">
        <v>113</v>
      </c>
      <c r="G2078" s="3" t="s">
        <v>23</v>
      </c>
      <c r="H2078">
        <v>18</v>
      </c>
      <c r="I2078" s="2">
        <v>0</v>
      </c>
      <c r="J2078" s="2">
        <v>0</v>
      </c>
      <c r="K2078" s="2">
        <v>0</v>
      </c>
      <c r="L2078" s="2">
        <v>1</v>
      </c>
      <c r="M2078">
        <v>0</v>
      </c>
      <c r="N2078">
        <v>0</v>
      </c>
      <c r="O2078" s="2">
        <v>0</v>
      </c>
      <c r="P2078" s="2">
        <v>0</v>
      </c>
      <c r="Q2078">
        <v>0</v>
      </c>
      <c r="R2078" s="2">
        <v>0</v>
      </c>
      <c r="S2078" s="2">
        <v>0</v>
      </c>
      <c r="T2078" t="s">
        <v>1111</v>
      </c>
      <c r="U2078" s="2">
        <v>0</v>
      </c>
      <c r="V2078" s="2">
        <v>10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</row>
    <row r="2079" spans="1:28" hidden="1" x14ac:dyDescent="0.25">
      <c r="A2079" t="s">
        <v>25</v>
      </c>
      <c r="B2079" t="s">
        <v>26</v>
      </c>
      <c r="C2079" t="s">
        <v>27</v>
      </c>
      <c r="D2079" s="1">
        <v>45989</v>
      </c>
      <c r="E2079" s="1">
        <v>45989</v>
      </c>
      <c r="F2079" s="2">
        <v>25</v>
      </c>
      <c r="G2079" s="3" t="s">
        <v>23</v>
      </c>
      <c r="H2079">
        <v>16</v>
      </c>
      <c r="I2079" s="2">
        <v>0</v>
      </c>
      <c r="J2079" s="2">
        <v>0</v>
      </c>
      <c r="K2079" s="2">
        <v>1</v>
      </c>
      <c r="L2079" s="2">
        <v>0</v>
      </c>
      <c r="M2079">
        <v>0</v>
      </c>
      <c r="N2079">
        <v>0</v>
      </c>
      <c r="O2079" s="2">
        <v>0</v>
      </c>
      <c r="P2079" s="2">
        <v>0</v>
      </c>
      <c r="Q2079">
        <v>0</v>
      </c>
      <c r="R2079" s="2">
        <v>0</v>
      </c>
      <c r="S2079" s="2">
        <v>0</v>
      </c>
      <c r="T2079" t="s">
        <v>1112</v>
      </c>
      <c r="U2079" s="2">
        <v>0</v>
      </c>
      <c r="V2079" s="2">
        <f>20+18+2</f>
        <v>40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</row>
    <row r="2080" spans="1:28" hidden="1" x14ac:dyDescent="0.25">
      <c r="A2080" t="s">
        <v>29</v>
      </c>
      <c r="B2080" t="s">
        <v>30</v>
      </c>
      <c r="C2080" t="s">
        <v>31</v>
      </c>
      <c r="D2080" s="1">
        <v>45989</v>
      </c>
      <c r="E2080" s="1">
        <v>45989</v>
      </c>
      <c r="F2080" s="2">
        <v>24</v>
      </c>
      <c r="G2080" s="3" t="s">
        <v>23</v>
      </c>
      <c r="H2080">
        <v>28</v>
      </c>
      <c r="I2080" s="2">
        <v>0</v>
      </c>
      <c r="J2080" s="2">
        <v>0</v>
      </c>
      <c r="K2080" s="2">
        <v>1</v>
      </c>
      <c r="L2080" s="2">
        <v>0</v>
      </c>
      <c r="M2080">
        <v>0</v>
      </c>
      <c r="N2080">
        <v>0</v>
      </c>
      <c r="O2080" s="2">
        <v>0</v>
      </c>
      <c r="P2080" s="2">
        <v>0</v>
      </c>
      <c r="Q2080">
        <v>0</v>
      </c>
      <c r="R2080" s="2">
        <v>0</v>
      </c>
      <c r="S2080" s="2">
        <v>0</v>
      </c>
      <c r="T2080" t="s">
        <v>1113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</row>
    <row r="2081" spans="1:28" hidden="1" x14ac:dyDescent="0.25">
      <c r="A2081" t="s">
        <v>568</v>
      </c>
      <c r="B2081" t="s">
        <v>47</v>
      </c>
      <c r="C2081" t="s">
        <v>670</v>
      </c>
      <c r="D2081" s="1">
        <v>45989</v>
      </c>
      <c r="E2081" s="1">
        <v>45989</v>
      </c>
      <c r="F2081" s="2">
        <v>124</v>
      </c>
      <c r="G2081" s="3" t="s">
        <v>23</v>
      </c>
      <c r="H2081">
        <v>18</v>
      </c>
      <c r="I2081" s="2">
        <v>0</v>
      </c>
      <c r="J2081" s="2">
        <v>0</v>
      </c>
      <c r="K2081" s="2">
        <v>1</v>
      </c>
      <c r="L2081" s="2">
        <v>0</v>
      </c>
      <c r="M2081">
        <v>0</v>
      </c>
      <c r="N2081">
        <v>0</v>
      </c>
      <c r="O2081" s="2">
        <v>0</v>
      </c>
      <c r="P2081" s="2">
        <v>0</v>
      </c>
      <c r="Q2081">
        <v>0</v>
      </c>
      <c r="R2081" s="2">
        <v>0</v>
      </c>
      <c r="S2081" s="2">
        <v>0</v>
      </c>
      <c r="T2081" t="s">
        <v>1114</v>
      </c>
      <c r="U2081" s="2">
        <v>0</v>
      </c>
      <c r="V2081" s="2">
        <f>10+12+0</f>
        <v>22</v>
      </c>
      <c r="W2081" s="2">
        <v>1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</row>
    <row r="2082" spans="1:28" hidden="1" x14ac:dyDescent="0.25">
      <c r="A2082" t="s">
        <v>730</v>
      </c>
      <c r="B2082" t="s">
        <v>47</v>
      </c>
      <c r="C2082" t="s">
        <v>670</v>
      </c>
      <c r="D2082" s="1">
        <v>45989</v>
      </c>
      <c r="E2082" s="1">
        <v>45989</v>
      </c>
      <c r="F2082" s="2">
        <v>124</v>
      </c>
      <c r="G2082" s="3" t="s">
        <v>23</v>
      </c>
      <c r="H2082">
        <v>18</v>
      </c>
      <c r="I2082" s="2">
        <v>0</v>
      </c>
      <c r="J2082" s="2">
        <v>0</v>
      </c>
      <c r="K2082" s="2">
        <v>1</v>
      </c>
      <c r="L2082" s="2">
        <v>0</v>
      </c>
      <c r="M2082">
        <v>0</v>
      </c>
      <c r="N2082">
        <v>0</v>
      </c>
      <c r="O2082" s="2">
        <v>0</v>
      </c>
      <c r="P2082" s="2">
        <v>0</v>
      </c>
      <c r="Q2082">
        <v>0</v>
      </c>
      <c r="R2082" s="2">
        <v>0</v>
      </c>
      <c r="S2082" s="2">
        <v>0</v>
      </c>
      <c r="T2082" t="s">
        <v>1114</v>
      </c>
      <c r="U2082" s="2">
        <v>0</v>
      </c>
      <c r="V2082" s="2">
        <f>10+12+0</f>
        <v>22</v>
      </c>
      <c r="W2082" s="2">
        <v>1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</row>
    <row r="2083" spans="1:28" hidden="1" x14ac:dyDescent="0.25">
      <c r="A2083" t="s">
        <v>33</v>
      </c>
      <c r="B2083" t="s">
        <v>34</v>
      </c>
      <c r="C2083" t="s">
        <v>39</v>
      </c>
      <c r="D2083" s="1">
        <v>45989</v>
      </c>
      <c r="E2083" s="1">
        <v>45989</v>
      </c>
      <c r="F2083" s="2">
        <v>14</v>
      </c>
      <c r="G2083" s="3" t="s">
        <v>988</v>
      </c>
      <c r="H2083">
        <v>0</v>
      </c>
      <c r="I2083" s="2">
        <v>0</v>
      </c>
      <c r="J2083" s="2">
        <v>0</v>
      </c>
      <c r="K2083" s="2">
        <v>0</v>
      </c>
      <c r="L2083" s="2">
        <v>0</v>
      </c>
      <c r="M2083">
        <v>0</v>
      </c>
      <c r="N2083">
        <v>0</v>
      </c>
      <c r="O2083" s="2">
        <v>0</v>
      </c>
      <c r="P2083" s="2">
        <v>0</v>
      </c>
      <c r="Q2083">
        <v>0</v>
      </c>
      <c r="R2083" s="2">
        <v>0</v>
      </c>
      <c r="S2083" s="2">
        <v>0</v>
      </c>
      <c r="T2083" t="s">
        <v>1091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</row>
    <row r="2084" spans="1:28" hidden="1" x14ac:dyDescent="0.25">
      <c r="A2084" t="s">
        <v>47</v>
      </c>
      <c r="B2084" t="s">
        <v>21</v>
      </c>
      <c r="C2084" t="s">
        <v>39</v>
      </c>
      <c r="D2084" s="1">
        <v>45989</v>
      </c>
      <c r="E2084" s="1">
        <v>45989</v>
      </c>
      <c r="F2084" s="2">
        <v>14</v>
      </c>
      <c r="G2084" s="3" t="s">
        <v>1030</v>
      </c>
      <c r="H2084">
        <v>0</v>
      </c>
      <c r="I2084" s="2">
        <v>0</v>
      </c>
      <c r="J2084" s="2">
        <v>0</v>
      </c>
      <c r="K2084" s="2">
        <v>0</v>
      </c>
      <c r="L2084" s="2">
        <v>0</v>
      </c>
      <c r="M2084">
        <v>0</v>
      </c>
      <c r="N2084">
        <v>0</v>
      </c>
      <c r="O2084" s="2">
        <v>0</v>
      </c>
      <c r="P2084" s="2">
        <v>0</v>
      </c>
      <c r="Q2084">
        <v>0</v>
      </c>
      <c r="R2084" s="2">
        <v>0</v>
      </c>
      <c r="S2084" s="2">
        <v>0</v>
      </c>
      <c r="T2084" t="s">
        <v>1091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</row>
    <row r="2085" spans="1:28" hidden="1" x14ac:dyDescent="0.25">
      <c r="A2085" t="s">
        <v>47</v>
      </c>
      <c r="B2085" t="s">
        <v>52</v>
      </c>
      <c r="C2085" t="s">
        <v>212</v>
      </c>
      <c r="D2085" s="1">
        <v>45989</v>
      </c>
      <c r="E2085" s="1">
        <v>45989</v>
      </c>
      <c r="F2085" s="2">
        <v>0</v>
      </c>
      <c r="G2085" s="3" t="s">
        <v>572</v>
      </c>
      <c r="H2085">
        <v>0</v>
      </c>
      <c r="I2085" s="2">
        <v>0</v>
      </c>
      <c r="J2085" s="2">
        <v>0</v>
      </c>
      <c r="K2085" s="2">
        <v>0</v>
      </c>
      <c r="L2085" s="2">
        <v>0</v>
      </c>
      <c r="M2085">
        <v>0</v>
      </c>
      <c r="N2085">
        <v>0</v>
      </c>
      <c r="O2085" s="2">
        <v>0</v>
      </c>
      <c r="P2085" s="2">
        <v>0</v>
      </c>
      <c r="Q2085">
        <v>0</v>
      </c>
      <c r="R2085" s="2">
        <v>0</v>
      </c>
      <c r="S2085" s="2">
        <v>0</v>
      </c>
      <c r="T2085" t="s">
        <v>377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</row>
    <row r="2086" spans="1:28" hidden="1" x14ac:dyDescent="0.25">
      <c r="A2086" t="s">
        <v>20</v>
      </c>
      <c r="B2086" t="s">
        <v>21</v>
      </c>
      <c r="C2086" t="s">
        <v>22</v>
      </c>
      <c r="D2086" s="9">
        <v>45990</v>
      </c>
      <c r="E2086" s="9">
        <v>45990</v>
      </c>
      <c r="F2086" s="2">
        <v>49</v>
      </c>
      <c r="G2086" s="3" t="s">
        <v>23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>
        <v>0</v>
      </c>
      <c r="N2086">
        <v>0</v>
      </c>
      <c r="O2086" s="2">
        <v>1</v>
      </c>
      <c r="P2086" s="2">
        <v>0</v>
      </c>
      <c r="Q2086">
        <v>9</v>
      </c>
      <c r="R2086" s="2">
        <v>1</v>
      </c>
      <c r="S2086" s="2">
        <v>0</v>
      </c>
      <c r="T2086" t="s">
        <v>1115</v>
      </c>
      <c r="U2086" s="2">
        <v>16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1</v>
      </c>
      <c r="AB2086" s="2">
        <v>0</v>
      </c>
    </row>
    <row r="2087" spans="1:28" hidden="1" x14ac:dyDescent="0.25">
      <c r="A2087" t="s">
        <v>63</v>
      </c>
      <c r="B2087" t="s">
        <v>284</v>
      </c>
      <c r="C2087" t="s">
        <v>102</v>
      </c>
      <c r="D2087" s="9">
        <v>45990</v>
      </c>
      <c r="E2087" s="9">
        <v>45990</v>
      </c>
      <c r="F2087" s="2">
        <v>94</v>
      </c>
      <c r="G2087" s="3" t="s">
        <v>23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>
        <v>0</v>
      </c>
      <c r="N2087">
        <v>0</v>
      </c>
      <c r="O2087" s="2">
        <v>1</v>
      </c>
      <c r="P2087" s="2">
        <v>0</v>
      </c>
      <c r="Q2087">
        <v>5</v>
      </c>
      <c r="R2087" s="2">
        <v>1</v>
      </c>
      <c r="S2087" s="2">
        <v>0</v>
      </c>
      <c r="T2087" t="s">
        <v>1116</v>
      </c>
      <c r="U2087" s="2">
        <v>12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</row>
    <row r="2088" spans="1:28" hidden="1" x14ac:dyDescent="0.25">
      <c r="A2088" t="s">
        <v>568</v>
      </c>
      <c r="B2088" t="s">
        <v>47</v>
      </c>
      <c r="C2088" t="s">
        <v>670</v>
      </c>
      <c r="D2088" s="9">
        <v>45990</v>
      </c>
      <c r="E2088" s="9">
        <v>45990</v>
      </c>
      <c r="F2088" s="2">
        <v>105</v>
      </c>
      <c r="G2088" s="3" t="s">
        <v>23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>
        <v>0</v>
      </c>
      <c r="N2088">
        <v>0</v>
      </c>
      <c r="O2088" s="2">
        <v>1</v>
      </c>
      <c r="P2088" s="2">
        <v>0</v>
      </c>
      <c r="Q2088">
        <v>2</v>
      </c>
      <c r="R2088" s="2">
        <v>1</v>
      </c>
      <c r="S2088" s="2">
        <v>0</v>
      </c>
      <c r="T2088" t="s">
        <v>1117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</row>
    <row r="2089" spans="1:28" hidden="1" x14ac:dyDescent="0.25">
      <c r="A2089" t="s">
        <v>730</v>
      </c>
      <c r="B2089" t="s">
        <v>47</v>
      </c>
      <c r="C2089" t="s">
        <v>670</v>
      </c>
      <c r="D2089" s="9">
        <v>45990</v>
      </c>
      <c r="E2089" s="9">
        <v>45990</v>
      </c>
      <c r="F2089" s="2">
        <v>105</v>
      </c>
      <c r="G2089" s="3" t="s">
        <v>23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>
        <v>0</v>
      </c>
      <c r="N2089">
        <v>0</v>
      </c>
      <c r="O2089" s="2">
        <v>1</v>
      </c>
      <c r="P2089" s="2">
        <v>0</v>
      </c>
      <c r="Q2089">
        <v>2</v>
      </c>
      <c r="R2089" s="2">
        <v>1</v>
      </c>
      <c r="S2089" s="2">
        <v>0</v>
      </c>
      <c r="T2089" t="s">
        <v>1117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</row>
    <row r="2090" spans="1:28" hidden="1" x14ac:dyDescent="0.25">
      <c r="A2090" t="s">
        <v>53</v>
      </c>
      <c r="B2090" t="s">
        <v>38</v>
      </c>
      <c r="C2090" t="s">
        <v>670</v>
      </c>
      <c r="D2090" s="9">
        <v>45990</v>
      </c>
      <c r="E2090" s="9">
        <v>45990</v>
      </c>
      <c r="F2090" s="2">
        <v>105</v>
      </c>
      <c r="G2090" s="3" t="s">
        <v>23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>
        <v>0</v>
      </c>
      <c r="N2090">
        <v>0</v>
      </c>
      <c r="O2090" s="2">
        <v>1</v>
      </c>
      <c r="P2090" s="2">
        <v>0</v>
      </c>
      <c r="Q2090">
        <v>2</v>
      </c>
      <c r="R2090" s="2">
        <v>1</v>
      </c>
      <c r="S2090" s="2">
        <v>0</v>
      </c>
      <c r="T2090" t="s">
        <v>1117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</row>
    <row r="2091" spans="1:28" hidden="1" x14ac:dyDescent="0.25">
      <c r="A2091" t="s">
        <v>29</v>
      </c>
      <c r="B2091" t="s">
        <v>30</v>
      </c>
      <c r="C2091" t="s">
        <v>670</v>
      </c>
      <c r="D2091" s="9">
        <v>45990</v>
      </c>
      <c r="E2091" s="9">
        <v>45990</v>
      </c>
      <c r="F2091" s="2">
        <v>105</v>
      </c>
      <c r="G2091" s="3" t="s">
        <v>23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>
        <v>0</v>
      </c>
      <c r="N2091">
        <v>0</v>
      </c>
      <c r="O2091" s="2">
        <v>1</v>
      </c>
      <c r="P2091" s="2">
        <v>0</v>
      </c>
      <c r="Q2091">
        <v>2</v>
      </c>
      <c r="R2091" s="2">
        <v>1</v>
      </c>
      <c r="S2091" s="2">
        <v>0</v>
      </c>
      <c r="T2091" t="s">
        <v>1117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</row>
    <row r="2092" spans="1:28" hidden="1" x14ac:dyDescent="0.25">
      <c r="A2092" t="s">
        <v>56</v>
      </c>
      <c r="B2092" t="s">
        <v>47</v>
      </c>
      <c r="C2092" t="s">
        <v>212</v>
      </c>
      <c r="D2092" s="9">
        <v>45990</v>
      </c>
      <c r="E2092" s="9">
        <v>45990</v>
      </c>
      <c r="F2092" s="2">
        <v>0</v>
      </c>
      <c r="G2092" s="3" t="s">
        <v>378</v>
      </c>
      <c r="H2092">
        <v>0</v>
      </c>
      <c r="I2092" s="2">
        <v>0</v>
      </c>
      <c r="J2092" s="2">
        <v>0</v>
      </c>
      <c r="K2092" s="2">
        <v>0</v>
      </c>
      <c r="L2092" s="2">
        <v>0</v>
      </c>
      <c r="M2092">
        <v>0</v>
      </c>
      <c r="N2092">
        <v>0</v>
      </c>
      <c r="O2092" s="2">
        <v>0</v>
      </c>
      <c r="P2092" s="2">
        <v>0</v>
      </c>
      <c r="Q2092">
        <v>0</v>
      </c>
      <c r="R2092" s="2">
        <v>0</v>
      </c>
      <c r="S2092" s="2">
        <v>0</v>
      </c>
      <c r="T2092" t="s">
        <v>377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</row>
    <row r="2093" spans="1:28" hidden="1" x14ac:dyDescent="0.25">
      <c r="A2093" t="s">
        <v>25</v>
      </c>
      <c r="B2093" t="s">
        <v>26</v>
      </c>
      <c r="C2093" t="s">
        <v>212</v>
      </c>
      <c r="D2093" s="9">
        <v>45990</v>
      </c>
      <c r="E2093" s="9">
        <v>45990</v>
      </c>
      <c r="F2093" s="2">
        <v>0</v>
      </c>
      <c r="G2093" s="3" t="s">
        <v>378</v>
      </c>
      <c r="H2093">
        <v>0</v>
      </c>
      <c r="I2093" s="2">
        <v>0</v>
      </c>
      <c r="J2093" s="2">
        <v>0</v>
      </c>
      <c r="K2093" s="2">
        <v>0</v>
      </c>
      <c r="L2093" s="2">
        <v>0</v>
      </c>
      <c r="M2093">
        <v>0</v>
      </c>
      <c r="N2093">
        <v>0</v>
      </c>
      <c r="O2093" s="2">
        <v>0</v>
      </c>
      <c r="P2093" s="2">
        <v>0</v>
      </c>
      <c r="Q2093">
        <v>0</v>
      </c>
      <c r="R2093" s="2">
        <v>0</v>
      </c>
      <c r="S2093" s="2">
        <v>0</v>
      </c>
      <c r="T2093" t="s">
        <v>377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</row>
    <row r="2094" spans="1:28" hidden="1" x14ac:dyDescent="0.25">
      <c r="A2094" t="s">
        <v>37</v>
      </c>
      <c r="B2094" t="s">
        <v>57</v>
      </c>
      <c r="C2094" t="s">
        <v>212</v>
      </c>
      <c r="D2094" s="9">
        <v>45990</v>
      </c>
      <c r="E2094" s="9">
        <v>45990</v>
      </c>
      <c r="F2094" s="2">
        <v>0</v>
      </c>
      <c r="G2094" s="3" t="s">
        <v>378</v>
      </c>
      <c r="H2094">
        <v>0</v>
      </c>
      <c r="I2094" s="2">
        <v>0</v>
      </c>
      <c r="J2094" s="2">
        <v>0</v>
      </c>
      <c r="K2094" s="2">
        <v>0</v>
      </c>
      <c r="L2094" s="2">
        <v>0</v>
      </c>
      <c r="M2094">
        <v>0</v>
      </c>
      <c r="N2094">
        <v>0</v>
      </c>
      <c r="O2094" s="2">
        <v>0</v>
      </c>
      <c r="P2094" s="2">
        <v>0</v>
      </c>
      <c r="Q2094">
        <v>0</v>
      </c>
      <c r="R2094" s="2">
        <v>0</v>
      </c>
      <c r="S2094" s="2">
        <v>0</v>
      </c>
      <c r="T2094" t="s">
        <v>377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</row>
    <row r="2095" spans="1:28" hidden="1" x14ac:dyDescent="0.25">
      <c r="A2095" t="s">
        <v>33</v>
      </c>
      <c r="B2095" t="s">
        <v>34</v>
      </c>
      <c r="C2095" t="s">
        <v>212</v>
      </c>
      <c r="D2095" s="9">
        <v>45990</v>
      </c>
      <c r="E2095" s="9">
        <v>45990</v>
      </c>
      <c r="F2095" s="2">
        <v>0</v>
      </c>
      <c r="G2095" s="3" t="s">
        <v>378</v>
      </c>
      <c r="H2095">
        <v>0</v>
      </c>
      <c r="I2095" s="2">
        <v>0</v>
      </c>
      <c r="J2095" s="2">
        <v>0</v>
      </c>
      <c r="K2095" s="2">
        <v>0</v>
      </c>
      <c r="L2095" s="2">
        <v>0</v>
      </c>
      <c r="M2095">
        <v>0</v>
      </c>
      <c r="N2095">
        <v>0</v>
      </c>
      <c r="O2095" s="2">
        <v>0</v>
      </c>
      <c r="P2095" s="2">
        <v>0</v>
      </c>
      <c r="Q2095">
        <v>0</v>
      </c>
      <c r="R2095" s="2">
        <v>0</v>
      </c>
      <c r="S2095" s="2">
        <v>0</v>
      </c>
      <c r="T2095" t="s">
        <v>377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</row>
    <row r="2096" spans="1:28" hidden="1" x14ac:dyDescent="0.25">
      <c r="A2096" t="s">
        <v>47</v>
      </c>
      <c r="B2096" t="s">
        <v>52</v>
      </c>
      <c r="C2096" t="s">
        <v>212</v>
      </c>
      <c r="D2096" s="9">
        <v>45990</v>
      </c>
      <c r="E2096" s="9">
        <v>45990</v>
      </c>
      <c r="F2096" s="2">
        <v>0</v>
      </c>
      <c r="G2096" s="3" t="s">
        <v>378</v>
      </c>
      <c r="H2096">
        <v>0</v>
      </c>
      <c r="I2096" s="2">
        <v>0</v>
      </c>
      <c r="J2096" s="2">
        <v>0</v>
      </c>
      <c r="K2096" s="2">
        <v>0</v>
      </c>
      <c r="L2096" s="2">
        <v>0</v>
      </c>
      <c r="M2096">
        <v>0</v>
      </c>
      <c r="N2096">
        <v>0</v>
      </c>
      <c r="O2096" s="2">
        <v>0</v>
      </c>
      <c r="P2096" s="2">
        <v>0</v>
      </c>
      <c r="Q2096">
        <v>0</v>
      </c>
      <c r="R2096" s="2">
        <v>0</v>
      </c>
      <c r="S2096" s="2">
        <v>0</v>
      </c>
      <c r="T2096" t="s">
        <v>377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</row>
    <row r="2097" spans="1:28" hidden="1" x14ac:dyDescent="0.25">
      <c r="A2097" t="s">
        <v>53</v>
      </c>
      <c r="B2097" t="s">
        <v>38</v>
      </c>
      <c r="C2097" t="s">
        <v>54</v>
      </c>
      <c r="D2097" s="9">
        <v>45991</v>
      </c>
      <c r="E2097" s="9">
        <v>45991</v>
      </c>
      <c r="F2097" s="2">
        <v>71</v>
      </c>
      <c r="G2097" s="3" t="s">
        <v>23</v>
      </c>
      <c r="H2097">
        <v>0</v>
      </c>
      <c r="I2097" s="2">
        <v>0</v>
      </c>
      <c r="J2097" s="2">
        <v>0</v>
      </c>
      <c r="K2097" s="2">
        <v>0</v>
      </c>
      <c r="L2097" s="2">
        <v>0</v>
      </c>
      <c r="M2097">
        <v>0</v>
      </c>
      <c r="N2097">
        <v>0</v>
      </c>
      <c r="O2097" s="2">
        <v>0</v>
      </c>
      <c r="P2097" s="2">
        <v>1</v>
      </c>
      <c r="Q2097">
        <v>2</v>
      </c>
      <c r="R2097" s="2">
        <v>0</v>
      </c>
      <c r="S2097" s="2">
        <v>1</v>
      </c>
      <c r="T2097" t="s">
        <v>1118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</row>
    <row r="2098" spans="1:28" hidden="1" x14ac:dyDescent="0.25">
      <c r="A2098" t="s">
        <v>20</v>
      </c>
      <c r="B2098" t="s">
        <v>21</v>
      </c>
      <c r="C2098" t="s">
        <v>22</v>
      </c>
      <c r="D2098" s="9">
        <v>45991</v>
      </c>
      <c r="E2098" s="9">
        <v>45991</v>
      </c>
      <c r="F2098" s="2">
        <v>44</v>
      </c>
      <c r="G2098" s="3" t="s">
        <v>23</v>
      </c>
      <c r="H2098">
        <v>0</v>
      </c>
      <c r="I2098" s="2">
        <v>0</v>
      </c>
      <c r="J2098" s="2">
        <v>0</v>
      </c>
      <c r="K2098" s="2">
        <v>0</v>
      </c>
      <c r="L2098" s="2">
        <v>0</v>
      </c>
      <c r="M2098">
        <v>0</v>
      </c>
      <c r="N2098">
        <v>0</v>
      </c>
      <c r="O2098" s="2">
        <v>0</v>
      </c>
      <c r="P2098" s="2">
        <v>1</v>
      </c>
      <c r="Q2098">
        <v>9</v>
      </c>
      <c r="R2098" s="2">
        <v>0</v>
      </c>
      <c r="S2098" s="2">
        <v>1</v>
      </c>
      <c r="T2098" t="s">
        <v>1119</v>
      </c>
      <c r="U2098" s="2">
        <v>16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1</v>
      </c>
    </row>
    <row r="2099" spans="1:28" hidden="1" x14ac:dyDescent="0.25">
      <c r="A2099" t="s">
        <v>63</v>
      </c>
      <c r="B2099" t="s">
        <v>47</v>
      </c>
      <c r="C2099" t="s">
        <v>102</v>
      </c>
      <c r="D2099" s="9">
        <v>45991</v>
      </c>
      <c r="E2099" s="9">
        <v>45991</v>
      </c>
      <c r="F2099" s="2">
        <v>20</v>
      </c>
      <c r="G2099" s="3" t="s">
        <v>23</v>
      </c>
      <c r="H2099">
        <v>0</v>
      </c>
      <c r="I2099" s="2">
        <v>0</v>
      </c>
      <c r="J2099" s="2">
        <v>0</v>
      </c>
      <c r="K2099" s="2">
        <v>0</v>
      </c>
      <c r="L2099" s="2">
        <v>0</v>
      </c>
      <c r="M2099">
        <v>0</v>
      </c>
      <c r="N2099">
        <v>0</v>
      </c>
      <c r="O2099" s="2">
        <v>0</v>
      </c>
      <c r="P2099" s="2">
        <v>1</v>
      </c>
      <c r="Q2099">
        <v>5</v>
      </c>
      <c r="R2099" s="2">
        <v>0</v>
      </c>
      <c r="S2099" s="2">
        <v>1</v>
      </c>
      <c r="T2099" t="s">
        <v>1120</v>
      </c>
      <c r="U2099" s="2">
        <v>16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</row>
    <row r="2100" spans="1:28" hidden="1" x14ac:dyDescent="0.25">
      <c r="A2100" t="s">
        <v>47</v>
      </c>
      <c r="B2100" t="s">
        <v>284</v>
      </c>
      <c r="C2100" t="s">
        <v>102</v>
      </c>
      <c r="D2100" s="9">
        <v>45991</v>
      </c>
      <c r="E2100" s="9">
        <v>45991</v>
      </c>
      <c r="F2100" s="2">
        <v>20</v>
      </c>
      <c r="G2100" s="3" t="s">
        <v>23</v>
      </c>
      <c r="H2100">
        <v>0</v>
      </c>
      <c r="I2100" s="2">
        <v>0</v>
      </c>
      <c r="J2100" s="2">
        <v>0</v>
      </c>
      <c r="K2100" s="2">
        <v>0</v>
      </c>
      <c r="L2100" s="2">
        <v>0</v>
      </c>
      <c r="M2100">
        <v>0</v>
      </c>
      <c r="N2100">
        <v>0</v>
      </c>
      <c r="O2100" s="2">
        <v>0</v>
      </c>
      <c r="P2100" s="2">
        <v>1</v>
      </c>
      <c r="Q2100">
        <v>0</v>
      </c>
      <c r="R2100" s="2">
        <v>0</v>
      </c>
      <c r="S2100" s="2">
        <v>1</v>
      </c>
      <c r="T2100" t="s">
        <v>1120</v>
      </c>
      <c r="U2100" s="2">
        <v>16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</row>
    <row r="2101" spans="1:28" hidden="1" x14ac:dyDescent="0.25">
      <c r="A2101" t="s">
        <v>568</v>
      </c>
      <c r="B2101" t="s">
        <v>47</v>
      </c>
      <c r="C2101" t="s">
        <v>670</v>
      </c>
      <c r="D2101" s="9">
        <v>45991</v>
      </c>
      <c r="E2101" s="9">
        <v>45991</v>
      </c>
      <c r="F2101" s="2">
        <v>137</v>
      </c>
      <c r="G2101" s="3" t="s">
        <v>23</v>
      </c>
      <c r="H2101">
        <v>0</v>
      </c>
      <c r="I2101" s="2">
        <v>0</v>
      </c>
      <c r="J2101" s="2">
        <v>0</v>
      </c>
      <c r="K2101" s="2">
        <v>0</v>
      </c>
      <c r="L2101" s="2">
        <v>0</v>
      </c>
      <c r="M2101">
        <v>0</v>
      </c>
      <c r="N2101">
        <v>0</v>
      </c>
      <c r="O2101" s="2">
        <v>0</v>
      </c>
      <c r="P2101" s="2">
        <v>1</v>
      </c>
      <c r="Q2101">
        <v>5</v>
      </c>
      <c r="R2101" s="2">
        <v>0</v>
      </c>
      <c r="S2101" s="2">
        <v>1</v>
      </c>
      <c r="T2101" t="s">
        <v>1121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</row>
    <row r="2102" spans="1:28" hidden="1" x14ac:dyDescent="0.25">
      <c r="A2102" t="s">
        <v>730</v>
      </c>
      <c r="B2102" t="s">
        <v>47</v>
      </c>
      <c r="C2102" t="s">
        <v>670</v>
      </c>
      <c r="D2102" s="9">
        <v>45991</v>
      </c>
      <c r="E2102" s="9">
        <v>45991</v>
      </c>
      <c r="F2102" s="2">
        <v>137</v>
      </c>
      <c r="G2102" s="3" t="s">
        <v>23</v>
      </c>
      <c r="H2102">
        <v>0</v>
      </c>
      <c r="I2102" s="2">
        <v>0</v>
      </c>
      <c r="J2102" s="2">
        <v>0</v>
      </c>
      <c r="K2102" s="2">
        <v>0</v>
      </c>
      <c r="L2102" s="2">
        <v>0</v>
      </c>
      <c r="M2102">
        <v>0</v>
      </c>
      <c r="N2102">
        <v>0</v>
      </c>
      <c r="O2102" s="2">
        <v>0</v>
      </c>
      <c r="P2102" s="2">
        <v>1</v>
      </c>
      <c r="Q2102">
        <v>5</v>
      </c>
      <c r="R2102" s="2">
        <v>0</v>
      </c>
      <c r="S2102" s="2">
        <v>1</v>
      </c>
      <c r="T2102" t="s">
        <v>1121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</row>
    <row r="2103" spans="1:28" hidden="1" x14ac:dyDescent="0.25">
      <c r="A2103" t="s">
        <v>29</v>
      </c>
      <c r="B2103" t="s">
        <v>30</v>
      </c>
      <c r="C2103" t="s">
        <v>670</v>
      </c>
      <c r="D2103" s="9">
        <v>45991</v>
      </c>
      <c r="E2103" s="9">
        <v>45991</v>
      </c>
      <c r="F2103" s="2">
        <v>105</v>
      </c>
      <c r="G2103" s="3" t="s">
        <v>23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>
        <v>0</v>
      </c>
      <c r="N2103">
        <v>0</v>
      </c>
      <c r="O2103" s="2">
        <v>1</v>
      </c>
      <c r="P2103" s="2">
        <v>0</v>
      </c>
      <c r="Q2103">
        <v>4</v>
      </c>
      <c r="R2103" s="2">
        <v>0</v>
      </c>
      <c r="S2103" s="2">
        <v>1</v>
      </c>
      <c r="T2103" t="s">
        <v>1117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</row>
    <row r="2104" spans="1:28" hidden="1" x14ac:dyDescent="0.25">
      <c r="A2104" t="s">
        <v>56</v>
      </c>
      <c r="B2104" t="s">
        <v>47</v>
      </c>
      <c r="C2104" t="s">
        <v>212</v>
      </c>
      <c r="D2104" s="9">
        <v>45991</v>
      </c>
      <c r="E2104" s="9">
        <v>45991</v>
      </c>
      <c r="F2104" s="2">
        <v>0</v>
      </c>
      <c r="G2104" s="3" t="s">
        <v>378</v>
      </c>
      <c r="H2104">
        <v>0</v>
      </c>
      <c r="I2104" s="2">
        <v>0</v>
      </c>
      <c r="J2104" s="2">
        <v>0</v>
      </c>
      <c r="K2104" s="2">
        <v>0</v>
      </c>
      <c r="L2104" s="2">
        <v>0</v>
      </c>
      <c r="M2104">
        <v>0</v>
      </c>
      <c r="N2104">
        <v>0</v>
      </c>
      <c r="O2104" s="2">
        <v>0</v>
      </c>
      <c r="P2104" s="2">
        <v>0</v>
      </c>
      <c r="Q2104">
        <v>0</v>
      </c>
      <c r="R2104" s="2">
        <v>0</v>
      </c>
      <c r="S2104" s="2">
        <v>0</v>
      </c>
      <c r="T2104" t="s">
        <v>377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</row>
    <row r="2105" spans="1:28" hidden="1" x14ac:dyDescent="0.25">
      <c r="A2105" t="s">
        <v>25</v>
      </c>
      <c r="B2105" t="s">
        <v>26</v>
      </c>
      <c r="C2105" t="s">
        <v>212</v>
      </c>
      <c r="D2105" s="9">
        <v>45991</v>
      </c>
      <c r="E2105" s="9">
        <v>45991</v>
      </c>
      <c r="F2105" s="2">
        <v>0</v>
      </c>
      <c r="G2105" s="3" t="s">
        <v>378</v>
      </c>
      <c r="H2105">
        <v>0</v>
      </c>
      <c r="I2105" s="2">
        <v>0</v>
      </c>
      <c r="J2105" s="2">
        <v>0</v>
      </c>
      <c r="K2105" s="2">
        <v>0</v>
      </c>
      <c r="L2105" s="2">
        <v>0</v>
      </c>
      <c r="M2105">
        <v>0</v>
      </c>
      <c r="N2105">
        <v>0</v>
      </c>
      <c r="O2105" s="2">
        <v>0</v>
      </c>
      <c r="P2105" s="2">
        <v>0</v>
      </c>
      <c r="Q2105">
        <v>0</v>
      </c>
      <c r="R2105" s="2">
        <v>0</v>
      </c>
      <c r="S2105" s="2">
        <v>0</v>
      </c>
      <c r="T2105" t="s">
        <v>377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</row>
    <row r="2106" spans="1:28" hidden="1" x14ac:dyDescent="0.25">
      <c r="A2106" t="s">
        <v>37</v>
      </c>
      <c r="B2106" t="s">
        <v>57</v>
      </c>
      <c r="C2106" t="s">
        <v>212</v>
      </c>
      <c r="D2106" s="9">
        <v>45991</v>
      </c>
      <c r="E2106" s="9">
        <v>45991</v>
      </c>
      <c r="F2106" s="2">
        <v>0</v>
      </c>
      <c r="G2106" s="3" t="s">
        <v>378</v>
      </c>
      <c r="H2106">
        <v>0</v>
      </c>
      <c r="I2106" s="2">
        <v>0</v>
      </c>
      <c r="J2106" s="2">
        <v>0</v>
      </c>
      <c r="K2106" s="2">
        <v>0</v>
      </c>
      <c r="L2106" s="2">
        <v>0</v>
      </c>
      <c r="M2106">
        <v>0</v>
      </c>
      <c r="N2106">
        <v>0</v>
      </c>
      <c r="O2106" s="2">
        <v>0</v>
      </c>
      <c r="P2106" s="2">
        <v>0</v>
      </c>
      <c r="Q2106">
        <v>0</v>
      </c>
      <c r="R2106" s="2">
        <v>0</v>
      </c>
      <c r="S2106" s="2">
        <v>0</v>
      </c>
      <c r="T2106" t="s">
        <v>377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</row>
    <row r="2107" spans="1:28" hidden="1" x14ac:dyDescent="0.25">
      <c r="A2107" t="s">
        <v>33</v>
      </c>
      <c r="B2107" t="s">
        <v>34</v>
      </c>
      <c r="C2107" t="s">
        <v>212</v>
      </c>
      <c r="D2107" s="9">
        <v>45991</v>
      </c>
      <c r="E2107" s="9">
        <v>45991</v>
      </c>
      <c r="F2107" s="2">
        <v>0</v>
      </c>
      <c r="G2107" s="3" t="s">
        <v>378</v>
      </c>
      <c r="H2107">
        <v>0</v>
      </c>
      <c r="I2107" s="2">
        <v>0</v>
      </c>
      <c r="J2107" s="2">
        <v>0</v>
      </c>
      <c r="K2107" s="2">
        <v>0</v>
      </c>
      <c r="L2107" s="2">
        <v>0</v>
      </c>
      <c r="M2107">
        <v>0</v>
      </c>
      <c r="N2107">
        <v>0</v>
      </c>
      <c r="O2107" s="2">
        <v>0</v>
      </c>
      <c r="P2107" s="2">
        <v>0</v>
      </c>
      <c r="Q2107">
        <v>0</v>
      </c>
      <c r="R2107" s="2">
        <v>0</v>
      </c>
      <c r="S2107" s="2">
        <v>0</v>
      </c>
      <c r="T2107" t="s">
        <v>377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</row>
    <row r="2108" spans="1:28" hidden="1" x14ac:dyDescent="0.25">
      <c r="A2108" t="s">
        <v>47</v>
      </c>
      <c r="B2108" t="s">
        <v>52</v>
      </c>
      <c r="C2108" t="s">
        <v>212</v>
      </c>
      <c r="D2108" s="9">
        <v>45991</v>
      </c>
      <c r="E2108" s="9">
        <v>45991</v>
      </c>
      <c r="F2108" s="2">
        <v>0</v>
      </c>
      <c r="G2108" s="3" t="s">
        <v>378</v>
      </c>
      <c r="H2108">
        <v>0</v>
      </c>
      <c r="I2108" s="2">
        <v>0</v>
      </c>
      <c r="J2108" s="2">
        <v>0</v>
      </c>
      <c r="K2108" s="2">
        <v>0</v>
      </c>
      <c r="L2108" s="2">
        <v>0</v>
      </c>
      <c r="M2108">
        <v>0</v>
      </c>
      <c r="N2108">
        <v>0</v>
      </c>
      <c r="O2108" s="2">
        <v>0</v>
      </c>
      <c r="P2108" s="2">
        <v>0</v>
      </c>
      <c r="Q2108">
        <v>0</v>
      </c>
      <c r="R2108" s="2">
        <v>0</v>
      </c>
      <c r="S2108" s="2">
        <v>0</v>
      </c>
      <c r="T2108" t="s">
        <v>377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</row>
    <row r="2109" spans="1:28" hidden="1" x14ac:dyDescent="0.25">
      <c r="A2109" t="s">
        <v>56</v>
      </c>
      <c r="B2109" t="s">
        <v>47</v>
      </c>
      <c r="C2109" t="s">
        <v>64</v>
      </c>
      <c r="D2109" s="1">
        <v>45992</v>
      </c>
      <c r="E2109" s="1">
        <v>45992</v>
      </c>
      <c r="F2109" s="2">
        <v>44</v>
      </c>
      <c r="G2109" s="3" t="s">
        <v>23</v>
      </c>
      <c r="H2109">
        <v>13</v>
      </c>
      <c r="I2109" s="2">
        <v>0</v>
      </c>
      <c r="J2109" s="2">
        <v>0</v>
      </c>
      <c r="K2109" s="2">
        <v>0</v>
      </c>
      <c r="L2109" s="2">
        <v>0</v>
      </c>
      <c r="M2109">
        <v>0</v>
      </c>
      <c r="N2109">
        <v>0</v>
      </c>
      <c r="O2109" s="2">
        <v>0</v>
      </c>
      <c r="P2109" s="2">
        <v>0</v>
      </c>
      <c r="Q2109">
        <v>0</v>
      </c>
      <c r="R2109" s="2">
        <v>0</v>
      </c>
      <c r="S2109" s="2">
        <v>0</v>
      </c>
      <c r="T2109" t="s">
        <v>1122</v>
      </c>
      <c r="U2109" s="2">
        <v>0</v>
      </c>
      <c r="V2109" s="2">
        <v>0</v>
      </c>
      <c r="W2109" s="2">
        <v>1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</row>
    <row r="2110" spans="1:28" hidden="1" x14ac:dyDescent="0.25">
      <c r="A2110" t="s">
        <v>730</v>
      </c>
      <c r="B2110" t="s">
        <v>47</v>
      </c>
      <c r="C2110" t="s">
        <v>64</v>
      </c>
      <c r="D2110" s="1">
        <v>45992</v>
      </c>
      <c r="E2110" s="1">
        <v>45992</v>
      </c>
      <c r="F2110" s="2">
        <v>44</v>
      </c>
      <c r="G2110" s="3" t="s">
        <v>23</v>
      </c>
      <c r="H2110">
        <v>13</v>
      </c>
      <c r="I2110" s="2">
        <v>0</v>
      </c>
      <c r="J2110" s="2">
        <v>0</v>
      </c>
      <c r="K2110" s="2">
        <v>0</v>
      </c>
      <c r="L2110" s="2">
        <v>0</v>
      </c>
      <c r="M2110">
        <v>0</v>
      </c>
      <c r="N2110">
        <v>0</v>
      </c>
      <c r="O2110" s="2">
        <v>0</v>
      </c>
      <c r="P2110" s="2">
        <v>0</v>
      </c>
      <c r="Q2110">
        <v>0</v>
      </c>
      <c r="R2110" s="2">
        <v>0</v>
      </c>
      <c r="S2110" s="2">
        <v>0</v>
      </c>
      <c r="T2110" t="s">
        <v>1122</v>
      </c>
      <c r="U2110" s="2">
        <v>0</v>
      </c>
      <c r="V2110" s="2">
        <v>0</v>
      </c>
      <c r="W2110" s="2">
        <v>1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</row>
    <row r="2111" spans="1:28" hidden="1" x14ac:dyDescent="0.25">
      <c r="A2111" t="s">
        <v>25</v>
      </c>
      <c r="B2111" t="s">
        <v>26</v>
      </c>
      <c r="C2111" t="s">
        <v>27</v>
      </c>
      <c r="D2111" s="1">
        <v>45992</v>
      </c>
      <c r="E2111" s="1">
        <v>45992</v>
      </c>
      <c r="F2111" s="2">
        <v>20</v>
      </c>
      <c r="G2111" s="3" t="s">
        <v>23</v>
      </c>
      <c r="H2111">
        <v>14</v>
      </c>
      <c r="I2111" s="2">
        <v>0</v>
      </c>
      <c r="J2111" s="2">
        <v>0</v>
      </c>
      <c r="K2111" s="2">
        <v>0</v>
      </c>
      <c r="L2111" s="2">
        <v>0</v>
      </c>
      <c r="M2111">
        <v>0</v>
      </c>
      <c r="N2111">
        <v>1</v>
      </c>
      <c r="O2111" s="2">
        <v>0</v>
      </c>
      <c r="P2111" s="2">
        <v>0</v>
      </c>
      <c r="Q2111">
        <v>0</v>
      </c>
      <c r="R2111" s="2">
        <v>0</v>
      </c>
      <c r="S2111" s="2">
        <v>0</v>
      </c>
      <c r="T2111" t="s">
        <v>1123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</row>
    <row r="2112" spans="1:28" hidden="1" x14ac:dyDescent="0.25">
      <c r="A2112" t="s">
        <v>568</v>
      </c>
      <c r="B2112" t="s">
        <v>47</v>
      </c>
      <c r="C2112" t="s">
        <v>670</v>
      </c>
      <c r="D2112" s="1">
        <v>45992</v>
      </c>
      <c r="E2112" s="1">
        <v>45992</v>
      </c>
      <c r="F2112" s="2">
        <v>48</v>
      </c>
      <c r="G2112" s="3" t="s">
        <v>23</v>
      </c>
      <c r="H2112">
        <v>15</v>
      </c>
      <c r="I2112" s="2">
        <v>0</v>
      </c>
      <c r="J2112" s="2">
        <v>0</v>
      </c>
      <c r="K2112" s="2">
        <v>0</v>
      </c>
      <c r="L2112" s="2">
        <v>0</v>
      </c>
      <c r="M2112">
        <v>1</v>
      </c>
      <c r="N2112">
        <v>0</v>
      </c>
      <c r="O2112" s="2">
        <v>0</v>
      </c>
      <c r="P2112" s="2">
        <v>0</v>
      </c>
      <c r="Q2112">
        <v>0</v>
      </c>
      <c r="R2112" s="2">
        <v>0</v>
      </c>
      <c r="S2112" s="2">
        <v>0</v>
      </c>
      <c r="T2112" t="s">
        <v>1124</v>
      </c>
      <c r="U2112" s="2">
        <v>0</v>
      </c>
      <c r="V2112" s="2">
        <f>4*2</f>
        <v>8</v>
      </c>
      <c r="W2112" s="2">
        <v>2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</row>
    <row r="2113" spans="1:28" hidden="1" x14ac:dyDescent="0.25">
      <c r="A2113" t="s">
        <v>29</v>
      </c>
      <c r="B2113" t="s">
        <v>47</v>
      </c>
      <c r="C2113" t="s">
        <v>670</v>
      </c>
      <c r="D2113" s="1">
        <v>45992</v>
      </c>
      <c r="E2113" s="1">
        <v>45992</v>
      </c>
      <c r="F2113" s="2">
        <v>48</v>
      </c>
      <c r="G2113" s="3" t="s">
        <v>23</v>
      </c>
      <c r="H2113">
        <v>15</v>
      </c>
      <c r="I2113" s="2">
        <v>0</v>
      </c>
      <c r="J2113" s="2">
        <v>0</v>
      </c>
      <c r="K2113" s="2">
        <v>0</v>
      </c>
      <c r="L2113" s="2">
        <v>0</v>
      </c>
      <c r="M2113">
        <v>1</v>
      </c>
      <c r="N2113">
        <v>0</v>
      </c>
      <c r="O2113" s="2">
        <v>0</v>
      </c>
      <c r="P2113" s="2">
        <v>0</v>
      </c>
      <c r="Q2113">
        <v>0</v>
      </c>
      <c r="R2113" s="2">
        <v>0</v>
      </c>
      <c r="S2113" s="2">
        <v>0</v>
      </c>
      <c r="T2113" t="s">
        <v>1124</v>
      </c>
      <c r="U2113" s="2">
        <v>0</v>
      </c>
      <c r="V2113" s="2">
        <f>4*2</f>
        <v>8</v>
      </c>
      <c r="W2113" s="2">
        <v>2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</row>
    <row r="2114" spans="1:28" hidden="1" x14ac:dyDescent="0.25">
      <c r="A2114" t="s">
        <v>33</v>
      </c>
      <c r="B2114" t="s">
        <v>34</v>
      </c>
      <c r="C2114" t="s">
        <v>35</v>
      </c>
      <c r="D2114" s="1">
        <v>45992</v>
      </c>
      <c r="E2114" s="1">
        <v>45992</v>
      </c>
      <c r="F2114" s="2">
        <v>21</v>
      </c>
      <c r="G2114" s="3" t="s">
        <v>23</v>
      </c>
      <c r="H2114">
        <v>1</v>
      </c>
      <c r="I2114" s="2">
        <v>0</v>
      </c>
      <c r="J2114" s="2">
        <v>0</v>
      </c>
      <c r="K2114" s="2">
        <v>0</v>
      </c>
      <c r="L2114" s="2">
        <v>0</v>
      </c>
      <c r="M2114">
        <v>0</v>
      </c>
      <c r="N2114">
        <v>0</v>
      </c>
      <c r="O2114" s="2">
        <v>0</v>
      </c>
      <c r="P2114" s="2">
        <v>0</v>
      </c>
      <c r="Q2114">
        <v>0</v>
      </c>
      <c r="R2114" s="2">
        <v>0</v>
      </c>
      <c r="S2114" s="2">
        <v>0</v>
      </c>
      <c r="T2114" t="s">
        <v>1125</v>
      </c>
      <c r="U2114" s="2">
        <v>0</v>
      </c>
      <c r="V2114" s="2">
        <f>14+22</f>
        <v>36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</row>
    <row r="2115" spans="1:28" hidden="1" x14ac:dyDescent="0.25">
      <c r="A2115" t="s">
        <v>53</v>
      </c>
      <c r="B2115" t="s">
        <v>38</v>
      </c>
      <c r="C2115" t="s">
        <v>35</v>
      </c>
      <c r="D2115" s="1">
        <v>45992</v>
      </c>
      <c r="E2115" s="1">
        <v>45992</v>
      </c>
      <c r="F2115" s="2">
        <v>21</v>
      </c>
      <c r="G2115" s="3" t="s">
        <v>23</v>
      </c>
      <c r="H2115">
        <f>2+2+3+1+2</f>
        <v>10</v>
      </c>
      <c r="I2115" s="2">
        <v>0</v>
      </c>
      <c r="J2115" s="2">
        <v>0</v>
      </c>
      <c r="K2115" s="2">
        <v>0</v>
      </c>
      <c r="L2115" s="2">
        <v>0</v>
      </c>
      <c r="M2115">
        <v>0</v>
      </c>
      <c r="N2115">
        <v>0</v>
      </c>
      <c r="O2115" s="2">
        <v>0</v>
      </c>
      <c r="P2115" s="2">
        <v>0</v>
      </c>
      <c r="Q2115">
        <v>0</v>
      </c>
      <c r="R2115" s="2">
        <v>0</v>
      </c>
      <c r="S2115" s="2">
        <v>0</v>
      </c>
      <c r="T2115" t="s">
        <v>1125</v>
      </c>
      <c r="U2115" s="2">
        <v>0</v>
      </c>
      <c r="V2115" s="2">
        <v>8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</row>
    <row r="2116" spans="1:28" hidden="1" x14ac:dyDescent="0.25">
      <c r="A2116" t="s">
        <v>20</v>
      </c>
      <c r="B2116" t="s">
        <v>21</v>
      </c>
      <c r="C2116" t="s">
        <v>39</v>
      </c>
      <c r="D2116" s="1">
        <v>45992</v>
      </c>
      <c r="E2116" s="1">
        <v>45992</v>
      </c>
      <c r="F2116" s="2">
        <v>14</v>
      </c>
      <c r="G2116" s="3" t="s">
        <v>23</v>
      </c>
      <c r="H2116">
        <f>2+2+4+3+2+2+2</f>
        <v>17</v>
      </c>
      <c r="I2116" s="2">
        <v>0</v>
      </c>
      <c r="J2116" s="2">
        <v>0</v>
      </c>
      <c r="K2116" s="2">
        <v>0</v>
      </c>
      <c r="L2116" s="2">
        <v>0</v>
      </c>
      <c r="M2116">
        <v>0</v>
      </c>
      <c r="N2116">
        <v>0</v>
      </c>
      <c r="O2116" s="2">
        <v>0</v>
      </c>
      <c r="P2116" s="2">
        <v>0</v>
      </c>
      <c r="Q2116">
        <v>0</v>
      </c>
      <c r="R2116" s="2">
        <v>0</v>
      </c>
      <c r="S2116" s="2">
        <v>0</v>
      </c>
      <c r="T2116" t="s">
        <v>1091</v>
      </c>
      <c r="U2116" s="2">
        <v>0</v>
      </c>
      <c r="V2116" s="2">
        <f>4*2</f>
        <v>8</v>
      </c>
      <c r="W2116" s="2">
        <v>2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</row>
    <row r="2117" spans="1:28" hidden="1" x14ac:dyDescent="0.25">
      <c r="A2117" t="s">
        <v>37</v>
      </c>
      <c r="B2117" t="s">
        <v>57</v>
      </c>
      <c r="C2117" t="s">
        <v>35</v>
      </c>
      <c r="D2117" s="1">
        <v>45992</v>
      </c>
      <c r="E2117" s="1">
        <v>45992</v>
      </c>
      <c r="F2117" s="2">
        <v>21</v>
      </c>
      <c r="G2117" s="3" t="s">
        <v>572</v>
      </c>
      <c r="H2117">
        <v>0</v>
      </c>
      <c r="I2117" s="2">
        <v>0</v>
      </c>
      <c r="J2117" s="2">
        <v>0</v>
      </c>
      <c r="K2117" s="2">
        <v>0</v>
      </c>
      <c r="L2117" s="2">
        <v>0</v>
      </c>
      <c r="M2117">
        <v>0</v>
      </c>
      <c r="N2117">
        <v>0</v>
      </c>
      <c r="O2117" s="2">
        <v>0</v>
      </c>
      <c r="P2117" s="2">
        <v>0</v>
      </c>
      <c r="Q2117">
        <v>0</v>
      </c>
      <c r="R2117" s="2">
        <v>0</v>
      </c>
      <c r="S2117" s="2">
        <v>0</v>
      </c>
      <c r="T2117" t="s">
        <v>1125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</row>
    <row r="2118" spans="1:28" hidden="1" x14ac:dyDescent="0.25">
      <c r="A2118" t="s">
        <v>47</v>
      </c>
      <c r="B2118" t="s">
        <v>30</v>
      </c>
      <c r="C2118" t="s">
        <v>35</v>
      </c>
      <c r="D2118" s="1">
        <v>45992</v>
      </c>
      <c r="E2118" s="1">
        <v>45992</v>
      </c>
      <c r="F2118" s="2">
        <v>21</v>
      </c>
      <c r="G2118" s="3" t="s">
        <v>572</v>
      </c>
      <c r="H2118">
        <v>0</v>
      </c>
      <c r="I2118" s="2">
        <v>0</v>
      </c>
      <c r="J2118" s="2">
        <v>0</v>
      </c>
      <c r="K2118" s="2">
        <v>0</v>
      </c>
      <c r="L2118" s="2">
        <v>0</v>
      </c>
      <c r="M2118">
        <v>0</v>
      </c>
      <c r="N2118">
        <v>0</v>
      </c>
      <c r="O2118" s="2">
        <v>0</v>
      </c>
      <c r="P2118" s="2">
        <v>0</v>
      </c>
      <c r="Q2118">
        <v>0</v>
      </c>
      <c r="R2118" s="2">
        <v>0</v>
      </c>
      <c r="S2118" s="2">
        <v>0</v>
      </c>
      <c r="T2118" t="s">
        <v>1125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</row>
    <row r="2119" spans="1:28" hidden="1" x14ac:dyDescent="0.25">
      <c r="A2119" t="s">
        <v>47</v>
      </c>
      <c r="B2119" t="s">
        <v>52</v>
      </c>
      <c r="C2119" t="s">
        <v>212</v>
      </c>
      <c r="D2119" s="1">
        <v>45992</v>
      </c>
      <c r="E2119" s="1">
        <v>45992</v>
      </c>
      <c r="F2119" s="2">
        <v>0</v>
      </c>
      <c r="G2119" s="3" t="s">
        <v>572</v>
      </c>
      <c r="H2119">
        <v>0</v>
      </c>
      <c r="I2119" s="2">
        <v>0</v>
      </c>
      <c r="J2119" s="2">
        <v>0</v>
      </c>
      <c r="K2119" s="2">
        <v>0</v>
      </c>
      <c r="L2119" s="2">
        <v>0</v>
      </c>
      <c r="M2119">
        <v>0</v>
      </c>
      <c r="N2119">
        <v>0</v>
      </c>
      <c r="O2119" s="2">
        <v>0</v>
      </c>
      <c r="P2119" s="2">
        <v>0</v>
      </c>
      <c r="Q2119">
        <v>0</v>
      </c>
      <c r="R2119" s="2">
        <v>0</v>
      </c>
      <c r="S2119" s="2">
        <v>0</v>
      </c>
      <c r="T2119" t="s">
        <v>377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</row>
    <row r="2120" spans="1:28" hidden="1" x14ac:dyDescent="0.25">
      <c r="A2120" t="s">
        <v>29</v>
      </c>
      <c r="B2120" t="s">
        <v>30</v>
      </c>
      <c r="C2120" t="s">
        <v>31</v>
      </c>
      <c r="D2120" s="1">
        <v>45993</v>
      </c>
      <c r="E2120" s="1">
        <v>45993</v>
      </c>
      <c r="F2120" s="2">
        <v>16</v>
      </c>
      <c r="G2120" s="3" t="s">
        <v>23</v>
      </c>
      <c r="H2120">
        <f>7+7+1+1+4+2+1</f>
        <v>23</v>
      </c>
      <c r="I2120" s="2">
        <v>0</v>
      </c>
      <c r="J2120" s="2">
        <v>0</v>
      </c>
      <c r="K2120" s="2">
        <v>1</v>
      </c>
      <c r="L2120" s="2">
        <v>0</v>
      </c>
      <c r="M2120">
        <v>0</v>
      </c>
      <c r="N2120">
        <v>0</v>
      </c>
      <c r="O2120" s="2">
        <v>0</v>
      </c>
      <c r="P2120" s="2">
        <v>0</v>
      </c>
      <c r="Q2120">
        <v>0</v>
      </c>
      <c r="R2120" s="2">
        <v>0</v>
      </c>
      <c r="S2120" s="2">
        <v>0</v>
      </c>
      <c r="T2120" t="s">
        <v>1126</v>
      </c>
      <c r="U2120" s="2">
        <v>0</v>
      </c>
      <c r="V2120" s="2">
        <v>4</v>
      </c>
      <c r="W2120" s="2">
        <v>1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</row>
    <row r="2121" spans="1:28" hidden="1" x14ac:dyDescent="0.25">
      <c r="A2121" t="s">
        <v>37</v>
      </c>
      <c r="B2121" t="s">
        <v>21</v>
      </c>
      <c r="C2121" t="s">
        <v>39</v>
      </c>
      <c r="D2121" s="1">
        <v>45993</v>
      </c>
      <c r="E2121" s="1">
        <v>45993</v>
      </c>
      <c r="F2121" s="2">
        <v>125</v>
      </c>
      <c r="G2121" s="3" t="s">
        <v>23</v>
      </c>
      <c r="H2121">
        <f>4+3+4+3</f>
        <v>14</v>
      </c>
      <c r="I2121" s="2">
        <v>0</v>
      </c>
      <c r="J2121" s="2">
        <v>0</v>
      </c>
      <c r="K2121" s="2">
        <v>0</v>
      </c>
      <c r="L2121" s="2">
        <v>1</v>
      </c>
      <c r="M2121">
        <v>0</v>
      </c>
      <c r="N2121">
        <v>0</v>
      </c>
      <c r="O2121" s="2">
        <v>0</v>
      </c>
      <c r="P2121" s="2">
        <v>0</v>
      </c>
      <c r="Q2121">
        <v>0</v>
      </c>
      <c r="R2121" s="2">
        <v>0</v>
      </c>
      <c r="S2121" s="2">
        <v>0</v>
      </c>
      <c r="T2121" t="s">
        <v>1127</v>
      </c>
      <c r="U2121" s="2">
        <v>0</v>
      </c>
      <c r="V2121" s="2">
        <f>3+2+4+2+2+2+3+2</f>
        <v>20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</row>
    <row r="2122" spans="1:28" hidden="1" x14ac:dyDescent="0.25">
      <c r="A2122" t="s">
        <v>33</v>
      </c>
      <c r="B2122" t="s">
        <v>34</v>
      </c>
      <c r="C2122" t="s">
        <v>35</v>
      </c>
      <c r="D2122" s="1">
        <v>45993</v>
      </c>
      <c r="E2122" s="1">
        <v>45993</v>
      </c>
      <c r="F2122" s="2">
        <v>30</v>
      </c>
      <c r="G2122" s="3" t="s">
        <v>23</v>
      </c>
      <c r="H2122">
        <v>16</v>
      </c>
      <c r="I2122" s="2">
        <v>0</v>
      </c>
      <c r="J2122" s="2">
        <v>0</v>
      </c>
      <c r="K2122" s="2">
        <v>1</v>
      </c>
      <c r="L2122" s="2">
        <v>0</v>
      </c>
      <c r="M2122">
        <v>0</v>
      </c>
      <c r="N2122">
        <v>0</v>
      </c>
      <c r="O2122" s="2">
        <v>0</v>
      </c>
      <c r="P2122" s="2">
        <v>0</v>
      </c>
      <c r="Q2122">
        <v>0</v>
      </c>
      <c r="R2122" s="2">
        <v>0</v>
      </c>
      <c r="S2122" s="2">
        <v>0</v>
      </c>
      <c r="T2122" t="s">
        <v>1128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</row>
    <row r="2123" spans="1:28" hidden="1" x14ac:dyDescent="0.25">
      <c r="A2123" t="s">
        <v>56</v>
      </c>
      <c r="B2123" t="s">
        <v>47</v>
      </c>
      <c r="C2123" t="s">
        <v>64</v>
      </c>
      <c r="D2123" s="1">
        <v>45993</v>
      </c>
      <c r="E2123" s="1">
        <v>45993</v>
      </c>
      <c r="F2123" s="2">
        <v>32</v>
      </c>
      <c r="G2123" s="3" t="s">
        <v>23</v>
      </c>
      <c r="H2123">
        <f>18+18+5+2+5+1+1+1+1</f>
        <v>52</v>
      </c>
      <c r="I2123" s="2">
        <v>0</v>
      </c>
      <c r="J2123" s="2">
        <v>0</v>
      </c>
      <c r="K2123" s="2">
        <v>1</v>
      </c>
      <c r="L2123" s="2">
        <v>0</v>
      </c>
      <c r="M2123">
        <v>0</v>
      </c>
      <c r="N2123">
        <v>0</v>
      </c>
      <c r="O2123" s="2">
        <v>0</v>
      </c>
      <c r="P2123" s="2">
        <v>0</v>
      </c>
      <c r="Q2123">
        <v>0</v>
      </c>
      <c r="R2123" s="2">
        <v>0</v>
      </c>
      <c r="S2123" s="2">
        <v>0</v>
      </c>
      <c r="T2123" t="s">
        <v>1129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</row>
    <row r="2124" spans="1:28" hidden="1" x14ac:dyDescent="0.25">
      <c r="A2124" t="s">
        <v>730</v>
      </c>
      <c r="B2124" t="s">
        <v>47</v>
      </c>
      <c r="C2124" t="s">
        <v>64</v>
      </c>
      <c r="D2124" s="1">
        <v>45993</v>
      </c>
      <c r="E2124" s="1">
        <v>45993</v>
      </c>
      <c r="F2124" s="2">
        <v>32</v>
      </c>
      <c r="G2124" s="3" t="s">
        <v>23</v>
      </c>
      <c r="H2124">
        <f>18+18+5+2+5+1+1+1+1</f>
        <v>52</v>
      </c>
      <c r="I2124" s="2">
        <v>0</v>
      </c>
      <c r="J2124" s="2">
        <v>0</v>
      </c>
      <c r="K2124" s="2">
        <v>1</v>
      </c>
      <c r="L2124" s="2">
        <v>0</v>
      </c>
      <c r="M2124">
        <v>0</v>
      </c>
      <c r="N2124">
        <v>0</v>
      </c>
      <c r="O2124" s="2">
        <v>0</v>
      </c>
      <c r="P2124" s="2">
        <v>0</v>
      </c>
      <c r="Q2124">
        <v>0</v>
      </c>
      <c r="R2124" s="2">
        <v>0</v>
      </c>
      <c r="S2124" s="2">
        <v>0</v>
      </c>
      <c r="T2124" t="s">
        <v>1129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</row>
    <row r="2125" spans="1:28" hidden="1" x14ac:dyDescent="0.25">
      <c r="A2125" t="s">
        <v>53</v>
      </c>
      <c r="B2125" t="s">
        <v>38</v>
      </c>
      <c r="C2125" t="s">
        <v>39</v>
      </c>
      <c r="D2125" s="1">
        <v>45993</v>
      </c>
      <c r="E2125" s="1">
        <v>45993</v>
      </c>
      <c r="F2125" s="2">
        <v>125</v>
      </c>
      <c r="G2125" s="3" t="s">
        <v>23</v>
      </c>
      <c r="H2125">
        <v>35</v>
      </c>
      <c r="I2125" s="2">
        <v>0</v>
      </c>
      <c r="J2125" s="2">
        <v>1</v>
      </c>
      <c r="K2125" s="2">
        <v>0</v>
      </c>
      <c r="L2125" s="2">
        <v>1</v>
      </c>
      <c r="M2125">
        <v>0</v>
      </c>
      <c r="N2125">
        <v>1</v>
      </c>
      <c r="O2125" s="2">
        <v>0</v>
      </c>
      <c r="P2125" s="2">
        <v>0</v>
      </c>
      <c r="Q2125">
        <v>0</v>
      </c>
      <c r="R2125" s="2">
        <v>0</v>
      </c>
      <c r="S2125" s="2">
        <v>0</v>
      </c>
      <c r="T2125" t="s">
        <v>1127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</row>
    <row r="2126" spans="1:28" hidden="1" x14ac:dyDescent="0.25">
      <c r="A2126" t="s">
        <v>20</v>
      </c>
      <c r="B2126" t="s">
        <v>47</v>
      </c>
      <c r="C2126" t="s">
        <v>35</v>
      </c>
      <c r="D2126" s="1">
        <v>45993</v>
      </c>
      <c r="E2126" s="1">
        <v>45993</v>
      </c>
      <c r="F2126" s="2">
        <v>21</v>
      </c>
      <c r="G2126" s="3" t="s">
        <v>48</v>
      </c>
      <c r="H2126">
        <v>0</v>
      </c>
      <c r="I2126" s="2">
        <v>0</v>
      </c>
      <c r="J2126" s="2">
        <v>0</v>
      </c>
      <c r="K2126" s="2">
        <v>0</v>
      </c>
      <c r="L2126" s="2">
        <v>0</v>
      </c>
      <c r="M2126">
        <v>0</v>
      </c>
      <c r="N2126">
        <v>0</v>
      </c>
      <c r="O2126" s="2">
        <v>0</v>
      </c>
      <c r="P2126" s="2">
        <v>0</v>
      </c>
      <c r="Q2126">
        <v>0</v>
      </c>
      <c r="R2126" s="2">
        <v>0</v>
      </c>
      <c r="S2126" s="2">
        <v>0</v>
      </c>
      <c r="T2126" t="s">
        <v>1125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</row>
    <row r="2127" spans="1:28" hidden="1" x14ac:dyDescent="0.25">
      <c r="A2127" t="s">
        <v>47</v>
      </c>
      <c r="B2127" t="s">
        <v>57</v>
      </c>
      <c r="C2127" t="s">
        <v>35</v>
      </c>
      <c r="D2127" s="1">
        <v>45993</v>
      </c>
      <c r="E2127" s="1">
        <v>45993</v>
      </c>
      <c r="F2127" s="2">
        <v>21</v>
      </c>
      <c r="G2127" s="3" t="s">
        <v>48</v>
      </c>
      <c r="H2127">
        <v>0</v>
      </c>
      <c r="I2127" s="2">
        <v>0</v>
      </c>
      <c r="J2127" s="2">
        <v>0</v>
      </c>
      <c r="K2127" s="2">
        <v>0</v>
      </c>
      <c r="L2127" s="2">
        <v>0</v>
      </c>
      <c r="M2127">
        <v>0</v>
      </c>
      <c r="N2127">
        <v>0</v>
      </c>
      <c r="O2127" s="2">
        <v>0</v>
      </c>
      <c r="P2127" s="2">
        <v>0</v>
      </c>
      <c r="Q2127">
        <v>0</v>
      </c>
      <c r="R2127" s="2">
        <v>0</v>
      </c>
      <c r="S2127" s="2">
        <v>0</v>
      </c>
      <c r="T2127" t="s">
        <v>1125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</row>
    <row r="2128" spans="1:28" hidden="1" x14ac:dyDescent="0.25">
      <c r="A2128" t="s">
        <v>25</v>
      </c>
      <c r="B2128" t="s">
        <v>26</v>
      </c>
      <c r="C2128" t="s">
        <v>35</v>
      </c>
      <c r="D2128" s="1">
        <v>45993</v>
      </c>
      <c r="E2128" s="1">
        <v>45993</v>
      </c>
      <c r="F2128" s="2">
        <v>21</v>
      </c>
      <c r="G2128" s="3" t="s">
        <v>48</v>
      </c>
      <c r="H2128">
        <v>0</v>
      </c>
      <c r="I2128" s="2">
        <v>0</v>
      </c>
      <c r="J2128" s="2">
        <v>0</v>
      </c>
      <c r="K2128" s="2">
        <v>0</v>
      </c>
      <c r="L2128" s="2">
        <v>0</v>
      </c>
      <c r="M2128">
        <v>0</v>
      </c>
      <c r="N2128">
        <v>0</v>
      </c>
      <c r="O2128" s="2">
        <v>0</v>
      </c>
      <c r="P2128" s="2">
        <v>0</v>
      </c>
      <c r="Q2128">
        <v>0</v>
      </c>
      <c r="R2128" s="2">
        <v>0</v>
      </c>
      <c r="S2128" s="2">
        <v>0</v>
      </c>
      <c r="T2128" t="s">
        <v>1125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</row>
    <row r="2129" spans="1:28" hidden="1" x14ac:dyDescent="0.25">
      <c r="A2129" t="s">
        <v>568</v>
      </c>
      <c r="B2129" t="s">
        <v>47</v>
      </c>
      <c r="C2129" t="s">
        <v>35</v>
      </c>
      <c r="D2129" s="1">
        <v>45993</v>
      </c>
      <c r="E2129" s="1">
        <v>45993</v>
      </c>
      <c r="F2129" s="2">
        <v>21</v>
      </c>
      <c r="G2129" s="3" t="s">
        <v>572</v>
      </c>
      <c r="H2129">
        <v>0</v>
      </c>
      <c r="I2129" s="2">
        <v>0</v>
      </c>
      <c r="J2129" s="2">
        <v>0</v>
      </c>
      <c r="K2129" s="2">
        <v>0</v>
      </c>
      <c r="L2129" s="2">
        <v>0</v>
      </c>
      <c r="M2129">
        <v>0</v>
      </c>
      <c r="N2129">
        <v>0</v>
      </c>
      <c r="O2129" s="2">
        <v>0</v>
      </c>
      <c r="P2129" s="2">
        <v>0</v>
      </c>
      <c r="Q2129">
        <v>0</v>
      </c>
      <c r="R2129" s="2">
        <v>0</v>
      </c>
      <c r="S2129" s="2">
        <v>0</v>
      </c>
      <c r="T2129" t="s">
        <v>1125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</row>
    <row r="2130" spans="1:28" hidden="1" x14ac:dyDescent="0.25">
      <c r="A2130" t="s">
        <v>47</v>
      </c>
      <c r="B2130" t="s">
        <v>52</v>
      </c>
      <c r="C2130" t="s">
        <v>212</v>
      </c>
      <c r="D2130" s="1">
        <v>45993</v>
      </c>
      <c r="E2130" s="1">
        <v>45993</v>
      </c>
      <c r="F2130" s="2">
        <v>0</v>
      </c>
      <c r="G2130" s="3" t="s">
        <v>572</v>
      </c>
      <c r="H2130">
        <v>0</v>
      </c>
      <c r="I2130" s="2">
        <v>0</v>
      </c>
      <c r="J2130" s="2">
        <v>0</v>
      </c>
      <c r="K2130" s="2">
        <v>0</v>
      </c>
      <c r="L2130" s="2">
        <v>0</v>
      </c>
      <c r="M2130">
        <v>0</v>
      </c>
      <c r="N2130">
        <v>0</v>
      </c>
      <c r="O2130" s="2">
        <v>0</v>
      </c>
      <c r="P2130" s="2">
        <v>0</v>
      </c>
      <c r="Q2130">
        <v>0</v>
      </c>
      <c r="R2130" s="2">
        <v>0</v>
      </c>
      <c r="S2130" s="2">
        <v>0</v>
      </c>
      <c r="T2130" t="s">
        <v>377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</row>
    <row r="2131" spans="1:28" hidden="1" x14ac:dyDescent="0.25">
      <c r="A2131" t="s">
        <v>25</v>
      </c>
      <c r="B2131" t="s">
        <v>26</v>
      </c>
      <c r="C2131" t="s">
        <v>27</v>
      </c>
      <c r="D2131" s="1">
        <v>45994</v>
      </c>
      <c r="E2131" s="1">
        <v>45994</v>
      </c>
      <c r="F2131" s="2">
        <v>22</v>
      </c>
      <c r="G2131" s="3" t="s">
        <v>23</v>
      </c>
      <c r="H2131">
        <f>14+14+7+1+1+1+1+1</f>
        <v>40</v>
      </c>
      <c r="I2131" s="2">
        <v>0</v>
      </c>
      <c r="J2131" s="2">
        <v>0</v>
      </c>
      <c r="K2131" s="2">
        <v>1</v>
      </c>
      <c r="L2131" s="2">
        <v>0</v>
      </c>
      <c r="M2131">
        <v>1</v>
      </c>
      <c r="N2131">
        <v>0</v>
      </c>
      <c r="O2131" s="2">
        <v>0</v>
      </c>
      <c r="P2131" s="2">
        <v>0</v>
      </c>
      <c r="Q2131">
        <v>0</v>
      </c>
      <c r="R2131" s="2">
        <v>0</v>
      </c>
      <c r="S2131" s="2">
        <v>0</v>
      </c>
      <c r="T2131" t="s">
        <v>1130</v>
      </c>
      <c r="U2131" s="2">
        <v>0</v>
      </c>
      <c r="V2131" s="2">
        <v>0</v>
      </c>
      <c r="W2131" s="2">
        <v>2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</row>
    <row r="2132" spans="1:28" hidden="1" x14ac:dyDescent="0.25">
      <c r="A2132" t="s">
        <v>37</v>
      </c>
      <c r="B2132" t="s">
        <v>57</v>
      </c>
      <c r="C2132" t="s">
        <v>39</v>
      </c>
      <c r="D2132" s="1">
        <v>45994</v>
      </c>
      <c r="E2132" s="1">
        <v>45994</v>
      </c>
      <c r="F2132" s="2">
        <v>17</v>
      </c>
      <c r="G2132" s="3" t="s">
        <v>23</v>
      </c>
      <c r="H2132">
        <v>20</v>
      </c>
      <c r="I2132" s="2">
        <v>0</v>
      </c>
      <c r="J2132" s="2">
        <v>0</v>
      </c>
      <c r="K2132" s="2">
        <v>0</v>
      </c>
      <c r="L2132" s="2">
        <v>1</v>
      </c>
      <c r="M2132">
        <v>0</v>
      </c>
      <c r="N2132">
        <v>0</v>
      </c>
      <c r="O2132" s="2">
        <v>0</v>
      </c>
      <c r="P2132" s="2">
        <v>0</v>
      </c>
      <c r="Q2132">
        <v>0</v>
      </c>
      <c r="R2132" s="2">
        <v>0</v>
      </c>
      <c r="S2132" s="2">
        <v>0</v>
      </c>
      <c r="T2132" t="s">
        <v>1131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</row>
    <row r="2133" spans="1:28" hidden="1" x14ac:dyDescent="0.25">
      <c r="A2133" t="s">
        <v>29</v>
      </c>
      <c r="B2133" t="s">
        <v>30</v>
      </c>
      <c r="C2133" t="s">
        <v>39</v>
      </c>
      <c r="D2133" s="1">
        <v>45994</v>
      </c>
      <c r="E2133" s="1">
        <v>45994</v>
      </c>
      <c r="F2133" s="2">
        <v>17</v>
      </c>
      <c r="G2133" s="3" t="s">
        <v>23</v>
      </c>
      <c r="H2133">
        <f>12+12+4+1+3+1</f>
        <v>33</v>
      </c>
      <c r="I2133" s="2">
        <v>0</v>
      </c>
      <c r="J2133" s="2">
        <v>0</v>
      </c>
      <c r="K2133" s="2">
        <v>1</v>
      </c>
      <c r="L2133" s="2">
        <v>0</v>
      </c>
      <c r="M2133">
        <v>0</v>
      </c>
      <c r="N2133">
        <v>0</v>
      </c>
      <c r="O2133" s="2">
        <v>0</v>
      </c>
      <c r="P2133" s="2">
        <v>0</v>
      </c>
      <c r="Q2133">
        <v>0</v>
      </c>
      <c r="R2133" s="2">
        <v>0</v>
      </c>
      <c r="S2133" s="2">
        <v>0</v>
      </c>
      <c r="T2133" t="s">
        <v>1131</v>
      </c>
      <c r="U2133" s="2">
        <v>0</v>
      </c>
      <c r="V2133" s="2">
        <v>2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</row>
    <row r="2134" spans="1:28" hidden="1" x14ac:dyDescent="0.25">
      <c r="A2134" t="s">
        <v>53</v>
      </c>
      <c r="B2134" t="s">
        <v>38</v>
      </c>
      <c r="C2134" t="s">
        <v>54</v>
      </c>
      <c r="D2134" s="1">
        <v>45994</v>
      </c>
      <c r="E2134" s="1">
        <v>45994</v>
      </c>
      <c r="F2134" s="2">
        <v>35</v>
      </c>
      <c r="G2134" s="3" t="s">
        <v>23</v>
      </c>
      <c r="H2134">
        <f>21+21</f>
        <v>42</v>
      </c>
      <c r="I2134" s="2">
        <v>0</v>
      </c>
      <c r="J2134" s="2">
        <v>0</v>
      </c>
      <c r="K2134" s="2">
        <v>1</v>
      </c>
      <c r="L2134" s="2">
        <v>0</v>
      </c>
      <c r="M2134">
        <v>0</v>
      </c>
      <c r="N2134">
        <v>0</v>
      </c>
      <c r="O2134" s="2">
        <v>0</v>
      </c>
      <c r="P2134" s="2">
        <v>0</v>
      </c>
      <c r="Q2134">
        <v>0</v>
      </c>
      <c r="R2134" s="2">
        <v>0</v>
      </c>
      <c r="S2134" s="2">
        <v>0</v>
      </c>
      <c r="T2134" t="s">
        <v>1132</v>
      </c>
      <c r="U2134" s="2">
        <v>0</v>
      </c>
      <c r="V2134" s="2">
        <v>0</v>
      </c>
      <c r="W2134" s="2">
        <v>5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</row>
    <row r="2135" spans="1:28" hidden="1" x14ac:dyDescent="0.25">
      <c r="A2135" t="s">
        <v>20</v>
      </c>
      <c r="B2135" t="s">
        <v>47</v>
      </c>
      <c r="C2135" t="s">
        <v>22</v>
      </c>
      <c r="D2135" s="1">
        <v>45994</v>
      </c>
      <c r="E2135" s="1">
        <v>45994</v>
      </c>
      <c r="F2135" s="2">
        <v>49</v>
      </c>
      <c r="G2135" s="3" t="s">
        <v>23</v>
      </c>
      <c r="H2135">
        <f>20+20+4+4+1</f>
        <v>49</v>
      </c>
      <c r="I2135" s="2">
        <v>0</v>
      </c>
      <c r="J2135" s="2">
        <v>1</v>
      </c>
      <c r="K2135" s="2">
        <v>1</v>
      </c>
      <c r="L2135" s="2">
        <v>0</v>
      </c>
      <c r="M2135">
        <v>0</v>
      </c>
      <c r="N2135">
        <v>0</v>
      </c>
      <c r="O2135" s="2">
        <v>0</v>
      </c>
      <c r="P2135" s="2">
        <v>0</v>
      </c>
      <c r="Q2135">
        <v>0</v>
      </c>
      <c r="R2135" s="2">
        <v>0</v>
      </c>
      <c r="S2135" s="2">
        <v>0</v>
      </c>
      <c r="T2135" t="s">
        <v>1133</v>
      </c>
      <c r="U2135" s="2">
        <v>0</v>
      </c>
      <c r="V2135" s="2">
        <f>2+8+6</f>
        <v>16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</row>
    <row r="2136" spans="1:28" hidden="1" x14ac:dyDescent="0.25">
      <c r="A2136" t="s">
        <v>568</v>
      </c>
      <c r="B2136" t="s">
        <v>47</v>
      </c>
      <c r="C2136" t="s">
        <v>22</v>
      </c>
      <c r="D2136" s="1">
        <v>45994</v>
      </c>
      <c r="E2136" s="1">
        <v>45994</v>
      </c>
      <c r="F2136" s="2">
        <v>49</v>
      </c>
      <c r="G2136" s="3" t="s">
        <v>23</v>
      </c>
      <c r="H2136">
        <f>20+20+4+4+1</f>
        <v>49</v>
      </c>
      <c r="I2136" s="2">
        <v>0</v>
      </c>
      <c r="J2136" s="2">
        <v>1</v>
      </c>
      <c r="K2136" s="2">
        <v>1</v>
      </c>
      <c r="L2136" s="2">
        <v>0</v>
      </c>
      <c r="M2136">
        <v>0</v>
      </c>
      <c r="N2136">
        <v>0</v>
      </c>
      <c r="O2136" s="2">
        <v>0</v>
      </c>
      <c r="P2136" s="2">
        <v>0</v>
      </c>
      <c r="Q2136">
        <v>0</v>
      </c>
      <c r="R2136" s="2">
        <v>0</v>
      </c>
      <c r="S2136" s="2">
        <v>0</v>
      </c>
      <c r="T2136" t="s">
        <v>1133</v>
      </c>
      <c r="U2136" s="2">
        <v>0</v>
      </c>
      <c r="V2136" s="2">
        <f>2+8+6</f>
        <v>16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</row>
    <row r="2137" spans="1:28" hidden="1" x14ac:dyDescent="0.25">
      <c r="A2137" t="s">
        <v>33</v>
      </c>
      <c r="B2137" t="s">
        <v>34</v>
      </c>
      <c r="C2137" t="s">
        <v>35</v>
      </c>
      <c r="D2137" s="1">
        <v>45994</v>
      </c>
      <c r="E2137" s="1">
        <v>45994</v>
      </c>
      <c r="F2137" s="2">
        <v>21</v>
      </c>
      <c r="G2137" s="3" t="s">
        <v>48</v>
      </c>
      <c r="H2137">
        <v>0</v>
      </c>
      <c r="I2137" s="2">
        <v>0</v>
      </c>
      <c r="J2137" s="2">
        <v>0</v>
      </c>
      <c r="K2137" s="2">
        <v>0</v>
      </c>
      <c r="L2137" s="2">
        <v>0</v>
      </c>
      <c r="M2137">
        <v>0</v>
      </c>
      <c r="N2137">
        <v>0</v>
      </c>
      <c r="O2137" s="2">
        <v>0</v>
      </c>
      <c r="P2137" s="2">
        <v>0</v>
      </c>
      <c r="Q2137">
        <v>0</v>
      </c>
      <c r="R2137" s="2">
        <v>0</v>
      </c>
      <c r="S2137" s="2">
        <v>0</v>
      </c>
      <c r="T2137" t="s">
        <v>1125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</row>
    <row r="2138" spans="1:28" hidden="1" x14ac:dyDescent="0.25">
      <c r="A2138" t="s">
        <v>47</v>
      </c>
      <c r="B2138" t="s">
        <v>21</v>
      </c>
      <c r="C2138" t="s">
        <v>35</v>
      </c>
      <c r="D2138" s="1">
        <v>45994</v>
      </c>
      <c r="E2138" s="1">
        <v>45994</v>
      </c>
      <c r="F2138" s="2">
        <v>21</v>
      </c>
      <c r="G2138" s="3" t="s">
        <v>48</v>
      </c>
      <c r="H2138">
        <v>0</v>
      </c>
      <c r="I2138" s="2">
        <v>0</v>
      </c>
      <c r="J2138" s="2">
        <v>0</v>
      </c>
      <c r="K2138" s="2">
        <v>0</v>
      </c>
      <c r="L2138" s="2">
        <v>0</v>
      </c>
      <c r="M2138">
        <v>0</v>
      </c>
      <c r="N2138">
        <v>0</v>
      </c>
      <c r="O2138" s="2">
        <v>0</v>
      </c>
      <c r="P2138" s="2">
        <v>0</v>
      </c>
      <c r="Q2138">
        <v>0</v>
      </c>
      <c r="R2138" s="2">
        <v>0</v>
      </c>
      <c r="S2138" s="2">
        <v>0</v>
      </c>
      <c r="T2138" t="s">
        <v>1125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</row>
    <row r="2139" spans="1:28" hidden="1" x14ac:dyDescent="0.25">
      <c r="A2139" t="s">
        <v>56</v>
      </c>
      <c r="B2139" t="s">
        <v>47</v>
      </c>
      <c r="C2139" t="s">
        <v>35</v>
      </c>
      <c r="D2139" s="1">
        <v>45994</v>
      </c>
      <c r="E2139" s="1">
        <v>45994</v>
      </c>
      <c r="F2139" s="2">
        <v>21</v>
      </c>
      <c r="G2139" s="3" t="s">
        <v>48</v>
      </c>
      <c r="H2139">
        <v>0</v>
      </c>
      <c r="I2139" s="2">
        <v>0</v>
      </c>
      <c r="J2139" s="2">
        <v>0</v>
      </c>
      <c r="K2139" s="2">
        <v>0</v>
      </c>
      <c r="L2139" s="2">
        <v>0</v>
      </c>
      <c r="M2139">
        <v>0</v>
      </c>
      <c r="N2139">
        <v>0</v>
      </c>
      <c r="O2139" s="2">
        <v>0</v>
      </c>
      <c r="P2139" s="2">
        <v>0</v>
      </c>
      <c r="Q2139">
        <v>0</v>
      </c>
      <c r="R2139" s="2">
        <v>0</v>
      </c>
      <c r="S2139" s="2">
        <v>0</v>
      </c>
      <c r="T2139" t="s">
        <v>1125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</row>
    <row r="2140" spans="1:28" hidden="1" x14ac:dyDescent="0.25">
      <c r="A2140" t="s">
        <v>730</v>
      </c>
      <c r="B2140" t="s">
        <v>47</v>
      </c>
      <c r="C2140" t="s">
        <v>35</v>
      </c>
      <c r="D2140" s="1">
        <v>45994</v>
      </c>
      <c r="E2140" s="1">
        <v>45994</v>
      </c>
      <c r="F2140" s="2">
        <v>21</v>
      </c>
      <c r="G2140" s="3" t="s">
        <v>572</v>
      </c>
      <c r="H2140">
        <v>0</v>
      </c>
      <c r="I2140" s="2">
        <v>0</v>
      </c>
      <c r="J2140" s="2">
        <v>0</v>
      </c>
      <c r="K2140" s="2">
        <v>0</v>
      </c>
      <c r="L2140" s="2">
        <v>0</v>
      </c>
      <c r="M2140">
        <v>0</v>
      </c>
      <c r="N2140">
        <v>0</v>
      </c>
      <c r="O2140" s="2">
        <v>0</v>
      </c>
      <c r="P2140" s="2">
        <v>0</v>
      </c>
      <c r="Q2140">
        <v>0</v>
      </c>
      <c r="R2140" s="2">
        <v>0</v>
      </c>
      <c r="S2140" s="2">
        <v>0</v>
      </c>
      <c r="T2140" t="s">
        <v>1125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</row>
    <row r="2141" spans="1:28" hidden="1" x14ac:dyDescent="0.25">
      <c r="A2141" t="s">
        <v>47</v>
      </c>
      <c r="B2141" t="s">
        <v>52</v>
      </c>
      <c r="C2141" t="s">
        <v>212</v>
      </c>
      <c r="D2141" s="1">
        <v>45994</v>
      </c>
      <c r="E2141" s="1">
        <v>45994</v>
      </c>
      <c r="F2141" s="2">
        <v>0</v>
      </c>
      <c r="G2141" s="3" t="s">
        <v>572</v>
      </c>
      <c r="H2141">
        <v>0</v>
      </c>
      <c r="I2141" s="2">
        <v>0</v>
      </c>
      <c r="J2141" s="2">
        <v>0</v>
      </c>
      <c r="K2141" s="2">
        <v>0</v>
      </c>
      <c r="L2141" s="2">
        <v>0</v>
      </c>
      <c r="M2141">
        <v>0</v>
      </c>
      <c r="N2141">
        <v>0</v>
      </c>
      <c r="O2141" s="2">
        <v>0</v>
      </c>
      <c r="P2141" s="2">
        <v>0</v>
      </c>
      <c r="Q2141">
        <v>0</v>
      </c>
      <c r="R2141" s="2">
        <v>0</v>
      </c>
      <c r="S2141" s="2">
        <v>0</v>
      </c>
      <c r="T2141" t="s">
        <v>377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</row>
    <row r="2142" spans="1:28" hidden="1" x14ac:dyDescent="0.25">
      <c r="A2142" t="s">
        <v>25</v>
      </c>
      <c r="B2142" t="s">
        <v>26</v>
      </c>
      <c r="C2142" t="s">
        <v>27</v>
      </c>
      <c r="D2142" s="1">
        <v>45995</v>
      </c>
      <c r="E2142" s="1">
        <v>45995</v>
      </c>
      <c r="F2142" s="2">
        <v>19</v>
      </c>
      <c r="G2142" s="3" t="s">
        <v>23</v>
      </c>
      <c r="H2142">
        <f>7+7+3+2</f>
        <v>19</v>
      </c>
      <c r="I2142" s="2">
        <v>0</v>
      </c>
      <c r="J2142" s="2">
        <v>0</v>
      </c>
      <c r="K2142" s="2">
        <v>1</v>
      </c>
      <c r="L2142" s="2">
        <v>0</v>
      </c>
      <c r="M2142">
        <v>0</v>
      </c>
      <c r="N2142">
        <v>0</v>
      </c>
      <c r="O2142" s="2">
        <v>0</v>
      </c>
      <c r="P2142" s="2">
        <v>0</v>
      </c>
      <c r="Q2142">
        <v>0</v>
      </c>
      <c r="R2142" s="2">
        <v>0</v>
      </c>
      <c r="S2142" s="2">
        <v>0</v>
      </c>
      <c r="T2142" t="s">
        <v>1134</v>
      </c>
      <c r="U2142" s="2">
        <v>0</v>
      </c>
      <c r="V2142" s="2">
        <f>18+2+18+2+2</f>
        <v>42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</row>
    <row r="2143" spans="1:28" hidden="1" x14ac:dyDescent="0.25">
      <c r="A2143" t="s">
        <v>37</v>
      </c>
      <c r="B2143" t="s">
        <v>57</v>
      </c>
      <c r="C2143" t="s">
        <v>39</v>
      </c>
      <c r="D2143" s="1">
        <v>45995</v>
      </c>
      <c r="E2143" s="1">
        <v>45995</v>
      </c>
      <c r="F2143" s="2">
        <v>98</v>
      </c>
      <c r="G2143" s="3" t="s">
        <v>23</v>
      </c>
      <c r="H2143">
        <f>4+4+4+4</f>
        <v>16</v>
      </c>
      <c r="I2143" s="2">
        <v>0</v>
      </c>
      <c r="J2143" s="2">
        <v>0</v>
      </c>
      <c r="K2143" s="2">
        <v>0</v>
      </c>
      <c r="L2143" s="2">
        <v>1</v>
      </c>
      <c r="M2143">
        <v>0</v>
      </c>
      <c r="N2143">
        <v>0</v>
      </c>
      <c r="O2143" s="2">
        <v>0</v>
      </c>
      <c r="P2143" s="2">
        <v>0</v>
      </c>
      <c r="Q2143">
        <v>1</v>
      </c>
      <c r="R2143" s="2">
        <v>0</v>
      </c>
      <c r="S2143" s="2">
        <v>0</v>
      </c>
      <c r="T2143" t="s">
        <v>1135</v>
      </c>
      <c r="U2143" s="2">
        <v>0</v>
      </c>
      <c r="V2143" s="2">
        <f>20+2+20+2</f>
        <v>44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</row>
    <row r="2144" spans="1:28" hidden="1" x14ac:dyDescent="0.25">
      <c r="A2144" t="s">
        <v>33</v>
      </c>
      <c r="B2144" t="s">
        <v>34</v>
      </c>
      <c r="C2144" t="s">
        <v>35</v>
      </c>
      <c r="D2144" s="1">
        <v>45995</v>
      </c>
      <c r="E2144" s="1">
        <v>45995</v>
      </c>
      <c r="F2144" s="2">
        <v>33</v>
      </c>
      <c r="G2144" s="3" t="s">
        <v>23</v>
      </c>
      <c r="H2144">
        <f>16+16+8+1+1+2+1</f>
        <v>45</v>
      </c>
      <c r="I2144" s="2">
        <v>0</v>
      </c>
      <c r="J2144" s="2">
        <v>0</v>
      </c>
      <c r="K2144" s="2">
        <v>1</v>
      </c>
      <c r="L2144" s="2">
        <v>0</v>
      </c>
      <c r="M2144">
        <v>0</v>
      </c>
      <c r="N2144">
        <v>0</v>
      </c>
      <c r="O2144" s="2">
        <v>0</v>
      </c>
      <c r="P2144" s="2">
        <v>0</v>
      </c>
      <c r="Q2144">
        <v>0</v>
      </c>
      <c r="R2144" s="2">
        <v>0</v>
      </c>
      <c r="S2144" s="2">
        <v>0</v>
      </c>
      <c r="T2144" t="s">
        <v>1136</v>
      </c>
      <c r="U2144" s="2">
        <v>0</v>
      </c>
      <c r="V2144" s="2">
        <f>18+2</f>
        <v>20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</row>
    <row r="2145" spans="1:28" hidden="1" x14ac:dyDescent="0.25">
      <c r="A2145" t="s">
        <v>56</v>
      </c>
      <c r="B2145" t="s">
        <v>47</v>
      </c>
      <c r="C2145" t="s">
        <v>64</v>
      </c>
      <c r="D2145" s="1">
        <v>45995</v>
      </c>
      <c r="E2145" s="1">
        <v>45995</v>
      </c>
      <c r="F2145" s="2">
        <v>19</v>
      </c>
      <c r="G2145" s="3" t="s">
        <v>23</v>
      </c>
      <c r="H2145">
        <v>36</v>
      </c>
      <c r="I2145" s="2">
        <v>0</v>
      </c>
      <c r="J2145" s="2">
        <v>0</v>
      </c>
      <c r="K2145" s="2">
        <v>1</v>
      </c>
      <c r="L2145" s="2">
        <v>0</v>
      </c>
      <c r="M2145">
        <v>0</v>
      </c>
      <c r="N2145">
        <v>0</v>
      </c>
      <c r="O2145" s="2">
        <v>0</v>
      </c>
      <c r="P2145" s="2">
        <v>0</v>
      </c>
      <c r="Q2145">
        <v>0</v>
      </c>
      <c r="R2145" s="2">
        <v>0</v>
      </c>
      <c r="S2145" s="2">
        <v>0</v>
      </c>
      <c r="T2145" t="s">
        <v>1137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</row>
    <row r="2146" spans="1:28" hidden="1" x14ac:dyDescent="0.25">
      <c r="A2146" t="s">
        <v>53</v>
      </c>
      <c r="B2146" t="s">
        <v>38</v>
      </c>
      <c r="C2146" t="s">
        <v>64</v>
      </c>
      <c r="D2146" s="1">
        <v>45995</v>
      </c>
      <c r="E2146" s="1">
        <v>45995</v>
      </c>
      <c r="F2146" s="2">
        <v>19</v>
      </c>
      <c r="G2146" s="3" t="s">
        <v>23</v>
      </c>
      <c r="H2146">
        <v>4</v>
      </c>
      <c r="I2146" s="2">
        <v>0</v>
      </c>
      <c r="J2146" s="2">
        <v>0</v>
      </c>
      <c r="K2146" s="2">
        <v>0</v>
      </c>
      <c r="L2146" s="2">
        <v>0</v>
      </c>
      <c r="M2146">
        <v>0</v>
      </c>
      <c r="N2146">
        <v>0</v>
      </c>
      <c r="O2146" s="2">
        <v>0</v>
      </c>
      <c r="P2146" s="2">
        <v>0</v>
      </c>
      <c r="Q2146">
        <v>0</v>
      </c>
      <c r="R2146" s="2">
        <v>0</v>
      </c>
      <c r="S2146" s="2">
        <v>0</v>
      </c>
      <c r="T2146" t="s">
        <v>1137</v>
      </c>
      <c r="U2146" s="2">
        <v>0</v>
      </c>
      <c r="V2146" s="2">
        <f>18+2+18+2</f>
        <v>40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</row>
    <row r="2147" spans="1:28" hidden="1" x14ac:dyDescent="0.25">
      <c r="A2147" t="s">
        <v>730</v>
      </c>
      <c r="B2147" t="s">
        <v>47</v>
      </c>
      <c r="C2147" t="s">
        <v>64</v>
      </c>
      <c r="D2147" s="1">
        <v>45995</v>
      </c>
      <c r="E2147" s="1">
        <v>45995</v>
      </c>
      <c r="F2147" s="2">
        <v>19</v>
      </c>
      <c r="G2147" s="3" t="s">
        <v>23</v>
      </c>
      <c r="H2147">
        <f>36+1</f>
        <v>37</v>
      </c>
      <c r="I2147" s="2">
        <v>0</v>
      </c>
      <c r="J2147" s="2">
        <v>1</v>
      </c>
      <c r="K2147" s="2">
        <v>1</v>
      </c>
      <c r="L2147" s="2">
        <v>0</v>
      </c>
      <c r="M2147">
        <v>0</v>
      </c>
      <c r="N2147">
        <v>0</v>
      </c>
      <c r="O2147" s="2">
        <v>0</v>
      </c>
      <c r="P2147" s="2">
        <v>0</v>
      </c>
      <c r="Q2147">
        <v>0</v>
      </c>
      <c r="R2147" s="2">
        <v>0</v>
      </c>
      <c r="S2147" s="2">
        <v>0</v>
      </c>
      <c r="T2147" t="s">
        <v>1137</v>
      </c>
      <c r="U2147" s="2">
        <v>0</v>
      </c>
      <c r="V2147" s="2">
        <v>22</v>
      </c>
      <c r="W2147" s="2">
        <v>15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</row>
    <row r="2148" spans="1:28" hidden="1" x14ac:dyDescent="0.25">
      <c r="A2148" t="s">
        <v>20</v>
      </c>
      <c r="B2148" t="s">
        <v>21</v>
      </c>
      <c r="C2148" t="s">
        <v>22</v>
      </c>
      <c r="D2148" s="1">
        <v>45995</v>
      </c>
      <c r="E2148" s="1">
        <v>45995</v>
      </c>
      <c r="F2148" s="2">
        <v>22</v>
      </c>
      <c r="G2148" s="3" t="s">
        <v>23</v>
      </c>
      <c r="H2148">
        <f>20+20+1</f>
        <v>41</v>
      </c>
      <c r="I2148" s="2">
        <v>0</v>
      </c>
      <c r="J2148" s="2">
        <v>1</v>
      </c>
      <c r="K2148" s="2">
        <v>1</v>
      </c>
      <c r="L2148" s="2">
        <v>0</v>
      </c>
      <c r="M2148">
        <v>0</v>
      </c>
      <c r="N2148">
        <v>0</v>
      </c>
      <c r="O2148" s="2">
        <v>0</v>
      </c>
      <c r="P2148" s="2">
        <v>0</v>
      </c>
      <c r="Q2148">
        <v>0</v>
      </c>
      <c r="R2148" s="2">
        <v>0</v>
      </c>
      <c r="S2148" s="2">
        <v>0</v>
      </c>
      <c r="T2148" t="s">
        <v>1138</v>
      </c>
      <c r="U2148" s="2">
        <v>0</v>
      </c>
      <c r="V2148" s="2">
        <f>18+20+2+1+2</f>
        <v>43</v>
      </c>
      <c r="W2148" s="2">
        <v>15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</row>
    <row r="2149" spans="1:28" hidden="1" x14ac:dyDescent="0.25">
      <c r="A2149" t="s">
        <v>29</v>
      </c>
      <c r="B2149" t="s">
        <v>30</v>
      </c>
      <c r="C2149" t="s">
        <v>39</v>
      </c>
      <c r="D2149" s="1">
        <v>45995</v>
      </c>
      <c r="E2149" s="1">
        <v>45995</v>
      </c>
      <c r="F2149" s="2">
        <v>98</v>
      </c>
      <c r="G2149" s="3" t="s">
        <v>23</v>
      </c>
      <c r="H2149">
        <v>5</v>
      </c>
      <c r="I2149" s="2">
        <v>0</v>
      </c>
      <c r="J2149" s="2">
        <v>0</v>
      </c>
      <c r="K2149" s="2">
        <v>0</v>
      </c>
      <c r="L2149" s="2">
        <v>0</v>
      </c>
      <c r="M2149">
        <v>0</v>
      </c>
      <c r="N2149">
        <v>0</v>
      </c>
      <c r="O2149" s="2">
        <v>0</v>
      </c>
      <c r="P2149" s="2">
        <v>0</v>
      </c>
      <c r="Q2149">
        <v>2</v>
      </c>
      <c r="R2149" s="2">
        <v>0</v>
      </c>
      <c r="S2149" s="2">
        <v>0</v>
      </c>
      <c r="T2149" t="s">
        <v>1135</v>
      </c>
      <c r="U2149" s="2">
        <v>0</v>
      </c>
      <c r="V2149" s="2">
        <f>12+2</f>
        <v>14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</row>
    <row r="2150" spans="1:28" hidden="1" x14ac:dyDescent="0.25">
      <c r="A2150" t="s">
        <v>568</v>
      </c>
      <c r="B2150" t="s">
        <v>47</v>
      </c>
      <c r="C2150" t="s">
        <v>670</v>
      </c>
      <c r="D2150" s="1">
        <v>45995</v>
      </c>
      <c r="E2150" s="1">
        <v>45995</v>
      </c>
      <c r="F2150" s="2">
        <v>44</v>
      </c>
      <c r="G2150" s="3" t="s">
        <v>23</v>
      </c>
      <c r="H2150">
        <f>36+1</f>
        <v>37</v>
      </c>
      <c r="I2150" s="2">
        <v>0</v>
      </c>
      <c r="J2150" s="2">
        <v>1</v>
      </c>
      <c r="K2150" s="2">
        <v>1</v>
      </c>
      <c r="L2150" s="2">
        <v>0</v>
      </c>
      <c r="M2150">
        <v>0</v>
      </c>
      <c r="N2150">
        <v>0</v>
      </c>
      <c r="O2150" s="2">
        <v>0</v>
      </c>
      <c r="P2150" s="2">
        <v>0</v>
      </c>
      <c r="Q2150">
        <v>0</v>
      </c>
      <c r="R2150" s="2">
        <v>0</v>
      </c>
      <c r="S2150" s="2">
        <v>0</v>
      </c>
      <c r="T2150" t="s">
        <v>1139</v>
      </c>
      <c r="U2150" s="2">
        <v>0</v>
      </c>
      <c r="V2150" s="2">
        <f>20+2</f>
        <v>22</v>
      </c>
      <c r="W2150" s="2">
        <v>15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</row>
    <row r="2151" spans="1:28" hidden="1" x14ac:dyDescent="0.25">
      <c r="A2151" t="s">
        <v>47</v>
      </c>
      <c r="B2151" t="s">
        <v>52</v>
      </c>
      <c r="C2151" t="s">
        <v>212</v>
      </c>
      <c r="D2151" s="1">
        <v>45995</v>
      </c>
      <c r="E2151" s="1">
        <v>45995</v>
      </c>
      <c r="F2151" s="2">
        <v>0</v>
      </c>
      <c r="G2151" s="3" t="s">
        <v>572</v>
      </c>
      <c r="H2151">
        <v>0</v>
      </c>
      <c r="I2151" s="2">
        <v>0</v>
      </c>
      <c r="J2151" s="2">
        <v>0</v>
      </c>
      <c r="K2151" s="2">
        <v>0</v>
      </c>
      <c r="L2151" s="2">
        <v>0</v>
      </c>
      <c r="M2151">
        <v>0</v>
      </c>
      <c r="N2151">
        <v>0</v>
      </c>
      <c r="O2151" s="2">
        <v>0</v>
      </c>
      <c r="P2151" s="2">
        <v>0</v>
      </c>
      <c r="Q2151">
        <v>0</v>
      </c>
      <c r="R2151" s="2">
        <v>0</v>
      </c>
      <c r="S2151" s="2">
        <v>0</v>
      </c>
      <c r="T2151" t="s">
        <v>377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</row>
    <row r="2152" spans="1:28" hidden="1" x14ac:dyDescent="0.25">
      <c r="A2152" t="s">
        <v>25</v>
      </c>
      <c r="B2152" t="s">
        <v>26</v>
      </c>
      <c r="C2152" t="s">
        <v>27</v>
      </c>
      <c r="D2152" s="1">
        <v>45996</v>
      </c>
      <c r="E2152" s="1">
        <v>45996</v>
      </c>
      <c r="F2152" s="2">
        <v>22</v>
      </c>
      <c r="G2152" s="3" t="s">
        <v>23</v>
      </c>
      <c r="H2152">
        <f>9+9</f>
        <v>18</v>
      </c>
      <c r="I2152" s="2">
        <v>0</v>
      </c>
      <c r="J2152" s="2">
        <v>0</v>
      </c>
      <c r="K2152" s="2">
        <v>1</v>
      </c>
      <c r="L2152" s="2">
        <v>0</v>
      </c>
      <c r="M2152">
        <v>0</v>
      </c>
      <c r="N2152">
        <v>0</v>
      </c>
      <c r="O2152" s="2">
        <v>0</v>
      </c>
      <c r="P2152" s="2">
        <v>0</v>
      </c>
      <c r="Q2152">
        <v>0</v>
      </c>
      <c r="R2152" s="2">
        <v>0</v>
      </c>
      <c r="S2152" s="2">
        <v>0</v>
      </c>
      <c r="T2152" t="s">
        <v>1140</v>
      </c>
      <c r="U2152" s="2">
        <v>0</v>
      </c>
      <c r="V2152" s="2">
        <f>20+20+20</f>
        <v>60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</row>
    <row r="2153" spans="1:28" hidden="1" x14ac:dyDescent="0.25">
      <c r="A2153" t="s">
        <v>29</v>
      </c>
      <c r="B2153" t="s">
        <v>57</v>
      </c>
      <c r="C2153" t="s">
        <v>1141</v>
      </c>
      <c r="D2153" s="1">
        <v>45996</v>
      </c>
      <c r="E2153" s="1">
        <v>45996</v>
      </c>
      <c r="F2153" s="2">
        <v>58</v>
      </c>
      <c r="G2153" s="3" t="s">
        <v>23</v>
      </c>
      <c r="H2153">
        <f>9+9</f>
        <v>18</v>
      </c>
      <c r="I2153" s="2">
        <v>0</v>
      </c>
      <c r="J2153" s="2">
        <v>0</v>
      </c>
      <c r="K2153" s="2">
        <v>0</v>
      </c>
      <c r="L2153" s="2">
        <v>1</v>
      </c>
      <c r="M2153">
        <v>0</v>
      </c>
      <c r="N2153">
        <v>0</v>
      </c>
      <c r="O2153" s="2">
        <v>0</v>
      </c>
      <c r="P2153" s="2">
        <v>0</v>
      </c>
      <c r="Q2153">
        <v>0</v>
      </c>
      <c r="R2153" s="2">
        <v>0</v>
      </c>
      <c r="S2153" s="2">
        <v>0</v>
      </c>
      <c r="T2153" t="s">
        <v>1142</v>
      </c>
      <c r="U2153" s="2">
        <v>0</v>
      </c>
      <c r="V2153" s="2">
        <f>20+2+22</f>
        <v>44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</row>
    <row r="2154" spans="1:28" hidden="1" x14ac:dyDescent="0.25">
      <c r="A2154" t="s">
        <v>33</v>
      </c>
      <c r="B2154" t="s">
        <v>34</v>
      </c>
      <c r="C2154" t="s">
        <v>35</v>
      </c>
      <c r="D2154" s="1">
        <v>45996</v>
      </c>
      <c r="E2154" s="1">
        <v>45996</v>
      </c>
      <c r="F2154" s="2">
        <v>53</v>
      </c>
      <c r="G2154" s="3" t="s">
        <v>23</v>
      </c>
      <c r="H2154">
        <f>8+8</f>
        <v>16</v>
      </c>
      <c r="I2154" s="2">
        <v>0</v>
      </c>
      <c r="J2154" s="2">
        <v>1</v>
      </c>
      <c r="K2154" s="2">
        <v>1</v>
      </c>
      <c r="L2154" s="2">
        <v>0</v>
      </c>
      <c r="M2154">
        <v>0</v>
      </c>
      <c r="N2154">
        <v>0</v>
      </c>
      <c r="O2154" s="2">
        <v>0</v>
      </c>
      <c r="P2154" s="2">
        <v>0</v>
      </c>
      <c r="Q2154">
        <v>1</v>
      </c>
      <c r="R2154" s="2">
        <v>0</v>
      </c>
      <c r="S2154" s="2">
        <v>0</v>
      </c>
      <c r="T2154" t="s">
        <v>1143</v>
      </c>
      <c r="U2154" s="2">
        <v>0</v>
      </c>
      <c r="V2154" s="2">
        <f>20+16+2+20+20</f>
        <v>78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</row>
    <row r="2155" spans="1:28" hidden="1" x14ac:dyDescent="0.25">
      <c r="A2155" t="s">
        <v>56</v>
      </c>
      <c r="B2155" t="s">
        <v>47</v>
      </c>
      <c r="C2155" t="s">
        <v>64</v>
      </c>
      <c r="D2155" s="1">
        <v>45996</v>
      </c>
      <c r="E2155" s="1">
        <v>45996</v>
      </c>
      <c r="F2155" s="2">
        <v>27</v>
      </c>
      <c r="G2155" s="3" t="s">
        <v>23</v>
      </c>
      <c r="H2155">
        <f>18+18</f>
        <v>36</v>
      </c>
      <c r="I2155" s="2">
        <v>0</v>
      </c>
      <c r="J2155" s="2">
        <v>1</v>
      </c>
      <c r="K2155" s="2">
        <v>1</v>
      </c>
      <c r="L2155" s="2">
        <v>0</v>
      </c>
      <c r="M2155">
        <v>0</v>
      </c>
      <c r="N2155">
        <v>0</v>
      </c>
      <c r="O2155" s="2">
        <v>0</v>
      </c>
      <c r="P2155" s="2">
        <v>0</v>
      </c>
      <c r="Q2155">
        <v>0</v>
      </c>
      <c r="R2155" s="2">
        <v>0</v>
      </c>
      <c r="S2155" s="2">
        <v>0</v>
      </c>
      <c r="T2155" t="s">
        <v>1144</v>
      </c>
      <c r="U2155" s="2">
        <v>0</v>
      </c>
      <c r="V2155" s="2">
        <f>20+2+20+22</f>
        <v>64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</row>
    <row r="2156" spans="1:28" hidden="1" x14ac:dyDescent="0.25">
      <c r="A2156" t="s">
        <v>730</v>
      </c>
      <c r="B2156" t="s">
        <v>47</v>
      </c>
      <c r="C2156" t="s">
        <v>64</v>
      </c>
      <c r="D2156" s="1">
        <v>45996</v>
      </c>
      <c r="E2156" s="1">
        <v>45996</v>
      </c>
      <c r="F2156" s="2">
        <v>27</v>
      </c>
      <c r="G2156" s="3" t="s">
        <v>23</v>
      </c>
      <c r="H2156">
        <f>18+18</f>
        <v>36</v>
      </c>
      <c r="I2156" s="2">
        <v>0</v>
      </c>
      <c r="J2156" s="2">
        <v>1</v>
      </c>
      <c r="K2156" s="2">
        <v>1</v>
      </c>
      <c r="L2156" s="2">
        <v>0</v>
      </c>
      <c r="M2156">
        <v>0</v>
      </c>
      <c r="N2156">
        <v>0</v>
      </c>
      <c r="O2156" s="2">
        <v>0</v>
      </c>
      <c r="P2156" s="2">
        <v>0</v>
      </c>
      <c r="Q2156">
        <v>0</v>
      </c>
      <c r="R2156" s="2">
        <v>0</v>
      </c>
      <c r="S2156" s="2">
        <v>0</v>
      </c>
      <c r="T2156" t="s">
        <v>1144</v>
      </c>
      <c r="U2156" s="2">
        <v>0</v>
      </c>
      <c r="V2156" s="2">
        <f>20+2+20+22</f>
        <v>64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</row>
    <row r="2157" spans="1:28" hidden="1" x14ac:dyDescent="0.25">
      <c r="A2157" t="s">
        <v>20</v>
      </c>
      <c r="B2157" t="s">
        <v>21</v>
      </c>
      <c r="C2157" t="s">
        <v>1141</v>
      </c>
      <c r="D2157" s="1">
        <v>45996</v>
      </c>
      <c r="E2157" s="1">
        <v>45996</v>
      </c>
      <c r="F2157" s="2">
        <v>58</v>
      </c>
      <c r="G2157" s="3" t="s">
        <v>23</v>
      </c>
      <c r="H2157">
        <f>14+14</f>
        <v>28</v>
      </c>
      <c r="I2157" s="2">
        <v>0</v>
      </c>
      <c r="J2157" s="2">
        <v>1</v>
      </c>
      <c r="K2157" s="2">
        <v>1</v>
      </c>
      <c r="L2157" s="2">
        <v>0</v>
      </c>
      <c r="M2157">
        <v>0</v>
      </c>
      <c r="N2157">
        <v>0</v>
      </c>
      <c r="O2157" s="2">
        <v>0</v>
      </c>
      <c r="P2157" s="2">
        <v>0</v>
      </c>
      <c r="Q2157">
        <v>0</v>
      </c>
      <c r="R2157" s="2">
        <v>0</v>
      </c>
      <c r="S2157" s="2">
        <v>0</v>
      </c>
      <c r="T2157" t="s">
        <v>1142</v>
      </c>
      <c r="U2157" s="2">
        <v>0</v>
      </c>
      <c r="V2157" s="2">
        <f>20+8+22+1</f>
        <v>51</v>
      </c>
      <c r="W2157" s="2">
        <v>2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</row>
    <row r="2158" spans="1:28" hidden="1" x14ac:dyDescent="0.25">
      <c r="A2158" t="s">
        <v>568</v>
      </c>
      <c r="B2158" t="s">
        <v>30</v>
      </c>
      <c r="C2158" t="s">
        <v>1141</v>
      </c>
      <c r="D2158" s="1">
        <v>45996</v>
      </c>
      <c r="E2158" s="1">
        <v>45996</v>
      </c>
      <c r="F2158" s="2">
        <v>58</v>
      </c>
      <c r="G2158" s="3" t="s">
        <v>23</v>
      </c>
      <c r="H2158">
        <v>0</v>
      </c>
      <c r="I2158" s="2">
        <v>0</v>
      </c>
      <c r="J2158" s="2">
        <v>0</v>
      </c>
      <c r="K2158" s="2">
        <v>0</v>
      </c>
      <c r="L2158" s="2">
        <v>0</v>
      </c>
      <c r="M2158">
        <v>0</v>
      </c>
      <c r="N2158">
        <v>0</v>
      </c>
      <c r="O2158" s="2">
        <v>0</v>
      </c>
      <c r="P2158" s="2">
        <v>0</v>
      </c>
      <c r="Q2158">
        <v>0</v>
      </c>
      <c r="R2158" s="2">
        <v>0</v>
      </c>
      <c r="S2158" s="2">
        <v>0</v>
      </c>
      <c r="T2158" t="s">
        <v>1142</v>
      </c>
      <c r="U2158" s="2">
        <v>0</v>
      </c>
      <c r="V2158" s="2">
        <f>14+2</f>
        <v>16</v>
      </c>
      <c r="W2158" s="2">
        <v>3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</row>
    <row r="2159" spans="1:28" hidden="1" x14ac:dyDescent="0.25">
      <c r="A2159" t="s">
        <v>53</v>
      </c>
      <c r="B2159" t="s">
        <v>38</v>
      </c>
      <c r="C2159" t="s">
        <v>1141</v>
      </c>
      <c r="D2159" s="1">
        <v>45996</v>
      </c>
      <c r="E2159" s="1">
        <v>45996</v>
      </c>
      <c r="F2159" s="2">
        <v>58</v>
      </c>
      <c r="G2159" s="3" t="s">
        <v>23</v>
      </c>
      <c r="H2159">
        <v>0</v>
      </c>
      <c r="I2159" s="2">
        <v>0</v>
      </c>
      <c r="J2159" s="2">
        <v>0</v>
      </c>
      <c r="K2159" s="2">
        <v>0</v>
      </c>
      <c r="L2159" s="2">
        <v>0</v>
      </c>
      <c r="M2159">
        <v>0</v>
      </c>
      <c r="N2159">
        <v>0</v>
      </c>
      <c r="O2159" s="2">
        <v>0</v>
      </c>
      <c r="P2159" s="2">
        <v>0</v>
      </c>
      <c r="Q2159">
        <v>1</v>
      </c>
      <c r="R2159" s="2">
        <v>0</v>
      </c>
      <c r="S2159" s="2">
        <v>0</v>
      </c>
      <c r="T2159" t="s">
        <v>1142</v>
      </c>
      <c r="U2159" s="2">
        <v>0</v>
      </c>
      <c r="V2159" s="2">
        <v>62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</row>
    <row r="2160" spans="1:28" hidden="1" x14ac:dyDescent="0.25">
      <c r="A2160" t="s">
        <v>37</v>
      </c>
      <c r="B2160" t="s">
        <v>47</v>
      </c>
      <c r="C2160" t="s">
        <v>35</v>
      </c>
      <c r="D2160" s="1">
        <v>45996</v>
      </c>
      <c r="E2160" s="1">
        <v>45996</v>
      </c>
      <c r="F2160" s="2">
        <v>21</v>
      </c>
      <c r="G2160" s="3" t="s">
        <v>48</v>
      </c>
      <c r="H2160">
        <v>0</v>
      </c>
      <c r="I2160" s="2">
        <v>0</v>
      </c>
      <c r="J2160" s="2">
        <v>0</v>
      </c>
      <c r="K2160" s="2">
        <v>0</v>
      </c>
      <c r="L2160" s="2">
        <v>0</v>
      </c>
      <c r="M2160">
        <v>0</v>
      </c>
      <c r="N2160">
        <v>0</v>
      </c>
      <c r="O2160" s="2">
        <v>0</v>
      </c>
      <c r="P2160" s="2">
        <v>0</v>
      </c>
      <c r="Q2160">
        <v>0</v>
      </c>
      <c r="R2160" s="2">
        <v>0</v>
      </c>
      <c r="S2160" s="2">
        <v>0</v>
      </c>
      <c r="T2160" t="s">
        <v>1125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</row>
    <row r="2161" spans="1:28" hidden="1" x14ac:dyDescent="0.25">
      <c r="A2161" t="s">
        <v>47</v>
      </c>
      <c r="B2161" t="s">
        <v>52</v>
      </c>
      <c r="C2161" t="s">
        <v>212</v>
      </c>
      <c r="D2161" s="1">
        <v>45996</v>
      </c>
      <c r="E2161" s="1">
        <v>45996</v>
      </c>
      <c r="F2161" s="2">
        <v>0</v>
      </c>
      <c r="G2161" s="3" t="s">
        <v>572</v>
      </c>
      <c r="H2161">
        <v>0</v>
      </c>
      <c r="I2161" s="2">
        <v>0</v>
      </c>
      <c r="J2161" s="2">
        <v>0</v>
      </c>
      <c r="K2161" s="2">
        <v>0</v>
      </c>
      <c r="L2161" s="2">
        <v>0</v>
      </c>
      <c r="M2161">
        <v>0</v>
      </c>
      <c r="N2161">
        <v>0</v>
      </c>
      <c r="O2161" s="2">
        <v>0</v>
      </c>
      <c r="P2161" s="2">
        <v>0</v>
      </c>
      <c r="Q2161">
        <v>0</v>
      </c>
      <c r="R2161" s="2">
        <v>0</v>
      </c>
      <c r="S2161" s="2">
        <v>0</v>
      </c>
      <c r="T2161" t="s">
        <v>377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</row>
    <row r="2162" spans="1:28" hidden="1" x14ac:dyDescent="0.25">
      <c r="A2162" t="s">
        <v>25</v>
      </c>
      <c r="B2162" t="s">
        <v>26</v>
      </c>
      <c r="C2162" t="s">
        <v>27</v>
      </c>
      <c r="D2162" s="9">
        <v>45997</v>
      </c>
      <c r="E2162" s="9">
        <v>45997</v>
      </c>
      <c r="F2162" s="2">
        <v>33</v>
      </c>
      <c r="G2162" s="3" t="s">
        <v>23</v>
      </c>
      <c r="H2162">
        <v>0</v>
      </c>
      <c r="I2162" s="2">
        <v>0</v>
      </c>
      <c r="J2162" s="2">
        <v>0</v>
      </c>
      <c r="K2162" s="2">
        <v>0</v>
      </c>
      <c r="L2162" s="2">
        <v>0</v>
      </c>
      <c r="M2162">
        <v>0</v>
      </c>
      <c r="N2162">
        <v>0</v>
      </c>
      <c r="O2162" s="2">
        <v>1</v>
      </c>
      <c r="P2162" s="2">
        <v>0</v>
      </c>
      <c r="Q2162">
        <v>2</v>
      </c>
      <c r="R2162" s="2">
        <v>1</v>
      </c>
      <c r="S2162" s="2">
        <v>0</v>
      </c>
      <c r="T2162" t="s">
        <v>1145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</row>
    <row r="2163" spans="1:28" hidden="1" x14ac:dyDescent="0.25">
      <c r="A2163" t="s">
        <v>37</v>
      </c>
      <c r="B2163" t="s">
        <v>57</v>
      </c>
      <c r="C2163" t="s">
        <v>39</v>
      </c>
      <c r="D2163" s="9">
        <v>45997</v>
      </c>
      <c r="E2163" s="9">
        <v>45997</v>
      </c>
      <c r="F2163" s="2">
        <v>23</v>
      </c>
      <c r="G2163" s="3" t="s">
        <v>23</v>
      </c>
      <c r="H2163">
        <v>0</v>
      </c>
      <c r="I2163" s="2">
        <v>0</v>
      </c>
      <c r="J2163" s="2">
        <v>0</v>
      </c>
      <c r="K2163" s="2">
        <v>0</v>
      </c>
      <c r="L2163" s="2">
        <v>0</v>
      </c>
      <c r="M2163">
        <v>0</v>
      </c>
      <c r="N2163">
        <v>0</v>
      </c>
      <c r="O2163" s="2">
        <v>1</v>
      </c>
      <c r="P2163" s="2">
        <v>0</v>
      </c>
      <c r="Q2163">
        <v>8</v>
      </c>
      <c r="R2163" s="2">
        <v>1</v>
      </c>
      <c r="S2163" s="2">
        <v>0</v>
      </c>
      <c r="T2163" t="s">
        <v>1146</v>
      </c>
      <c r="U2163" s="2">
        <v>16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1</v>
      </c>
      <c r="AB2163" s="2">
        <v>0</v>
      </c>
    </row>
    <row r="2164" spans="1:28" hidden="1" x14ac:dyDescent="0.25">
      <c r="A2164" t="s">
        <v>33</v>
      </c>
      <c r="B2164" t="s">
        <v>34</v>
      </c>
      <c r="C2164" t="s">
        <v>35</v>
      </c>
      <c r="D2164" s="9">
        <v>45997</v>
      </c>
      <c r="E2164" s="9">
        <v>45997</v>
      </c>
      <c r="F2164" s="2">
        <v>48</v>
      </c>
      <c r="G2164" s="3" t="s">
        <v>23</v>
      </c>
      <c r="H2164">
        <v>0</v>
      </c>
      <c r="I2164" s="2">
        <v>0</v>
      </c>
      <c r="J2164" s="2">
        <v>0</v>
      </c>
      <c r="K2164" s="2">
        <v>0</v>
      </c>
      <c r="L2164" s="2">
        <v>0</v>
      </c>
      <c r="M2164">
        <v>0</v>
      </c>
      <c r="N2164">
        <v>0</v>
      </c>
      <c r="O2164" s="2">
        <v>1</v>
      </c>
      <c r="P2164" s="2">
        <v>0</v>
      </c>
      <c r="Q2164">
        <v>1</v>
      </c>
      <c r="R2164" s="2">
        <v>1</v>
      </c>
      <c r="S2164" s="2">
        <v>0</v>
      </c>
      <c r="T2164" t="s">
        <v>1147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</row>
    <row r="2165" spans="1:28" hidden="1" x14ac:dyDescent="0.25">
      <c r="A2165" t="s">
        <v>56</v>
      </c>
      <c r="B2165" t="s">
        <v>47</v>
      </c>
      <c r="C2165" t="s">
        <v>64</v>
      </c>
      <c r="D2165" s="9">
        <v>45997</v>
      </c>
      <c r="E2165" s="9">
        <v>45997</v>
      </c>
      <c r="F2165" s="2">
        <v>29</v>
      </c>
      <c r="G2165" s="3" t="s">
        <v>23</v>
      </c>
      <c r="H2165">
        <v>0</v>
      </c>
      <c r="I2165" s="2">
        <v>0</v>
      </c>
      <c r="J2165" s="2">
        <v>0</v>
      </c>
      <c r="K2165" s="2">
        <v>0</v>
      </c>
      <c r="L2165" s="2">
        <v>0</v>
      </c>
      <c r="M2165">
        <v>0</v>
      </c>
      <c r="N2165">
        <v>0</v>
      </c>
      <c r="O2165" s="2">
        <v>1</v>
      </c>
      <c r="P2165" s="2">
        <v>0</v>
      </c>
      <c r="Q2165">
        <v>0</v>
      </c>
      <c r="R2165" s="2">
        <v>1</v>
      </c>
      <c r="S2165" s="2">
        <v>0</v>
      </c>
      <c r="T2165" t="s">
        <v>1148</v>
      </c>
      <c r="U2165" s="2">
        <v>21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</row>
    <row r="2166" spans="1:28" hidden="1" x14ac:dyDescent="0.25">
      <c r="A2166" t="s">
        <v>730</v>
      </c>
      <c r="B2166" t="s">
        <v>47</v>
      </c>
      <c r="C2166" t="s">
        <v>64</v>
      </c>
      <c r="D2166" s="9">
        <v>45997</v>
      </c>
      <c r="E2166" s="9">
        <v>45997</v>
      </c>
      <c r="F2166" s="2">
        <v>29</v>
      </c>
      <c r="G2166" s="3" t="s">
        <v>23</v>
      </c>
      <c r="H2166">
        <v>0</v>
      </c>
      <c r="I2166" s="2">
        <v>0</v>
      </c>
      <c r="J2166" s="2">
        <v>0</v>
      </c>
      <c r="K2166" s="2">
        <v>0</v>
      </c>
      <c r="L2166" s="2">
        <v>0</v>
      </c>
      <c r="M2166">
        <v>0</v>
      </c>
      <c r="N2166">
        <v>0</v>
      </c>
      <c r="O2166" s="2">
        <v>1</v>
      </c>
      <c r="P2166" s="2">
        <v>0</v>
      </c>
      <c r="Q2166">
        <v>0</v>
      </c>
      <c r="R2166" s="2">
        <v>1</v>
      </c>
      <c r="S2166" s="2">
        <v>0</v>
      </c>
      <c r="T2166" t="s">
        <v>1148</v>
      </c>
      <c r="U2166" s="2">
        <v>21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</row>
    <row r="2167" spans="1:28" hidden="1" x14ac:dyDescent="0.25">
      <c r="A2167" t="s">
        <v>20</v>
      </c>
      <c r="B2167" t="s">
        <v>21</v>
      </c>
      <c r="C2167" t="s">
        <v>22</v>
      </c>
      <c r="D2167" s="9">
        <v>45997</v>
      </c>
      <c r="E2167" s="9">
        <v>45997</v>
      </c>
      <c r="F2167" s="2">
        <v>41</v>
      </c>
      <c r="G2167" s="3" t="s">
        <v>23</v>
      </c>
      <c r="H2167">
        <v>0</v>
      </c>
      <c r="I2167" s="2">
        <v>0</v>
      </c>
      <c r="J2167" s="2">
        <v>0</v>
      </c>
      <c r="K2167" s="2">
        <v>0</v>
      </c>
      <c r="L2167" s="2">
        <v>0</v>
      </c>
      <c r="M2167">
        <v>0</v>
      </c>
      <c r="N2167">
        <v>0</v>
      </c>
      <c r="O2167" s="2">
        <v>1</v>
      </c>
      <c r="P2167" s="2">
        <v>0</v>
      </c>
      <c r="Q2167">
        <v>2</v>
      </c>
      <c r="R2167" s="2">
        <v>1</v>
      </c>
      <c r="S2167" s="2">
        <v>0</v>
      </c>
      <c r="T2167" t="s">
        <v>1149</v>
      </c>
      <c r="U2167" s="2">
        <v>20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</row>
    <row r="2168" spans="1:28" hidden="1" x14ac:dyDescent="0.25">
      <c r="A2168" t="s">
        <v>53</v>
      </c>
      <c r="B2168" t="s">
        <v>38</v>
      </c>
      <c r="C2168" t="s">
        <v>212</v>
      </c>
      <c r="D2168" s="9">
        <v>45997</v>
      </c>
      <c r="E2168" s="9">
        <v>45997</v>
      </c>
      <c r="F2168" s="2">
        <v>0</v>
      </c>
      <c r="G2168" s="3" t="s">
        <v>378</v>
      </c>
      <c r="H2168">
        <v>0</v>
      </c>
      <c r="I2168" s="2">
        <v>0</v>
      </c>
      <c r="J2168" s="2">
        <v>0</v>
      </c>
      <c r="K2168" s="2">
        <v>0</v>
      </c>
      <c r="L2168" s="2">
        <v>0</v>
      </c>
      <c r="M2168">
        <v>0</v>
      </c>
      <c r="N2168">
        <v>0</v>
      </c>
      <c r="O2168" s="2">
        <v>0</v>
      </c>
      <c r="P2168" s="2">
        <v>0</v>
      </c>
      <c r="Q2168">
        <v>0</v>
      </c>
      <c r="R2168" s="2">
        <v>0</v>
      </c>
      <c r="S2168" s="2">
        <v>0</v>
      </c>
      <c r="T2168" t="s">
        <v>377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</row>
    <row r="2169" spans="1:28" hidden="1" x14ac:dyDescent="0.25">
      <c r="A2169" t="s">
        <v>568</v>
      </c>
      <c r="B2169" t="s">
        <v>47</v>
      </c>
      <c r="C2169" t="s">
        <v>212</v>
      </c>
      <c r="D2169" s="9">
        <v>45997</v>
      </c>
      <c r="E2169" s="9">
        <v>45997</v>
      </c>
      <c r="F2169" s="2">
        <v>0</v>
      </c>
      <c r="G2169" s="3" t="s">
        <v>378</v>
      </c>
      <c r="H2169">
        <v>0</v>
      </c>
      <c r="I2169" s="2">
        <v>0</v>
      </c>
      <c r="J2169" s="2">
        <v>0</v>
      </c>
      <c r="K2169" s="2">
        <v>0</v>
      </c>
      <c r="L2169" s="2">
        <v>0</v>
      </c>
      <c r="M2169">
        <v>0</v>
      </c>
      <c r="N2169">
        <v>0</v>
      </c>
      <c r="O2169" s="2">
        <v>0</v>
      </c>
      <c r="P2169" s="2">
        <v>0</v>
      </c>
      <c r="Q2169">
        <v>0</v>
      </c>
      <c r="R2169" s="2">
        <v>0</v>
      </c>
      <c r="S2169" s="2">
        <v>0</v>
      </c>
      <c r="T2169" t="s">
        <v>377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</row>
    <row r="2170" spans="1:28" hidden="1" x14ac:dyDescent="0.25">
      <c r="A2170" t="s">
        <v>29</v>
      </c>
      <c r="B2170" t="s">
        <v>30</v>
      </c>
      <c r="C2170" t="s">
        <v>212</v>
      </c>
      <c r="D2170" s="9">
        <v>45997</v>
      </c>
      <c r="E2170" s="9">
        <v>45997</v>
      </c>
      <c r="F2170" s="2">
        <v>0</v>
      </c>
      <c r="G2170" s="3" t="s">
        <v>378</v>
      </c>
      <c r="H2170">
        <v>0</v>
      </c>
      <c r="I2170" s="2">
        <v>0</v>
      </c>
      <c r="J2170" s="2">
        <v>0</v>
      </c>
      <c r="K2170" s="2">
        <v>0</v>
      </c>
      <c r="L2170" s="2">
        <v>0</v>
      </c>
      <c r="M2170">
        <v>0</v>
      </c>
      <c r="N2170">
        <v>0</v>
      </c>
      <c r="O2170" s="2">
        <v>0</v>
      </c>
      <c r="P2170" s="2">
        <v>0</v>
      </c>
      <c r="Q2170">
        <v>0</v>
      </c>
      <c r="R2170" s="2">
        <v>0</v>
      </c>
      <c r="S2170" s="2">
        <v>0</v>
      </c>
      <c r="T2170" t="s">
        <v>377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</row>
    <row r="2171" spans="1:28" hidden="1" x14ac:dyDescent="0.25">
      <c r="A2171" t="s">
        <v>47</v>
      </c>
      <c r="B2171" t="s">
        <v>52</v>
      </c>
      <c r="C2171" t="s">
        <v>212</v>
      </c>
      <c r="D2171" s="9">
        <v>45997</v>
      </c>
      <c r="E2171" s="9">
        <v>45997</v>
      </c>
      <c r="F2171" s="2">
        <v>0</v>
      </c>
      <c r="G2171" s="3" t="s">
        <v>378</v>
      </c>
      <c r="H2171">
        <v>0</v>
      </c>
      <c r="I2171" s="2">
        <v>0</v>
      </c>
      <c r="J2171" s="2">
        <v>0</v>
      </c>
      <c r="K2171" s="2">
        <v>0</v>
      </c>
      <c r="L2171" s="2">
        <v>0</v>
      </c>
      <c r="M2171">
        <v>0</v>
      </c>
      <c r="N2171">
        <v>0</v>
      </c>
      <c r="O2171" s="2">
        <v>0</v>
      </c>
      <c r="P2171" s="2">
        <v>0</v>
      </c>
      <c r="Q2171">
        <v>0</v>
      </c>
      <c r="R2171" s="2">
        <v>0</v>
      </c>
      <c r="S2171" s="2">
        <v>0</v>
      </c>
      <c r="T2171" t="s">
        <v>377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</row>
    <row r="2172" spans="1:28" hidden="1" x14ac:dyDescent="0.25">
      <c r="A2172" t="s">
        <v>25</v>
      </c>
      <c r="B2172" t="s">
        <v>26</v>
      </c>
      <c r="C2172" t="s">
        <v>27</v>
      </c>
      <c r="D2172" s="9">
        <v>45998</v>
      </c>
      <c r="E2172" s="9">
        <v>45998</v>
      </c>
      <c r="F2172" s="2">
        <v>25</v>
      </c>
      <c r="G2172" s="3" t="s">
        <v>23</v>
      </c>
      <c r="H2172">
        <v>0</v>
      </c>
      <c r="I2172" s="2">
        <v>0</v>
      </c>
      <c r="J2172" s="2">
        <v>0</v>
      </c>
      <c r="K2172" s="2">
        <v>0</v>
      </c>
      <c r="L2172" s="2">
        <v>0</v>
      </c>
      <c r="M2172">
        <v>0</v>
      </c>
      <c r="N2172">
        <v>0</v>
      </c>
      <c r="O2172" s="2">
        <v>0</v>
      </c>
      <c r="P2172" s="2">
        <v>1</v>
      </c>
      <c r="Q2172">
        <v>8</v>
      </c>
      <c r="R2172" s="2">
        <v>0</v>
      </c>
      <c r="S2172" s="2">
        <v>1</v>
      </c>
      <c r="T2172" t="s">
        <v>1150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</row>
    <row r="2173" spans="1:28" hidden="1" x14ac:dyDescent="0.25">
      <c r="A2173" t="s">
        <v>37</v>
      </c>
      <c r="B2173" t="s">
        <v>57</v>
      </c>
      <c r="C2173" t="s">
        <v>39</v>
      </c>
      <c r="D2173" s="9">
        <v>45998</v>
      </c>
      <c r="E2173" s="9">
        <v>45998</v>
      </c>
      <c r="F2173" s="2">
        <v>21</v>
      </c>
      <c r="G2173" s="3" t="s">
        <v>23</v>
      </c>
      <c r="H2173">
        <v>0</v>
      </c>
      <c r="I2173" s="2">
        <v>0</v>
      </c>
      <c r="J2173" s="2">
        <v>0</v>
      </c>
      <c r="K2173" s="2">
        <v>0</v>
      </c>
      <c r="L2173" s="2">
        <v>0</v>
      </c>
      <c r="M2173">
        <v>0</v>
      </c>
      <c r="N2173">
        <v>0</v>
      </c>
      <c r="O2173" s="2">
        <v>0</v>
      </c>
      <c r="P2173" s="2">
        <v>1</v>
      </c>
      <c r="Q2173">
        <v>11</v>
      </c>
      <c r="R2173" s="2">
        <v>0</v>
      </c>
      <c r="S2173" s="2">
        <v>1</v>
      </c>
      <c r="T2173" t="s">
        <v>1151</v>
      </c>
      <c r="U2173" s="2">
        <v>16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1</v>
      </c>
    </row>
    <row r="2174" spans="1:28" hidden="1" x14ac:dyDescent="0.25">
      <c r="A2174" t="s">
        <v>33</v>
      </c>
      <c r="B2174" t="s">
        <v>34</v>
      </c>
      <c r="C2174" t="s">
        <v>35</v>
      </c>
      <c r="D2174" s="9">
        <v>45998</v>
      </c>
      <c r="E2174" s="9">
        <v>45998</v>
      </c>
      <c r="F2174" s="2">
        <v>40</v>
      </c>
      <c r="G2174" s="3" t="s">
        <v>23</v>
      </c>
      <c r="H2174">
        <v>0</v>
      </c>
      <c r="I2174" s="2">
        <v>0</v>
      </c>
      <c r="J2174" s="2">
        <v>0</v>
      </c>
      <c r="K2174" s="2">
        <v>0</v>
      </c>
      <c r="L2174" s="2">
        <v>0</v>
      </c>
      <c r="M2174">
        <v>0</v>
      </c>
      <c r="N2174">
        <v>0</v>
      </c>
      <c r="O2174" s="2">
        <v>0</v>
      </c>
      <c r="P2174" s="2">
        <v>1</v>
      </c>
      <c r="Q2174">
        <v>5</v>
      </c>
      <c r="R2174" s="2">
        <v>0</v>
      </c>
      <c r="S2174" s="2">
        <v>1</v>
      </c>
      <c r="T2174" t="s">
        <v>1152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</row>
    <row r="2175" spans="1:28" hidden="1" x14ac:dyDescent="0.25">
      <c r="A2175" t="s">
        <v>56</v>
      </c>
      <c r="B2175" t="s">
        <v>47</v>
      </c>
      <c r="C2175" t="s">
        <v>64</v>
      </c>
      <c r="D2175" s="9">
        <v>45998</v>
      </c>
      <c r="E2175" s="9">
        <v>45998</v>
      </c>
      <c r="F2175" s="2">
        <v>17</v>
      </c>
      <c r="G2175" s="3" t="s">
        <v>23</v>
      </c>
      <c r="H2175">
        <v>0</v>
      </c>
      <c r="I2175" s="2">
        <v>0</v>
      </c>
      <c r="J2175" s="2">
        <v>0</v>
      </c>
      <c r="K2175" s="2">
        <v>0</v>
      </c>
      <c r="L2175" s="2">
        <v>0</v>
      </c>
      <c r="M2175">
        <v>0</v>
      </c>
      <c r="N2175">
        <v>0</v>
      </c>
      <c r="O2175" s="2">
        <v>0</v>
      </c>
      <c r="P2175" s="2">
        <v>1</v>
      </c>
      <c r="Q2175">
        <v>7</v>
      </c>
      <c r="R2175" s="2">
        <v>0</v>
      </c>
      <c r="S2175" s="2">
        <v>1</v>
      </c>
      <c r="T2175" t="s">
        <v>1153</v>
      </c>
      <c r="U2175" s="2">
        <v>20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</row>
    <row r="2176" spans="1:28" hidden="1" x14ac:dyDescent="0.25">
      <c r="A2176" t="s">
        <v>730</v>
      </c>
      <c r="B2176" t="s">
        <v>47</v>
      </c>
      <c r="C2176" t="s">
        <v>64</v>
      </c>
      <c r="D2176" s="9">
        <v>45998</v>
      </c>
      <c r="E2176" s="9">
        <v>45998</v>
      </c>
      <c r="F2176" s="2">
        <v>17</v>
      </c>
      <c r="G2176" s="3" t="s">
        <v>23</v>
      </c>
      <c r="H2176">
        <v>0</v>
      </c>
      <c r="I2176" s="2">
        <v>0</v>
      </c>
      <c r="J2176" s="2">
        <v>0</v>
      </c>
      <c r="K2176" s="2">
        <v>0</v>
      </c>
      <c r="L2176" s="2">
        <v>0</v>
      </c>
      <c r="M2176">
        <v>0</v>
      </c>
      <c r="N2176">
        <v>0</v>
      </c>
      <c r="O2176" s="2">
        <v>0</v>
      </c>
      <c r="P2176" s="2">
        <v>1</v>
      </c>
      <c r="Q2176">
        <v>7</v>
      </c>
      <c r="R2176" s="2">
        <v>0</v>
      </c>
      <c r="S2176" s="2">
        <v>1</v>
      </c>
      <c r="T2176" t="s">
        <v>1153</v>
      </c>
      <c r="U2176" s="2">
        <v>20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</row>
    <row r="2177" spans="1:28" hidden="1" x14ac:dyDescent="0.25">
      <c r="A2177" t="s">
        <v>20</v>
      </c>
      <c r="B2177" t="s">
        <v>21</v>
      </c>
      <c r="C2177" t="s">
        <v>22</v>
      </c>
      <c r="D2177" s="9">
        <v>45998</v>
      </c>
      <c r="E2177" s="9">
        <v>45998</v>
      </c>
      <c r="F2177" s="2">
        <v>43</v>
      </c>
      <c r="G2177" s="3" t="s">
        <v>23</v>
      </c>
      <c r="H2177">
        <v>0</v>
      </c>
      <c r="I2177" s="2">
        <v>0</v>
      </c>
      <c r="J2177" s="2">
        <v>0</v>
      </c>
      <c r="K2177" s="2">
        <v>0</v>
      </c>
      <c r="L2177" s="2">
        <v>0</v>
      </c>
      <c r="M2177">
        <v>0</v>
      </c>
      <c r="N2177">
        <v>0</v>
      </c>
      <c r="O2177" s="2">
        <v>0</v>
      </c>
      <c r="P2177" s="2">
        <v>1</v>
      </c>
      <c r="Q2177">
        <v>6</v>
      </c>
      <c r="R2177" s="2">
        <v>0</v>
      </c>
      <c r="S2177" s="2">
        <v>1</v>
      </c>
      <c r="T2177" t="s">
        <v>1154</v>
      </c>
      <c r="U2177" s="2">
        <v>20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</row>
    <row r="2178" spans="1:28" hidden="1" x14ac:dyDescent="0.25">
      <c r="A2178" t="s">
        <v>53</v>
      </c>
      <c r="B2178" t="s">
        <v>38</v>
      </c>
      <c r="C2178" t="s">
        <v>212</v>
      </c>
      <c r="D2178" s="9">
        <v>45998</v>
      </c>
      <c r="E2178" s="9">
        <v>45998</v>
      </c>
      <c r="F2178" s="2">
        <v>0</v>
      </c>
      <c r="G2178" s="3" t="s">
        <v>378</v>
      </c>
      <c r="H2178">
        <v>0</v>
      </c>
      <c r="I2178" s="2">
        <v>0</v>
      </c>
      <c r="J2178" s="2">
        <v>0</v>
      </c>
      <c r="K2178" s="2">
        <v>0</v>
      </c>
      <c r="L2178" s="2">
        <v>0</v>
      </c>
      <c r="M2178">
        <v>0</v>
      </c>
      <c r="N2178">
        <v>0</v>
      </c>
      <c r="O2178" s="2">
        <v>0</v>
      </c>
      <c r="P2178" s="2">
        <v>0</v>
      </c>
      <c r="Q2178">
        <v>0</v>
      </c>
      <c r="R2178" s="2">
        <v>0</v>
      </c>
      <c r="S2178" s="2">
        <v>0</v>
      </c>
      <c r="T2178" t="s">
        <v>377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</row>
    <row r="2179" spans="1:28" hidden="1" x14ac:dyDescent="0.25">
      <c r="A2179" t="s">
        <v>568</v>
      </c>
      <c r="B2179" t="s">
        <v>47</v>
      </c>
      <c r="C2179" t="s">
        <v>212</v>
      </c>
      <c r="D2179" s="9">
        <v>45998</v>
      </c>
      <c r="E2179" s="9">
        <v>45998</v>
      </c>
      <c r="F2179" s="2">
        <v>0</v>
      </c>
      <c r="G2179" s="3" t="s">
        <v>378</v>
      </c>
      <c r="H2179">
        <v>0</v>
      </c>
      <c r="I2179" s="2">
        <v>0</v>
      </c>
      <c r="J2179" s="2">
        <v>0</v>
      </c>
      <c r="K2179" s="2">
        <v>0</v>
      </c>
      <c r="L2179" s="2">
        <v>0</v>
      </c>
      <c r="M2179">
        <v>0</v>
      </c>
      <c r="N2179">
        <v>0</v>
      </c>
      <c r="O2179" s="2">
        <v>0</v>
      </c>
      <c r="P2179" s="2">
        <v>0</v>
      </c>
      <c r="Q2179">
        <v>0</v>
      </c>
      <c r="R2179" s="2">
        <v>0</v>
      </c>
      <c r="S2179" s="2">
        <v>0</v>
      </c>
      <c r="T2179" t="s">
        <v>377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</row>
    <row r="2180" spans="1:28" hidden="1" x14ac:dyDescent="0.25">
      <c r="A2180" t="s">
        <v>29</v>
      </c>
      <c r="B2180" t="s">
        <v>30</v>
      </c>
      <c r="C2180" t="s">
        <v>212</v>
      </c>
      <c r="D2180" s="9">
        <v>45998</v>
      </c>
      <c r="E2180" s="9">
        <v>45998</v>
      </c>
      <c r="F2180" s="2">
        <v>0</v>
      </c>
      <c r="G2180" s="3" t="s">
        <v>378</v>
      </c>
      <c r="H2180">
        <v>0</v>
      </c>
      <c r="I2180" s="2">
        <v>0</v>
      </c>
      <c r="J2180" s="2">
        <v>0</v>
      </c>
      <c r="K2180" s="2">
        <v>0</v>
      </c>
      <c r="L2180" s="2">
        <v>0</v>
      </c>
      <c r="M2180">
        <v>0</v>
      </c>
      <c r="N2180">
        <v>0</v>
      </c>
      <c r="O2180" s="2">
        <v>0</v>
      </c>
      <c r="P2180" s="2">
        <v>0</v>
      </c>
      <c r="Q2180">
        <v>0</v>
      </c>
      <c r="R2180" s="2">
        <v>0</v>
      </c>
      <c r="S2180" s="2">
        <v>0</v>
      </c>
      <c r="T2180" t="s">
        <v>377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</row>
    <row r="2181" spans="1:28" hidden="1" x14ac:dyDescent="0.25">
      <c r="A2181" t="s">
        <v>47</v>
      </c>
      <c r="B2181" t="s">
        <v>52</v>
      </c>
      <c r="C2181" t="s">
        <v>212</v>
      </c>
      <c r="D2181" s="9">
        <v>45998</v>
      </c>
      <c r="E2181" s="9">
        <v>45998</v>
      </c>
      <c r="F2181" s="2">
        <v>0</v>
      </c>
      <c r="G2181" s="3" t="s">
        <v>378</v>
      </c>
      <c r="H2181">
        <v>0</v>
      </c>
      <c r="I2181" s="2">
        <v>0</v>
      </c>
      <c r="J2181" s="2">
        <v>0</v>
      </c>
      <c r="K2181" s="2">
        <v>0</v>
      </c>
      <c r="L2181" s="2">
        <v>0</v>
      </c>
      <c r="M2181">
        <v>0</v>
      </c>
      <c r="N2181">
        <v>0</v>
      </c>
      <c r="O2181" s="2">
        <v>0</v>
      </c>
      <c r="P2181" s="2">
        <v>0</v>
      </c>
      <c r="Q2181">
        <v>0</v>
      </c>
      <c r="R2181" s="2">
        <v>0</v>
      </c>
      <c r="S2181" s="2">
        <v>0</v>
      </c>
      <c r="T2181" t="s">
        <v>377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</row>
    <row r="2182" spans="1:28" hidden="1" x14ac:dyDescent="0.25">
      <c r="A2182" t="s">
        <v>25</v>
      </c>
      <c r="B2182" t="s">
        <v>26</v>
      </c>
      <c r="C2182" t="s">
        <v>27</v>
      </c>
      <c r="D2182" s="9">
        <v>45999</v>
      </c>
      <c r="E2182" s="9">
        <v>45999</v>
      </c>
      <c r="F2182" s="2">
        <v>25</v>
      </c>
      <c r="G2182" s="3" t="s">
        <v>378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 t="s">
        <v>1150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</row>
    <row r="2183" spans="1:28" hidden="1" x14ac:dyDescent="0.25">
      <c r="A2183" t="s">
        <v>37</v>
      </c>
      <c r="B2183" t="s">
        <v>57</v>
      </c>
      <c r="C2183" t="s">
        <v>39</v>
      </c>
      <c r="D2183" s="9">
        <v>45999</v>
      </c>
      <c r="E2183" s="9">
        <v>45999</v>
      </c>
      <c r="F2183" s="2">
        <v>21</v>
      </c>
      <c r="G2183" s="3" t="s">
        <v>378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 t="s">
        <v>1151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</row>
    <row r="2184" spans="1:28" hidden="1" x14ac:dyDescent="0.25">
      <c r="A2184" t="s">
        <v>33</v>
      </c>
      <c r="B2184" t="s">
        <v>34</v>
      </c>
      <c r="C2184" t="s">
        <v>35</v>
      </c>
      <c r="D2184" s="9">
        <v>45999</v>
      </c>
      <c r="E2184" s="9">
        <v>45999</v>
      </c>
      <c r="F2184" s="2">
        <v>40</v>
      </c>
      <c r="G2184" s="3" t="s">
        <v>378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 t="s">
        <v>1152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</row>
    <row r="2185" spans="1:28" hidden="1" x14ac:dyDescent="0.25">
      <c r="A2185" t="s">
        <v>56</v>
      </c>
      <c r="B2185" t="s">
        <v>47</v>
      </c>
      <c r="C2185" t="s">
        <v>64</v>
      </c>
      <c r="D2185" s="9">
        <v>45999</v>
      </c>
      <c r="E2185" s="9">
        <v>45999</v>
      </c>
      <c r="F2185" s="2">
        <v>17</v>
      </c>
      <c r="G2185" s="3" t="s">
        <v>378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 t="s">
        <v>1153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</row>
    <row r="2186" spans="1:28" hidden="1" x14ac:dyDescent="0.25">
      <c r="A2186" t="s">
        <v>20</v>
      </c>
      <c r="B2186" t="s">
        <v>21</v>
      </c>
      <c r="C2186" t="s">
        <v>22</v>
      </c>
      <c r="D2186" s="9">
        <v>45999</v>
      </c>
      <c r="E2186" s="9">
        <v>45999</v>
      </c>
      <c r="F2186" s="2">
        <v>43</v>
      </c>
      <c r="G2186" s="3" t="s">
        <v>378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 t="s">
        <v>1154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</row>
    <row r="2187" spans="1:28" hidden="1" x14ac:dyDescent="0.25">
      <c r="A2187" t="s">
        <v>53</v>
      </c>
      <c r="B2187" t="s">
        <v>38</v>
      </c>
      <c r="C2187" t="s">
        <v>212</v>
      </c>
      <c r="D2187" s="9">
        <v>45999</v>
      </c>
      <c r="E2187" s="9">
        <v>45999</v>
      </c>
      <c r="F2187" s="2">
        <v>0</v>
      </c>
      <c r="G2187" s="3" t="s">
        <v>378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 t="s">
        <v>377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</row>
    <row r="2188" spans="1:28" hidden="1" x14ac:dyDescent="0.25">
      <c r="A2188" t="s">
        <v>568</v>
      </c>
      <c r="B2188" t="s">
        <v>47</v>
      </c>
      <c r="C2188" t="s">
        <v>212</v>
      </c>
      <c r="D2188" s="9">
        <v>45999</v>
      </c>
      <c r="E2188" s="9">
        <v>45999</v>
      </c>
      <c r="F2188" s="2">
        <v>0</v>
      </c>
      <c r="G2188" s="3" t="s">
        <v>378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 t="s">
        <v>377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</row>
    <row r="2189" spans="1:28" hidden="1" x14ac:dyDescent="0.25">
      <c r="A2189" t="s">
        <v>730</v>
      </c>
      <c r="B2189" t="s">
        <v>47</v>
      </c>
      <c r="C2189" t="s">
        <v>212</v>
      </c>
      <c r="D2189" s="9">
        <v>45999</v>
      </c>
      <c r="E2189" s="9">
        <v>45999</v>
      </c>
      <c r="F2189" s="2">
        <v>0</v>
      </c>
      <c r="G2189" s="3" t="s">
        <v>378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 t="s">
        <v>377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</row>
    <row r="2190" spans="1:28" hidden="1" x14ac:dyDescent="0.25">
      <c r="A2190" t="s">
        <v>29</v>
      </c>
      <c r="B2190" t="s">
        <v>30</v>
      </c>
      <c r="C2190" t="s">
        <v>212</v>
      </c>
      <c r="D2190" s="9">
        <v>45999</v>
      </c>
      <c r="E2190" s="9">
        <v>45999</v>
      </c>
      <c r="F2190" s="2">
        <v>0</v>
      </c>
      <c r="G2190" s="3" t="s">
        <v>378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 t="s">
        <v>377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</row>
    <row r="2191" spans="1:28" hidden="1" x14ac:dyDescent="0.25">
      <c r="A2191" t="s">
        <v>47</v>
      </c>
      <c r="B2191" t="s">
        <v>52</v>
      </c>
      <c r="C2191" t="s">
        <v>212</v>
      </c>
      <c r="D2191" s="9">
        <v>45999</v>
      </c>
      <c r="E2191" s="9">
        <v>45999</v>
      </c>
      <c r="F2191" s="2">
        <v>0</v>
      </c>
      <c r="G2191" s="3" t="s">
        <v>378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 t="s">
        <v>377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</row>
    <row r="2192" spans="1:28" hidden="1" x14ac:dyDescent="0.25">
      <c r="A2192" t="s">
        <v>25</v>
      </c>
      <c r="B2192" t="s">
        <v>26</v>
      </c>
      <c r="C2192" t="s">
        <v>39</v>
      </c>
      <c r="D2192" s="1">
        <v>46000</v>
      </c>
      <c r="E2192" s="1">
        <v>46000</v>
      </c>
      <c r="F2192" s="2">
        <v>15</v>
      </c>
      <c r="G2192" s="3" t="s">
        <v>23</v>
      </c>
      <c r="H2192">
        <f>7+7</f>
        <v>14</v>
      </c>
      <c r="I2192" s="2">
        <v>0</v>
      </c>
      <c r="J2192" s="2">
        <v>0</v>
      </c>
      <c r="K2192" s="2">
        <v>1</v>
      </c>
      <c r="L2192" s="2">
        <v>0</v>
      </c>
      <c r="M2192">
        <v>0</v>
      </c>
      <c r="N2192">
        <v>0</v>
      </c>
      <c r="O2192" s="2">
        <v>0</v>
      </c>
      <c r="P2192" s="2">
        <v>0</v>
      </c>
      <c r="Q2192">
        <v>0</v>
      </c>
      <c r="R2192" s="2">
        <v>0</v>
      </c>
      <c r="S2192" s="2">
        <v>0</v>
      </c>
      <c r="T2192" t="s">
        <v>1155</v>
      </c>
      <c r="U2192" s="2">
        <v>0</v>
      </c>
      <c r="V2192" s="2">
        <f>20+20</f>
        <v>40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</row>
    <row r="2193" spans="1:28" hidden="1" x14ac:dyDescent="0.25">
      <c r="A2193" t="s">
        <v>47</v>
      </c>
      <c r="B2193" t="s">
        <v>1239</v>
      </c>
      <c r="C2193" t="s">
        <v>39</v>
      </c>
      <c r="D2193" s="1">
        <v>46000</v>
      </c>
      <c r="E2193" s="1">
        <v>46000</v>
      </c>
      <c r="F2193" s="2">
        <v>15</v>
      </c>
      <c r="G2193" s="3" t="s">
        <v>23</v>
      </c>
      <c r="H2193">
        <f>7+7</f>
        <v>14</v>
      </c>
      <c r="I2193" s="2">
        <v>0</v>
      </c>
      <c r="J2193" s="2">
        <v>0</v>
      </c>
      <c r="K2193" s="2">
        <v>1</v>
      </c>
      <c r="L2193" s="2">
        <v>0</v>
      </c>
      <c r="M2193">
        <v>0</v>
      </c>
      <c r="N2193">
        <v>0</v>
      </c>
      <c r="O2193" s="2">
        <v>0</v>
      </c>
      <c r="P2193" s="2">
        <v>0</v>
      </c>
      <c r="Q2193">
        <v>0</v>
      </c>
      <c r="R2193" s="2">
        <v>0</v>
      </c>
      <c r="S2193" s="2">
        <v>0</v>
      </c>
      <c r="T2193" t="s">
        <v>1155</v>
      </c>
      <c r="U2193" s="2">
        <v>0</v>
      </c>
      <c r="V2193" s="2">
        <f>20+20</f>
        <v>40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</row>
    <row r="2194" spans="1:28" hidden="1" x14ac:dyDescent="0.25">
      <c r="A2194" t="s">
        <v>37</v>
      </c>
      <c r="B2194" t="s">
        <v>57</v>
      </c>
      <c r="C2194" t="s">
        <v>39</v>
      </c>
      <c r="D2194" s="1">
        <v>46000</v>
      </c>
      <c r="E2194" s="1">
        <v>46000</v>
      </c>
      <c r="F2194" s="2">
        <v>15</v>
      </c>
      <c r="G2194" s="3" t="s">
        <v>23</v>
      </c>
      <c r="H2194">
        <f>7+7+1</f>
        <v>15</v>
      </c>
      <c r="I2194" s="2">
        <v>0</v>
      </c>
      <c r="J2194" s="2">
        <v>0</v>
      </c>
      <c r="K2194" s="2">
        <v>0</v>
      </c>
      <c r="L2194" s="2">
        <v>1</v>
      </c>
      <c r="M2194">
        <v>0</v>
      </c>
      <c r="N2194">
        <v>0</v>
      </c>
      <c r="O2194" s="2">
        <v>0</v>
      </c>
      <c r="P2194" s="2">
        <v>0</v>
      </c>
      <c r="Q2194">
        <v>0</v>
      </c>
      <c r="R2194" s="2">
        <v>0</v>
      </c>
      <c r="S2194" s="2">
        <v>0</v>
      </c>
      <c r="T2194" t="s">
        <v>1155</v>
      </c>
      <c r="U2194" s="2">
        <v>0</v>
      </c>
      <c r="V2194" s="2">
        <f>2+2+2+4</f>
        <v>10</v>
      </c>
      <c r="W2194" s="2">
        <v>1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</row>
    <row r="2195" spans="1:28" hidden="1" x14ac:dyDescent="0.25">
      <c r="A2195" t="s">
        <v>33</v>
      </c>
      <c r="B2195" t="s">
        <v>34</v>
      </c>
      <c r="C2195" t="s">
        <v>35</v>
      </c>
      <c r="D2195" s="1">
        <v>46000</v>
      </c>
      <c r="E2195" s="1">
        <v>46000</v>
      </c>
      <c r="F2195" s="2">
        <v>42</v>
      </c>
      <c r="G2195" s="3" t="s">
        <v>23</v>
      </c>
      <c r="H2195">
        <f>8+8</f>
        <v>16</v>
      </c>
      <c r="I2195" s="2">
        <v>0</v>
      </c>
      <c r="J2195" s="2">
        <v>0</v>
      </c>
      <c r="K2195" s="2">
        <v>1</v>
      </c>
      <c r="L2195" s="2">
        <v>0</v>
      </c>
      <c r="M2195">
        <v>0</v>
      </c>
      <c r="N2195">
        <v>0</v>
      </c>
      <c r="O2195" s="2">
        <v>0</v>
      </c>
      <c r="P2195" s="2">
        <v>0</v>
      </c>
      <c r="Q2195">
        <v>0</v>
      </c>
      <c r="R2195" s="2">
        <v>0</v>
      </c>
      <c r="S2195" s="2">
        <v>0</v>
      </c>
      <c r="T2195" t="s">
        <v>1156</v>
      </c>
      <c r="U2195" s="2">
        <v>0</v>
      </c>
      <c r="V2195" s="2">
        <f>20+8</f>
        <v>28</v>
      </c>
      <c r="W2195" s="2">
        <v>5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</row>
    <row r="2196" spans="1:28" hidden="1" x14ac:dyDescent="0.25">
      <c r="A2196" t="s">
        <v>53</v>
      </c>
      <c r="B2196" t="s">
        <v>38</v>
      </c>
      <c r="C2196" t="s">
        <v>54</v>
      </c>
      <c r="D2196" s="1">
        <v>46000</v>
      </c>
      <c r="E2196" s="1">
        <v>46000</v>
      </c>
      <c r="F2196" s="2">
        <v>36</v>
      </c>
      <c r="G2196" s="3" t="s">
        <v>23</v>
      </c>
      <c r="H2196">
        <f>18+18</f>
        <v>36</v>
      </c>
      <c r="I2196" s="2">
        <v>0</v>
      </c>
      <c r="J2196" s="2">
        <v>1</v>
      </c>
      <c r="K2196" s="2">
        <v>1</v>
      </c>
      <c r="L2196" s="2">
        <v>0</v>
      </c>
      <c r="M2196">
        <v>0</v>
      </c>
      <c r="N2196">
        <v>0</v>
      </c>
      <c r="O2196" s="2">
        <v>0</v>
      </c>
      <c r="P2196" s="2">
        <v>0</v>
      </c>
      <c r="Q2196">
        <v>0</v>
      </c>
      <c r="R2196" s="2">
        <v>0</v>
      </c>
      <c r="S2196" s="2">
        <v>0</v>
      </c>
      <c r="T2196" t="s">
        <v>1157</v>
      </c>
      <c r="U2196" s="2">
        <v>0</v>
      </c>
      <c r="V2196" s="2">
        <f>19+2+20+19+2</f>
        <v>62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</row>
    <row r="2197" spans="1:28" hidden="1" x14ac:dyDescent="0.25">
      <c r="A2197" t="s">
        <v>20</v>
      </c>
      <c r="B2197" t="s">
        <v>21</v>
      </c>
      <c r="C2197" t="s">
        <v>22</v>
      </c>
      <c r="D2197" s="1">
        <v>46000</v>
      </c>
      <c r="E2197" s="1">
        <v>46000</v>
      </c>
      <c r="F2197" s="2">
        <v>27</v>
      </c>
      <c r="G2197" s="3" t="s">
        <v>23</v>
      </c>
      <c r="H2197">
        <f>14+14</f>
        <v>28</v>
      </c>
      <c r="I2197" s="2">
        <v>0</v>
      </c>
      <c r="J2197" s="2">
        <v>1</v>
      </c>
      <c r="K2197" s="2">
        <v>1</v>
      </c>
      <c r="L2197" s="2">
        <v>0</v>
      </c>
      <c r="M2197">
        <v>0</v>
      </c>
      <c r="N2197">
        <v>0</v>
      </c>
      <c r="O2197" s="2">
        <v>0</v>
      </c>
      <c r="P2197" s="2">
        <v>0</v>
      </c>
      <c r="Q2197">
        <v>0</v>
      </c>
      <c r="R2197" s="2">
        <v>0</v>
      </c>
      <c r="S2197" s="2">
        <v>0</v>
      </c>
      <c r="T2197" t="s">
        <v>1158</v>
      </c>
      <c r="U2197" s="2">
        <v>0</v>
      </c>
      <c r="V2197" s="2">
        <v>22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</row>
    <row r="2198" spans="1:28" hidden="1" x14ac:dyDescent="0.25">
      <c r="A2198" t="s">
        <v>56</v>
      </c>
      <c r="B2198" t="s">
        <v>284</v>
      </c>
      <c r="C2198" t="s">
        <v>64</v>
      </c>
      <c r="D2198" s="1">
        <v>46000</v>
      </c>
      <c r="E2198" s="1">
        <v>46000</v>
      </c>
      <c r="F2198" s="2">
        <v>49</v>
      </c>
      <c r="G2198" s="3" t="s">
        <v>23</v>
      </c>
      <c r="H2198">
        <f>8+4+8+4</f>
        <v>24</v>
      </c>
      <c r="I2198" s="2">
        <v>0</v>
      </c>
      <c r="J2198" s="2">
        <v>1</v>
      </c>
      <c r="K2198" s="2">
        <v>1</v>
      </c>
      <c r="L2198" s="2">
        <v>0</v>
      </c>
      <c r="M2198">
        <v>0</v>
      </c>
      <c r="N2198">
        <v>0</v>
      </c>
      <c r="O2198" s="2">
        <v>0</v>
      </c>
      <c r="P2198" s="2">
        <v>0</v>
      </c>
      <c r="Q2198">
        <v>0</v>
      </c>
      <c r="R2198" s="2">
        <v>0</v>
      </c>
      <c r="S2198" s="2">
        <v>0</v>
      </c>
      <c r="T2198" t="s">
        <v>1159</v>
      </c>
      <c r="U2198" s="2">
        <v>0</v>
      </c>
      <c r="V2198" s="2">
        <f>14+22+14</f>
        <v>50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</row>
    <row r="2199" spans="1:28" hidden="1" x14ac:dyDescent="0.25">
      <c r="A2199" t="s">
        <v>730</v>
      </c>
      <c r="B2199" t="s">
        <v>47</v>
      </c>
      <c r="C2199" t="s">
        <v>64</v>
      </c>
      <c r="D2199" s="1">
        <v>46000</v>
      </c>
      <c r="E2199" s="1">
        <v>46000</v>
      </c>
      <c r="F2199" s="2">
        <v>49</v>
      </c>
      <c r="G2199" s="3" t="s">
        <v>23</v>
      </c>
      <c r="H2199">
        <f>8+4+8+4</f>
        <v>24</v>
      </c>
      <c r="I2199" s="2">
        <v>0</v>
      </c>
      <c r="J2199" s="2">
        <v>1</v>
      </c>
      <c r="K2199" s="2">
        <v>1</v>
      </c>
      <c r="L2199" s="2">
        <v>0</v>
      </c>
      <c r="M2199">
        <v>0</v>
      </c>
      <c r="N2199">
        <v>0</v>
      </c>
      <c r="O2199" s="2">
        <v>0</v>
      </c>
      <c r="P2199" s="2">
        <v>0</v>
      </c>
      <c r="Q2199">
        <v>0</v>
      </c>
      <c r="R2199" s="2">
        <v>0</v>
      </c>
      <c r="S2199" s="2">
        <v>0</v>
      </c>
      <c r="T2199" t="s">
        <v>1159</v>
      </c>
      <c r="U2199" s="2">
        <v>0</v>
      </c>
      <c r="V2199" s="2">
        <f>14+22+14</f>
        <v>50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</row>
    <row r="2200" spans="1:28" hidden="1" x14ac:dyDescent="0.25">
      <c r="A2200" t="s">
        <v>29</v>
      </c>
      <c r="B2200" t="s">
        <v>30</v>
      </c>
      <c r="C2200" t="s">
        <v>39</v>
      </c>
      <c r="D2200" s="1">
        <v>46000</v>
      </c>
      <c r="E2200" s="1">
        <v>46000</v>
      </c>
      <c r="F2200" s="2">
        <v>15</v>
      </c>
      <c r="G2200" s="3" t="s">
        <v>23</v>
      </c>
      <c r="H2200">
        <f>12+4+12+4</f>
        <v>32</v>
      </c>
      <c r="I2200" s="2">
        <v>0</v>
      </c>
      <c r="J2200" s="2">
        <v>1</v>
      </c>
      <c r="K2200" s="2">
        <v>1</v>
      </c>
      <c r="L2200" s="2">
        <v>0</v>
      </c>
      <c r="M2200">
        <v>0</v>
      </c>
      <c r="N2200">
        <v>0</v>
      </c>
      <c r="O2200" s="2">
        <v>0</v>
      </c>
      <c r="P2200" s="2">
        <v>0</v>
      </c>
      <c r="Q2200">
        <v>0</v>
      </c>
      <c r="R2200" s="2">
        <v>0</v>
      </c>
      <c r="S2200" s="2">
        <v>0</v>
      </c>
      <c r="T2200" t="s">
        <v>1155</v>
      </c>
      <c r="U2200" s="2">
        <v>0</v>
      </c>
      <c r="V2200" s="2">
        <f>19+22</f>
        <v>41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</row>
    <row r="2201" spans="1:28" hidden="1" x14ac:dyDescent="0.25">
      <c r="A2201" t="s">
        <v>47</v>
      </c>
      <c r="B2201" t="s">
        <v>1160</v>
      </c>
      <c r="C2201" t="s">
        <v>39</v>
      </c>
      <c r="D2201" s="1">
        <v>46000</v>
      </c>
      <c r="E2201" s="1">
        <v>46000</v>
      </c>
      <c r="F2201" s="2">
        <v>15</v>
      </c>
      <c r="G2201" s="3" t="s">
        <v>23</v>
      </c>
      <c r="H2201">
        <f>12+4+12+4</f>
        <v>32</v>
      </c>
      <c r="I2201" s="2">
        <v>0</v>
      </c>
      <c r="J2201" s="2">
        <v>1</v>
      </c>
      <c r="K2201" s="2">
        <v>1</v>
      </c>
      <c r="L2201" s="2">
        <v>0</v>
      </c>
      <c r="M2201">
        <v>0</v>
      </c>
      <c r="N2201">
        <v>0</v>
      </c>
      <c r="O2201" s="2">
        <v>0</v>
      </c>
      <c r="P2201" s="2">
        <v>0</v>
      </c>
      <c r="Q2201">
        <v>0</v>
      </c>
      <c r="R2201" s="2">
        <v>0</v>
      </c>
      <c r="S2201" s="2">
        <v>0</v>
      </c>
      <c r="T2201" t="s">
        <v>1155</v>
      </c>
      <c r="U2201" s="2">
        <v>0</v>
      </c>
      <c r="V2201" s="2">
        <f>19+22</f>
        <v>41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</row>
    <row r="2202" spans="1:28" hidden="1" x14ac:dyDescent="0.25">
      <c r="A2202" t="s">
        <v>568</v>
      </c>
      <c r="B2202" t="s">
        <v>47</v>
      </c>
      <c r="C2202" t="s">
        <v>212</v>
      </c>
      <c r="D2202" s="1">
        <v>46000</v>
      </c>
      <c r="E2202" s="1">
        <v>46000</v>
      </c>
      <c r="F2202" s="2">
        <v>0</v>
      </c>
      <c r="G2202" s="3" t="s">
        <v>48</v>
      </c>
      <c r="H2202">
        <v>0</v>
      </c>
      <c r="I2202" s="2">
        <v>0</v>
      </c>
      <c r="J2202" s="2">
        <v>0</v>
      </c>
      <c r="K2202" s="2">
        <v>0</v>
      </c>
      <c r="L2202" s="2">
        <v>0</v>
      </c>
      <c r="M2202">
        <v>0</v>
      </c>
      <c r="N2202">
        <v>0</v>
      </c>
      <c r="O2202" s="2">
        <v>0</v>
      </c>
      <c r="P2202" s="2">
        <v>0</v>
      </c>
      <c r="Q2202">
        <v>0</v>
      </c>
      <c r="R2202" s="2">
        <v>0</v>
      </c>
      <c r="S2202" s="2">
        <v>0</v>
      </c>
      <c r="T2202" t="s">
        <v>377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</row>
    <row r="2203" spans="1:28" hidden="1" x14ac:dyDescent="0.25">
      <c r="A2203" t="s">
        <v>47</v>
      </c>
      <c r="B2203" t="s">
        <v>52</v>
      </c>
      <c r="C2203" t="s">
        <v>212</v>
      </c>
      <c r="D2203" s="1">
        <v>46000</v>
      </c>
      <c r="E2203" s="1">
        <v>46000</v>
      </c>
      <c r="F2203" s="2">
        <v>0</v>
      </c>
      <c r="G2203" s="3" t="s">
        <v>572</v>
      </c>
      <c r="H2203">
        <v>0</v>
      </c>
      <c r="I2203" s="2">
        <v>0</v>
      </c>
      <c r="J2203" s="2">
        <v>0</v>
      </c>
      <c r="K2203" s="2">
        <v>0</v>
      </c>
      <c r="L2203" s="2">
        <v>0</v>
      </c>
      <c r="M2203">
        <v>0</v>
      </c>
      <c r="N2203">
        <v>0</v>
      </c>
      <c r="O2203" s="2">
        <v>0</v>
      </c>
      <c r="P2203" s="2">
        <v>0</v>
      </c>
      <c r="Q2203">
        <v>0</v>
      </c>
      <c r="R2203" s="2">
        <v>0</v>
      </c>
      <c r="S2203" s="2">
        <v>0</v>
      </c>
      <c r="T2203" t="s">
        <v>377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</row>
    <row r="2204" spans="1:28" hidden="1" x14ac:dyDescent="0.25">
      <c r="A2204" t="s">
        <v>37</v>
      </c>
      <c r="B2204" t="s">
        <v>57</v>
      </c>
      <c r="C2204" t="s">
        <v>39</v>
      </c>
      <c r="D2204" s="1">
        <v>46001</v>
      </c>
      <c r="E2204" s="1">
        <v>46001</v>
      </c>
      <c r="F2204" s="2">
        <v>20</v>
      </c>
      <c r="G2204" s="3" t="s">
        <v>23</v>
      </c>
      <c r="H2204">
        <f>14+14</f>
        <v>28</v>
      </c>
      <c r="I2204" s="2">
        <v>0</v>
      </c>
      <c r="J2204" s="2">
        <v>0</v>
      </c>
      <c r="K2204" s="2">
        <v>1</v>
      </c>
      <c r="L2204" s="2">
        <v>0</v>
      </c>
      <c r="M2204">
        <v>0</v>
      </c>
      <c r="N2204">
        <v>0</v>
      </c>
      <c r="O2204" s="2">
        <v>0</v>
      </c>
      <c r="P2204" s="2">
        <v>0</v>
      </c>
      <c r="Q2204">
        <v>0</v>
      </c>
      <c r="R2204" s="2">
        <v>0</v>
      </c>
      <c r="S2204" s="2">
        <v>0</v>
      </c>
      <c r="T2204" t="s">
        <v>1161</v>
      </c>
      <c r="U2204" s="2">
        <v>0</v>
      </c>
      <c r="V2204" s="2">
        <f>18+20+22</f>
        <v>60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</row>
    <row r="2205" spans="1:28" hidden="1" x14ac:dyDescent="0.25">
      <c r="A2205" t="s">
        <v>568</v>
      </c>
      <c r="B2205" t="s">
        <v>47</v>
      </c>
      <c r="C2205" t="s">
        <v>670</v>
      </c>
      <c r="D2205" s="1">
        <v>46001</v>
      </c>
      <c r="E2205" s="1">
        <v>46001</v>
      </c>
      <c r="F2205" s="2">
        <v>47</v>
      </c>
      <c r="G2205" s="3" t="s">
        <v>23</v>
      </c>
      <c r="H2205">
        <f>3+2+3+2+18+16</f>
        <v>44</v>
      </c>
      <c r="I2205" s="2">
        <v>0</v>
      </c>
      <c r="J2205" s="2">
        <v>0</v>
      </c>
      <c r="K2205" s="2">
        <v>0</v>
      </c>
      <c r="L2205" s="2">
        <v>1</v>
      </c>
      <c r="M2205">
        <v>1</v>
      </c>
      <c r="N2205">
        <v>0</v>
      </c>
      <c r="O2205" s="2">
        <v>0</v>
      </c>
      <c r="P2205" s="2">
        <v>0</v>
      </c>
      <c r="Q2205">
        <v>1</v>
      </c>
      <c r="R2205" s="2">
        <v>0</v>
      </c>
      <c r="S2205" s="2">
        <v>0</v>
      </c>
      <c r="T2205" t="s">
        <v>1162</v>
      </c>
      <c r="U2205" s="2">
        <v>0</v>
      </c>
      <c r="V2205" s="2">
        <f>11+2</f>
        <v>13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</row>
    <row r="2206" spans="1:28" hidden="1" x14ac:dyDescent="0.25">
      <c r="A2206" t="s">
        <v>33</v>
      </c>
      <c r="B2206" t="s">
        <v>47</v>
      </c>
      <c r="C2206" t="s">
        <v>670</v>
      </c>
      <c r="D2206" s="1">
        <v>46001</v>
      </c>
      <c r="E2206" s="1">
        <v>46001</v>
      </c>
      <c r="F2206" s="2">
        <v>47</v>
      </c>
      <c r="G2206" s="3" t="s">
        <v>23</v>
      </c>
      <c r="H2206">
        <f>3+2+3+2+18+16</f>
        <v>44</v>
      </c>
      <c r="I2206" s="2">
        <v>0</v>
      </c>
      <c r="J2206" s="2">
        <v>0</v>
      </c>
      <c r="K2206" s="2">
        <v>0</v>
      </c>
      <c r="L2206" s="2">
        <v>1</v>
      </c>
      <c r="M2206">
        <v>1</v>
      </c>
      <c r="N2206">
        <v>0</v>
      </c>
      <c r="O2206" s="2">
        <v>0</v>
      </c>
      <c r="P2206" s="2">
        <v>0</v>
      </c>
      <c r="Q2206">
        <v>1</v>
      </c>
      <c r="R2206" s="2">
        <v>0</v>
      </c>
      <c r="S2206" s="2">
        <v>0</v>
      </c>
      <c r="T2206" t="s">
        <v>1162</v>
      </c>
      <c r="U2206" s="2">
        <v>0</v>
      </c>
      <c r="V2206" s="2">
        <f>11+2</f>
        <v>13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</row>
    <row r="2207" spans="1:28" hidden="1" x14ac:dyDescent="0.25">
      <c r="A2207" t="s">
        <v>56</v>
      </c>
      <c r="B2207" t="s">
        <v>1160</v>
      </c>
      <c r="C2207" t="s">
        <v>64</v>
      </c>
      <c r="D2207" s="1">
        <v>46001</v>
      </c>
      <c r="E2207" s="1">
        <v>46001</v>
      </c>
      <c r="F2207" s="2">
        <v>25</v>
      </c>
      <c r="G2207" s="3" t="s">
        <v>23</v>
      </c>
      <c r="H2207">
        <f>12+12+2+1+10+1+1+4+5</f>
        <v>48</v>
      </c>
      <c r="I2207" s="2">
        <v>0</v>
      </c>
      <c r="J2207" s="2">
        <v>1</v>
      </c>
      <c r="K2207" s="2">
        <v>1</v>
      </c>
      <c r="L2207" s="2">
        <v>0</v>
      </c>
      <c r="M2207">
        <v>0</v>
      </c>
      <c r="N2207">
        <v>0</v>
      </c>
      <c r="O2207" s="2">
        <v>0</v>
      </c>
      <c r="P2207" s="2">
        <v>0</v>
      </c>
      <c r="Q2207">
        <v>0</v>
      </c>
      <c r="R2207" s="2">
        <v>0</v>
      </c>
      <c r="S2207" s="2">
        <v>0</v>
      </c>
      <c r="T2207" t="s">
        <v>1163</v>
      </c>
      <c r="U2207" s="2">
        <v>0</v>
      </c>
      <c r="V2207" s="2">
        <f>11+2</f>
        <v>13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</row>
    <row r="2208" spans="1:28" hidden="1" x14ac:dyDescent="0.25">
      <c r="A2208" t="s">
        <v>25</v>
      </c>
      <c r="B2208" t="s">
        <v>26</v>
      </c>
      <c r="C2208" t="s">
        <v>27</v>
      </c>
      <c r="D2208" s="1">
        <v>46001</v>
      </c>
      <c r="E2208" s="1">
        <v>46001</v>
      </c>
      <c r="F2208" s="2">
        <v>33</v>
      </c>
      <c r="G2208" s="3" t="s">
        <v>23</v>
      </c>
      <c r="H2208">
        <f>21+21+1+2+1+1+1+10+1+1</f>
        <v>60</v>
      </c>
      <c r="I2208" s="2">
        <v>0</v>
      </c>
      <c r="J2208" s="2">
        <v>0</v>
      </c>
      <c r="K2208" s="2">
        <v>1</v>
      </c>
      <c r="L2208" s="2">
        <v>0</v>
      </c>
      <c r="M2208">
        <v>0</v>
      </c>
      <c r="N2208">
        <v>1</v>
      </c>
      <c r="O2208" s="2">
        <v>0</v>
      </c>
      <c r="P2208" s="2">
        <v>0</v>
      </c>
      <c r="Q2208">
        <v>0</v>
      </c>
      <c r="R2208" s="2">
        <v>0</v>
      </c>
      <c r="S2208" s="2">
        <v>0</v>
      </c>
      <c r="T2208" t="s">
        <v>1164</v>
      </c>
      <c r="U2208" s="2">
        <v>0</v>
      </c>
      <c r="V2208" s="2">
        <v>20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</row>
    <row r="2209" spans="1:28" hidden="1" x14ac:dyDescent="0.25">
      <c r="A2209" t="s">
        <v>53</v>
      </c>
      <c r="B2209" t="s">
        <v>38</v>
      </c>
      <c r="C2209" t="s">
        <v>54</v>
      </c>
      <c r="D2209" s="1">
        <v>46001</v>
      </c>
      <c r="E2209" s="1">
        <v>46001</v>
      </c>
      <c r="F2209" s="2">
        <v>42</v>
      </c>
      <c r="G2209" s="3" t="s">
        <v>23</v>
      </c>
      <c r="H2209">
        <f>20+20+1+1+1+1</f>
        <v>44</v>
      </c>
      <c r="I2209" s="2">
        <v>0</v>
      </c>
      <c r="J2209" s="2">
        <v>1</v>
      </c>
      <c r="K2209" s="2">
        <v>1</v>
      </c>
      <c r="L2209" s="2">
        <v>0</v>
      </c>
      <c r="M2209">
        <v>0</v>
      </c>
      <c r="N2209">
        <v>0</v>
      </c>
      <c r="O2209" s="2">
        <v>0</v>
      </c>
      <c r="P2209" s="2">
        <v>0</v>
      </c>
      <c r="Q2209">
        <v>0</v>
      </c>
      <c r="R2209" s="2">
        <v>0</v>
      </c>
      <c r="S2209" s="2">
        <v>0</v>
      </c>
      <c r="T2209" t="s">
        <v>1165</v>
      </c>
      <c r="U2209" s="2">
        <v>0</v>
      </c>
      <c r="V2209" s="2">
        <f>6+2+4+20</f>
        <v>32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</row>
    <row r="2210" spans="1:28" hidden="1" x14ac:dyDescent="0.25">
      <c r="A2210" t="s">
        <v>63</v>
      </c>
      <c r="B2210" t="s">
        <v>284</v>
      </c>
      <c r="C2210" t="s">
        <v>102</v>
      </c>
      <c r="D2210" s="1">
        <v>46001</v>
      </c>
      <c r="E2210" s="1">
        <v>46001</v>
      </c>
      <c r="F2210" s="2">
        <v>33</v>
      </c>
      <c r="G2210" s="3" t="s">
        <v>23</v>
      </c>
      <c r="H2210">
        <f>6+2+6+2+1+1+1+1+1+1+3+1+1</f>
        <v>27</v>
      </c>
      <c r="I2210" s="2">
        <v>0</v>
      </c>
      <c r="J2210" s="2">
        <v>0</v>
      </c>
      <c r="K2210" s="2">
        <v>1</v>
      </c>
      <c r="L2210" s="2">
        <v>0</v>
      </c>
      <c r="M2210">
        <v>0</v>
      </c>
      <c r="N2210">
        <v>0</v>
      </c>
      <c r="O2210" s="2">
        <v>0</v>
      </c>
      <c r="P2210" s="2">
        <v>0</v>
      </c>
      <c r="Q2210">
        <v>0</v>
      </c>
      <c r="R2210" s="2">
        <v>0</v>
      </c>
      <c r="S2210" s="2">
        <v>0</v>
      </c>
      <c r="T2210" t="s">
        <v>1166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</row>
    <row r="2211" spans="1:28" hidden="1" x14ac:dyDescent="0.25">
      <c r="A2211" t="s">
        <v>20</v>
      </c>
      <c r="B2211" t="s">
        <v>21</v>
      </c>
      <c r="C2211" t="s">
        <v>35</v>
      </c>
      <c r="D2211" s="1">
        <v>46001</v>
      </c>
      <c r="E2211" s="1">
        <v>46001</v>
      </c>
      <c r="F2211" s="2">
        <v>21</v>
      </c>
      <c r="G2211" s="3" t="s">
        <v>48</v>
      </c>
      <c r="H2211">
        <v>0</v>
      </c>
      <c r="I2211" s="2">
        <v>0</v>
      </c>
      <c r="J2211" s="2">
        <v>0</v>
      </c>
      <c r="K2211" s="2">
        <v>0</v>
      </c>
      <c r="L2211" s="2">
        <v>0</v>
      </c>
      <c r="M2211">
        <v>0</v>
      </c>
      <c r="N2211">
        <v>0</v>
      </c>
      <c r="O2211" s="2">
        <v>0</v>
      </c>
      <c r="P2211" s="2">
        <v>0</v>
      </c>
      <c r="Q2211">
        <v>0</v>
      </c>
      <c r="R2211" s="2">
        <v>0</v>
      </c>
      <c r="S2211" s="2">
        <v>0</v>
      </c>
      <c r="T2211" t="s">
        <v>1125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</row>
    <row r="2212" spans="1:28" hidden="1" x14ac:dyDescent="0.25">
      <c r="A2212" t="s">
        <v>47</v>
      </c>
      <c r="B2212" t="s">
        <v>34</v>
      </c>
      <c r="C2212" t="s">
        <v>35</v>
      </c>
      <c r="D2212" s="1">
        <v>46001</v>
      </c>
      <c r="E2212" s="1">
        <v>46001</v>
      </c>
      <c r="F2212" s="2">
        <v>21</v>
      </c>
      <c r="G2212" s="3" t="s">
        <v>48</v>
      </c>
      <c r="H2212">
        <v>0</v>
      </c>
      <c r="I2212" s="2">
        <v>0</v>
      </c>
      <c r="J2212" s="2">
        <v>0</v>
      </c>
      <c r="K2212" s="2">
        <v>0</v>
      </c>
      <c r="L2212" s="2">
        <v>0</v>
      </c>
      <c r="M2212">
        <v>0</v>
      </c>
      <c r="N2212">
        <v>0</v>
      </c>
      <c r="O2212" s="2">
        <v>0</v>
      </c>
      <c r="P2212" s="2">
        <v>0</v>
      </c>
      <c r="Q2212">
        <v>0</v>
      </c>
      <c r="R2212" s="2">
        <v>0</v>
      </c>
      <c r="S2212" s="2">
        <v>0</v>
      </c>
      <c r="T2212" t="s">
        <v>1125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</row>
    <row r="2213" spans="1:28" hidden="1" x14ac:dyDescent="0.25">
      <c r="A2213" t="s">
        <v>730</v>
      </c>
      <c r="B2213" t="s">
        <v>47</v>
      </c>
      <c r="C2213" t="s">
        <v>35</v>
      </c>
      <c r="D2213" s="1">
        <v>46001</v>
      </c>
      <c r="E2213" s="1">
        <v>46001</v>
      </c>
      <c r="F2213" s="2">
        <v>21</v>
      </c>
      <c r="G2213" s="3" t="s">
        <v>48</v>
      </c>
      <c r="H2213">
        <v>0</v>
      </c>
      <c r="I2213" s="2">
        <v>0</v>
      </c>
      <c r="J2213" s="2">
        <v>0</v>
      </c>
      <c r="K2213" s="2">
        <v>0</v>
      </c>
      <c r="L2213" s="2">
        <v>0</v>
      </c>
      <c r="M2213">
        <v>0</v>
      </c>
      <c r="N2213">
        <v>0</v>
      </c>
      <c r="O2213" s="2">
        <v>0</v>
      </c>
      <c r="P2213" s="2">
        <v>0</v>
      </c>
      <c r="Q2213">
        <v>0</v>
      </c>
      <c r="R2213" s="2">
        <v>0</v>
      </c>
      <c r="S2213" s="2">
        <v>0</v>
      </c>
      <c r="T2213" t="s">
        <v>1125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</row>
    <row r="2214" spans="1:28" hidden="1" x14ac:dyDescent="0.25">
      <c r="A2214" t="s">
        <v>29</v>
      </c>
      <c r="B2214" t="s">
        <v>30</v>
      </c>
      <c r="C2214" t="s">
        <v>35</v>
      </c>
      <c r="D2214" s="1">
        <v>46001</v>
      </c>
      <c r="E2214" s="1">
        <v>46001</v>
      </c>
      <c r="F2214" s="2">
        <v>21</v>
      </c>
      <c r="G2214" s="3" t="s">
        <v>48</v>
      </c>
      <c r="H2214">
        <v>0</v>
      </c>
      <c r="I2214" s="2">
        <v>0</v>
      </c>
      <c r="J2214" s="2">
        <v>0</v>
      </c>
      <c r="K2214" s="2">
        <v>0</v>
      </c>
      <c r="L2214" s="2">
        <v>0</v>
      </c>
      <c r="M2214">
        <v>0</v>
      </c>
      <c r="N2214">
        <v>0</v>
      </c>
      <c r="O2214" s="2">
        <v>0</v>
      </c>
      <c r="P2214" s="2">
        <v>0</v>
      </c>
      <c r="Q2214">
        <v>0</v>
      </c>
      <c r="R2214" s="2">
        <v>0</v>
      </c>
      <c r="S2214" s="2">
        <v>0</v>
      </c>
      <c r="T2214" t="s">
        <v>1125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</row>
    <row r="2215" spans="1:28" hidden="1" x14ac:dyDescent="0.25">
      <c r="A2215" t="s">
        <v>47</v>
      </c>
      <c r="B2215" t="s">
        <v>52</v>
      </c>
      <c r="C2215" t="s">
        <v>212</v>
      </c>
      <c r="D2215" s="1">
        <v>46001</v>
      </c>
      <c r="E2215" s="1">
        <v>46001</v>
      </c>
      <c r="F2215" s="2">
        <v>0</v>
      </c>
      <c r="G2215" s="3" t="s">
        <v>572</v>
      </c>
      <c r="H2215">
        <v>0</v>
      </c>
      <c r="I2215" s="2">
        <v>0</v>
      </c>
      <c r="J2215" s="2">
        <v>0</v>
      </c>
      <c r="K2215" s="2">
        <v>0</v>
      </c>
      <c r="L2215" s="2">
        <v>0</v>
      </c>
      <c r="M2215">
        <v>0</v>
      </c>
      <c r="N2215">
        <v>0</v>
      </c>
      <c r="O2215" s="2">
        <v>0</v>
      </c>
      <c r="P2215" s="2">
        <v>0</v>
      </c>
      <c r="Q2215">
        <v>0</v>
      </c>
      <c r="R2215" s="2">
        <v>0</v>
      </c>
      <c r="S2215" s="2">
        <v>0</v>
      </c>
      <c r="T2215" t="s">
        <v>377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</row>
    <row r="2216" spans="1:28" hidden="1" x14ac:dyDescent="0.25">
      <c r="A2216" t="s">
        <v>37</v>
      </c>
      <c r="B2216" t="s">
        <v>57</v>
      </c>
      <c r="C2216" t="s">
        <v>39</v>
      </c>
      <c r="D2216" s="1">
        <v>46002</v>
      </c>
      <c r="E2216" s="1">
        <v>46002</v>
      </c>
      <c r="F2216" s="2">
        <v>18</v>
      </c>
      <c r="G2216" s="3" t="s">
        <v>23</v>
      </c>
      <c r="H2216">
        <f>7+7+5+1+4+3+1</f>
        <v>28</v>
      </c>
      <c r="I2216" s="2">
        <v>0</v>
      </c>
      <c r="J2216" s="2">
        <v>0</v>
      </c>
      <c r="K2216" s="2">
        <v>1</v>
      </c>
      <c r="L2216" s="2">
        <v>0</v>
      </c>
      <c r="M2216">
        <v>0</v>
      </c>
      <c r="N2216">
        <v>0</v>
      </c>
      <c r="O2216" s="2">
        <v>0</v>
      </c>
      <c r="P2216" s="2">
        <v>0</v>
      </c>
      <c r="Q2216">
        <v>0</v>
      </c>
      <c r="R2216" s="2">
        <v>0</v>
      </c>
      <c r="S2216" s="2">
        <v>0</v>
      </c>
      <c r="T2216" t="s">
        <v>1167</v>
      </c>
      <c r="U2216" s="2">
        <v>0</v>
      </c>
      <c r="V2216" s="2">
        <v>14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</row>
    <row r="2217" spans="1:28" hidden="1" x14ac:dyDescent="0.25">
      <c r="A2217" t="s">
        <v>568</v>
      </c>
      <c r="B2217" t="s">
        <v>34</v>
      </c>
      <c r="C2217" t="s">
        <v>670</v>
      </c>
      <c r="D2217" s="1">
        <v>46002</v>
      </c>
      <c r="E2217" s="1">
        <v>46002</v>
      </c>
      <c r="F2217" s="2">
        <v>45</v>
      </c>
      <c r="G2217" s="3" t="s">
        <v>23</v>
      </c>
      <c r="H2217">
        <f>4+4+4+4+9</f>
        <v>25</v>
      </c>
      <c r="I2217" s="2">
        <v>0</v>
      </c>
      <c r="J2217" s="2">
        <v>1</v>
      </c>
      <c r="K2217" s="2">
        <v>0</v>
      </c>
      <c r="L2217" s="2">
        <v>1</v>
      </c>
      <c r="M2217">
        <v>1</v>
      </c>
      <c r="N2217">
        <v>0</v>
      </c>
      <c r="O2217" s="2">
        <v>0</v>
      </c>
      <c r="P2217" s="2">
        <v>0</v>
      </c>
      <c r="Q2217">
        <v>0</v>
      </c>
      <c r="R2217" s="2">
        <v>0</v>
      </c>
      <c r="S2217" s="2">
        <v>0</v>
      </c>
      <c r="T2217" t="s">
        <v>1168</v>
      </c>
      <c r="U2217" s="2">
        <v>0</v>
      </c>
      <c r="V2217" s="2">
        <f>15+6+2+2</f>
        <v>25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</row>
    <row r="2218" spans="1:28" hidden="1" x14ac:dyDescent="0.25">
      <c r="A2218" t="s">
        <v>29</v>
      </c>
      <c r="B2218" t="s">
        <v>30</v>
      </c>
      <c r="C2218" t="s">
        <v>39</v>
      </c>
      <c r="D2218" s="1">
        <v>46002</v>
      </c>
      <c r="E2218" s="1">
        <v>46002</v>
      </c>
      <c r="F2218" s="2">
        <v>18</v>
      </c>
      <c r="G2218" s="3" t="s">
        <v>23</v>
      </c>
      <c r="H2218">
        <f>16+16+4+3+2+1+6+4</f>
        <v>52</v>
      </c>
      <c r="I2218" s="2">
        <v>0</v>
      </c>
      <c r="J2218" s="2">
        <v>0</v>
      </c>
      <c r="K2218" s="2">
        <v>1</v>
      </c>
      <c r="L2218" s="2">
        <v>0</v>
      </c>
      <c r="M2218">
        <v>0</v>
      </c>
      <c r="N2218">
        <v>0</v>
      </c>
      <c r="O2218" s="2">
        <v>0</v>
      </c>
      <c r="P2218" s="2">
        <v>0</v>
      </c>
      <c r="Q2218">
        <v>0</v>
      </c>
      <c r="R2218" s="2">
        <v>0</v>
      </c>
      <c r="S2218" s="2">
        <v>0</v>
      </c>
      <c r="T2218" t="s">
        <v>1167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</row>
    <row r="2219" spans="1:28" hidden="1" x14ac:dyDescent="0.25">
      <c r="A2219" t="s">
        <v>20</v>
      </c>
      <c r="B2219" t="s">
        <v>47</v>
      </c>
      <c r="C2219" t="s">
        <v>22</v>
      </c>
      <c r="D2219" s="1">
        <v>46002</v>
      </c>
      <c r="E2219" s="1">
        <v>46002</v>
      </c>
      <c r="F2219" s="13">
        <v>3225</v>
      </c>
      <c r="G2219" s="3" t="s">
        <v>23</v>
      </c>
      <c r="H2219">
        <f>18+18</f>
        <v>36</v>
      </c>
      <c r="I2219" s="2">
        <v>0</v>
      </c>
      <c r="J2219" s="2">
        <v>1</v>
      </c>
      <c r="K2219" s="2">
        <v>1</v>
      </c>
      <c r="L2219" s="2">
        <v>0</v>
      </c>
      <c r="M2219">
        <v>0</v>
      </c>
      <c r="N2219">
        <v>0</v>
      </c>
      <c r="O2219" s="2">
        <v>0</v>
      </c>
      <c r="P2219" s="2">
        <v>0</v>
      </c>
      <c r="Q2219">
        <v>0</v>
      </c>
      <c r="R2219" s="2">
        <v>0</v>
      </c>
      <c r="S2219" s="2">
        <v>0</v>
      </c>
      <c r="T2219" t="s">
        <v>1169</v>
      </c>
      <c r="U2219" s="2">
        <v>0</v>
      </c>
      <c r="V2219" s="2">
        <v>8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</row>
    <row r="2220" spans="1:28" hidden="1" x14ac:dyDescent="0.25">
      <c r="A2220" t="s">
        <v>47</v>
      </c>
      <c r="B2220" t="s">
        <v>21</v>
      </c>
      <c r="C2220" t="s">
        <v>22</v>
      </c>
      <c r="D2220" s="1">
        <v>46002</v>
      </c>
      <c r="E2220" s="1">
        <v>46002</v>
      </c>
      <c r="F2220" s="13">
        <v>3225</v>
      </c>
      <c r="G2220" s="3" t="s">
        <v>23</v>
      </c>
      <c r="H2220">
        <f>18+18+1+10+1</f>
        <v>48</v>
      </c>
      <c r="I2220" s="2">
        <v>0</v>
      </c>
      <c r="J2220" s="2">
        <v>1</v>
      </c>
      <c r="K2220" s="2">
        <v>1</v>
      </c>
      <c r="L2220" s="2">
        <v>0</v>
      </c>
      <c r="M2220">
        <v>0</v>
      </c>
      <c r="N2220">
        <v>0</v>
      </c>
      <c r="O2220" s="2">
        <v>0</v>
      </c>
      <c r="P2220" s="2">
        <v>0</v>
      </c>
      <c r="Q2220">
        <v>0</v>
      </c>
      <c r="R2220" s="2">
        <v>0</v>
      </c>
      <c r="S2220" s="2">
        <v>0</v>
      </c>
      <c r="T2220" t="s">
        <v>1169</v>
      </c>
      <c r="U2220" s="2">
        <v>0</v>
      </c>
      <c r="V2220" s="2">
        <v>8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</row>
    <row r="2221" spans="1:28" hidden="1" x14ac:dyDescent="0.25">
      <c r="A2221" t="s">
        <v>53</v>
      </c>
      <c r="B2221" t="s">
        <v>47</v>
      </c>
      <c r="C2221" t="s">
        <v>54</v>
      </c>
      <c r="D2221" s="1">
        <v>46002</v>
      </c>
      <c r="E2221" s="1">
        <v>46002</v>
      </c>
      <c r="F2221" s="2">
        <v>51</v>
      </c>
      <c r="G2221" s="3" t="s">
        <v>23</v>
      </c>
      <c r="H2221">
        <f>20+20</f>
        <v>40</v>
      </c>
      <c r="I2221" s="2">
        <v>0</v>
      </c>
      <c r="J2221" s="2">
        <v>0</v>
      </c>
      <c r="K2221" s="2">
        <v>1</v>
      </c>
      <c r="L2221" s="2">
        <v>0</v>
      </c>
      <c r="M2221">
        <v>0</v>
      </c>
      <c r="N2221">
        <v>0</v>
      </c>
      <c r="O2221" s="2">
        <v>0</v>
      </c>
      <c r="P2221" s="2">
        <v>0</v>
      </c>
      <c r="Q2221">
        <v>0</v>
      </c>
      <c r="R2221" s="2">
        <v>0</v>
      </c>
      <c r="S2221" s="2">
        <v>0</v>
      </c>
      <c r="T2221" t="s">
        <v>1170</v>
      </c>
      <c r="U2221" s="2">
        <v>0</v>
      </c>
      <c r="V2221" s="2">
        <f>20+4+16+4+2+10+22</f>
        <v>78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</row>
    <row r="2222" spans="1:28" hidden="1" x14ac:dyDescent="0.25">
      <c r="A2222" t="s">
        <v>33</v>
      </c>
      <c r="B2222" t="s">
        <v>47</v>
      </c>
      <c r="C2222" t="s">
        <v>54</v>
      </c>
      <c r="D2222" s="1">
        <v>46002</v>
      </c>
      <c r="E2222" s="1">
        <v>46002</v>
      </c>
      <c r="F2222" s="2">
        <v>51</v>
      </c>
      <c r="G2222" s="3" t="s">
        <v>23</v>
      </c>
      <c r="H2222">
        <f>20+20</f>
        <v>40</v>
      </c>
      <c r="I2222" s="2">
        <v>0</v>
      </c>
      <c r="J2222" s="2">
        <v>0</v>
      </c>
      <c r="K2222" s="2">
        <v>1</v>
      </c>
      <c r="L2222" s="2">
        <v>0</v>
      </c>
      <c r="M2222">
        <v>0</v>
      </c>
      <c r="N2222">
        <v>0</v>
      </c>
      <c r="O2222" s="2">
        <v>0</v>
      </c>
      <c r="P2222" s="2">
        <v>0</v>
      </c>
      <c r="Q2222">
        <v>0</v>
      </c>
      <c r="R2222" s="2">
        <v>0</v>
      </c>
      <c r="S2222" s="2">
        <v>0</v>
      </c>
      <c r="T2222" t="s">
        <v>1170</v>
      </c>
      <c r="U2222" s="2">
        <v>0</v>
      </c>
      <c r="V2222" s="2">
        <f>20+4+16+4+2+10+22</f>
        <v>78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</row>
    <row r="2223" spans="1:28" hidden="1" x14ac:dyDescent="0.25">
      <c r="A2223" t="s">
        <v>63</v>
      </c>
      <c r="B2223" t="s">
        <v>47</v>
      </c>
      <c r="C2223" t="s">
        <v>102</v>
      </c>
      <c r="D2223" s="1">
        <v>46002</v>
      </c>
      <c r="E2223" s="1">
        <v>46002</v>
      </c>
      <c r="F2223" s="2">
        <v>22</v>
      </c>
      <c r="G2223" s="3" t="s">
        <v>23</v>
      </c>
      <c r="H2223">
        <f>9+4+9+4</f>
        <v>26</v>
      </c>
      <c r="I2223" s="2">
        <v>0</v>
      </c>
      <c r="J2223" s="2">
        <v>0</v>
      </c>
      <c r="K2223" s="2">
        <v>1</v>
      </c>
      <c r="L2223" s="2">
        <v>0</v>
      </c>
      <c r="M2223">
        <v>0</v>
      </c>
      <c r="N2223">
        <v>0</v>
      </c>
      <c r="O2223" s="2">
        <v>0</v>
      </c>
      <c r="P2223" s="2">
        <v>0</v>
      </c>
      <c r="Q2223">
        <v>0</v>
      </c>
      <c r="R2223" s="2">
        <v>0</v>
      </c>
      <c r="S2223" s="2">
        <v>0</v>
      </c>
      <c r="T2223" t="s">
        <v>1171</v>
      </c>
      <c r="U2223" s="2">
        <v>0</v>
      </c>
      <c r="V2223" s="2">
        <v>12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</row>
    <row r="2224" spans="1:28" hidden="1" x14ac:dyDescent="0.25">
      <c r="A2224" t="s">
        <v>47</v>
      </c>
      <c r="B2224" t="s">
        <v>284</v>
      </c>
      <c r="C2224" t="s">
        <v>102</v>
      </c>
      <c r="D2224" s="1">
        <v>46002</v>
      </c>
      <c r="E2224" s="1">
        <v>46002</v>
      </c>
      <c r="F2224" s="2">
        <v>22</v>
      </c>
      <c r="G2224" s="3" t="s">
        <v>23</v>
      </c>
      <c r="H2224">
        <f>9+4+9+4</f>
        <v>26</v>
      </c>
      <c r="I2224" s="2">
        <v>0</v>
      </c>
      <c r="J2224" s="2">
        <v>0</v>
      </c>
      <c r="K2224" s="2">
        <v>1</v>
      </c>
      <c r="L2224" s="2">
        <v>0</v>
      </c>
      <c r="M2224">
        <v>0</v>
      </c>
      <c r="N2224">
        <v>0</v>
      </c>
      <c r="O2224" s="2">
        <v>0</v>
      </c>
      <c r="P2224" s="2">
        <v>0</v>
      </c>
      <c r="Q2224">
        <v>0</v>
      </c>
      <c r="R2224" s="2">
        <v>0</v>
      </c>
      <c r="S2224" s="2">
        <v>0</v>
      </c>
      <c r="T2224" t="s">
        <v>1171</v>
      </c>
      <c r="U2224" s="2">
        <v>0</v>
      </c>
      <c r="V2224" s="2">
        <f>12+8</f>
        <v>20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</row>
    <row r="2225" spans="1:28" hidden="1" x14ac:dyDescent="0.25">
      <c r="A2225" t="s">
        <v>56</v>
      </c>
      <c r="B2225" s="16" t="s">
        <v>1172</v>
      </c>
      <c r="C2225" t="s">
        <v>64</v>
      </c>
      <c r="D2225" s="1">
        <v>46002</v>
      </c>
      <c r="E2225" s="1">
        <v>46002</v>
      </c>
      <c r="F2225" s="2">
        <v>124</v>
      </c>
      <c r="G2225" s="3" t="s">
        <v>23</v>
      </c>
      <c r="H2225">
        <f>12+2+1+10+1+12+1+4</f>
        <v>43</v>
      </c>
      <c r="I2225" s="2">
        <v>0</v>
      </c>
      <c r="J2225" s="2">
        <v>0</v>
      </c>
      <c r="K2225" s="2">
        <v>1</v>
      </c>
      <c r="L2225" s="2">
        <v>0</v>
      </c>
      <c r="M2225">
        <v>0</v>
      </c>
      <c r="N2225">
        <v>0</v>
      </c>
      <c r="O2225" s="2">
        <v>0</v>
      </c>
      <c r="P2225" s="2">
        <v>0</v>
      </c>
      <c r="Q2225">
        <v>0</v>
      </c>
      <c r="R2225" s="2">
        <v>0</v>
      </c>
      <c r="S2225" s="2">
        <v>0</v>
      </c>
      <c r="T2225" t="s">
        <v>1173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</row>
    <row r="2226" spans="1:28" hidden="1" x14ac:dyDescent="0.25">
      <c r="A2226" t="s">
        <v>25</v>
      </c>
      <c r="B2226" t="s">
        <v>26</v>
      </c>
      <c r="C2226" t="s">
        <v>27</v>
      </c>
      <c r="D2226" s="1">
        <v>46002</v>
      </c>
      <c r="E2226" s="1">
        <v>46002</v>
      </c>
      <c r="F2226" s="2">
        <v>39</v>
      </c>
      <c r="G2226" s="3" t="s">
        <v>23</v>
      </c>
      <c r="H2226">
        <v>0</v>
      </c>
      <c r="I2226" s="2">
        <v>0</v>
      </c>
      <c r="J2226" s="2">
        <v>0</v>
      </c>
      <c r="K2226" s="2">
        <v>0</v>
      </c>
      <c r="L2226" s="2">
        <v>0</v>
      </c>
      <c r="M2226">
        <v>0</v>
      </c>
      <c r="N2226">
        <v>0</v>
      </c>
      <c r="O2226" s="2">
        <v>0</v>
      </c>
      <c r="P2226" s="2">
        <v>0</v>
      </c>
      <c r="Q2226">
        <v>0</v>
      </c>
      <c r="R2226" s="2">
        <v>0</v>
      </c>
      <c r="S2226" s="2">
        <v>0</v>
      </c>
      <c r="T2226" t="s">
        <v>1174</v>
      </c>
      <c r="U2226" s="2">
        <v>0</v>
      </c>
      <c r="V2226" s="2">
        <f>21+1+2+1+1+1+21+20+10+1+1</f>
        <v>80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</row>
    <row r="2227" spans="1:28" hidden="1" x14ac:dyDescent="0.25">
      <c r="A2227" t="s">
        <v>47</v>
      </c>
      <c r="B2227" t="s">
        <v>1160</v>
      </c>
      <c r="C2227" t="s">
        <v>35</v>
      </c>
      <c r="D2227" s="1">
        <v>46002</v>
      </c>
      <c r="E2227" s="1">
        <v>46002</v>
      </c>
      <c r="F2227" s="2">
        <v>21</v>
      </c>
      <c r="G2227" s="3" t="s">
        <v>48</v>
      </c>
      <c r="H2227">
        <v>0</v>
      </c>
      <c r="I2227" s="2">
        <v>0</v>
      </c>
      <c r="J2227" s="2">
        <v>0</v>
      </c>
      <c r="K2227" s="2">
        <v>0</v>
      </c>
      <c r="L2227" s="2">
        <v>0</v>
      </c>
      <c r="M2227">
        <v>0</v>
      </c>
      <c r="N2227">
        <v>0</v>
      </c>
      <c r="O2227" s="2">
        <v>0</v>
      </c>
      <c r="P2227" s="2">
        <v>0</v>
      </c>
      <c r="Q2227">
        <v>0</v>
      </c>
      <c r="R2227" s="2">
        <v>0</v>
      </c>
      <c r="S2227" s="2">
        <v>0</v>
      </c>
      <c r="T2227" t="s">
        <v>1125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</row>
    <row r="2228" spans="1:28" hidden="1" x14ac:dyDescent="0.25">
      <c r="A2228" t="s">
        <v>47</v>
      </c>
      <c r="B2228" t="s">
        <v>38</v>
      </c>
      <c r="C2228" t="s">
        <v>35</v>
      </c>
      <c r="D2228" s="1">
        <v>46002</v>
      </c>
      <c r="E2228" s="1">
        <v>46002</v>
      </c>
      <c r="F2228" s="2">
        <v>21</v>
      </c>
      <c r="G2228" s="3" t="s">
        <v>48</v>
      </c>
      <c r="H2228">
        <v>0</v>
      </c>
      <c r="I2228" s="2">
        <v>0</v>
      </c>
      <c r="J2228" s="2">
        <v>0</v>
      </c>
      <c r="K2228" s="2">
        <v>0</v>
      </c>
      <c r="L2228" s="2">
        <v>0</v>
      </c>
      <c r="M2228">
        <v>0</v>
      </c>
      <c r="N2228">
        <v>0</v>
      </c>
      <c r="O2228" s="2">
        <v>0</v>
      </c>
      <c r="P2228" s="2">
        <v>0</v>
      </c>
      <c r="Q2228">
        <v>0</v>
      </c>
      <c r="R2228" s="2">
        <v>0</v>
      </c>
      <c r="S2228" s="2">
        <v>0</v>
      </c>
      <c r="T2228" t="s">
        <v>1125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</row>
    <row r="2229" spans="1:28" hidden="1" x14ac:dyDescent="0.25">
      <c r="A2229" t="s">
        <v>730</v>
      </c>
      <c r="B2229" t="s">
        <v>47</v>
      </c>
      <c r="C2229" t="s">
        <v>35</v>
      </c>
      <c r="D2229" s="1">
        <v>46002</v>
      </c>
      <c r="E2229" s="1">
        <v>46002</v>
      </c>
      <c r="F2229" s="2">
        <v>21</v>
      </c>
      <c r="G2229" s="3" t="s">
        <v>129</v>
      </c>
      <c r="H2229">
        <v>0</v>
      </c>
      <c r="I2229" s="2">
        <v>0</v>
      </c>
      <c r="J2229" s="2">
        <v>0</v>
      </c>
      <c r="K2229" s="2">
        <v>0</v>
      </c>
      <c r="L2229" s="2">
        <v>0</v>
      </c>
      <c r="M2229">
        <v>0</v>
      </c>
      <c r="N2229">
        <v>0</v>
      </c>
      <c r="O2229" s="2">
        <v>0</v>
      </c>
      <c r="P2229" s="2">
        <v>0</v>
      </c>
      <c r="Q2229">
        <v>0</v>
      </c>
      <c r="R2229" s="2">
        <v>0</v>
      </c>
      <c r="S2229" s="2">
        <v>0</v>
      </c>
      <c r="T2229" t="s">
        <v>1125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</row>
    <row r="2230" spans="1:28" hidden="1" x14ac:dyDescent="0.25">
      <c r="A2230" t="s">
        <v>47</v>
      </c>
      <c r="B2230" t="s">
        <v>52</v>
      </c>
      <c r="C2230" t="s">
        <v>212</v>
      </c>
      <c r="D2230" s="1">
        <v>46002</v>
      </c>
      <c r="E2230" s="1">
        <v>46002</v>
      </c>
      <c r="F2230" s="2">
        <v>0</v>
      </c>
      <c r="G2230" s="3" t="s">
        <v>572</v>
      </c>
      <c r="H2230">
        <v>0</v>
      </c>
      <c r="I2230" s="2">
        <v>0</v>
      </c>
      <c r="J2230" s="2">
        <v>0</v>
      </c>
      <c r="K2230" s="2">
        <v>0</v>
      </c>
      <c r="L2230" s="2">
        <v>0</v>
      </c>
      <c r="M2230">
        <v>0</v>
      </c>
      <c r="N2230">
        <v>0</v>
      </c>
      <c r="O2230" s="2">
        <v>0</v>
      </c>
      <c r="P2230" s="2">
        <v>0</v>
      </c>
      <c r="Q2230">
        <v>0</v>
      </c>
      <c r="R2230" s="2">
        <v>0</v>
      </c>
      <c r="S2230" s="2">
        <v>0</v>
      </c>
      <c r="T2230" t="s">
        <v>377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</row>
    <row r="2231" spans="1:28" hidden="1" x14ac:dyDescent="0.25">
      <c r="A2231" t="s">
        <v>25</v>
      </c>
      <c r="B2231" t="s">
        <v>26</v>
      </c>
      <c r="C2231" t="s">
        <v>27</v>
      </c>
      <c r="D2231" s="1">
        <v>46003</v>
      </c>
      <c r="E2231" s="1">
        <v>46003</v>
      </c>
      <c r="F2231" s="2">
        <v>22</v>
      </c>
      <c r="G2231" s="3" t="s">
        <v>23</v>
      </c>
      <c r="H2231">
        <f>9+9</f>
        <v>18</v>
      </c>
      <c r="I2231" s="2">
        <v>0</v>
      </c>
      <c r="J2231" s="2">
        <v>0</v>
      </c>
      <c r="K2231" s="2">
        <v>1</v>
      </c>
      <c r="L2231" s="2">
        <v>0</v>
      </c>
      <c r="M2231">
        <v>0</v>
      </c>
      <c r="N2231">
        <v>0</v>
      </c>
      <c r="O2231" s="2">
        <v>0</v>
      </c>
      <c r="P2231" s="2">
        <v>0</v>
      </c>
      <c r="Q2231">
        <v>0</v>
      </c>
      <c r="R2231" s="2">
        <v>0</v>
      </c>
      <c r="S2231" s="2">
        <v>0</v>
      </c>
      <c r="T2231" t="s">
        <v>1175</v>
      </c>
      <c r="U2231" s="2">
        <v>0</v>
      </c>
      <c r="V2231" s="2">
        <f>20+20+20+10</f>
        <v>70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</row>
    <row r="2232" spans="1:28" hidden="1" x14ac:dyDescent="0.25">
      <c r="A2232" t="s">
        <v>568</v>
      </c>
      <c r="B2232" t="s">
        <v>34</v>
      </c>
      <c r="C2232" t="s">
        <v>670</v>
      </c>
      <c r="D2232" s="1">
        <v>46003</v>
      </c>
      <c r="E2232" s="1">
        <v>46003</v>
      </c>
      <c r="F2232" s="2">
        <v>34</v>
      </c>
      <c r="G2232" s="3" t="s">
        <v>23</v>
      </c>
      <c r="H2232">
        <f>5+4+5+4</f>
        <v>18</v>
      </c>
      <c r="I2232" s="2">
        <v>0</v>
      </c>
      <c r="J2232" s="2">
        <v>0</v>
      </c>
      <c r="K2232" s="2">
        <v>0</v>
      </c>
      <c r="L2232" s="2">
        <v>1</v>
      </c>
      <c r="M2232">
        <v>0</v>
      </c>
      <c r="N2232">
        <v>0</v>
      </c>
      <c r="O2232" s="2">
        <v>0</v>
      </c>
      <c r="P2232" s="2">
        <v>0</v>
      </c>
      <c r="Q2232">
        <v>0</v>
      </c>
      <c r="R2232" s="2">
        <v>0</v>
      </c>
      <c r="S2232" s="2">
        <v>0</v>
      </c>
      <c r="T2232" t="s">
        <v>1176</v>
      </c>
      <c r="U2232" s="2">
        <v>0</v>
      </c>
      <c r="V2232" s="2">
        <f>20+20+16</f>
        <v>56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</row>
    <row r="2233" spans="1:28" hidden="1" x14ac:dyDescent="0.25">
      <c r="A2233" t="s">
        <v>29</v>
      </c>
      <c r="B2233" t="s">
        <v>30</v>
      </c>
      <c r="C2233" t="s">
        <v>31</v>
      </c>
      <c r="D2233" s="1">
        <v>46003</v>
      </c>
      <c r="E2233" s="1">
        <v>46003</v>
      </c>
      <c r="F2233" s="2">
        <v>24</v>
      </c>
      <c r="G2233" s="3" t="s">
        <v>23</v>
      </c>
      <c r="H2233">
        <f>8+8</f>
        <v>16</v>
      </c>
      <c r="I2233" s="2">
        <v>0</v>
      </c>
      <c r="J2233" s="2">
        <v>0</v>
      </c>
      <c r="K2233" s="2">
        <v>1</v>
      </c>
      <c r="L2233" s="2">
        <v>0</v>
      </c>
      <c r="M2233">
        <v>0</v>
      </c>
      <c r="N2233">
        <v>0</v>
      </c>
      <c r="O2233" s="2">
        <v>0</v>
      </c>
      <c r="P2233" s="2">
        <v>0</v>
      </c>
      <c r="Q2233">
        <v>0</v>
      </c>
      <c r="R2233" s="2">
        <v>0</v>
      </c>
      <c r="S2233" s="2">
        <v>0</v>
      </c>
      <c r="T2233" t="s">
        <v>1177</v>
      </c>
      <c r="U2233" s="2">
        <v>0</v>
      </c>
      <c r="V2233" s="2">
        <f>14+14+20</f>
        <v>48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</row>
    <row r="2234" spans="1:28" hidden="1" x14ac:dyDescent="0.25">
      <c r="A2234" t="s">
        <v>20</v>
      </c>
      <c r="B2234" t="s">
        <v>21</v>
      </c>
      <c r="C2234" t="s">
        <v>22</v>
      </c>
      <c r="D2234" s="1">
        <v>46003</v>
      </c>
      <c r="E2234" s="1">
        <v>46003</v>
      </c>
      <c r="F2234" s="2">
        <v>71</v>
      </c>
      <c r="G2234" s="3" t="s">
        <v>23</v>
      </c>
      <c r="H2234">
        <f>18+18</f>
        <v>36</v>
      </c>
      <c r="I2234" s="2">
        <v>0</v>
      </c>
      <c r="J2234" s="2">
        <v>1</v>
      </c>
      <c r="K2234" s="2">
        <v>1</v>
      </c>
      <c r="L2234" s="2">
        <v>0</v>
      </c>
      <c r="M2234">
        <v>0</v>
      </c>
      <c r="N2234">
        <v>0</v>
      </c>
      <c r="O2234" s="2">
        <v>0</v>
      </c>
      <c r="P2234" s="2">
        <v>0</v>
      </c>
      <c r="Q2234">
        <v>0</v>
      </c>
      <c r="R2234" s="2">
        <v>0</v>
      </c>
      <c r="S2234" s="2">
        <v>0</v>
      </c>
      <c r="T2234" t="s">
        <v>1178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</row>
    <row r="2235" spans="1:28" hidden="1" x14ac:dyDescent="0.25">
      <c r="A2235" t="s">
        <v>53</v>
      </c>
      <c r="B2235" t="s">
        <v>38</v>
      </c>
      <c r="C2235" t="s">
        <v>54</v>
      </c>
      <c r="D2235" s="1">
        <v>46003</v>
      </c>
      <c r="E2235" s="1">
        <v>46003</v>
      </c>
      <c r="F2235" s="2">
        <v>77</v>
      </c>
      <c r="G2235" s="3" t="s">
        <v>23</v>
      </c>
      <c r="H2235">
        <f>14+14</f>
        <v>28</v>
      </c>
      <c r="I2235" s="2">
        <v>0</v>
      </c>
      <c r="J2235" s="2">
        <v>1</v>
      </c>
      <c r="K2235" s="2">
        <v>1</v>
      </c>
      <c r="L2235" s="2">
        <v>0</v>
      </c>
      <c r="M2235">
        <v>0</v>
      </c>
      <c r="N2235">
        <v>0</v>
      </c>
      <c r="O2235" s="2">
        <v>0</v>
      </c>
      <c r="P2235" s="2">
        <v>0</v>
      </c>
      <c r="Q2235">
        <v>0</v>
      </c>
      <c r="R2235" s="2">
        <v>0</v>
      </c>
      <c r="S2235" s="2">
        <v>0</v>
      </c>
      <c r="T2235" t="s">
        <v>1179</v>
      </c>
      <c r="U2235" s="2">
        <v>0</v>
      </c>
      <c r="V2235" s="2">
        <f>15+16+2+4+5</f>
        <v>42</v>
      </c>
      <c r="W2235" s="2">
        <v>1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</row>
    <row r="2236" spans="1:28" hidden="1" x14ac:dyDescent="0.25">
      <c r="A2236" t="s">
        <v>63</v>
      </c>
      <c r="B2236" t="s">
        <v>284</v>
      </c>
      <c r="C2236" t="s">
        <v>102</v>
      </c>
      <c r="D2236" s="1">
        <v>46003</v>
      </c>
      <c r="E2236" s="1">
        <v>46003</v>
      </c>
      <c r="F2236" s="2">
        <v>88</v>
      </c>
      <c r="G2236" s="3" t="s">
        <v>23</v>
      </c>
      <c r="H2236">
        <f>12+6+12+6+1+1+2+2+1+1+1</f>
        <v>45</v>
      </c>
      <c r="I2236" s="2">
        <v>0</v>
      </c>
      <c r="J2236" s="2">
        <v>0</v>
      </c>
      <c r="K2236" s="2">
        <v>0</v>
      </c>
      <c r="L2236" s="2">
        <v>1</v>
      </c>
      <c r="M2236">
        <v>0</v>
      </c>
      <c r="N2236">
        <v>0</v>
      </c>
      <c r="O2236" s="2">
        <v>0</v>
      </c>
      <c r="P2236" s="2">
        <v>0</v>
      </c>
      <c r="Q2236">
        <v>0</v>
      </c>
      <c r="R2236" s="2">
        <v>0</v>
      </c>
      <c r="S2236" s="2">
        <v>0</v>
      </c>
      <c r="T2236" t="s">
        <v>1180</v>
      </c>
      <c r="U2236" s="2">
        <v>0</v>
      </c>
      <c r="V2236" s="2">
        <f>2+2+4</f>
        <v>8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</row>
    <row r="2237" spans="1:28" hidden="1" x14ac:dyDescent="0.25">
      <c r="A2237" t="s">
        <v>33</v>
      </c>
      <c r="B2237" t="s">
        <v>47</v>
      </c>
      <c r="C2237" t="s">
        <v>35</v>
      </c>
      <c r="D2237" s="1">
        <v>46003</v>
      </c>
      <c r="E2237" s="1">
        <v>46003</v>
      </c>
      <c r="F2237" s="2">
        <v>24</v>
      </c>
      <c r="G2237" s="3" t="s">
        <v>23</v>
      </c>
      <c r="H2237">
        <v>0</v>
      </c>
      <c r="I2237" s="2">
        <v>0</v>
      </c>
      <c r="J2237" s="2">
        <v>0</v>
      </c>
      <c r="K2237" s="2">
        <v>0</v>
      </c>
      <c r="L2237" s="2">
        <v>0</v>
      </c>
      <c r="M2237">
        <v>0</v>
      </c>
      <c r="N2237">
        <v>0</v>
      </c>
      <c r="O2237" s="2">
        <v>0</v>
      </c>
      <c r="P2237" s="2">
        <v>0</v>
      </c>
      <c r="Q2237">
        <v>0</v>
      </c>
      <c r="R2237" s="2">
        <v>0</v>
      </c>
      <c r="S2237" s="2">
        <v>0</v>
      </c>
      <c r="T2237" t="s">
        <v>1181</v>
      </c>
      <c r="U2237" s="2">
        <v>0</v>
      </c>
      <c r="V2237" s="2">
        <v>44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</row>
    <row r="2238" spans="1:28" hidden="1" x14ac:dyDescent="0.25">
      <c r="A2238" t="s">
        <v>730</v>
      </c>
      <c r="B2238" t="s">
        <v>47</v>
      </c>
      <c r="C2238" t="s">
        <v>35</v>
      </c>
      <c r="D2238" s="1">
        <v>46003</v>
      </c>
      <c r="E2238" s="1">
        <v>46003</v>
      </c>
      <c r="F2238" s="2">
        <v>24</v>
      </c>
      <c r="G2238" s="3" t="s">
        <v>23</v>
      </c>
      <c r="H2238">
        <v>0</v>
      </c>
      <c r="I2238" s="2">
        <v>0</v>
      </c>
      <c r="J2238" s="2">
        <v>0</v>
      </c>
      <c r="K2238" s="2">
        <v>0</v>
      </c>
      <c r="L2238" s="2">
        <v>0</v>
      </c>
      <c r="M2238">
        <v>0</v>
      </c>
      <c r="N2238">
        <v>0</v>
      </c>
      <c r="O2238" s="2">
        <v>0</v>
      </c>
      <c r="P2238" s="2">
        <v>0</v>
      </c>
      <c r="Q2238">
        <v>0</v>
      </c>
      <c r="R2238" s="2">
        <v>0</v>
      </c>
      <c r="S2238" s="2">
        <v>0</v>
      </c>
      <c r="T2238" t="s">
        <v>1181</v>
      </c>
      <c r="U2238" s="2">
        <v>0</v>
      </c>
      <c r="V2238" s="2">
        <v>44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</row>
    <row r="2239" spans="1:28" hidden="1" x14ac:dyDescent="0.25">
      <c r="A2239" t="s">
        <v>47</v>
      </c>
      <c r="B2239" t="s">
        <v>1160</v>
      </c>
      <c r="C2239" t="s">
        <v>35</v>
      </c>
      <c r="D2239" s="1">
        <v>46003</v>
      </c>
      <c r="E2239" s="1">
        <v>46003</v>
      </c>
      <c r="F2239" s="2">
        <v>24</v>
      </c>
      <c r="G2239" s="3" t="s">
        <v>23</v>
      </c>
      <c r="H2239">
        <v>0</v>
      </c>
      <c r="I2239" s="2">
        <v>0</v>
      </c>
      <c r="J2239" s="2">
        <v>0</v>
      </c>
      <c r="K2239" s="2">
        <v>0</v>
      </c>
      <c r="L2239" s="2">
        <v>0</v>
      </c>
      <c r="M2239">
        <v>0</v>
      </c>
      <c r="N2239">
        <v>0</v>
      </c>
      <c r="O2239" s="2">
        <v>0</v>
      </c>
      <c r="P2239" s="2">
        <v>0</v>
      </c>
      <c r="Q2239">
        <v>0</v>
      </c>
      <c r="R2239" s="2">
        <v>0</v>
      </c>
      <c r="S2239" s="2">
        <v>0</v>
      </c>
      <c r="T2239" t="s">
        <v>1181</v>
      </c>
      <c r="U2239" s="2">
        <v>0</v>
      </c>
      <c r="V2239" s="2">
        <f>44+6+4+22</f>
        <v>76</v>
      </c>
      <c r="W2239" s="2">
        <v>5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</row>
    <row r="2240" spans="1:28" hidden="1" x14ac:dyDescent="0.25">
      <c r="A2240" t="s">
        <v>37</v>
      </c>
      <c r="B2240" t="s">
        <v>57</v>
      </c>
      <c r="C2240" t="s">
        <v>39</v>
      </c>
      <c r="D2240" s="1">
        <v>46003</v>
      </c>
      <c r="E2240" s="1">
        <v>46003</v>
      </c>
      <c r="F2240" s="2">
        <v>15</v>
      </c>
      <c r="G2240" s="3" t="s">
        <v>23</v>
      </c>
      <c r="H2240">
        <f>22+4+6+22</f>
        <v>54</v>
      </c>
      <c r="I2240" s="2">
        <v>0</v>
      </c>
      <c r="J2240" s="2">
        <v>0</v>
      </c>
      <c r="K2240" s="2">
        <v>0</v>
      </c>
      <c r="L2240" s="2">
        <v>0</v>
      </c>
      <c r="M2240">
        <v>0</v>
      </c>
      <c r="N2240">
        <v>0</v>
      </c>
      <c r="O2240" s="2">
        <v>0</v>
      </c>
      <c r="P2240" s="2">
        <v>0</v>
      </c>
      <c r="Q2240">
        <v>0</v>
      </c>
      <c r="R2240" s="2">
        <v>0</v>
      </c>
      <c r="S2240" s="2">
        <v>0</v>
      </c>
      <c r="T2240" t="s">
        <v>1182</v>
      </c>
      <c r="U2240" s="2">
        <v>0</v>
      </c>
      <c r="V2240">
        <f>22+4+6+22</f>
        <v>54</v>
      </c>
      <c r="W2240" s="2">
        <v>5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</row>
    <row r="2241" spans="1:28" hidden="1" x14ac:dyDescent="0.25">
      <c r="A2241" t="s">
        <v>56</v>
      </c>
      <c r="B2241" t="s">
        <v>47</v>
      </c>
      <c r="C2241" t="s">
        <v>35</v>
      </c>
      <c r="D2241" s="1">
        <v>46003</v>
      </c>
      <c r="E2241" s="1">
        <v>46003</v>
      </c>
      <c r="F2241" s="2">
        <v>21</v>
      </c>
      <c r="G2241" s="3" t="s">
        <v>48</v>
      </c>
      <c r="H2241">
        <v>0</v>
      </c>
      <c r="I2241" s="2">
        <v>0</v>
      </c>
      <c r="J2241" s="2">
        <v>0</v>
      </c>
      <c r="K2241" s="2">
        <v>0</v>
      </c>
      <c r="L2241" s="2">
        <v>0</v>
      </c>
      <c r="M2241">
        <v>0</v>
      </c>
      <c r="N2241">
        <v>0</v>
      </c>
      <c r="O2241" s="2">
        <v>0</v>
      </c>
      <c r="P2241" s="2">
        <v>0</v>
      </c>
      <c r="Q2241">
        <v>0</v>
      </c>
      <c r="R2241" s="2">
        <v>0</v>
      </c>
      <c r="S2241" s="2">
        <v>0</v>
      </c>
      <c r="T2241" t="s">
        <v>1125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</row>
    <row r="2242" spans="1:28" hidden="1" x14ac:dyDescent="0.25">
      <c r="A2242" t="s">
        <v>47</v>
      </c>
      <c r="B2242" t="s">
        <v>52</v>
      </c>
      <c r="C2242" t="s">
        <v>212</v>
      </c>
      <c r="D2242" s="1">
        <v>46003</v>
      </c>
      <c r="E2242" s="1">
        <v>46003</v>
      </c>
      <c r="F2242" s="2">
        <v>0</v>
      </c>
      <c r="G2242" s="3" t="s">
        <v>572</v>
      </c>
      <c r="H2242">
        <v>0</v>
      </c>
      <c r="I2242" s="2">
        <v>0</v>
      </c>
      <c r="J2242" s="2">
        <v>0</v>
      </c>
      <c r="K2242" s="2">
        <v>0</v>
      </c>
      <c r="L2242" s="2">
        <v>0</v>
      </c>
      <c r="M2242">
        <v>0</v>
      </c>
      <c r="N2242">
        <v>0</v>
      </c>
      <c r="O2242" s="2">
        <v>0</v>
      </c>
      <c r="P2242" s="2">
        <v>0</v>
      </c>
      <c r="Q2242">
        <v>0</v>
      </c>
      <c r="R2242" s="2">
        <v>0</v>
      </c>
      <c r="S2242" s="2">
        <v>0</v>
      </c>
      <c r="T2242" t="s">
        <v>377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</row>
    <row r="2243" spans="1:28" hidden="1" x14ac:dyDescent="0.25">
      <c r="A2243" t="s">
        <v>105</v>
      </c>
      <c r="B2243" t="s">
        <v>38</v>
      </c>
      <c r="C2243" t="s">
        <v>54</v>
      </c>
      <c r="D2243" s="9">
        <v>46004</v>
      </c>
      <c r="E2243" s="9">
        <v>46004</v>
      </c>
      <c r="F2243" s="2">
        <v>87</v>
      </c>
      <c r="G2243" s="3" t="s">
        <v>23</v>
      </c>
      <c r="H2243">
        <v>0</v>
      </c>
      <c r="I2243" s="2">
        <v>0</v>
      </c>
      <c r="J2243" s="2">
        <v>0</v>
      </c>
      <c r="K2243" s="2">
        <v>0</v>
      </c>
      <c r="L2243" s="2">
        <v>0</v>
      </c>
      <c r="M2243">
        <v>0</v>
      </c>
      <c r="N2243">
        <v>0</v>
      </c>
      <c r="O2243" s="2">
        <v>1</v>
      </c>
      <c r="P2243" s="2">
        <v>0</v>
      </c>
      <c r="Q2243">
        <v>6</v>
      </c>
      <c r="R2243" s="2">
        <v>1</v>
      </c>
      <c r="S2243" s="2">
        <v>0</v>
      </c>
      <c r="T2243" t="s">
        <v>1183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</row>
    <row r="2244" spans="1:28" hidden="1" x14ac:dyDescent="0.25">
      <c r="A2244" t="s">
        <v>568</v>
      </c>
      <c r="B2244" t="s">
        <v>34</v>
      </c>
      <c r="C2244" t="s">
        <v>670</v>
      </c>
      <c r="D2244" s="9">
        <v>46004</v>
      </c>
      <c r="E2244" s="9">
        <v>46004</v>
      </c>
      <c r="F2244" s="2">
        <v>179</v>
      </c>
      <c r="G2244" s="3" t="s">
        <v>23</v>
      </c>
      <c r="H2244">
        <v>0</v>
      </c>
      <c r="I2244" s="2">
        <v>0</v>
      </c>
      <c r="J2244" s="2">
        <v>0</v>
      </c>
      <c r="K2244" s="2">
        <v>0</v>
      </c>
      <c r="L2244" s="2">
        <v>0</v>
      </c>
      <c r="M2244">
        <v>0</v>
      </c>
      <c r="N2244">
        <v>0</v>
      </c>
      <c r="O2244" s="2">
        <v>1</v>
      </c>
      <c r="P2244" s="2">
        <v>0</v>
      </c>
      <c r="Q2244">
        <v>10</v>
      </c>
      <c r="R2244" s="2">
        <v>1</v>
      </c>
      <c r="S2244" s="2">
        <v>0</v>
      </c>
      <c r="T2244" t="s">
        <v>1184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1</v>
      </c>
      <c r="AB2244" s="2">
        <v>0</v>
      </c>
    </row>
    <row r="2245" spans="1:28" hidden="1" x14ac:dyDescent="0.25">
      <c r="A2245" t="s">
        <v>29</v>
      </c>
      <c r="B2245" t="s">
        <v>30</v>
      </c>
      <c r="C2245" t="s">
        <v>31</v>
      </c>
      <c r="D2245" s="9">
        <v>46004</v>
      </c>
      <c r="E2245" s="9">
        <v>46004</v>
      </c>
      <c r="F2245" s="2">
        <v>38</v>
      </c>
      <c r="G2245" s="3" t="s">
        <v>23</v>
      </c>
      <c r="H2245">
        <v>0</v>
      </c>
      <c r="I2245" s="2">
        <v>0</v>
      </c>
      <c r="J2245" s="2">
        <v>0</v>
      </c>
      <c r="K2245" s="2">
        <v>0</v>
      </c>
      <c r="L2245" s="2">
        <v>0</v>
      </c>
      <c r="M2245">
        <v>0</v>
      </c>
      <c r="N2245">
        <v>0</v>
      </c>
      <c r="O2245" s="2">
        <v>1</v>
      </c>
      <c r="P2245" s="2">
        <v>0</v>
      </c>
      <c r="Q2245">
        <v>6</v>
      </c>
      <c r="R2245" s="2">
        <v>1</v>
      </c>
      <c r="S2245" s="2">
        <v>0</v>
      </c>
      <c r="T2245" t="s">
        <v>1185</v>
      </c>
      <c r="U2245" s="2">
        <f>16+12</f>
        <v>28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1</v>
      </c>
      <c r="AB2245" s="2">
        <v>0</v>
      </c>
    </row>
    <row r="2246" spans="1:28" hidden="1" x14ac:dyDescent="0.25">
      <c r="A2246" t="s">
        <v>20</v>
      </c>
      <c r="B2246" t="s">
        <v>21</v>
      </c>
      <c r="C2246" t="s">
        <v>22</v>
      </c>
      <c r="D2246" s="9">
        <v>46004</v>
      </c>
      <c r="E2246" s="9">
        <v>46004</v>
      </c>
      <c r="F2246" s="2">
        <v>32</v>
      </c>
      <c r="G2246" s="3" t="s">
        <v>23</v>
      </c>
      <c r="H2246">
        <v>0</v>
      </c>
      <c r="I2246" s="2">
        <v>0</v>
      </c>
      <c r="J2246" s="2">
        <v>0</v>
      </c>
      <c r="K2246" s="2">
        <v>0</v>
      </c>
      <c r="L2246" s="2">
        <v>0</v>
      </c>
      <c r="M2246">
        <v>0</v>
      </c>
      <c r="N2246">
        <v>0</v>
      </c>
      <c r="O2246" s="2">
        <v>1</v>
      </c>
      <c r="P2246" s="2">
        <v>0</v>
      </c>
      <c r="Q2246">
        <v>0</v>
      </c>
      <c r="R2246" s="2">
        <v>1</v>
      </c>
      <c r="S2246" s="2">
        <v>0</v>
      </c>
      <c r="T2246" t="s">
        <v>1186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</row>
    <row r="2247" spans="1:28" hidden="1" x14ac:dyDescent="0.25">
      <c r="A2247" t="s">
        <v>193</v>
      </c>
      <c r="B2247" t="s">
        <v>563</v>
      </c>
      <c r="C2247" t="s">
        <v>670</v>
      </c>
      <c r="D2247" s="9">
        <v>46004</v>
      </c>
      <c r="E2247" s="9">
        <v>46004</v>
      </c>
      <c r="F2247" s="2">
        <v>179</v>
      </c>
      <c r="G2247" s="3" t="s">
        <v>23</v>
      </c>
      <c r="H2247">
        <v>0</v>
      </c>
      <c r="I2247" s="2">
        <v>0</v>
      </c>
      <c r="J2247" s="2">
        <v>0</v>
      </c>
      <c r="K2247" s="2">
        <v>0</v>
      </c>
      <c r="L2247" s="2">
        <v>0</v>
      </c>
      <c r="M2247">
        <v>0</v>
      </c>
      <c r="N2247">
        <v>0</v>
      </c>
      <c r="O2247" s="2">
        <v>1</v>
      </c>
      <c r="P2247" s="2">
        <v>0</v>
      </c>
      <c r="Q2247">
        <f>2+2</f>
        <v>4</v>
      </c>
      <c r="R2247" s="2">
        <v>1</v>
      </c>
      <c r="S2247" s="2">
        <v>0</v>
      </c>
      <c r="T2247" t="s">
        <v>1184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</row>
    <row r="2248" spans="1:28" hidden="1" x14ac:dyDescent="0.25">
      <c r="A2248" t="s">
        <v>63</v>
      </c>
      <c r="B2248" t="s">
        <v>284</v>
      </c>
      <c r="C2248" t="s">
        <v>102</v>
      </c>
      <c r="D2248" s="9">
        <v>46004</v>
      </c>
      <c r="E2248" s="9">
        <v>46004</v>
      </c>
      <c r="F2248" s="2">
        <v>16</v>
      </c>
      <c r="G2248" s="3" t="s">
        <v>23</v>
      </c>
      <c r="H2248">
        <v>0</v>
      </c>
      <c r="I2248" s="2">
        <v>0</v>
      </c>
      <c r="J2248" s="2">
        <v>0</v>
      </c>
      <c r="K2248" s="2">
        <v>0</v>
      </c>
      <c r="L2248" s="2">
        <v>0</v>
      </c>
      <c r="M2248">
        <v>0</v>
      </c>
      <c r="N2248">
        <v>0</v>
      </c>
      <c r="O2248" s="2">
        <v>1</v>
      </c>
      <c r="P2248" s="2">
        <v>0</v>
      </c>
      <c r="Q2248">
        <v>0</v>
      </c>
      <c r="R2248" s="2">
        <v>1</v>
      </c>
      <c r="S2248" s="2">
        <v>0</v>
      </c>
      <c r="T2248" t="s">
        <v>1187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</row>
    <row r="2249" spans="1:28" hidden="1" x14ac:dyDescent="0.25">
      <c r="A2249" t="s">
        <v>56</v>
      </c>
      <c r="B2249" t="s">
        <v>47</v>
      </c>
      <c r="C2249" t="s">
        <v>64</v>
      </c>
      <c r="D2249" s="9">
        <v>46004</v>
      </c>
      <c r="E2249" s="9">
        <v>46004</v>
      </c>
      <c r="F2249" s="2">
        <v>54</v>
      </c>
      <c r="G2249" s="3" t="s">
        <v>23</v>
      </c>
      <c r="H2249">
        <v>0</v>
      </c>
      <c r="I2249" s="2">
        <v>0</v>
      </c>
      <c r="J2249" s="2">
        <v>0</v>
      </c>
      <c r="K2249" s="2">
        <v>0</v>
      </c>
      <c r="L2249" s="2">
        <v>0</v>
      </c>
      <c r="M2249">
        <v>0</v>
      </c>
      <c r="N2249">
        <v>0</v>
      </c>
      <c r="O2249" s="2">
        <v>1</v>
      </c>
      <c r="P2249" s="2">
        <v>0</v>
      </c>
      <c r="Q2249">
        <v>3</v>
      </c>
      <c r="R2249" s="2">
        <v>1</v>
      </c>
      <c r="S2249" s="2">
        <v>0</v>
      </c>
      <c r="T2249" t="s">
        <v>1188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</row>
    <row r="2250" spans="1:28" hidden="1" x14ac:dyDescent="0.25">
      <c r="A2250" t="s">
        <v>730</v>
      </c>
      <c r="B2250" t="s">
        <v>47</v>
      </c>
      <c r="C2250" t="s">
        <v>64</v>
      </c>
      <c r="D2250" s="9">
        <v>46004</v>
      </c>
      <c r="E2250" s="9">
        <v>46004</v>
      </c>
      <c r="F2250" s="2">
        <v>54</v>
      </c>
      <c r="G2250" s="3" t="s">
        <v>23</v>
      </c>
      <c r="H2250">
        <v>0</v>
      </c>
      <c r="I2250" s="2">
        <v>0</v>
      </c>
      <c r="J2250" s="2">
        <v>0</v>
      </c>
      <c r="K2250" s="2">
        <v>0</v>
      </c>
      <c r="L2250" s="2">
        <v>0</v>
      </c>
      <c r="M2250">
        <v>0</v>
      </c>
      <c r="N2250">
        <v>0</v>
      </c>
      <c r="O2250" s="2">
        <v>1</v>
      </c>
      <c r="P2250" s="2">
        <v>0</v>
      </c>
      <c r="Q2250">
        <v>3</v>
      </c>
      <c r="R2250" s="2">
        <v>1</v>
      </c>
      <c r="S2250" s="2">
        <v>0</v>
      </c>
      <c r="T2250" t="s">
        <v>1188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</row>
    <row r="2251" spans="1:28" hidden="1" x14ac:dyDescent="0.25">
      <c r="A2251" t="s">
        <v>53</v>
      </c>
      <c r="B2251" t="s">
        <v>47</v>
      </c>
      <c r="C2251" t="s">
        <v>212</v>
      </c>
      <c r="D2251" s="9">
        <v>46004</v>
      </c>
      <c r="E2251" s="9">
        <v>46004</v>
      </c>
      <c r="F2251" s="2">
        <v>0</v>
      </c>
      <c r="G2251" s="3" t="s">
        <v>378</v>
      </c>
      <c r="H2251">
        <v>0</v>
      </c>
      <c r="I2251" s="2">
        <v>0</v>
      </c>
      <c r="J2251" s="2">
        <v>0</v>
      </c>
      <c r="K2251" s="2">
        <v>0</v>
      </c>
      <c r="L2251" s="2">
        <v>0</v>
      </c>
      <c r="M2251">
        <v>0</v>
      </c>
      <c r="N2251">
        <v>0</v>
      </c>
      <c r="O2251" s="2">
        <v>0</v>
      </c>
      <c r="P2251" s="2">
        <v>0</v>
      </c>
      <c r="Q2251">
        <v>0</v>
      </c>
      <c r="R2251" s="2">
        <v>0</v>
      </c>
      <c r="S2251" s="2">
        <v>0</v>
      </c>
      <c r="T2251" t="s">
        <v>377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</row>
    <row r="2252" spans="1:28" hidden="1" x14ac:dyDescent="0.25">
      <c r="A2252" t="s">
        <v>47</v>
      </c>
      <c r="B2252" t="s">
        <v>52</v>
      </c>
      <c r="C2252" t="s">
        <v>212</v>
      </c>
      <c r="D2252" s="9">
        <v>46004</v>
      </c>
      <c r="E2252" s="9">
        <v>46004</v>
      </c>
      <c r="F2252" s="2">
        <v>0</v>
      </c>
      <c r="G2252" s="3" t="s">
        <v>378</v>
      </c>
      <c r="H2252">
        <v>0</v>
      </c>
      <c r="I2252" s="2">
        <v>0</v>
      </c>
      <c r="J2252" s="2">
        <v>0</v>
      </c>
      <c r="K2252" s="2">
        <v>0</v>
      </c>
      <c r="L2252" s="2">
        <v>0</v>
      </c>
      <c r="M2252">
        <v>0</v>
      </c>
      <c r="N2252">
        <v>0</v>
      </c>
      <c r="O2252" s="2">
        <v>0</v>
      </c>
      <c r="P2252" s="2">
        <v>0</v>
      </c>
      <c r="Q2252">
        <v>0</v>
      </c>
      <c r="R2252" s="2">
        <v>0</v>
      </c>
      <c r="S2252" s="2">
        <v>0</v>
      </c>
      <c r="T2252" t="s">
        <v>377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</row>
    <row r="2253" spans="1:28" hidden="1" x14ac:dyDescent="0.25">
      <c r="A2253" t="s">
        <v>25</v>
      </c>
      <c r="B2253" t="s">
        <v>26</v>
      </c>
      <c r="C2253" t="s">
        <v>27</v>
      </c>
      <c r="D2253" s="9">
        <v>46004</v>
      </c>
      <c r="E2253" s="9">
        <v>46004</v>
      </c>
      <c r="F2253" s="2">
        <v>25</v>
      </c>
      <c r="G2253" s="3" t="s">
        <v>378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 t="s">
        <v>1150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</row>
    <row r="2254" spans="1:28" hidden="1" x14ac:dyDescent="0.25">
      <c r="A2254" t="s">
        <v>37</v>
      </c>
      <c r="B2254" t="s">
        <v>57</v>
      </c>
      <c r="C2254" t="s">
        <v>39</v>
      </c>
      <c r="D2254" s="9">
        <v>46004</v>
      </c>
      <c r="E2254" s="9">
        <v>46004</v>
      </c>
      <c r="F2254" s="2">
        <v>21</v>
      </c>
      <c r="G2254" s="3" t="s">
        <v>378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 t="s">
        <v>1151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</row>
    <row r="2255" spans="1:28" hidden="1" x14ac:dyDescent="0.25">
      <c r="A2255" t="s">
        <v>47</v>
      </c>
      <c r="B2255" t="s">
        <v>1160</v>
      </c>
      <c r="C2255" t="s">
        <v>35</v>
      </c>
      <c r="D2255" s="9">
        <v>46004</v>
      </c>
      <c r="E2255" s="9">
        <v>46004</v>
      </c>
      <c r="F2255" s="2">
        <v>40</v>
      </c>
      <c r="G2255" s="3" t="s">
        <v>378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 t="s">
        <v>1152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</row>
    <row r="2256" spans="1:28" hidden="1" x14ac:dyDescent="0.25">
      <c r="A2256" t="s">
        <v>33</v>
      </c>
      <c r="B2256" t="s">
        <v>47</v>
      </c>
      <c r="C2256" t="s">
        <v>35</v>
      </c>
      <c r="D2256" s="9">
        <v>46004</v>
      </c>
      <c r="E2256" s="9">
        <v>46004</v>
      </c>
      <c r="F2256" s="2">
        <v>40</v>
      </c>
      <c r="G2256" s="3" t="s">
        <v>378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 t="s">
        <v>1152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</row>
    <row r="2257" spans="1:28" hidden="1" x14ac:dyDescent="0.25">
      <c r="A2257" t="s">
        <v>105</v>
      </c>
      <c r="B2257" t="s">
        <v>38</v>
      </c>
      <c r="C2257" t="s">
        <v>54</v>
      </c>
      <c r="D2257" s="9">
        <v>46005</v>
      </c>
      <c r="E2257" s="9">
        <v>46005</v>
      </c>
      <c r="F2257" s="2">
        <v>68</v>
      </c>
      <c r="G2257" s="3" t="s">
        <v>23</v>
      </c>
      <c r="H2257">
        <v>0</v>
      </c>
      <c r="I2257" s="2">
        <v>0</v>
      </c>
      <c r="J2257" s="2">
        <v>0</v>
      </c>
      <c r="K2257" s="2">
        <v>0</v>
      </c>
      <c r="L2257" s="2">
        <v>0</v>
      </c>
      <c r="M2257">
        <v>0</v>
      </c>
      <c r="N2257">
        <v>0</v>
      </c>
      <c r="O2257" s="2">
        <v>0</v>
      </c>
      <c r="P2257" s="2">
        <v>1</v>
      </c>
      <c r="Q2257">
        <v>5</v>
      </c>
      <c r="R2257" s="2">
        <v>0</v>
      </c>
      <c r="S2257" s="2">
        <v>1</v>
      </c>
      <c r="T2257" t="s">
        <v>1189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</row>
    <row r="2258" spans="1:28" hidden="1" x14ac:dyDescent="0.25">
      <c r="A2258" t="s">
        <v>1240</v>
      </c>
      <c r="B2258" t="s">
        <v>34</v>
      </c>
      <c r="C2258" t="s">
        <v>31</v>
      </c>
      <c r="D2258" s="9">
        <v>46005</v>
      </c>
      <c r="E2258" s="9">
        <v>46005</v>
      </c>
      <c r="F2258" s="2">
        <v>19</v>
      </c>
      <c r="G2258" s="3" t="s">
        <v>23</v>
      </c>
      <c r="H2258">
        <v>0</v>
      </c>
      <c r="I2258" s="2">
        <v>0</v>
      </c>
      <c r="J2258" s="2">
        <v>0</v>
      </c>
      <c r="K2258" s="2">
        <v>0</v>
      </c>
      <c r="L2258" s="2">
        <v>0</v>
      </c>
      <c r="M2258">
        <v>0</v>
      </c>
      <c r="N2258">
        <v>0</v>
      </c>
      <c r="O2258" s="2">
        <v>0</v>
      </c>
      <c r="P2258" s="2">
        <v>1</v>
      </c>
      <c r="Q2258">
        <v>8</v>
      </c>
      <c r="R2258" s="2">
        <v>0</v>
      </c>
      <c r="S2258" s="2">
        <v>1</v>
      </c>
      <c r="T2258" t="s">
        <v>1190</v>
      </c>
      <c r="U2258" s="2">
        <v>16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1</v>
      </c>
    </row>
    <row r="2259" spans="1:28" hidden="1" x14ac:dyDescent="0.25">
      <c r="A2259" t="s">
        <v>47</v>
      </c>
      <c r="B2259" t="s">
        <v>1160</v>
      </c>
      <c r="C2259" t="s">
        <v>31</v>
      </c>
      <c r="D2259" s="9">
        <v>46005</v>
      </c>
      <c r="E2259" s="9">
        <v>46005</v>
      </c>
      <c r="F2259" s="2">
        <v>19</v>
      </c>
      <c r="G2259" s="3" t="s">
        <v>23</v>
      </c>
      <c r="H2259">
        <v>0</v>
      </c>
      <c r="I2259" s="2">
        <v>0</v>
      </c>
      <c r="J2259" s="2">
        <v>0</v>
      </c>
      <c r="K2259" s="2">
        <v>0</v>
      </c>
      <c r="L2259" s="2">
        <v>0</v>
      </c>
      <c r="M2259">
        <v>0</v>
      </c>
      <c r="N2259">
        <v>0</v>
      </c>
      <c r="O2259" s="2">
        <v>0</v>
      </c>
      <c r="P2259" s="2">
        <v>1</v>
      </c>
      <c r="Q2259">
        <v>4</v>
      </c>
      <c r="R2259" s="2">
        <v>0</v>
      </c>
      <c r="S2259" s="2">
        <v>1</v>
      </c>
      <c r="T2259" t="s">
        <v>1190</v>
      </c>
      <c r="U2259" s="2">
        <v>16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1</v>
      </c>
    </row>
    <row r="2260" spans="1:28" hidden="1" x14ac:dyDescent="0.25">
      <c r="A2260" t="s">
        <v>29</v>
      </c>
      <c r="B2260" t="s">
        <v>30</v>
      </c>
      <c r="C2260" t="s">
        <v>31</v>
      </c>
      <c r="D2260" s="9">
        <v>46005</v>
      </c>
      <c r="E2260" s="9">
        <v>46005</v>
      </c>
      <c r="F2260" s="2">
        <v>19</v>
      </c>
      <c r="G2260" s="3" t="s">
        <v>23</v>
      </c>
      <c r="H2260">
        <v>0</v>
      </c>
      <c r="I2260" s="2">
        <v>0</v>
      </c>
      <c r="J2260" s="2">
        <v>0</v>
      </c>
      <c r="K2260" s="2">
        <v>0</v>
      </c>
      <c r="L2260" s="2">
        <v>0</v>
      </c>
      <c r="M2260">
        <v>0</v>
      </c>
      <c r="N2260">
        <v>0</v>
      </c>
      <c r="O2260" s="2">
        <v>0</v>
      </c>
      <c r="P2260" s="2">
        <v>1</v>
      </c>
      <c r="Q2260">
        <v>3</v>
      </c>
      <c r="R2260" s="2">
        <v>0</v>
      </c>
      <c r="S2260" s="2">
        <v>1</v>
      </c>
      <c r="T2260" t="s">
        <v>1190</v>
      </c>
      <c r="U2260" s="2">
        <v>16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</row>
    <row r="2261" spans="1:28" hidden="1" x14ac:dyDescent="0.25">
      <c r="A2261" t="s">
        <v>20</v>
      </c>
      <c r="B2261" t="s">
        <v>21</v>
      </c>
      <c r="C2261" t="s">
        <v>22</v>
      </c>
      <c r="D2261" s="9">
        <v>46005</v>
      </c>
      <c r="E2261" s="9">
        <v>46005</v>
      </c>
      <c r="F2261" s="2">
        <v>54</v>
      </c>
      <c r="G2261" s="3" t="s">
        <v>23</v>
      </c>
      <c r="H2261">
        <v>0</v>
      </c>
      <c r="I2261" s="2">
        <v>0</v>
      </c>
      <c r="J2261" s="2">
        <v>0</v>
      </c>
      <c r="K2261" s="2">
        <v>0</v>
      </c>
      <c r="L2261" s="2">
        <v>0</v>
      </c>
      <c r="M2261">
        <v>0</v>
      </c>
      <c r="N2261">
        <v>0</v>
      </c>
      <c r="O2261" s="2">
        <v>0</v>
      </c>
      <c r="P2261" s="2">
        <v>1</v>
      </c>
      <c r="Q2261">
        <v>0</v>
      </c>
      <c r="R2261" s="2">
        <v>0</v>
      </c>
      <c r="S2261" s="2">
        <v>1</v>
      </c>
      <c r="T2261" t="s">
        <v>1191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</row>
    <row r="2262" spans="1:28" hidden="1" x14ac:dyDescent="0.25">
      <c r="A2262" t="s">
        <v>193</v>
      </c>
      <c r="B2262" t="s">
        <v>563</v>
      </c>
      <c r="C2262" t="s">
        <v>31</v>
      </c>
      <c r="D2262" s="9">
        <v>46005</v>
      </c>
      <c r="E2262" s="9">
        <v>46005</v>
      </c>
      <c r="F2262" s="2">
        <v>19</v>
      </c>
      <c r="G2262" s="3" t="s">
        <v>23</v>
      </c>
      <c r="H2262">
        <v>0</v>
      </c>
      <c r="I2262" s="2">
        <v>0</v>
      </c>
      <c r="J2262" s="2">
        <v>0</v>
      </c>
      <c r="K2262" s="2">
        <v>0</v>
      </c>
      <c r="L2262" s="2">
        <v>0</v>
      </c>
      <c r="M2262">
        <v>0</v>
      </c>
      <c r="N2262">
        <v>0</v>
      </c>
      <c r="O2262" s="2">
        <v>0</v>
      </c>
      <c r="P2262" s="2">
        <v>1</v>
      </c>
      <c r="Q2262">
        <v>2</v>
      </c>
      <c r="R2262" s="2">
        <v>0</v>
      </c>
      <c r="S2262" s="2">
        <v>1</v>
      </c>
      <c r="T2262" t="s">
        <v>1190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</row>
    <row r="2263" spans="1:28" hidden="1" x14ac:dyDescent="0.25">
      <c r="A2263" t="s">
        <v>63</v>
      </c>
      <c r="B2263" t="s">
        <v>284</v>
      </c>
      <c r="C2263" t="s">
        <v>102</v>
      </c>
      <c r="D2263" s="9">
        <v>46005</v>
      </c>
      <c r="E2263" s="9">
        <v>46005</v>
      </c>
      <c r="F2263" s="2">
        <v>22</v>
      </c>
      <c r="G2263" s="3" t="s">
        <v>23</v>
      </c>
      <c r="H2263">
        <v>0</v>
      </c>
      <c r="I2263" s="2">
        <v>0</v>
      </c>
      <c r="J2263" s="2">
        <v>0</v>
      </c>
      <c r="K2263" s="2">
        <v>0</v>
      </c>
      <c r="L2263" s="2">
        <v>0</v>
      </c>
      <c r="M2263">
        <v>0</v>
      </c>
      <c r="N2263">
        <v>0</v>
      </c>
      <c r="O2263" s="2">
        <v>0</v>
      </c>
      <c r="P2263" s="2">
        <v>1</v>
      </c>
      <c r="Q2263">
        <v>0</v>
      </c>
      <c r="R2263" s="2">
        <v>0</v>
      </c>
      <c r="S2263" s="2">
        <v>1</v>
      </c>
      <c r="T2263" t="s">
        <v>1192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</row>
    <row r="2264" spans="1:28" hidden="1" x14ac:dyDescent="0.25">
      <c r="A2264" t="s">
        <v>56</v>
      </c>
      <c r="B2264" t="s">
        <v>47</v>
      </c>
      <c r="C2264" t="s">
        <v>64</v>
      </c>
      <c r="D2264" s="9">
        <v>46005</v>
      </c>
      <c r="E2264" s="9">
        <v>46005</v>
      </c>
      <c r="F2264" s="2">
        <v>40</v>
      </c>
      <c r="G2264" s="3" t="s">
        <v>23</v>
      </c>
      <c r="H2264">
        <v>0</v>
      </c>
      <c r="I2264" s="2">
        <v>0</v>
      </c>
      <c r="J2264" s="2">
        <v>0</v>
      </c>
      <c r="K2264" s="2">
        <v>0</v>
      </c>
      <c r="L2264" s="2">
        <v>0</v>
      </c>
      <c r="M2264">
        <v>0</v>
      </c>
      <c r="N2264">
        <v>0</v>
      </c>
      <c r="O2264" s="2">
        <v>0</v>
      </c>
      <c r="P2264" s="2">
        <v>1</v>
      </c>
      <c r="Q2264">
        <v>3</v>
      </c>
      <c r="R2264" s="2">
        <v>0</v>
      </c>
      <c r="S2264" s="2">
        <v>1</v>
      </c>
      <c r="T2264" t="s">
        <v>1193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</row>
    <row r="2265" spans="1:28" hidden="1" x14ac:dyDescent="0.25">
      <c r="A2265" t="s">
        <v>730</v>
      </c>
      <c r="B2265" t="s">
        <v>47</v>
      </c>
      <c r="C2265" t="s">
        <v>64</v>
      </c>
      <c r="D2265" s="9">
        <v>46005</v>
      </c>
      <c r="E2265" s="9">
        <v>46005</v>
      </c>
      <c r="F2265" s="2">
        <v>40</v>
      </c>
      <c r="G2265" s="3" t="s">
        <v>23</v>
      </c>
      <c r="H2265">
        <v>0</v>
      </c>
      <c r="I2265" s="2">
        <v>0</v>
      </c>
      <c r="J2265" s="2">
        <v>0</v>
      </c>
      <c r="K2265" s="2">
        <v>0</v>
      </c>
      <c r="L2265" s="2">
        <v>0</v>
      </c>
      <c r="M2265">
        <v>0</v>
      </c>
      <c r="N2265">
        <v>0</v>
      </c>
      <c r="O2265" s="2">
        <v>0</v>
      </c>
      <c r="P2265" s="2">
        <v>1</v>
      </c>
      <c r="Q2265">
        <v>3</v>
      </c>
      <c r="R2265" s="2">
        <v>0</v>
      </c>
      <c r="S2265" s="2">
        <v>1</v>
      </c>
      <c r="T2265" t="s">
        <v>1193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</row>
    <row r="2266" spans="1:28" hidden="1" x14ac:dyDescent="0.25">
      <c r="A2266" t="s">
        <v>53</v>
      </c>
      <c r="B2266" t="s">
        <v>47</v>
      </c>
      <c r="C2266" t="s">
        <v>212</v>
      </c>
      <c r="D2266" s="9">
        <v>46005</v>
      </c>
      <c r="E2266" s="9">
        <v>46005</v>
      </c>
      <c r="F2266" s="2">
        <v>0</v>
      </c>
      <c r="G2266" s="3" t="s">
        <v>378</v>
      </c>
      <c r="H2266">
        <v>0</v>
      </c>
      <c r="I2266" s="2">
        <v>0</v>
      </c>
      <c r="J2266" s="2">
        <v>0</v>
      </c>
      <c r="K2266" s="2">
        <v>0</v>
      </c>
      <c r="L2266" s="2">
        <v>0</v>
      </c>
      <c r="M2266">
        <v>0</v>
      </c>
      <c r="N2266">
        <v>0</v>
      </c>
      <c r="O2266" s="2">
        <v>0</v>
      </c>
      <c r="P2266" s="2">
        <v>0</v>
      </c>
      <c r="Q2266">
        <v>0</v>
      </c>
      <c r="R2266" s="2">
        <v>0</v>
      </c>
      <c r="S2266" s="2">
        <v>0</v>
      </c>
      <c r="T2266" t="s">
        <v>377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</row>
    <row r="2267" spans="1:28" hidden="1" x14ac:dyDescent="0.25">
      <c r="A2267" t="s">
        <v>568</v>
      </c>
      <c r="B2267" t="s">
        <v>47</v>
      </c>
      <c r="C2267" t="s">
        <v>212</v>
      </c>
      <c r="D2267" s="9">
        <v>46005</v>
      </c>
      <c r="E2267" s="9">
        <v>46005</v>
      </c>
      <c r="F2267" s="2">
        <v>0</v>
      </c>
      <c r="G2267" s="3" t="s">
        <v>50</v>
      </c>
      <c r="H2267">
        <v>0</v>
      </c>
      <c r="I2267" s="2">
        <v>0</v>
      </c>
      <c r="J2267" s="2">
        <v>0</v>
      </c>
      <c r="K2267" s="2">
        <v>0</v>
      </c>
      <c r="L2267" s="2">
        <v>0</v>
      </c>
      <c r="M2267">
        <v>0</v>
      </c>
      <c r="N2267">
        <v>0</v>
      </c>
      <c r="O2267" s="2">
        <v>0</v>
      </c>
      <c r="P2267" s="2">
        <v>0</v>
      </c>
      <c r="Q2267">
        <v>0</v>
      </c>
      <c r="R2267" s="2">
        <v>0</v>
      </c>
      <c r="S2267" s="2">
        <v>0</v>
      </c>
      <c r="T2267" t="s">
        <v>377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</row>
    <row r="2268" spans="1:28" hidden="1" x14ac:dyDescent="0.25">
      <c r="A2268" t="s">
        <v>47</v>
      </c>
      <c r="B2268" t="s">
        <v>52</v>
      </c>
      <c r="C2268" t="s">
        <v>212</v>
      </c>
      <c r="D2268" s="9">
        <v>46005</v>
      </c>
      <c r="E2268" s="9">
        <v>46005</v>
      </c>
      <c r="F2268" s="2">
        <v>0</v>
      </c>
      <c r="G2268" s="3" t="s">
        <v>378</v>
      </c>
      <c r="H2268">
        <v>0</v>
      </c>
      <c r="I2268" s="2">
        <v>0</v>
      </c>
      <c r="J2268" s="2">
        <v>0</v>
      </c>
      <c r="K2268" s="2">
        <v>0</v>
      </c>
      <c r="L2268" s="2">
        <v>0</v>
      </c>
      <c r="M2268">
        <v>0</v>
      </c>
      <c r="N2268">
        <v>0</v>
      </c>
      <c r="O2268" s="2">
        <v>0</v>
      </c>
      <c r="P2268" s="2">
        <v>0</v>
      </c>
      <c r="Q2268">
        <v>0</v>
      </c>
      <c r="R2268" s="2">
        <v>0</v>
      </c>
      <c r="S2268" s="2">
        <v>0</v>
      </c>
      <c r="T2268" t="s">
        <v>377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</row>
    <row r="2269" spans="1:28" hidden="1" x14ac:dyDescent="0.25">
      <c r="A2269" t="s">
        <v>25</v>
      </c>
      <c r="B2269" t="s">
        <v>26</v>
      </c>
      <c r="C2269" t="s">
        <v>27</v>
      </c>
      <c r="D2269" s="9">
        <v>46005</v>
      </c>
      <c r="E2269" s="9">
        <v>46005</v>
      </c>
      <c r="F2269" s="2">
        <v>25</v>
      </c>
      <c r="G2269" s="3" t="s">
        <v>378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 t="s">
        <v>1150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</row>
    <row r="2270" spans="1:28" hidden="1" x14ac:dyDescent="0.25">
      <c r="A2270" t="s">
        <v>37</v>
      </c>
      <c r="B2270" t="s">
        <v>57</v>
      </c>
      <c r="C2270" t="s">
        <v>39</v>
      </c>
      <c r="D2270" s="9">
        <v>46005</v>
      </c>
      <c r="E2270" s="9">
        <v>46005</v>
      </c>
      <c r="F2270" s="2">
        <v>21</v>
      </c>
      <c r="G2270" s="3" t="s">
        <v>378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 t="s">
        <v>1151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</row>
    <row r="2271" spans="1:28" hidden="1" x14ac:dyDescent="0.25">
      <c r="A2271" t="s">
        <v>33</v>
      </c>
      <c r="B2271" t="s">
        <v>47</v>
      </c>
      <c r="C2271" t="s">
        <v>35</v>
      </c>
      <c r="D2271" s="9">
        <v>46005</v>
      </c>
      <c r="E2271" s="9">
        <v>46005</v>
      </c>
      <c r="F2271" s="2">
        <v>40</v>
      </c>
      <c r="G2271" s="3" t="s">
        <v>378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 t="s">
        <v>1152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</row>
    <row r="2272" spans="1:28" hidden="1" x14ac:dyDescent="0.25">
      <c r="A2272" t="s">
        <v>47</v>
      </c>
      <c r="B2272" t="s">
        <v>52</v>
      </c>
      <c r="C2272" t="s">
        <v>212</v>
      </c>
      <c r="D2272" s="9">
        <v>46005</v>
      </c>
      <c r="E2272" s="9">
        <v>46005</v>
      </c>
      <c r="F2272" s="2">
        <v>0</v>
      </c>
      <c r="G2272" s="3" t="s">
        <v>378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377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</row>
    <row r="2273" spans="1:28" hidden="1" x14ac:dyDescent="0.25">
      <c r="A2273" t="s">
        <v>37</v>
      </c>
      <c r="B2273" t="s">
        <v>57</v>
      </c>
      <c r="C2273" t="s">
        <v>22</v>
      </c>
      <c r="D2273" s="1">
        <v>46006</v>
      </c>
      <c r="E2273" s="1">
        <v>46006</v>
      </c>
      <c r="F2273" s="2">
        <v>23</v>
      </c>
      <c r="G2273" s="3" t="s">
        <v>23</v>
      </c>
      <c r="H2273">
        <v>0</v>
      </c>
      <c r="I2273" s="2">
        <v>0</v>
      </c>
      <c r="J2273" s="2">
        <v>0</v>
      </c>
      <c r="K2273" s="2">
        <v>0</v>
      </c>
      <c r="L2273" s="2">
        <v>0</v>
      </c>
      <c r="M2273">
        <v>0</v>
      </c>
      <c r="N2273">
        <v>0</v>
      </c>
      <c r="O2273" s="2">
        <v>0</v>
      </c>
      <c r="P2273" s="2">
        <v>0</v>
      </c>
      <c r="Q2273">
        <v>0</v>
      </c>
      <c r="R2273" s="2">
        <v>0</v>
      </c>
      <c r="S2273" s="2">
        <v>0</v>
      </c>
      <c r="T2273" t="s">
        <v>1194</v>
      </c>
      <c r="U2273" s="2">
        <v>0</v>
      </c>
      <c r="V2273" s="2">
        <f>16+4</f>
        <v>20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</row>
    <row r="2274" spans="1:28" hidden="1" x14ac:dyDescent="0.25">
      <c r="A2274" t="s">
        <v>29</v>
      </c>
      <c r="B2274" t="s">
        <v>30</v>
      </c>
      <c r="C2274" t="s">
        <v>31</v>
      </c>
      <c r="D2274" s="1">
        <v>46006</v>
      </c>
      <c r="E2274" s="1">
        <v>46006</v>
      </c>
      <c r="F2274" s="2">
        <v>28</v>
      </c>
      <c r="G2274" s="3" t="s">
        <v>23</v>
      </c>
      <c r="H2274">
        <v>0</v>
      </c>
      <c r="I2274" s="2">
        <v>0</v>
      </c>
      <c r="J2274" s="2">
        <v>0</v>
      </c>
      <c r="K2274" s="2">
        <v>0</v>
      </c>
      <c r="L2274" s="2">
        <v>0</v>
      </c>
      <c r="M2274">
        <v>0</v>
      </c>
      <c r="N2274">
        <v>0</v>
      </c>
      <c r="O2274" s="2">
        <v>0</v>
      </c>
      <c r="P2274" s="2">
        <v>0</v>
      </c>
      <c r="Q2274">
        <v>0</v>
      </c>
      <c r="R2274" s="2">
        <v>0</v>
      </c>
      <c r="S2274" s="2">
        <v>0</v>
      </c>
      <c r="T2274" t="s">
        <v>1195</v>
      </c>
      <c r="U2274" s="2">
        <v>0</v>
      </c>
      <c r="V2274" s="2">
        <v>19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</row>
    <row r="2275" spans="1:28" hidden="1" x14ac:dyDescent="0.25">
      <c r="A2275" t="s">
        <v>20</v>
      </c>
      <c r="B2275" t="s">
        <v>1160</v>
      </c>
      <c r="C2275" t="s">
        <v>31</v>
      </c>
      <c r="D2275" s="1">
        <v>46006</v>
      </c>
      <c r="E2275" s="1">
        <v>46006</v>
      </c>
      <c r="F2275" s="2">
        <v>28</v>
      </c>
      <c r="G2275" s="3" t="s">
        <v>23</v>
      </c>
      <c r="H2275">
        <v>0</v>
      </c>
      <c r="I2275" s="2">
        <v>0</v>
      </c>
      <c r="J2275" s="2">
        <v>0</v>
      </c>
      <c r="K2275" s="2">
        <v>0</v>
      </c>
      <c r="L2275" s="2">
        <v>0</v>
      </c>
      <c r="M2275">
        <v>0</v>
      </c>
      <c r="N2275">
        <v>0</v>
      </c>
      <c r="O2275" s="2">
        <v>0</v>
      </c>
      <c r="P2275" s="2">
        <v>0</v>
      </c>
      <c r="Q2275">
        <v>0</v>
      </c>
      <c r="R2275" s="2">
        <v>0</v>
      </c>
      <c r="S2275" s="2">
        <v>0</v>
      </c>
      <c r="T2275" t="s">
        <v>1195</v>
      </c>
      <c r="U2275" s="2">
        <v>0</v>
      </c>
      <c r="V2275" s="2">
        <v>16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</row>
    <row r="2276" spans="1:28" hidden="1" x14ac:dyDescent="0.25">
      <c r="A2276" t="s">
        <v>63</v>
      </c>
      <c r="B2276" t="s">
        <v>284</v>
      </c>
      <c r="C2276" t="s">
        <v>31</v>
      </c>
      <c r="D2276" s="1">
        <v>46006</v>
      </c>
      <c r="E2276" s="1">
        <v>46006</v>
      </c>
      <c r="F2276" s="2">
        <v>28</v>
      </c>
      <c r="G2276" s="3" t="s">
        <v>23</v>
      </c>
      <c r="H2276">
        <v>0</v>
      </c>
      <c r="I2276" s="2">
        <v>0</v>
      </c>
      <c r="J2276" s="2">
        <v>0</v>
      </c>
      <c r="K2276" s="2">
        <v>0</v>
      </c>
      <c r="L2276" s="2">
        <v>0</v>
      </c>
      <c r="M2276">
        <v>0</v>
      </c>
      <c r="N2276">
        <v>0</v>
      </c>
      <c r="O2276" s="2">
        <v>0</v>
      </c>
      <c r="P2276" s="2">
        <v>0</v>
      </c>
      <c r="Q2276">
        <v>0</v>
      </c>
      <c r="R2276" s="2">
        <v>0</v>
      </c>
      <c r="S2276" s="2">
        <v>0</v>
      </c>
      <c r="T2276" t="s">
        <v>1195</v>
      </c>
      <c r="U2276" s="2">
        <v>0</v>
      </c>
      <c r="V2276" s="2">
        <f>16+6+16+6</f>
        <v>44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</row>
    <row r="2277" spans="1:28" hidden="1" x14ac:dyDescent="0.25">
      <c r="A2277" t="s">
        <v>25</v>
      </c>
      <c r="B2277" t="s">
        <v>26</v>
      </c>
      <c r="C2277" t="s">
        <v>31</v>
      </c>
      <c r="D2277" s="1">
        <v>46006</v>
      </c>
      <c r="E2277" s="1">
        <v>46006</v>
      </c>
      <c r="F2277" s="2">
        <v>28</v>
      </c>
      <c r="G2277" s="3" t="s">
        <v>23</v>
      </c>
      <c r="H2277">
        <v>0</v>
      </c>
      <c r="I2277" s="2">
        <v>0</v>
      </c>
      <c r="J2277" s="2">
        <v>0</v>
      </c>
      <c r="K2277" s="2">
        <v>0</v>
      </c>
      <c r="L2277" s="2">
        <v>0</v>
      </c>
      <c r="M2277">
        <v>0</v>
      </c>
      <c r="N2277">
        <v>0</v>
      </c>
      <c r="O2277" s="2">
        <v>0</v>
      </c>
      <c r="P2277" s="2">
        <v>0</v>
      </c>
      <c r="Q2277">
        <v>1</v>
      </c>
      <c r="R2277" s="2">
        <v>0</v>
      </c>
      <c r="S2277" s="2">
        <v>0</v>
      </c>
      <c r="T2277" t="s">
        <v>1195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</row>
    <row r="2278" spans="1:28" hidden="1" x14ac:dyDescent="0.25">
      <c r="A2278" t="s">
        <v>56</v>
      </c>
      <c r="B2278" t="s">
        <v>47</v>
      </c>
      <c r="C2278" t="s">
        <v>35</v>
      </c>
      <c r="D2278" s="1">
        <v>46006</v>
      </c>
      <c r="E2278" s="1">
        <v>46006</v>
      </c>
      <c r="F2278" s="2">
        <v>21</v>
      </c>
      <c r="G2278" s="3" t="s">
        <v>572</v>
      </c>
      <c r="H2278">
        <v>0</v>
      </c>
      <c r="I2278" s="2">
        <v>0</v>
      </c>
      <c r="J2278" s="2">
        <v>0</v>
      </c>
      <c r="K2278" s="2">
        <v>0</v>
      </c>
      <c r="L2278" s="2">
        <v>0</v>
      </c>
      <c r="M2278">
        <v>0</v>
      </c>
      <c r="N2278">
        <v>0</v>
      </c>
      <c r="O2278" s="2">
        <v>0</v>
      </c>
      <c r="P2278" s="2">
        <v>0</v>
      </c>
      <c r="Q2278">
        <v>0</v>
      </c>
      <c r="R2278" s="2">
        <v>0</v>
      </c>
      <c r="S2278" s="2">
        <v>0</v>
      </c>
      <c r="T2278" t="s">
        <v>1125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</row>
    <row r="2279" spans="1:28" hidden="1" x14ac:dyDescent="0.25">
      <c r="A2279" t="s">
        <v>730</v>
      </c>
      <c r="B2279" t="s">
        <v>47</v>
      </c>
      <c r="C2279" t="s">
        <v>35</v>
      </c>
      <c r="D2279" s="1">
        <v>46006</v>
      </c>
      <c r="E2279" s="1">
        <v>46006</v>
      </c>
      <c r="F2279" s="2">
        <v>21</v>
      </c>
      <c r="G2279" s="3" t="s">
        <v>572</v>
      </c>
      <c r="H2279">
        <v>0</v>
      </c>
      <c r="I2279" s="2">
        <v>0</v>
      </c>
      <c r="J2279" s="2">
        <v>0</v>
      </c>
      <c r="K2279" s="2">
        <v>0</v>
      </c>
      <c r="L2279" s="2">
        <v>0</v>
      </c>
      <c r="M2279">
        <v>0</v>
      </c>
      <c r="N2279">
        <v>0</v>
      </c>
      <c r="O2279" s="2">
        <v>0</v>
      </c>
      <c r="P2279" s="2">
        <v>0</v>
      </c>
      <c r="Q2279">
        <v>0</v>
      </c>
      <c r="R2279" s="2">
        <v>0</v>
      </c>
      <c r="S2279" s="2">
        <v>0</v>
      </c>
      <c r="T2279" t="s">
        <v>1125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</row>
    <row r="2280" spans="1:28" hidden="1" x14ac:dyDescent="0.25">
      <c r="A2280" t="s">
        <v>33</v>
      </c>
      <c r="B2280" t="s">
        <v>34</v>
      </c>
      <c r="C2280" t="s">
        <v>35</v>
      </c>
      <c r="D2280" s="1">
        <v>46006</v>
      </c>
      <c r="E2280" s="1">
        <v>46006</v>
      </c>
      <c r="F2280" s="2">
        <v>21</v>
      </c>
      <c r="G2280" s="3" t="s">
        <v>572</v>
      </c>
      <c r="H2280">
        <v>0</v>
      </c>
      <c r="I2280" s="2">
        <v>0</v>
      </c>
      <c r="J2280" s="2">
        <v>0</v>
      </c>
      <c r="K2280" s="2">
        <v>0</v>
      </c>
      <c r="L2280" s="2">
        <v>0</v>
      </c>
      <c r="M2280">
        <v>0</v>
      </c>
      <c r="N2280">
        <v>0</v>
      </c>
      <c r="O2280" s="2">
        <v>0</v>
      </c>
      <c r="P2280" s="2">
        <v>0</v>
      </c>
      <c r="Q2280">
        <v>0</v>
      </c>
      <c r="R2280" s="2">
        <v>0</v>
      </c>
      <c r="S2280" s="2">
        <v>0</v>
      </c>
      <c r="T2280" t="s">
        <v>1125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</row>
    <row r="2281" spans="1:28" hidden="1" x14ac:dyDescent="0.25">
      <c r="A2281" t="s">
        <v>53</v>
      </c>
      <c r="B2281" t="s">
        <v>38</v>
      </c>
      <c r="C2281" t="s">
        <v>35</v>
      </c>
      <c r="D2281" s="1">
        <v>46006</v>
      </c>
      <c r="E2281" s="1">
        <v>46006</v>
      </c>
      <c r="F2281" s="2">
        <v>21</v>
      </c>
      <c r="G2281" s="3" t="s">
        <v>572</v>
      </c>
      <c r="H2281">
        <v>0</v>
      </c>
      <c r="I2281" s="2">
        <v>0</v>
      </c>
      <c r="J2281" s="2">
        <v>0</v>
      </c>
      <c r="K2281" s="2">
        <v>0</v>
      </c>
      <c r="L2281" s="2">
        <v>0</v>
      </c>
      <c r="M2281">
        <v>0</v>
      </c>
      <c r="N2281">
        <v>0</v>
      </c>
      <c r="O2281" s="2">
        <v>0</v>
      </c>
      <c r="P2281" s="2">
        <v>0</v>
      </c>
      <c r="Q2281">
        <v>0</v>
      </c>
      <c r="R2281" s="2">
        <v>0</v>
      </c>
      <c r="S2281" s="2">
        <v>0</v>
      </c>
      <c r="T2281" t="s">
        <v>1125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</row>
    <row r="2282" spans="1:28" hidden="1" x14ac:dyDescent="0.25">
      <c r="A2282" t="s">
        <v>568</v>
      </c>
      <c r="B2282" t="s">
        <v>47</v>
      </c>
      <c r="C2282" t="s">
        <v>35</v>
      </c>
      <c r="D2282" s="1">
        <v>46006</v>
      </c>
      <c r="E2282" s="1">
        <v>46006</v>
      </c>
      <c r="F2282" s="2">
        <v>21</v>
      </c>
      <c r="G2282" s="3" t="s">
        <v>50</v>
      </c>
      <c r="H2282">
        <v>0</v>
      </c>
      <c r="I2282" s="2">
        <v>0</v>
      </c>
      <c r="J2282" s="2">
        <v>0</v>
      </c>
      <c r="K2282" s="2">
        <v>0</v>
      </c>
      <c r="L2282" s="2">
        <v>0</v>
      </c>
      <c r="M2282">
        <v>0</v>
      </c>
      <c r="N2282">
        <v>0</v>
      </c>
      <c r="O2282" s="2">
        <v>0</v>
      </c>
      <c r="P2282" s="2">
        <v>0</v>
      </c>
      <c r="Q2282">
        <v>0</v>
      </c>
      <c r="R2282" s="2">
        <v>0</v>
      </c>
      <c r="S2282" s="2">
        <v>0</v>
      </c>
      <c r="T2282" t="s">
        <v>1125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</row>
    <row r="2283" spans="1:28" hidden="1" x14ac:dyDescent="0.25">
      <c r="A2283" t="s">
        <v>47</v>
      </c>
      <c r="B2283" t="s">
        <v>52</v>
      </c>
      <c r="C2283" t="s">
        <v>212</v>
      </c>
      <c r="D2283" s="1">
        <v>46006</v>
      </c>
      <c r="E2283" s="1">
        <v>46006</v>
      </c>
      <c r="F2283" s="2">
        <v>0</v>
      </c>
      <c r="G2283" s="3" t="s">
        <v>572</v>
      </c>
      <c r="H2283">
        <v>0</v>
      </c>
      <c r="I2283" s="2">
        <v>0</v>
      </c>
      <c r="J2283" s="2">
        <v>0</v>
      </c>
      <c r="K2283" s="2">
        <v>0</v>
      </c>
      <c r="L2283" s="2">
        <v>0</v>
      </c>
      <c r="M2283">
        <v>0</v>
      </c>
      <c r="N2283">
        <v>0</v>
      </c>
      <c r="O2283" s="2">
        <v>0</v>
      </c>
      <c r="P2283" s="2">
        <v>0</v>
      </c>
      <c r="Q2283">
        <v>0</v>
      </c>
      <c r="R2283" s="2">
        <v>0</v>
      </c>
      <c r="S2283" s="2">
        <v>0</v>
      </c>
      <c r="T2283" t="s">
        <v>377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</row>
    <row r="2284" spans="1:28" hidden="1" x14ac:dyDescent="0.25">
      <c r="A2284" t="s">
        <v>33</v>
      </c>
      <c r="B2284" t="s">
        <v>34</v>
      </c>
      <c r="C2284" t="s">
        <v>35</v>
      </c>
      <c r="D2284" s="1">
        <v>46007</v>
      </c>
      <c r="E2284" s="1">
        <v>46007</v>
      </c>
      <c r="F2284" s="2">
        <v>33</v>
      </c>
      <c r="G2284" s="3" t="s">
        <v>23</v>
      </c>
      <c r="H2284">
        <f>7+7+6+3</f>
        <v>23</v>
      </c>
      <c r="I2284" s="2">
        <v>0</v>
      </c>
      <c r="J2284" s="2">
        <v>0</v>
      </c>
      <c r="K2284" s="2">
        <v>1</v>
      </c>
      <c r="L2284" s="2">
        <v>0</v>
      </c>
      <c r="M2284">
        <v>1</v>
      </c>
      <c r="N2284">
        <v>0</v>
      </c>
      <c r="O2284" s="2">
        <v>0</v>
      </c>
      <c r="P2284" s="2">
        <v>0</v>
      </c>
      <c r="Q2284">
        <v>0</v>
      </c>
      <c r="R2284" s="2">
        <v>0</v>
      </c>
      <c r="S2284" s="2">
        <v>0</v>
      </c>
      <c r="T2284" t="s">
        <v>1196</v>
      </c>
      <c r="U2284" s="2">
        <v>0</v>
      </c>
      <c r="V2284" s="2">
        <f>4+22+2+2</f>
        <v>30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</row>
    <row r="2285" spans="1:28" hidden="1" x14ac:dyDescent="0.25">
      <c r="A2285" t="s">
        <v>56</v>
      </c>
      <c r="B2285" t="s">
        <v>47</v>
      </c>
      <c r="C2285" t="s">
        <v>64</v>
      </c>
      <c r="D2285" s="1">
        <v>46007</v>
      </c>
      <c r="E2285" s="1">
        <v>46007</v>
      </c>
      <c r="F2285" s="2">
        <v>34</v>
      </c>
      <c r="G2285" s="3" t="s">
        <v>23</v>
      </c>
      <c r="H2285">
        <f>7+7+2+3+1+1+1+1+2+1+2+4+2</f>
        <v>34</v>
      </c>
      <c r="I2285" s="2">
        <v>0</v>
      </c>
      <c r="J2285" s="2">
        <v>1</v>
      </c>
      <c r="K2285" s="2">
        <v>0</v>
      </c>
      <c r="L2285" s="2">
        <v>1</v>
      </c>
      <c r="M2285">
        <v>0</v>
      </c>
      <c r="N2285">
        <v>0</v>
      </c>
      <c r="O2285" s="2">
        <v>0</v>
      </c>
      <c r="P2285" s="2">
        <v>0</v>
      </c>
      <c r="Q2285">
        <v>0</v>
      </c>
      <c r="R2285" s="2">
        <v>0</v>
      </c>
      <c r="S2285" s="2">
        <v>0</v>
      </c>
      <c r="T2285" t="s">
        <v>1197</v>
      </c>
      <c r="U2285" s="2">
        <v>0</v>
      </c>
      <c r="V2285" s="2">
        <v>2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</row>
    <row r="2286" spans="1:28" hidden="1" x14ac:dyDescent="0.25">
      <c r="A2286" t="s">
        <v>730</v>
      </c>
      <c r="B2286" t="s">
        <v>47</v>
      </c>
      <c r="C2286" t="s">
        <v>64</v>
      </c>
      <c r="D2286" s="1">
        <v>46007</v>
      </c>
      <c r="E2286" s="1">
        <v>46007</v>
      </c>
      <c r="F2286" s="2">
        <v>34</v>
      </c>
      <c r="G2286" s="3" t="s">
        <v>23</v>
      </c>
      <c r="H2286">
        <f>7+7+2+3+1+1+1+1+2+1+2+4+2</f>
        <v>34</v>
      </c>
      <c r="I2286" s="2">
        <v>0</v>
      </c>
      <c r="J2286" s="2">
        <v>1</v>
      </c>
      <c r="K2286" s="2">
        <v>0</v>
      </c>
      <c r="L2286" s="2">
        <v>1</v>
      </c>
      <c r="M2286">
        <v>0</v>
      </c>
      <c r="N2286">
        <v>0</v>
      </c>
      <c r="O2286" s="2">
        <v>0</v>
      </c>
      <c r="P2286" s="2">
        <v>0</v>
      </c>
      <c r="Q2286">
        <v>0</v>
      </c>
      <c r="R2286" s="2">
        <v>0</v>
      </c>
      <c r="S2286" s="2">
        <v>0</v>
      </c>
      <c r="T2286" t="s">
        <v>1197</v>
      </c>
      <c r="U2286" s="2">
        <v>0</v>
      </c>
      <c r="V2286" s="2">
        <v>2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</row>
    <row r="2287" spans="1:28" hidden="1" x14ac:dyDescent="0.25">
      <c r="A2287" t="s">
        <v>20</v>
      </c>
      <c r="B2287" t="s">
        <v>1160</v>
      </c>
      <c r="C2287" t="s">
        <v>22</v>
      </c>
      <c r="D2287" s="1">
        <v>46007</v>
      </c>
      <c r="E2287" s="1">
        <v>46007</v>
      </c>
      <c r="F2287" s="2">
        <v>33</v>
      </c>
      <c r="G2287" s="3" t="s">
        <v>23</v>
      </c>
      <c r="H2287">
        <v>16</v>
      </c>
      <c r="I2287" s="2">
        <v>0</v>
      </c>
      <c r="J2287" s="2">
        <v>0</v>
      </c>
      <c r="K2287" s="2">
        <v>1</v>
      </c>
      <c r="L2287" s="2">
        <v>0</v>
      </c>
      <c r="M2287">
        <v>0</v>
      </c>
      <c r="N2287">
        <v>0</v>
      </c>
      <c r="O2287" s="2">
        <v>0</v>
      </c>
      <c r="P2287" s="2">
        <v>0</v>
      </c>
      <c r="Q2287">
        <v>0</v>
      </c>
      <c r="R2287" s="2">
        <v>0</v>
      </c>
      <c r="S2287" s="2">
        <v>0</v>
      </c>
      <c r="T2287" t="s">
        <v>1198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</row>
    <row r="2288" spans="1:28" hidden="1" x14ac:dyDescent="0.25">
      <c r="A2288" t="s">
        <v>53</v>
      </c>
      <c r="B2288" t="s">
        <v>38</v>
      </c>
      <c r="C2288" t="s">
        <v>54</v>
      </c>
      <c r="D2288" s="1">
        <v>46007</v>
      </c>
      <c r="E2288" s="1">
        <v>46007</v>
      </c>
      <c r="F2288" s="2">
        <v>100</v>
      </c>
      <c r="G2288" s="3" t="s">
        <v>23</v>
      </c>
      <c r="H2288">
        <f>18+18+6</f>
        <v>42</v>
      </c>
      <c r="I2288" s="2">
        <v>0</v>
      </c>
      <c r="J2288" s="2">
        <v>1</v>
      </c>
      <c r="K2288" s="2">
        <v>1</v>
      </c>
      <c r="L2288" s="2">
        <v>0</v>
      </c>
      <c r="M2288">
        <v>0</v>
      </c>
      <c r="N2288">
        <v>0</v>
      </c>
      <c r="O2288" s="2">
        <v>0</v>
      </c>
      <c r="P2288" s="2">
        <v>0</v>
      </c>
      <c r="Q2288">
        <v>0</v>
      </c>
      <c r="R2288" s="2">
        <v>0</v>
      </c>
      <c r="S2288" s="2">
        <v>0</v>
      </c>
      <c r="T2288" t="s">
        <v>1199</v>
      </c>
      <c r="U2288" s="2">
        <v>0</v>
      </c>
      <c r="V2288" s="2">
        <f>20+8</f>
        <v>28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</row>
    <row r="2289" spans="1:28" hidden="1" x14ac:dyDescent="0.25">
      <c r="A2289" t="s">
        <v>37</v>
      </c>
      <c r="B2289" t="s">
        <v>57</v>
      </c>
      <c r="C2289" t="s">
        <v>39</v>
      </c>
      <c r="D2289" s="1">
        <v>46007</v>
      </c>
      <c r="E2289" s="1">
        <v>46007</v>
      </c>
      <c r="F2289" s="2">
        <v>17</v>
      </c>
      <c r="G2289" s="3" t="s">
        <v>23</v>
      </c>
      <c r="H2289">
        <f>14+14</f>
        <v>28</v>
      </c>
      <c r="I2289" s="2">
        <v>0</v>
      </c>
      <c r="J2289" s="2">
        <v>0</v>
      </c>
      <c r="K2289" s="2">
        <v>1</v>
      </c>
      <c r="L2289" s="2">
        <v>0</v>
      </c>
      <c r="M2289">
        <v>0</v>
      </c>
      <c r="N2289">
        <v>0</v>
      </c>
      <c r="O2289" s="2">
        <v>0</v>
      </c>
      <c r="P2289" s="2">
        <v>0</v>
      </c>
      <c r="Q2289">
        <v>0</v>
      </c>
      <c r="R2289" s="2">
        <v>0</v>
      </c>
      <c r="S2289" s="2">
        <v>0</v>
      </c>
      <c r="T2289" t="s">
        <v>1200</v>
      </c>
      <c r="U2289" s="2">
        <v>0</v>
      </c>
      <c r="V2289" s="2">
        <f>20+2+19</f>
        <v>41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</row>
    <row r="2290" spans="1:28" hidden="1" x14ac:dyDescent="0.25">
      <c r="A2290" t="s">
        <v>63</v>
      </c>
      <c r="B2290" t="s">
        <v>284</v>
      </c>
      <c r="C2290" t="s">
        <v>102</v>
      </c>
      <c r="D2290" s="1">
        <v>46007</v>
      </c>
      <c r="E2290" s="1">
        <v>46007</v>
      </c>
      <c r="F2290" s="2">
        <v>26</v>
      </c>
      <c r="G2290" s="3" t="s">
        <v>23</v>
      </c>
      <c r="H2290">
        <f>8+4+8+4</f>
        <v>24</v>
      </c>
      <c r="I2290" s="2">
        <v>0</v>
      </c>
      <c r="J2290" s="2">
        <v>0</v>
      </c>
      <c r="K2290" s="2">
        <v>1</v>
      </c>
      <c r="L2290" s="2">
        <v>0</v>
      </c>
      <c r="M2290">
        <v>0</v>
      </c>
      <c r="N2290">
        <v>0</v>
      </c>
      <c r="O2290" s="2">
        <v>0</v>
      </c>
      <c r="P2290" s="2">
        <v>0</v>
      </c>
      <c r="Q2290">
        <v>0</v>
      </c>
      <c r="R2290" s="2">
        <v>0</v>
      </c>
      <c r="S2290" s="2">
        <v>0</v>
      </c>
      <c r="T2290" t="s">
        <v>1201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</row>
    <row r="2291" spans="1:28" hidden="1" x14ac:dyDescent="0.25">
      <c r="A2291" t="s">
        <v>568</v>
      </c>
      <c r="B2291" s="16" t="s">
        <v>1237</v>
      </c>
      <c r="C2291" t="s">
        <v>670</v>
      </c>
      <c r="D2291" s="1">
        <v>46007</v>
      </c>
      <c r="E2291" s="1">
        <v>46007</v>
      </c>
      <c r="F2291" s="2">
        <v>39</v>
      </c>
      <c r="G2291" s="3" t="s">
        <v>23</v>
      </c>
      <c r="H2291">
        <f>6+2+6+2+5+1+4</f>
        <v>26</v>
      </c>
      <c r="I2291" s="2">
        <v>0</v>
      </c>
      <c r="J2291" s="2">
        <v>0</v>
      </c>
      <c r="K2291" s="2">
        <v>1</v>
      </c>
      <c r="L2291" s="2">
        <v>0</v>
      </c>
      <c r="M2291">
        <v>1</v>
      </c>
      <c r="N2291">
        <v>0</v>
      </c>
      <c r="O2291" s="2">
        <v>0</v>
      </c>
      <c r="P2291" s="2">
        <v>0</v>
      </c>
      <c r="Q2291">
        <v>0</v>
      </c>
      <c r="R2291" s="2">
        <v>0</v>
      </c>
      <c r="S2291" s="2">
        <v>0</v>
      </c>
      <c r="T2291" t="s">
        <v>1202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</row>
    <row r="2292" spans="1:28" hidden="1" x14ac:dyDescent="0.25">
      <c r="A2292" t="s">
        <v>735</v>
      </c>
      <c r="B2292" t="s">
        <v>373</v>
      </c>
      <c r="C2292" t="s">
        <v>670</v>
      </c>
      <c r="D2292" s="1">
        <v>46007</v>
      </c>
      <c r="E2292" s="1">
        <v>46007</v>
      </c>
      <c r="F2292" s="2">
        <v>39</v>
      </c>
      <c r="G2292" s="3" t="s">
        <v>23</v>
      </c>
      <c r="H2292">
        <f>1+2</f>
        <v>3</v>
      </c>
      <c r="I2292" s="2">
        <v>0</v>
      </c>
      <c r="J2292" s="2">
        <v>0</v>
      </c>
      <c r="K2292" s="2">
        <v>0</v>
      </c>
      <c r="L2292" s="2">
        <v>0</v>
      </c>
      <c r="M2292">
        <v>0</v>
      </c>
      <c r="N2292">
        <v>0</v>
      </c>
      <c r="O2292" s="2">
        <v>0</v>
      </c>
      <c r="P2292" s="2">
        <v>0</v>
      </c>
      <c r="Q2292">
        <v>0</v>
      </c>
      <c r="R2292" s="2">
        <v>0</v>
      </c>
      <c r="S2292" s="2">
        <v>0</v>
      </c>
      <c r="T2292" t="s">
        <v>1202</v>
      </c>
      <c r="U2292" s="2">
        <v>0</v>
      </c>
      <c r="V2292" s="2">
        <v>6</v>
      </c>
      <c r="W2292" s="2">
        <v>5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</row>
    <row r="2293" spans="1:28" hidden="1" x14ac:dyDescent="0.25">
      <c r="A2293" t="s">
        <v>47</v>
      </c>
      <c r="B2293" s="16" t="s">
        <v>1203</v>
      </c>
      <c r="C2293" t="s">
        <v>670</v>
      </c>
      <c r="D2293" s="1">
        <v>46006</v>
      </c>
      <c r="E2293" s="1">
        <v>46006</v>
      </c>
      <c r="F2293" s="2">
        <v>39</v>
      </c>
      <c r="G2293" s="3" t="s">
        <v>572</v>
      </c>
      <c r="H2293">
        <v>0</v>
      </c>
      <c r="I2293" s="2">
        <v>0</v>
      </c>
      <c r="J2293" s="2">
        <v>0</v>
      </c>
      <c r="K2293" s="2">
        <v>0</v>
      </c>
      <c r="L2293" s="2">
        <v>0</v>
      </c>
      <c r="M2293">
        <v>0</v>
      </c>
      <c r="N2293">
        <v>0</v>
      </c>
      <c r="O2293" s="2">
        <v>0</v>
      </c>
      <c r="P2293" s="2">
        <v>0</v>
      </c>
      <c r="Q2293">
        <v>0</v>
      </c>
      <c r="R2293" s="2">
        <v>0</v>
      </c>
      <c r="S2293" s="2">
        <v>0</v>
      </c>
      <c r="T2293" t="s">
        <v>1202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</row>
    <row r="2294" spans="1:28" hidden="1" x14ac:dyDescent="0.25">
      <c r="A2294" t="s">
        <v>47</v>
      </c>
      <c r="B2294" s="16" t="s">
        <v>1203</v>
      </c>
      <c r="C2294" t="s">
        <v>670</v>
      </c>
      <c r="D2294" s="1">
        <v>46007</v>
      </c>
      <c r="E2294" s="1">
        <v>46007</v>
      </c>
      <c r="F2294" s="2">
        <v>39</v>
      </c>
      <c r="G2294" s="3" t="s">
        <v>23</v>
      </c>
      <c r="H2294">
        <f>1+2</f>
        <v>3</v>
      </c>
      <c r="I2294" s="2">
        <v>0</v>
      </c>
      <c r="J2294" s="2">
        <v>0</v>
      </c>
      <c r="K2294" s="2">
        <v>0</v>
      </c>
      <c r="L2294" s="2">
        <v>0</v>
      </c>
      <c r="M2294">
        <v>0</v>
      </c>
      <c r="N2294">
        <v>0</v>
      </c>
      <c r="O2294" s="2">
        <v>0</v>
      </c>
      <c r="P2294" s="2">
        <v>0</v>
      </c>
      <c r="Q2294">
        <v>0</v>
      </c>
      <c r="R2294" s="2">
        <v>0</v>
      </c>
      <c r="S2294" s="2">
        <v>0</v>
      </c>
      <c r="T2294" t="s">
        <v>1202</v>
      </c>
      <c r="U2294" s="2">
        <v>0</v>
      </c>
      <c r="V2294" s="2">
        <v>6</v>
      </c>
      <c r="W2294" s="2">
        <v>5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</row>
    <row r="2295" spans="1:28" hidden="1" x14ac:dyDescent="0.25">
      <c r="A2295" t="s">
        <v>25</v>
      </c>
      <c r="B2295" t="s">
        <v>26</v>
      </c>
      <c r="C2295" t="s">
        <v>35</v>
      </c>
      <c r="D2295" s="1">
        <v>46007</v>
      </c>
      <c r="E2295" s="1">
        <v>46007</v>
      </c>
      <c r="F2295" s="2">
        <v>21</v>
      </c>
      <c r="G2295" s="3" t="s">
        <v>48</v>
      </c>
      <c r="H2295">
        <v>0</v>
      </c>
      <c r="I2295" s="2">
        <v>0</v>
      </c>
      <c r="J2295" s="2">
        <v>0</v>
      </c>
      <c r="K2295" s="2">
        <v>0</v>
      </c>
      <c r="L2295" s="2">
        <v>0</v>
      </c>
      <c r="M2295">
        <v>0</v>
      </c>
      <c r="N2295">
        <v>0</v>
      </c>
      <c r="O2295" s="2">
        <v>0</v>
      </c>
      <c r="P2295" s="2">
        <v>0</v>
      </c>
      <c r="Q2295">
        <v>0</v>
      </c>
      <c r="R2295" s="2">
        <v>0</v>
      </c>
      <c r="S2295" s="2">
        <v>0</v>
      </c>
      <c r="T2295" t="s">
        <v>1125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</row>
    <row r="2296" spans="1:28" hidden="1" x14ac:dyDescent="0.25">
      <c r="A2296" t="s">
        <v>29</v>
      </c>
      <c r="B2296" t="s">
        <v>30</v>
      </c>
      <c r="C2296" t="s">
        <v>35</v>
      </c>
      <c r="D2296" s="1">
        <v>46007</v>
      </c>
      <c r="E2296" s="1">
        <v>46007</v>
      </c>
      <c r="F2296" s="2">
        <v>21</v>
      </c>
      <c r="G2296" s="3" t="s">
        <v>48</v>
      </c>
      <c r="H2296">
        <v>0</v>
      </c>
      <c r="I2296" s="2">
        <v>0</v>
      </c>
      <c r="J2296" s="2">
        <v>0</v>
      </c>
      <c r="K2296" s="2">
        <v>0</v>
      </c>
      <c r="L2296" s="2">
        <v>0</v>
      </c>
      <c r="M2296">
        <v>0</v>
      </c>
      <c r="N2296">
        <v>0</v>
      </c>
      <c r="O2296" s="2">
        <v>0</v>
      </c>
      <c r="P2296" s="2">
        <v>0</v>
      </c>
      <c r="Q2296">
        <v>0</v>
      </c>
      <c r="R2296" s="2">
        <v>0</v>
      </c>
      <c r="S2296" s="2">
        <v>0</v>
      </c>
      <c r="T2296" t="s">
        <v>1125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</row>
    <row r="2297" spans="1:28" hidden="1" x14ac:dyDescent="0.25">
      <c r="A2297" t="s">
        <v>47</v>
      </c>
      <c r="B2297" t="s">
        <v>52</v>
      </c>
      <c r="C2297" t="s">
        <v>212</v>
      </c>
      <c r="D2297" s="1">
        <v>46007</v>
      </c>
      <c r="E2297" s="1">
        <v>46007</v>
      </c>
      <c r="F2297" s="2">
        <v>0</v>
      </c>
      <c r="G2297" s="3" t="s">
        <v>572</v>
      </c>
      <c r="H2297">
        <v>0</v>
      </c>
      <c r="I2297" s="2">
        <v>0</v>
      </c>
      <c r="J2297" s="2">
        <v>0</v>
      </c>
      <c r="K2297" s="2">
        <v>0</v>
      </c>
      <c r="L2297" s="2">
        <v>0</v>
      </c>
      <c r="M2297">
        <v>0</v>
      </c>
      <c r="N2297">
        <v>0</v>
      </c>
      <c r="O2297" s="2">
        <v>0</v>
      </c>
      <c r="P2297" s="2">
        <v>0</v>
      </c>
      <c r="Q2297">
        <v>0</v>
      </c>
      <c r="R2297" s="2">
        <v>0</v>
      </c>
      <c r="S2297" s="2">
        <v>0</v>
      </c>
      <c r="T2297" t="s">
        <v>377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</row>
    <row r="2298" spans="1:28" hidden="1" x14ac:dyDescent="0.25">
      <c r="A2298" t="s">
        <v>33</v>
      </c>
      <c r="B2298" t="s">
        <v>34</v>
      </c>
      <c r="C2298" t="s">
        <v>35</v>
      </c>
      <c r="D2298" s="1">
        <v>46008</v>
      </c>
      <c r="E2298" s="1">
        <v>46008</v>
      </c>
      <c r="F2298" s="2">
        <v>31</v>
      </c>
      <c r="G2298" s="3" t="s">
        <v>23</v>
      </c>
      <c r="H2298">
        <f>14+14+2+2+2+3+3+1+2</f>
        <v>43</v>
      </c>
      <c r="I2298" s="2">
        <v>0</v>
      </c>
      <c r="J2298" s="2">
        <v>0</v>
      </c>
      <c r="K2298" s="2">
        <v>1</v>
      </c>
      <c r="L2298" s="2">
        <v>0</v>
      </c>
      <c r="M2298">
        <v>0</v>
      </c>
      <c r="N2298">
        <v>0</v>
      </c>
      <c r="O2298" s="2">
        <v>0</v>
      </c>
      <c r="P2298" s="2">
        <v>0</v>
      </c>
      <c r="Q2298">
        <v>0</v>
      </c>
      <c r="R2298" s="2">
        <v>0</v>
      </c>
      <c r="S2298" s="2">
        <v>0</v>
      </c>
      <c r="T2298" t="s">
        <v>1204</v>
      </c>
      <c r="U2298" s="2">
        <v>0</v>
      </c>
      <c r="V2298" s="2">
        <v>20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</row>
    <row r="2299" spans="1:28" hidden="1" x14ac:dyDescent="0.25">
      <c r="A2299" t="s">
        <v>568</v>
      </c>
      <c r="B2299" t="s">
        <v>47</v>
      </c>
      <c r="C2299" t="s">
        <v>670</v>
      </c>
      <c r="D2299" s="1">
        <v>46008</v>
      </c>
      <c r="E2299" s="1">
        <v>46008</v>
      </c>
      <c r="F2299" s="2">
        <v>124</v>
      </c>
      <c r="G2299" s="3" t="s">
        <v>23</v>
      </c>
      <c r="H2299">
        <f>5+5</f>
        <v>10</v>
      </c>
      <c r="I2299" s="2">
        <v>0</v>
      </c>
      <c r="J2299" s="2">
        <v>1</v>
      </c>
      <c r="K2299" s="2">
        <v>1</v>
      </c>
      <c r="L2299" s="2">
        <v>1</v>
      </c>
      <c r="M2299">
        <v>0</v>
      </c>
      <c r="N2299">
        <v>0</v>
      </c>
      <c r="O2299" s="2">
        <v>0</v>
      </c>
      <c r="P2299" s="2">
        <v>0</v>
      </c>
      <c r="Q2299">
        <v>0</v>
      </c>
      <c r="R2299" s="2">
        <v>0</v>
      </c>
      <c r="S2299" s="2">
        <v>0</v>
      </c>
      <c r="T2299" t="s">
        <v>1205</v>
      </c>
      <c r="U2299" s="2">
        <v>0</v>
      </c>
      <c r="V2299" s="2">
        <f>10+4+8+4+19</f>
        <v>45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</row>
    <row r="2300" spans="1:28" hidden="1" x14ac:dyDescent="0.25">
      <c r="A2300" t="s">
        <v>730</v>
      </c>
      <c r="B2300" t="s">
        <v>47</v>
      </c>
      <c r="C2300" t="s">
        <v>670</v>
      </c>
      <c r="D2300" s="1">
        <v>46008</v>
      </c>
      <c r="E2300" s="1">
        <v>46008</v>
      </c>
      <c r="F2300" s="2">
        <v>124</v>
      </c>
      <c r="G2300" s="3" t="s">
        <v>23</v>
      </c>
      <c r="H2300">
        <f>5+5</f>
        <v>10</v>
      </c>
      <c r="I2300" s="2">
        <v>0</v>
      </c>
      <c r="J2300" s="2">
        <v>1</v>
      </c>
      <c r="K2300" s="2">
        <v>1</v>
      </c>
      <c r="L2300" s="2">
        <v>1</v>
      </c>
      <c r="M2300">
        <v>0</v>
      </c>
      <c r="N2300">
        <v>0</v>
      </c>
      <c r="O2300" s="2">
        <v>0</v>
      </c>
      <c r="P2300" s="2">
        <v>0</v>
      </c>
      <c r="Q2300">
        <v>0</v>
      </c>
      <c r="R2300" s="2">
        <v>0</v>
      </c>
      <c r="S2300" s="2">
        <v>0</v>
      </c>
      <c r="T2300" t="s">
        <v>1205</v>
      </c>
      <c r="U2300" s="2">
        <v>0</v>
      </c>
      <c r="V2300" s="2">
        <f>10+4+8+4+19</f>
        <v>45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</row>
    <row r="2301" spans="1:28" hidden="1" x14ac:dyDescent="0.25">
      <c r="A2301" t="s">
        <v>47</v>
      </c>
      <c r="B2301" s="16" t="s">
        <v>1203</v>
      </c>
      <c r="C2301" t="s">
        <v>670</v>
      </c>
      <c r="D2301" s="1">
        <v>46008</v>
      </c>
      <c r="E2301" s="1">
        <v>46008</v>
      </c>
      <c r="F2301" s="2">
        <v>124</v>
      </c>
      <c r="G2301" s="3" t="s">
        <v>23</v>
      </c>
      <c r="H2301">
        <f>5+5</f>
        <v>10</v>
      </c>
      <c r="I2301" s="2">
        <v>0</v>
      </c>
      <c r="J2301" s="2">
        <v>1</v>
      </c>
      <c r="K2301" s="2">
        <v>1</v>
      </c>
      <c r="L2301" s="2">
        <v>1</v>
      </c>
      <c r="M2301">
        <v>0</v>
      </c>
      <c r="N2301">
        <v>0</v>
      </c>
      <c r="O2301" s="2">
        <v>0</v>
      </c>
      <c r="P2301" s="2">
        <v>0</v>
      </c>
      <c r="Q2301">
        <v>0</v>
      </c>
      <c r="R2301" s="2">
        <v>0</v>
      </c>
      <c r="S2301" s="2">
        <v>0</v>
      </c>
      <c r="T2301" t="s">
        <v>1205</v>
      </c>
      <c r="U2301" s="2">
        <v>0</v>
      </c>
      <c r="V2301" s="2">
        <f>10+4+8+4+19</f>
        <v>45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</row>
    <row r="2302" spans="1:28" hidden="1" x14ac:dyDescent="0.25">
      <c r="A2302" t="s">
        <v>20</v>
      </c>
      <c r="B2302" t="s">
        <v>1160</v>
      </c>
      <c r="C2302" t="s">
        <v>22</v>
      </c>
      <c r="D2302" s="1">
        <v>46008</v>
      </c>
      <c r="E2302" s="1">
        <v>46008</v>
      </c>
      <c r="F2302" s="2">
        <v>25</v>
      </c>
      <c r="G2302" s="3" t="s">
        <v>23</v>
      </c>
      <c r="H2302">
        <v>24</v>
      </c>
      <c r="I2302" s="2">
        <v>0</v>
      </c>
      <c r="J2302" s="2">
        <v>1</v>
      </c>
      <c r="K2302" s="2">
        <v>1</v>
      </c>
      <c r="L2302" s="2">
        <v>0</v>
      </c>
      <c r="M2302">
        <v>0</v>
      </c>
      <c r="N2302">
        <v>0</v>
      </c>
      <c r="O2302" s="2">
        <v>0</v>
      </c>
      <c r="P2302" s="2">
        <v>0</v>
      </c>
      <c r="Q2302">
        <v>0</v>
      </c>
      <c r="R2302" s="2">
        <v>0</v>
      </c>
      <c r="S2302" s="2">
        <v>0</v>
      </c>
      <c r="T2302" t="s">
        <v>1206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</row>
    <row r="2303" spans="1:28" hidden="1" x14ac:dyDescent="0.25">
      <c r="A2303" t="s">
        <v>25</v>
      </c>
      <c r="B2303" t="s">
        <v>26</v>
      </c>
      <c r="C2303" t="s">
        <v>27</v>
      </c>
      <c r="D2303" s="1">
        <v>46008</v>
      </c>
      <c r="E2303" s="1">
        <v>46008</v>
      </c>
      <c r="F2303" s="2">
        <v>31</v>
      </c>
      <c r="G2303" s="3" t="s">
        <v>23</v>
      </c>
      <c r="H2303">
        <f>21+21+16</f>
        <v>58</v>
      </c>
      <c r="I2303" s="2">
        <v>0</v>
      </c>
      <c r="J2303" s="2">
        <v>0</v>
      </c>
      <c r="K2303" s="2">
        <v>1</v>
      </c>
      <c r="L2303" s="2">
        <v>0</v>
      </c>
      <c r="M2303">
        <v>0</v>
      </c>
      <c r="N2303">
        <v>0</v>
      </c>
      <c r="O2303" s="2">
        <v>0</v>
      </c>
      <c r="P2303" s="2">
        <v>0</v>
      </c>
      <c r="Q2303">
        <v>0</v>
      </c>
      <c r="R2303" s="2">
        <v>0</v>
      </c>
      <c r="S2303" s="2">
        <v>0</v>
      </c>
      <c r="T2303" t="s">
        <v>1207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</row>
    <row r="2304" spans="1:28" hidden="1" x14ac:dyDescent="0.25">
      <c r="A2304" t="s">
        <v>53</v>
      </c>
      <c r="B2304" t="s">
        <v>38</v>
      </c>
      <c r="C2304" t="s">
        <v>54</v>
      </c>
      <c r="D2304" s="1">
        <v>46008</v>
      </c>
      <c r="E2304" s="1">
        <v>46008</v>
      </c>
      <c r="F2304" s="2">
        <v>112</v>
      </c>
      <c r="G2304" s="3" t="s">
        <v>23</v>
      </c>
      <c r="H2304">
        <f>20+20+1+1+1+2+1+2+1</f>
        <v>49</v>
      </c>
      <c r="I2304" s="2">
        <v>0</v>
      </c>
      <c r="J2304" s="2">
        <v>0</v>
      </c>
      <c r="K2304" s="2">
        <v>1</v>
      </c>
      <c r="L2304" s="2">
        <v>0</v>
      </c>
      <c r="M2304">
        <v>0</v>
      </c>
      <c r="N2304">
        <v>0</v>
      </c>
      <c r="O2304" s="2">
        <v>0</v>
      </c>
      <c r="P2304" s="2">
        <v>0</v>
      </c>
      <c r="Q2304">
        <v>0</v>
      </c>
      <c r="R2304" s="2">
        <v>0</v>
      </c>
      <c r="S2304" s="2">
        <v>0</v>
      </c>
      <c r="T2304" t="s">
        <v>1208</v>
      </c>
      <c r="U2304" s="2">
        <v>0</v>
      </c>
      <c r="V2304" s="2">
        <v>20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</row>
    <row r="2305" spans="1:28" hidden="1" x14ac:dyDescent="0.25">
      <c r="A2305" t="s">
        <v>29</v>
      </c>
      <c r="B2305" t="s">
        <v>30</v>
      </c>
      <c r="C2305" t="s">
        <v>31</v>
      </c>
      <c r="D2305" s="1">
        <v>46008</v>
      </c>
      <c r="E2305" s="1">
        <v>46008</v>
      </c>
      <c r="F2305" s="2">
        <v>23</v>
      </c>
      <c r="G2305" s="3" t="s">
        <v>23</v>
      </c>
      <c r="H2305">
        <f>4+2+4+2+10+4</f>
        <v>26</v>
      </c>
      <c r="I2305" s="2">
        <v>0</v>
      </c>
      <c r="J2305" s="2">
        <v>0</v>
      </c>
      <c r="K2305" s="2">
        <v>1</v>
      </c>
      <c r="L2305" s="2">
        <v>0</v>
      </c>
      <c r="M2305">
        <v>0</v>
      </c>
      <c r="N2305">
        <v>0</v>
      </c>
      <c r="O2305" s="2">
        <v>0</v>
      </c>
      <c r="P2305" s="2">
        <v>0</v>
      </c>
      <c r="Q2305">
        <v>0</v>
      </c>
      <c r="R2305" s="2">
        <v>0</v>
      </c>
      <c r="S2305" s="2">
        <v>0</v>
      </c>
      <c r="T2305" t="s">
        <v>1209</v>
      </c>
      <c r="U2305" s="2">
        <v>0</v>
      </c>
      <c r="V2305" s="2">
        <v>10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</row>
    <row r="2306" spans="1:28" hidden="1" x14ac:dyDescent="0.25">
      <c r="A2306" t="s">
        <v>37</v>
      </c>
      <c r="B2306" t="s">
        <v>57</v>
      </c>
      <c r="C2306" t="s">
        <v>35</v>
      </c>
      <c r="D2306" s="1">
        <v>46008</v>
      </c>
      <c r="E2306" s="1">
        <v>46008</v>
      </c>
      <c r="F2306" s="2">
        <v>21</v>
      </c>
      <c r="G2306" s="3" t="s">
        <v>48</v>
      </c>
      <c r="H2306">
        <v>0</v>
      </c>
      <c r="I2306" s="2">
        <v>0</v>
      </c>
      <c r="J2306" s="2">
        <v>0</v>
      </c>
      <c r="K2306" s="2">
        <v>0</v>
      </c>
      <c r="L2306" s="2">
        <v>0</v>
      </c>
      <c r="M2306">
        <v>0</v>
      </c>
      <c r="N2306">
        <v>0</v>
      </c>
      <c r="O2306" s="2">
        <v>0</v>
      </c>
      <c r="P2306" s="2">
        <v>0</v>
      </c>
      <c r="Q2306">
        <v>0</v>
      </c>
      <c r="R2306" s="2">
        <v>0</v>
      </c>
      <c r="S2306" s="2">
        <v>0</v>
      </c>
      <c r="T2306" t="s">
        <v>1125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</row>
    <row r="2307" spans="1:28" hidden="1" x14ac:dyDescent="0.25">
      <c r="A2307" t="s">
        <v>56</v>
      </c>
      <c r="B2307" t="s">
        <v>47</v>
      </c>
      <c r="C2307" t="s">
        <v>35</v>
      </c>
      <c r="D2307" s="1">
        <v>46008</v>
      </c>
      <c r="E2307" s="1">
        <v>46008</v>
      </c>
      <c r="F2307" s="2">
        <v>21</v>
      </c>
      <c r="G2307" s="3" t="s">
        <v>48</v>
      </c>
      <c r="H2307">
        <v>0</v>
      </c>
      <c r="I2307" s="2">
        <v>0</v>
      </c>
      <c r="J2307" s="2">
        <v>0</v>
      </c>
      <c r="K2307" s="2">
        <v>0</v>
      </c>
      <c r="L2307" s="2">
        <v>0</v>
      </c>
      <c r="M2307">
        <v>0</v>
      </c>
      <c r="N2307">
        <v>0</v>
      </c>
      <c r="O2307" s="2">
        <v>0</v>
      </c>
      <c r="P2307" s="2">
        <v>0</v>
      </c>
      <c r="Q2307">
        <v>0</v>
      </c>
      <c r="R2307" s="2">
        <v>0</v>
      </c>
      <c r="S2307" s="2">
        <v>0</v>
      </c>
      <c r="T2307" t="s">
        <v>1125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</row>
    <row r="2308" spans="1:28" hidden="1" x14ac:dyDescent="0.25">
      <c r="A2308" t="s">
        <v>63</v>
      </c>
      <c r="B2308" t="s">
        <v>284</v>
      </c>
      <c r="C2308" t="s">
        <v>212</v>
      </c>
      <c r="D2308" s="1">
        <v>46008</v>
      </c>
      <c r="E2308" s="1">
        <v>46008</v>
      </c>
      <c r="F2308" s="2">
        <v>0</v>
      </c>
      <c r="G2308" s="3" t="s">
        <v>572</v>
      </c>
      <c r="H2308">
        <v>0</v>
      </c>
      <c r="I2308" s="2">
        <v>0</v>
      </c>
      <c r="J2308" s="2">
        <v>0</v>
      </c>
      <c r="K2308" s="2">
        <v>0</v>
      </c>
      <c r="L2308" s="2">
        <v>0</v>
      </c>
      <c r="M2308">
        <v>0</v>
      </c>
      <c r="N2308">
        <v>0</v>
      </c>
      <c r="O2308" s="2">
        <v>0</v>
      </c>
      <c r="P2308" s="2">
        <v>0</v>
      </c>
      <c r="Q2308">
        <v>0</v>
      </c>
      <c r="R2308" s="2">
        <v>0</v>
      </c>
      <c r="S2308" s="2">
        <v>0</v>
      </c>
      <c r="T2308" t="s">
        <v>377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</row>
    <row r="2309" spans="1:28" hidden="1" x14ac:dyDescent="0.25">
      <c r="A2309" t="s">
        <v>47</v>
      </c>
      <c r="B2309" t="s">
        <v>52</v>
      </c>
      <c r="C2309" t="s">
        <v>212</v>
      </c>
      <c r="D2309" s="1">
        <v>46008</v>
      </c>
      <c r="E2309" s="1">
        <v>46008</v>
      </c>
      <c r="F2309" s="2">
        <v>0</v>
      </c>
      <c r="G2309" s="3" t="s">
        <v>572</v>
      </c>
      <c r="H2309">
        <v>0</v>
      </c>
      <c r="I2309" s="2">
        <v>0</v>
      </c>
      <c r="J2309" s="2">
        <v>0</v>
      </c>
      <c r="K2309" s="2">
        <v>0</v>
      </c>
      <c r="L2309" s="2">
        <v>0</v>
      </c>
      <c r="M2309">
        <v>0</v>
      </c>
      <c r="N2309">
        <v>0</v>
      </c>
      <c r="O2309" s="2">
        <v>0</v>
      </c>
      <c r="P2309" s="2">
        <v>0</v>
      </c>
      <c r="Q2309">
        <v>0</v>
      </c>
      <c r="R2309" s="2">
        <v>0</v>
      </c>
      <c r="S2309" s="2">
        <v>0</v>
      </c>
      <c r="T2309" t="s">
        <v>377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</row>
    <row r="2310" spans="1:28" hidden="1" x14ac:dyDescent="0.25">
      <c r="A2310" t="s">
        <v>33</v>
      </c>
      <c r="B2310" t="s">
        <v>34</v>
      </c>
      <c r="C2310" t="s">
        <v>35</v>
      </c>
      <c r="D2310" s="1">
        <v>46009</v>
      </c>
      <c r="E2310" s="1">
        <v>46009</v>
      </c>
      <c r="F2310" s="2">
        <v>38</v>
      </c>
      <c r="G2310" s="3" t="s">
        <v>23</v>
      </c>
      <c r="H2310">
        <f>7+7+7+1+1+1+1+2+2+1</f>
        <v>30</v>
      </c>
      <c r="I2310" s="2">
        <v>0</v>
      </c>
      <c r="J2310" s="2">
        <v>0</v>
      </c>
      <c r="K2310" s="2">
        <v>1</v>
      </c>
      <c r="L2310" s="2">
        <v>0</v>
      </c>
      <c r="M2310">
        <v>0</v>
      </c>
      <c r="N2310">
        <v>0</v>
      </c>
      <c r="O2310" s="2">
        <v>0</v>
      </c>
      <c r="P2310" s="2">
        <v>0</v>
      </c>
      <c r="Q2310">
        <v>0</v>
      </c>
      <c r="R2310" s="2">
        <v>0</v>
      </c>
      <c r="S2310" s="2">
        <v>0</v>
      </c>
      <c r="T2310" t="s">
        <v>1210</v>
      </c>
      <c r="U2310" s="2">
        <v>0</v>
      </c>
      <c r="V2310" s="2">
        <f>2+2</f>
        <v>4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</row>
    <row r="2311" spans="1:28" hidden="1" x14ac:dyDescent="0.25">
      <c r="A2311" t="s">
        <v>56</v>
      </c>
      <c r="B2311" t="s">
        <v>47</v>
      </c>
      <c r="C2311" t="s">
        <v>64</v>
      </c>
      <c r="D2311" s="1">
        <v>46009</v>
      </c>
      <c r="E2311" s="1">
        <v>46009</v>
      </c>
      <c r="F2311" s="2">
        <v>28</v>
      </c>
      <c r="G2311" s="3" t="s">
        <v>23</v>
      </c>
      <c r="H2311">
        <v>60</v>
      </c>
      <c r="I2311" s="2">
        <v>0</v>
      </c>
      <c r="J2311" s="2">
        <v>0</v>
      </c>
      <c r="K2311" s="2">
        <v>0</v>
      </c>
      <c r="L2311" s="2">
        <v>1</v>
      </c>
      <c r="M2311">
        <v>0</v>
      </c>
      <c r="N2311">
        <v>0</v>
      </c>
      <c r="O2311" s="2">
        <v>0</v>
      </c>
      <c r="P2311" s="2">
        <v>0</v>
      </c>
      <c r="Q2311">
        <v>0</v>
      </c>
      <c r="R2311" s="2">
        <v>0</v>
      </c>
      <c r="S2311" s="2">
        <v>0</v>
      </c>
      <c r="T2311" t="s">
        <v>1211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</row>
    <row r="2312" spans="1:28" hidden="1" x14ac:dyDescent="0.25">
      <c r="A2312" t="s">
        <v>730</v>
      </c>
      <c r="B2312" t="s">
        <v>47</v>
      </c>
      <c r="C2312" t="s">
        <v>64</v>
      </c>
      <c r="D2312" s="1">
        <v>46009</v>
      </c>
      <c r="E2312" s="1">
        <v>46009</v>
      </c>
      <c r="F2312" s="2">
        <v>28</v>
      </c>
      <c r="G2312" s="3" t="s">
        <v>23</v>
      </c>
      <c r="H2312">
        <v>60</v>
      </c>
      <c r="I2312" s="2">
        <v>0</v>
      </c>
      <c r="J2312" s="2">
        <v>0</v>
      </c>
      <c r="K2312" s="2">
        <v>0</v>
      </c>
      <c r="L2312" s="2">
        <v>1</v>
      </c>
      <c r="M2312">
        <v>0</v>
      </c>
      <c r="N2312">
        <v>0</v>
      </c>
      <c r="O2312" s="2">
        <v>0</v>
      </c>
      <c r="P2312" s="2">
        <v>0</v>
      </c>
      <c r="Q2312">
        <v>0</v>
      </c>
      <c r="R2312" s="2">
        <v>0</v>
      </c>
      <c r="S2312" s="2">
        <v>0</v>
      </c>
      <c r="T2312" t="s">
        <v>1211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</row>
    <row r="2313" spans="1:28" hidden="1" x14ac:dyDescent="0.25">
      <c r="A2313" t="s">
        <v>20</v>
      </c>
      <c r="B2313" t="s">
        <v>1160</v>
      </c>
      <c r="C2313" t="s">
        <v>22</v>
      </c>
      <c r="D2313" s="1">
        <v>46009</v>
      </c>
      <c r="E2313" s="1">
        <v>46009</v>
      </c>
      <c r="F2313" s="2">
        <v>27</v>
      </c>
      <c r="G2313" s="3" t="s">
        <v>23</v>
      </c>
      <c r="H2313">
        <v>32</v>
      </c>
      <c r="I2313" s="2">
        <v>0</v>
      </c>
      <c r="J2313" s="2">
        <v>1</v>
      </c>
      <c r="K2313" s="2">
        <v>1</v>
      </c>
      <c r="L2313" s="2">
        <v>0</v>
      </c>
      <c r="M2313">
        <v>0</v>
      </c>
      <c r="N2313">
        <v>0</v>
      </c>
      <c r="O2313" s="2">
        <v>0</v>
      </c>
      <c r="P2313" s="2">
        <v>0</v>
      </c>
      <c r="Q2313">
        <v>0</v>
      </c>
      <c r="R2313" s="2">
        <v>0</v>
      </c>
      <c r="S2313" s="2">
        <v>0</v>
      </c>
      <c r="T2313" t="s">
        <v>1212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</row>
    <row r="2314" spans="1:28" hidden="1" x14ac:dyDescent="0.25">
      <c r="A2314" t="s">
        <v>25</v>
      </c>
      <c r="B2314" t="s">
        <v>26</v>
      </c>
      <c r="C2314" t="s">
        <v>27</v>
      </c>
      <c r="D2314" s="1">
        <v>46009</v>
      </c>
      <c r="E2314" s="1">
        <v>46009</v>
      </c>
      <c r="F2314" s="2">
        <v>35</v>
      </c>
      <c r="G2314" s="3" t="s">
        <v>23</v>
      </c>
      <c r="H2314">
        <f>18+18+12+1</f>
        <v>49</v>
      </c>
      <c r="I2314" s="2">
        <v>0</v>
      </c>
      <c r="J2314" s="2">
        <v>0</v>
      </c>
      <c r="K2314" s="2">
        <v>1</v>
      </c>
      <c r="L2314" s="2">
        <v>0</v>
      </c>
      <c r="M2314">
        <v>0</v>
      </c>
      <c r="N2314">
        <v>0</v>
      </c>
      <c r="O2314" s="2">
        <v>0</v>
      </c>
      <c r="P2314" s="2">
        <v>0</v>
      </c>
      <c r="Q2314">
        <v>0</v>
      </c>
      <c r="R2314" s="2">
        <v>0</v>
      </c>
      <c r="S2314" s="2">
        <v>0</v>
      </c>
      <c r="T2314" t="s">
        <v>1213</v>
      </c>
      <c r="U2314" s="2">
        <v>0</v>
      </c>
      <c r="V2314" s="2">
        <f>20+18</f>
        <v>38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</row>
    <row r="2315" spans="1:28" hidden="1" x14ac:dyDescent="0.25">
      <c r="A2315" t="s">
        <v>37</v>
      </c>
      <c r="B2315" t="s">
        <v>57</v>
      </c>
      <c r="C2315" t="s">
        <v>39</v>
      </c>
      <c r="D2315" s="1">
        <v>46009</v>
      </c>
      <c r="E2315" s="1">
        <v>46009</v>
      </c>
      <c r="F2315" s="2">
        <v>19</v>
      </c>
      <c r="G2315" s="3" t="s">
        <v>23</v>
      </c>
      <c r="H2315">
        <v>53</v>
      </c>
      <c r="I2315" s="2">
        <v>0</v>
      </c>
      <c r="J2315" s="2">
        <v>0</v>
      </c>
      <c r="K2315" s="2">
        <v>1</v>
      </c>
      <c r="L2315" s="2">
        <v>0</v>
      </c>
      <c r="M2315">
        <v>0</v>
      </c>
      <c r="N2315">
        <v>0</v>
      </c>
      <c r="O2315" s="2">
        <v>0</v>
      </c>
      <c r="P2315" s="2">
        <v>0</v>
      </c>
      <c r="Q2315">
        <v>0</v>
      </c>
      <c r="R2315" s="2">
        <v>0</v>
      </c>
      <c r="S2315" s="2">
        <v>0</v>
      </c>
      <c r="T2315" t="s">
        <v>1214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</row>
    <row r="2316" spans="1:28" hidden="1" x14ac:dyDescent="0.25">
      <c r="A2316" t="s">
        <v>63</v>
      </c>
      <c r="B2316" t="s">
        <v>284</v>
      </c>
      <c r="C2316" t="s">
        <v>102</v>
      </c>
      <c r="D2316" s="1">
        <v>46009</v>
      </c>
      <c r="E2316" s="1">
        <v>46009</v>
      </c>
      <c r="F2316" s="2">
        <v>17</v>
      </c>
      <c r="G2316" s="3" t="s">
        <v>23</v>
      </c>
      <c r="H2316">
        <v>22</v>
      </c>
      <c r="I2316" s="2">
        <v>0</v>
      </c>
      <c r="J2316" s="2">
        <v>0</v>
      </c>
      <c r="K2316" s="2">
        <v>1</v>
      </c>
      <c r="L2316" s="2">
        <v>0</v>
      </c>
      <c r="M2316">
        <v>0</v>
      </c>
      <c r="N2316">
        <v>0</v>
      </c>
      <c r="O2316" s="2">
        <v>0</v>
      </c>
      <c r="P2316" s="2">
        <v>0</v>
      </c>
      <c r="Q2316">
        <v>0</v>
      </c>
      <c r="R2316" s="2">
        <v>0</v>
      </c>
      <c r="S2316" s="2">
        <v>0</v>
      </c>
      <c r="T2316" t="s">
        <v>1215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</row>
    <row r="2317" spans="1:28" hidden="1" x14ac:dyDescent="0.25">
      <c r="A2317" t="s">
        <v>29</v>
      </c>
      <c r="B2317" t="s">
        <v>30</v>
      </c>
      <c r="C2317" t="s">
        <v>39</v>
      </c>
      <c r="D2317" s="1">
        <v>46009</v>
      </c>
      <c r="E2317" s="1">
        <v>46009</v>
      </c>
      <c r="F2317" s="2">
        <v>19</v>
      </c>
      <c r="G2317" s="3" t="s">
        <v>23</v>
      </c>
      <c r="H2317">
        <f>4+4+4+4</f>
        <v>16</v>
      </c>
      <c r="I2317" s="2">
        <v>0</v>
      </c>
      <c r="J2317" s="2">
        <v>0</v>
      </c>
      <c r="K2317" s="2">
        <v>1</v>
      </c>
      <c r="L2317" s="2">
        <v>0</v>
      </c>
      <c r="M2317">
        <v>0</v>
      </c>
      <c r="N2317">
        <v>0</v>
      </c>
      <c r="O2317" s="2">
        <v>0</v>
      </c>
      <c r="P2317" s="2">
        <v>0</v>
      </c>
      <c r="Q2317">
        <v>0</v>
      </c>
      <c r="R2317" s="2">
        <v>0</v>
      </c>
      <c r="S2317" s="2">
        <v>0</v>
      </c>
      <c r="T2317" t="s">
        <v>1214</v>
      </c>
      <c r="U2317" s="2">
        <v>0</v>
      </c>
      <c r="V2317" s="2">
        <f>22+14</f>
        <v>36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</row>
    <row r="2318" spans="1:28" hidden="1" x14ac:dyDescent="0.25">
      <c r="A2318" t="s">
        <v>53</v>
      </c>
      <c r="B2318" t="s">
        <v>38</v>
      </c>
      <c r="C2318" t="s">
        <v>54</v>
      </c>
      <c r="D2318" s="1">
        <v>46009</v>
      </c>
      <c r="E2318" s="1">
        <v>46009</v>
      </c>
      <c r="F2318" s="2">
        <v>38</v>
      </c>
      <c r="G2318" s="3" t="s">
        <v>23</v>
      </c>
      <c r="H2318">
        <v>18</v>
      </c>
      <c r="I2318" s="2">
        <v>0</v>
      </c>
      <c r="J2318" s="2">
        <v>0</v>
      </c>
      <c r="K2318" s="2">
        <v>0</v>
      </c>
      <c r="L2318" s="2">
        <v>0</v>
      </c>
      <c r="M2318">
        <v>1</v>
      </c>
      <c r="N2318">
        <v>0</v>
      </c>
      <c r="O2318" s="2">
        <v>0</v>
      </c>
      <c r="P2318" s="2">
        <v>0</v>
      </c>
      <c r="Q2318">
        <v>0</v>
      </c>
      <c r="R2318" s="2">
        <v>0</v>
      </c>
      <c r="S2318" s="2">
        <v>0</v>
      </c>
      <c r="T2318" t="s">
        <v>1216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</row>
    <row r="2319" spans="1:28" hidden="1" x14ac:dyDescent="0.25">
      <c r="A2319" t="s">
        <v>47</v>
      </c>
      <c r="B2319" t="s">
        <v>1203</v>
      </c>
      <c r="C2319" t="s">
        <v>35</v>
      </c>
      <c r="D2319" s="1">
        <v>46009</v>
      </c>
      <c r="E2319" s="1">
        <v>46009</v>
      </c>
      <c r="F2319" s="2">
        <v>21</v>
      </c>
      <c r="G2319" s="3" t="s">
        <v>1217</v>
      </c>
      <c r="H2319">
        <v>0</v>
      </c>
      <c r="I2319" s="2">
        <v>0</v>
      </c>
      <c r="J2319" s="2">
        <v>0</v>
      </c>
      <c r="K2319" s="2">
        <v>0</v>
      </c>
      <c r="L2319" s="2">
        <v>0</v>
      </c>
      <c r="M2319">
        <v>0</v>
      </c>
      <c r="N2319">
        <v>0</v>
      </c>
      <c r="O2319" s="2">
        <v>0</v>
      </c>
      <c r="P2319" s="2">
        <v>0</v>
      </c>
      <c r="Q2319">
        <v>0</v>
      </c>
      <c r="R2319" s="2">
        <v>0</v>
      </c>
      <c r="S2319" s="2">
        <v>0</v>
      </c>
      <c r="T2319" t="s">
        <v>1125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</row>
    <row r="2320" spans="1:28" hidden="1" x14ac:dyDescent="0.25">
      <c r="A2320" t="s">
        <v>568</v>
      </c>
      <c r="B2320" t="s">
        <v>47</v>
      </c>
      <c r="C2320" t="s">
        <v>212</v>
      </c>
      <c r="D2320" s="1">
        <v>46009</v>
      </c>
      <c r="E2320" s="1">
        <v>46009</v>
      </c>
      <c r="F2320" s="2">
        <v>0</v>
      </c>
      <c r="G2320" s="3" t="s">
        <v>572</v>
      </c>
      <c r="H2320">
        <v>0</v>
      </c>
      <c r="I2320" s="2">
        <v>0</v>
      </c>
      <c r="J2320" s="2">
        <v>0</v>
      </c>
      <c r="K2320" s="2">
        <v>0</v>
      </c>
      <c r="L2320" s="2">
        <v>0</v>
      </c>
      <c r="M2320">
        <v>0</v>
      </c>
      <c r="N2320">
        <v>0</v>
      </c>
      <c r="O2320" s="2">
        <v>0</v>
      </c>
      <c r="P2320" s="2">
        <v>0</v>
      </c>
      <c r="Q2320">
        <v>0</v>
      </c>
      <c r="R2320" s="2">
        <v>0</v>
      </c>
      <c r="S2320" s="2">
        <v>0</v>
      </c>
      <c r="T2320" t="s">
        <v>377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</row>
    <row r="2321" spans="1:28" hidden="1" x14ac:dyDescent="0.25">
      <c r="A2321" t="s">
        <v>47</v>
      </c>
      <c r="B2321" t="s">
        <v>52</v>
      </c>
      <c r="C2321" t="s">
        <v>212</v>
      </c>
      <c r="D2321" s="1">
        <v>46009</v>
      </c>
      <c r="E2321" s="1">
        <v>46009</v>
      </c>
      <c r="F2321" s="2">
        <v>0</v>
      </c>
      <c r="G2321" s="3" t="s">
        <v>572</v>
      </c>
      <c r="H2321">
        <v>0</v>
      </c>
      <c r="I2321" s="2">
        <v>0</v>
      </c>
      <c r="J2321" s="2">
        <v>0</v>
      </c>
      <c r="K2321" s="2">
        <v>0</v>
      </c>
      <c r="L2321" s="2">
        <v>0</v>
      </c>
      <c r="M2321">
        <v>0</v>
      </c>
      <c r="N2321">
        <v>0</v>
      </c>
      <c r="O2321" s="2">
        <v>0</v>
      </c>
      <c r="P2321" s="2">
        <v>0</v>
      </c>
      <c r="Q2321">
        <v>0</v>
      </c>
      <c r="R2321" s="2">
        <v>0</v>
      </c>
      <c r="S2321" s="2">
        <v>0</v>
      </c>
      <c r="T2321" t="s">
        <v>377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</row>
    <row r="2322" spans="1:28" hidden="1" x14ac:dyDescent="0.25">
      <c r="A2322" t="s">
        <v>568</v>
      </c>
      <c r="B2322" t="s">
        <v>38</v>
      </c>
      <c r="C2322" t="s">
        <v>670</v>
      </c>
      <c r="D2322" s="1">
        <v>46010</v>
      </c>
      <c r="E2322" s="1">
        <v>46010</v>
      </c>
      <c r="F2322" s="2">
        <v>38</v>
      </c>
      <c r="G2322" s="3" t="s">
        <v>23</v>
      </c>
      <c r="H2322">
        <f>9+9</f>
        <v>18</v>
      </c>
      <c r="I2322" s="2">
        <v>0</v>
      </c>
      <c r="J2322" s="2">
        <v>1</v>
      </c>
      <c r="K2322" s="2">
        <v>1</v>
      </c>
      <c r="L2322" s="2">
        <v>0</v>
      </c>
      <c r="M2322">
        <v>0</v>
      </c>
      <c r="N2322">
        <v>0</v>
      </c>
      <c r="O2322" s="2">
        <v>0</v>
      </c>
      <c r="P2322" s="2">
        <v>0</v>
      </c>
      <c r="Q2322">
        <v>0</v>
      </c>
      <c r="R2322" s="2">
        <v>0</v>
      </c>
      <c r="S2322" s="2">
        <v>0</v>
      </c>
      <c r="T2322" t="s">
        <v>1218</v>
      </c>
      <c r="U2322" s="2">
        <v>0</v>
      </c>
      <c r="V2322" s="2">
        <f>20+2+2+16</f>
        <v>40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</row>
    <row r="2323" spans="1:28" hidden="1" x14ac:dyDescent="0.25">
      <c r="A2323" t="s">
        <v>56</v>
      </c>
      <c r="B2323" t="s">
        <v>47</v>
      </c>
      <c r="C2323" t="s">
        <v>64</v>
      </c>
      <c r="D2323" s="1">
        <v>46010</v>
      </c>
      <c r="E2323" s="1">
        <v>46010</v>
      </c>
      <c r="F2323" s="2">
        <v>21</v>
      </c>
      <c r="G2323" s="3" t="s">
        <v>23</v>
      </c>
      <c r="H2323">
        <f>(9+9)*2</f>
        <v>36</v>
      </c>
      <c r="I2323" s="2">
        <v>0</v>
      </c>
      <c r="J2323" s="2">
        <v>0</v>
      </c>
      <c r="K2323" s="2">
        <v>0</v>
      </c>
      <c r="L2323" s="2">
        <v>1</v>
      </c>
      <c r="M2323">
        <v>0</v>
      </c>
      <c r="N2323">
        <v>1</v>
      </c>
      <c r="O2323" s="2">
        <v>0</v>
      </c>
      <c r="P2323" s="2">
        <v>0</v>
      </c>
      <c r="Q2323">
        <v>0</v>
      </c>
      <c r="R2323" s="2">
        <v>0</v>
      </c>
      <c r="S2323" s="2">
        <v>0</v>
      </c>
      <c r="T2323" t="s">
        <v>1219</v>
      </c>
      <c r="U2323" s="2">
        <v>0</v>
      </c>
      <c r="V2323" s="2">
        <f>(20+2+18+2)*2</f>
        <v>84</v>
      </c>
      <c r="W2323" s="2">
        <f>3*2</f>
        <v>6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</row>
    <row r="2324" spans="1:28" hidden="1" x14ac:dyDescent="0.25">
      <c r="A2324" t="s">
        <v>730</v>
      </c>
      <c r="B2324" t="s">
        <v>47</v>
      </c>
      <c r="C2324" t="s">
        <v>64</v>
      </c>
      <c r="D2324" s="1">
        <v>46010</v>
      </c>
      <c r="E2324" s="1">
        <v>46010</v>
      </c>
      <c r="F2324" s="2">
        <v>21</v>
      </c>
      <c r="G2324" s="3" t="s">
        <v>23</v>
      </c>
      <c r="H2324">
        <f>9+0</f>
        <v>9</v>
      </c>
      <c r="I2324" s="2">
        <v>0</v>
      </c>
      <c r="J2324" s="2">
        <v>0</v>
      </c>
      <c r="K2324" s="2">
        <v>0</v>
      </c>
      <c r="L2324" s="2">
        <v>1</v>
      </c>
      <c r="M2324">
        <v>0</v>
      </c>
      <c r="N2324">
        <v>1</v>
      </c>
      <c r="O2324" s="2">
        <v>0</v>
      </c>
      <c r="P2324" s="2">
        <v>0</v>
      </c>
      <c r="Q2324">
        <v>0</v>
      </c>
      <c r="R2324" s="2">
        <v>0</v>
      </c>
      <c r="S2324" s="2">
        <v>0</v>
      </c>
      <c r="T2324" t="s">
        <v>1219</v>
      </c>
      <c r="U2324" s="2">
        <v>0</v>
      </c>
      <c r="V2324" s="2">
        <f>20+2+18+2</f>
        <v>42</v>
      </c>
      <c r="W2324" s="2">
        <v>3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</row>
    <row r="2325" spans="1:28" hidden="1" x14ac:dyDescent="0.25">
      <c r="A2325" t="s">
        <v>20</v>
      </c>
      <c r="B2325" t="s">
        <v>1160</v>
      </c>
      <c r="C2325" t="s">
        <v>27</v>
      </c>
      <c r="D2325" s="1">
        <v>46010</v>
      </c>
      <c r="E2325" s="1">
        <v>46010</v>
      </c>
      <c r="F2325" s="2">
        <v>22</v>
      </c>
      <c r="G2325" s="3" t="s">
        <v>23</v>
      </c>
      <c r="H2325">
        <f>8+8</f>
        <v>16</v>
      </c>
      <c r="I2325" s="2">
        <v>0</v>
      </c>
      <c r="J2325" s="2">
        <v>1</v>
      </c>
      <c r="K2325" s="2">
        <v>1</v>
      </c>
      <c r="L2325" s="2">
        <v>0</v>
      </c>
      <c r="M2325">
        <v>0</v>
      </c>
      <c r="N2325">
        <v>0</v>
      </c>
      <c r="O2325" s="2">
        <v>0</v>
      </c>
      <c r="P2325" s="2">
        <v>0</v>
      </c>
      <c r="Q2325">
        <v>0</v>
      </c>
      <c r="R2325" s="2">
        <v>0</v>
      </c>
      <c r="S2325" s="2">
        <v>0</v>
      </c>
      <c r="T2325" t="s">
        <v>1220</v>
      </c>
      <c r="U2325" s="2">
        <v>0</v>
      </c>
      <c r="V2325" s="2">
        <f>10+11+4</f>
        <v>25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</row>
    <row r="2326" spans="1:28" hidden="1" x14ac:dyDescent="0.25">
      <c r="A2326" t="s">
        <v>25</v>
      </c>
      <c r="B2326" t="s">
        <v>26</v>
      </c>
      <c r="C2326" t="s">
        <v>27</v>
      </c>
      <c r="D2326" s="1">
        <v>46010</v>
      </c>
      <c r="E2326" s="1">
        <v>46010</v>
      </c>
      <c r="F2326" s="2">
        <v>22</v>
      </c>
      <c r="G2326" s="3" t="s">
        <v>23</v>
      </c>
      <c r="H2326">
        <f>18+18+1</f>
        <v>37</v>
      </c>
      <c r="I2326" s="2">
        <v>0</v>
      </c>
      <c r="J2326" s="2">
        <v>0</v>
      </c>
      <c r="K2326" s="2">
        <v>1</v>
      </c>
      <c r="L2326" s="2">
        <v>0</v>
      </c>
      <c r="M2326">
        <v>0</v>
      </c>
      <c r="N2326">
        <v>0</v>
      </c>
      <c r="O2326" s="2">
        <v>0</v>
      </c>
      <c r="P2326" s="2">
        <v>0</v>
      </c>
      <c r="Q2326">
        <v>0</v>
      </c>
      <c r="R2326" s="2">
        <v>0</v>
      </c>
      <c r="S2326" s="2">
        <v>0</v>
      </c>
      <c r="T2326" t="s">
        <v>1220</v>
      </c>
      <c r="U2326" s="2">
        <v>0</v>
      </c>
      <c r="V2326" s="2">
        <f>20+18+2</f>
        <v>40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</row>
    <row r="2327" spans="1:28" hidden="1" x14ac:dyDescent="0.25">
      <c r="A2327" t="s">
        <v>37</v>
      </c>
      <c r="B2327" t="s">
        <v>57</v>
      </c>
      <c r="C2327" t="s">
        <v>39</v>
      </c>
      <c r="D2327" s="1">
        <v>46010</v>
      </c>
      <c r="E2327" s="1">
        <v>46010</v>
      </c>
      <c r="F2327" s="2">
        <v>29</v>
      </c>
      <c r="G2327" s="3" t="s">
        <v>23</v>
      </c>
      <c r="H2327">
        <f>14+14</f>
        <v>28</v>
      </c>
      <c r="I2327" s="2">
        <v>0</v>
      </c>
      <c r="J2327" s="2">
        <v>0</v>
      </c>
      <c r="K2327" s="2">
        <v>1</v>
      </c>
      <c r="L2327" s="2">
        <v>0</v>
      </c>
      <c r="M2327">
        <v>0</v>
      </c>
      <c r="N2327">
        <v>0</v>
      </c>
      <c r="O2327" s="2">
        <v>0</v>
      </c>
      <c r="P2327" s="2">
        <v>0</v>
      </c>
      <c r="Q2327">
        <v>0</v>
      </c>
      <c r="R2327" s="2">
        <v>0</v>
      </c>
      <c r="S2327" s="2">
        <v>0</v>
      </c>
      <c r="T2327" t="s">
        <v>1221</v>
      </c>
      <c r="U2327" s="2">
        <v>0</v>
      </c>
      <c r="V2327" s="2">
        <f>20+2</f>
        <v>22</v>
      </c>
      <c r="W2327" s="2">
        <v>12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</row>
    <row r="2328" spans="1:28" hidden="1" x14ac:dyDescent="0.25">
      <c r="A2328" t="s">
        <v>63</v>
      </c>
      <c r="B2328" t="s">
        <v>284</v>
      </c>
      <c r="C2328" t="s">
        <v>102</v>
      </c>
      <c r="D2328" s="1">
        <v>46010</v>
      </c>
      <c r="E2328" s="1">
        <v>46010</v>
      </c>
      <c r="F2328" s="2">
        <v>22</v>
      </c>
      <c r="G2328" s="3" t="s">
        <v>23</v>
      </c>
      <c r="H2328">
        <v>12</v>
      </c>
      <c r="I2328" s="2">
        <v>0</v>
      </c>
      <c r="J2328" s="2">
        <v>0</v>
      </c>
      <c r="K2328" s="2">
        <v>1</v>
      </c>
      <c r="L2328" s="2">
        <v>0</v>
      </c>
      <c r="M2328">
        <v>0</v>
      </c>
      <c r="N2328">
        <v>0</v>
      </c>
      <c r="O2328" s="2">
        <v>0</v>
      </c>
      <c r="P2328" s="2">
        <v>0</v>
      </c>
      <c r="Q2328">
        <v>0</v>
      </c>
      <c r="R2328" s="2">
        <v>0</v>
      </c>
      <c r="S2328" s="2">
        <v>0</v>
      </c>
      <c r="T2328" t="s">
        <v>1222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</row>
    <row r="2329" spans="1:28" hidden="1" x14ac:dyDescent="0.25">
      <c r="A2329" t="s">
        <v>29</v>
      </c>
      <c r="B2329" t="s">
        <v>30</v>
      </c>
      <c r="C2329" t="s">
        <v>31</v>
      </c>
      <c r="D2329" s="1">
        <v>46010</v>
      </c>
      <c r="E2329" s="1">
        <v>46010</v>
      </c>
      <c r="F2329" s="2">
        <v>21</v>
      </c>
      <c r="G2329" s="3" t="s">
        <v>23</v>
      </c>
      <c r="H2329">
        <f>4+2+4+2+20+1+1+1+1+1+2+5+15+1+1+2+5</f>
        <v>68</v>
      </c>
      <c r="I2329" s="2">
        <v>0</v>
      </c>
      <c r="J2329" s="2">
        <v>1</v>
      </c>
      <c r="K2329" s="2">
        <v>1</v>
      </c>
      <c r="L2329" s="2">
        <v>0</v>
      </c>
      <c r="M2329">
        <v>0</v>
      </c>
      <c r="N2329">
        <v>0</v>
      </c>
      <c r="O2329" s="2">
        <v>0</v>
      </c>
      <c r="P2329" s="2">
        <v>0</v>
      </c>
      <c r="Q2329">
        <v>0</v>
      </c>
      <c r="R2329" s="2">
        <v>0</v>
      </c>
      <c r="S2329" s="2">
        <v>0</v>
      </c>
      <c r="T2329" t="s">
        <v>1223</v>
      </c>
      <c r="U2329" s="2">
        <v>0</v>
      </c>
      <c r="V2329" s="2">
        <v>0</v>
      </c>
      <c r="W2329" s="2">
        <v>1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</row>
    <row r="2330" spans="1:28" hidden="1" x14ac:dyDescent="0.25">
      <c r="A2330" t="s">
        <v>53</v>
      </c>
      <c r="B2330" t="s">
        <v>47</v>
      </c>
      <c r="C2330" t="s">
        <v>39</v>
      </c>
      <c r="D2330" s="1">
        <v>46010</v>
      </c>
      <c r="E2330" s="1">
        <v>46010</v>
      </c>
      <c r="F2330" s="2">
        <v>29</v>
      </c>
      <c r="G2330" s="3" t="s">
        <v>23</v>
      </c>
      <c r="H2330">
        <v>0</v>
      </c>
      <c r="I2330" s="2">
        <v>0</v>
      </c>
      <c r="J2330" s="2">
        <v>0</v>
      </c>
      <c r="K2330" s="2">
        <v>0</v>
      </c>
      <c r="L2330" s="2">
        <v>0</v>
      </c>
      <c r="M2330">
        <v>0</v>
      </c>
      <c r="N2330">
        <v>0</v>
      </c>
      <c r="O2330" s="2">
        <v>0</v>
      </c>
      <c r="P2330" s="2">
        <v>0</v>
      </c>
      <c r="Q2330">
        <v>0</v>
      </c>
      <c r="R2330" s="2">
        <v>0</v>
      </c>
      <c r="S2330" s="2">
        <v>0</v>
      </c>
      <c r="T2330" t="s">
        <v>1221</v>
      </c>
      <c r="U2330" s="2">
        <v>0</v>
      </c>
      <c r="V2330" s="2">
        <f>20+2+18+2</f>
        <v>42</v>
      </c>
      <c r="W2330" s="2">
        <v>3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</row>
    <row r="2331" spans="1:28" hidden="1" x14ac:dyDescent="0.25">
      <c r="A2331" t="s">
        <v>33</v>
      </c>
      <c r="B2331" t="s">
        <v>47</v>
      </c>
      <c r="C2331" t="s">
        <v>35</v>
      </c>
      <c r="D2331" s="1">
        <v>46010</v>
      </c>
      <c r="E2331" s="1">
        <v>46010</v>
      </c>
      <c r="F2331" s="2">
        <v>21</v>
      </c>
      <c r="G2331" s="3" t="s">
        <v>50</v>
      </c>
      <c r="H2331">
        <v>0</v>
      </c>
      <c r="I2331" s="2">
        <v>0</v>
      </c>
      <c r="J2331" s="2">
        <v>0</v>
      </c>
      <c r="K2331" s="2">
        <v>0</v>
      </c>
      <c r="L2331" s="2">
        <v>0</v>
      </c>
      <c r="M2331">
        <v>0</v>
      </c>
      <c r="N2331">
        <v>0</v>
      </c>
      <c r="O2331" s="2">
        <v>0</v>
      </c>
      <c r="P2331" s="2">
        <v>0</v>
      </c>
      <c r="Q2331">
        <v>0</v>
      </c>
      <c r="R2331" s="2">
        <v>0</v>
      </c>
      <c r="S2331" s="2">
        <v>0</v>
      </c>
      <c r="T2331" t="s">
        <v>1125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</row>
    <row r="2332" spans="1:28" hidden="1" x14ac:dyDescent="0.25">
      <c r="A2332" t="s">
        <v>47</v>
      </c>
      <c r="B2332" t="s">
        <v>34</v>
      </c>
      <c r="C2332" t="s">
        <v>35</v>
      </c>
      <c r="D2332" s="1">
        <v>46010</v>
      </c>
      <c r="E2332" s="1">
        <v>46010</v>
      </c>
      <c r="F2332" s="2">
        <v>21</v>
      </c>
      <c r="G2332" s="3" t="s">
        <v>48</v>
      </c>
      <c r="H2332">
        <v>0</v>
      </c>
      <c r="I2332" s="2">
        <v>0</v>
      </c>
      <c r="J2332" s="2">
        <v>0</v>
      </c>
      <c r="K2332" s="2">
        <v>0</v>
      </c>
      <c r="L2332" s="2">
        <v>0</v>
      </c>
      <c r="M2332">
        <v>0</v>
      </c>
      <c r="N2332">
        <v>0</v>
      </c>
      <c r="O2332" s="2">
        <v>0</v>
      </c>
      <c r="P2332" s="2">
        <v>0</v>
      </c>
      <c r="Q2332">
        <v>0</v>
      </c>
      <c r="R2332" s="2">
        <v>0</v>
      </c>
      <c r="S2332" s="2">
        <v>0</v>
      </c>
      <c r="T2332" t="s">
        <v>1125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</row>
    <row r="2333" spans="1:28" hidden="1" x14ac:dyDescent="0.25">
      <c r="A2333" t="s">
        <v>47</v>
      </c>
      <c r="B2333" t="s">
        <v>1203</v>
      </c>
      <c r="C2333" t="s">
        <v>35</v>
      </c>
      <c r="D2333" s="1">
        <v>46010</v>
      </c>
      <c r="E2333" s="1">
        <v>46010</v>
      </c>
      <c r="F2333" s="2">
        <v>21</v>
      </c>
      <c r="G2333" s="3" t="s">
        <v>988</v>
      </c>
      <c r="H2333">
        <v>0</v>
      </c>
      <c r="I2333" s="2">
        <v>0</v>
      </c>
      <c r="J2333" s="2">
        <v>0</v>
      </c>
      <c r="K2333" s="2">
        <v>0</v>
      </c>
      <c r="L2333" s="2">
        <v>0</v>
      </c>
      <c r="M2333">
        <v>0</v>
      </c>
      <c r="N2333">
        <v>0</v>
      </c>
      <c r="O2333" s="2">
        <v>0</v>
      </c>
      <c r="P2333" s="2">
        <v>0</v>
      </c>
      <c r="Q2333">
        <v>0</v>
      </c>
      <c r="R2333" s="2">
        <v>0</v>
      </c>
      <c r="S2333" s="2">
        <v>0</v>
      </c>
      <c r="T2333" t="s">
        <v>1125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</row>
    <row r="2334" spans="1:28" hidden="1" x14ac:dyDescent="0.25">
      <c r="A2334" t="s">
        <v>47</v>
      </c>
      <c r="B2334" t="s">
        <v>52</v>
      </c>
      <c r="C2334" t="s">
        <v>212</v>
      </c>
      <c r="D2334" s="1">
        <v>46010</v>
      </c>
      <c r="E2334" s="1">
        <v>46010</v>
      </c>
      <c r="F2334" s="2">
        <v>0</v>
      </c>
      <c r="G2334" s="3" t="s">
        <v>572</v>
      </c>
      <c r="H2334">
        <v>0</v>
      </c>
      <c r="I2334" s="2">
        <v>0</v>
      </c>
      <c r="J2334" s="2">
        <v>0</v>
      </c>
      <c r="K2334" s="2">
        <v>0</v>
      </c>
      <c r="L2334" s="2">
        <v>0</v>
      </c>
      <c r="M2334">
        <v>0</v>
      </c>
      <c r="N2334">
        <v>0</v>
      </c>
      <c r="O2334" s="2">
        <v>0</v>
      </c>
      <c r="P2334" s="2">
        <v>0</v>
      </c>
      <c r="Q2334">
        <v>0</v>
      </c>
      <c r="R2334" s="2">
        <v>0</v>
      </c>
      <c r="S2334" s="2">
        <v>0</v>
      </c>
      <c r="T2334" t="s">
        <v>377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</row>
    <row r="2335" spans="1:28" hidden="1" x14ac:dyDescent="0.25">
      <c r="A2335" t="s">
        <v>193</v>
      </c>
      <c r="B2335" t="s">
        <v>34</v>
      </c>
      <c r="C2335" t="s">
        <v>195</v>
      </c>
      <c r="D2335" s="9">
        <v>46011</v>
      </c>
      <c r="E2335" s="9">
        <v>46011</v>
      </c>
      <c r="F2335" s="2">
        <v>29</v>
      </c>
      <c r="G2335" s="3" t="s">
        <v>23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>
        <v>0</v>
      </c>
      <c r="N2335">
        <v>0</v>
      </c>
      <c r="O2335" s="2">
        <v>1</v>
      </c>
      <c r="P2335" s="2">
        <v>0</v>
      </c>
      <c r="Q2335">
        <v>0</v>
      </c>
      <c r="R2335" s="2">
        <v>1</v>
      </c>
      <c r="S2335" s="2">
        <v>0</v>
      </c>
      <c r="T2335" t="s">
        <v>1224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</row>
    <row r="2336" spans="1:28" hidden="1" x14ac:dyDescent="0.25">
      <c r="A2336" t="s">
        <v>47</v>
      </c>
      <c r="B2336" s="3" t="s">
        <v>1238</v>
      </c>
      <c r="C2336" t="s">
        <v>64</v>
      </c>
      <c r="D2336" s="17">
        <v>46010</v>
      </c>
      <c r="E2336" s="17">
        <v>46010</v>
      </c>
      <c r="F2336" s="2">
        <v>42</v>
      </c>
      <c r="G2336" s="3" t="s">
        <v>48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>
        <v>0</v>
      </c>
      <c r="N2336">
        <v>0</v>
      </c>
      <c r="O2336" s="2">
        <v>0</v>
      </c>
      <c r="P2336" s="2">
        <v>0</v>
      </c>
      <c r="Q2336">
        <v>0</v>
      </c>
      <c r="R2336" s="2">
        <v>0</v>
      </c>
      <c r="S2336" s="2">
        <v>0</v>
      </c>
      <c r="T2336" t="s">
        <v>1225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</row>
    <row r="2337" spans="1:28" hidden="1" x14ac:dyDescent="0.25">
      <c r="A2337" t="s">
        <v>56</v>
      </c>
      <c r="B2337" s="3" t="s">
        <v>1238</v>
      </c>
      <c r="C2337" t="s">
        <v>64</v>
      </c>
      <c r="D2337" s="9">
        <v>46011</v>
      </c>
      <c r="E2337" s="9">
        <v>46011</v>
      </c>
      <c r="F2337" s="2">
        <v>42</v>
      </c>
      <c r="G2337" s="3" t="s">
        <v>23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>
        <v>0</v>
      </c>
      <c r="N2337">
        <v>0</v>
      </c>
      <c r="O2337" s="2">
        <v>1</v>
      </c>
      <c r="P2337" s="2">
        <v>0</v>
      </c>
      <c r="Q2337">
        <v>8</v>
      </c>
      <c r="R2337" s="2">
        <v>1</v>
      </c>
      <c r="S2337" s="2">
        <v>0</v>
      </c>
      <c r="T2337" t="s">
        <v>1225</v>
      </c>
      <c r="U2337" s="2">
        <v>16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1</v>
      </c>
      <c r="AB2337" s="2">
        <v>0</v>
      </c>
    </row>
    <row r="2338" spans="1:28" hidden="1" x14ac:dyDescent="0.25">
      <c r="A2338" t="s">
        <v>20</v>
      </c>
      <c r="B2338" t="s">
        <v>1160</v>
      </c>
      <c r="C2338" t="s">
        <v>22</v>
      </c>
      <c r="D2338" s="9">
        <v>46011</v>
      </c>
      <c r="E2338" s="9">
        <v>46011</v>
      </c>
      <c r="F2338" s="2">
        <v>38</v>
      </c>
      <c r="G2338" s="3" t="s">
        <v>23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>
        <v>0</v>
      </c>
      <c r="N2338">
        <v>0</v>
      </c>
      <c r="O2338" s="2">
        <v>1</v>
      </c>
      <c r="P2338" s="2">
        <v>0</v>
      </c>
      <c r="Q2338">
        <v>0</v>
      </c>
      <c r="R2338" s="2">
        <v>1</v>
      </c>
      <c r="S2338" s="2">
        <v>0</v>
      </c>
      <c r="T2338" t="s">
        <v>1226</v>
      </c>
      <c r="U2338" s="2">
        <f>12+0</f>
        <v>12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</row>
    <row r="2339" spans="1:28" hidden="1" x14ac:dyDescent="0.25">
      <c r="A2339" t="s">
        <v>25</v>
      </c>
      <c r="B2339" t="s">
        <v>26</v>
      </c>
      <c r="C2339" t="s">
        <v>27</v>
      </c>
      <c r="D2339" s="9">
        <v>46011</v>
      </c>
      <c r="E2339" s="9">
        <v>46011</v>
      </c>
      <c r="F2339" s="2">
        <v>24</v>
      </c>
      <c r="G2339" s="3" t="s">
        <v>23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>
        <v>0</v>
      </c>
      <c r="N2339">
        <v>0</v>
      </c>
      <c r="O2339" s="2">
        <v>1</v>
      </c>
      <c r="P2339" s="2">
        <v>0</v>
      </c>
      <c r="Q2339">
        <v>2</v>
      </c>
      <c r="R2339" s="2">
        <v>1</v>
      </c>
      <c r="S2339" s="2">
        <v>0</v>
      </c>
      <c r="T2339" t="s">
        <v>1227</v>
      </c>
      <c r="U2339" s="2">
        <v>12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</row>
    <row r="2340" spans="1:28" hidden="1" x14ac:dyDescent="0.25">
      <c r="A2340" t="s">
        <v>37</v>
      </c>
      <c r="B2340" t="s">
        <v>57</v>
      </c>
      <c r="C2340" t="s">
        <v>31</v>
      </c>
      <c r="D2340" s="9">
        <v>46011</v>
      </c>
      <c r="E2340" s="9">
        <v>46011</v>
      </c>
      <c r="F2340" s="2">
        <v>15</v>
      </c>
      <c r="G2340" s="3" t="s">
        <v>23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>
        <v>0</v>
      </c>
      <c r="N2340">
        <v>0</v>
      </c>
      <c r="O2340" s="2">
        <v>1</v>
      </c>
      <c r="P2340" s="2">
        <v>0</v>
      </c>
      <c r="Q2340">
        <v>2</v>
      </c>
      <c r="R2340" s="2">
        <v>1</v>
      </c>
      <c r="S2340" s="2">
        <v>0</v>
      </c>
      <c r="T2340" t="s">
        <v>1228</v>
      </c>
      <c r="U2340" s="2">
        <v>13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</row>
    <row r="2341" spans="1:28" hidden="1" x14ac:dyDescent="0.25">
      <c r="A2341" t="s">
        <v>63</v>
      </c>
      <c r="B2341" t="s">
        <v>284</v>
      </c>
      <c r="C2341" t="s">
        <v>102</v>
      </c>
      <c r="D2341" s="9">
        <v>46011</v>
      </c>
      <c r="E2341" s="9">
        <v>46011</v>
      </c>
      <c r="F2341" s="2">
        <v>22</v>
      </c>
      <c r="G2341" s="3" t="s">
        <v>23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>
        <v>0</v>
      </c>
      <c r="N2341">
        <v>0</v>
      </c>
      <c r="O2341" s="2">
        <v>1</v>
      </c>
      <c r="P2341" s="2">
        <v>0</v>
      </c>
      <c r="Q2341">
        <v>0</v>
      </c>
      <c r="R2341" s="2">
        <v>1</v>
      </c>
      <c r="S2341" s="2">
        <v>0</v>
      </c>
      <c r="T2341" t="s">
        <v>1229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</row>
    <row r="2342" spans="1:28" hidden="1" x14ac:dyDescent="0.25">
      <c r="A2342" t="s">
        <v>29</v>
      </c>
      <c r="B2342" t="s">
        <v>30</v>
      </c>
      <c r="C2342" t="s">
        <v>31</v>
      </c>
      <c r="D2342" s="9">
        <v>46011</v>
      </c>
      <c r="E2342" s="9">
        <v>46011</v>
      </c>
      <c r="F2342" s="2">
        <v>15</v>
      </c>
      <c r="G2342" s="3" t="s">
        <v>23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>
        <v>0</v>
      </c>
      <c r="N2342">
        <v>0</v>
      </c>
      <c r="O2342" s="2">
        <v>1</v>
      </c>
      <c r="P2342" s="2">
        <v>0</v>
      </c>
      <c r="Q2342">
        <v>1</v>
      </c>
      <c r="R2342" s="2">
        <v>1</v>
      </c>
      <c r="S2342" s="2">
        <v>0</v>
      </c>
      <c r="T2342" t="s">
        <v>1228</v>
      </c>
      <c r="U2342" s="2">
        <f>4+2</f>
        <v>6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</row>
    <row r="2343" spans="1:28" hidden="1" x14ac:dyDescent="0.25">
      <c r="A2343" t="s">
        <v>568</v>
      </c>
      <c r="B2343" t="s">
        <v>52</v>
      </c>
      <c r="C2343" t="s">
        <v>212</v>
      </c>
      <c r="D2343" s="9">
        <v>46011</v>
      </c>
      <c r="E2343" s="9">
        <v>46011</v>
      </c>
      <c r="F2343" s="2">
        <v>0</v>
      </c>
      <c r="G2343" s="3" t="s">
        <v>378</v>
      </c>
      <c r="H2343">
        <v>0</v>
      </c>
      <c r="I2343" s="2">
        <v>0</v>
      </c>
      <c r="J2343" s="2">
        <v>0</v>
      </c>
      <c r="K2343" s="2">
        <v>0</v>
      </c>
      <c r="L2343" s="2">
        <v>0</v>
      </c>
      <c r="M2343">
        <v>0</v>
      </c>
      <c r="N2343">
        <v>0</v>
      </c>
      <c r="O2343" s="2">
        <v>0</v>
      </c>
      <c r="P2343" s="2">
        <v>0</v>
      </c>
      <c r="Q2343">
        <v>0</v>
      </c>
      <c r="R2343" s="2">
        <v>0</v>
      </c>
      <c r="S2343" s="2">
        <v>0</v>
      </c>
      <c r="T2343" t="s">
        <v>377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</row>
    <row r="2344" spans="1:28" hidden="1" x14ac:dyDescent="0.25">
      <c r="A2344" t="s">
        <v>53</v>
      </c>
      <c r="B2344" t="s">
        <v>38</v>
      </c>
      <c r="C2344" t="s">
        <v>27</v>
      </c>
      <c r="D2344" s="9">
        <v>46011</v>
      </c>
      <c r="E2344" s="9">
        <v>46011</v>
      </c>
      <c r="F2344" s="2">
        <v>25</v>
      </c>
      <c r="G2344" s="3" t="s">
        <v>378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1150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</row>
    <row r="2345" spans="1:28" hidden="1" x14ac:dyDescent="0.25">
      <c r="A2345" t="s">
        <v>730</v>
      </c>
      <c r="B2345" t="s">
        <v>47</v>
      </c>
      <c r="C2345" t="s">
        <v>64</v>
      </c>
      <c r="D2345" s="9">
        <v>46011</v>
      </c>
      <c r="E2345" s="9">
        <v>46011</v>
      </c>
      <c r="F2345" s="2">
        <v>17</v>
      </c>
      <c r="G2345" s="3" t="s">
        <v>378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 t="s">
        <v>1153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</row>
    <row r="2346" spans="1:28" hidden="1" x14ac:dyDescent="0.25">
      <c r="A2346" t="s">
        <v>47</v>
      </c>
      <c r="B2346" t="s">
        <v>52</v>
      </c>
      <c r="C2346" t="s">
        <v>212</v>
      </c>
      <c r="D2346" s="9">
        <v>46011</v>
      </c>
      <c r="E2346" s="9">
        <v>46011</v>
      </c>
      <c r="F2346" s="2">
        <v>0</v>
      </c>
      <c r="G2346" s="3" t="s">
        <v>378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377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</row>
    <row r="2347" spans="1:28" hidden="1" x14ac:dyDescent="0.25">
      <c r="A2347" t="s">
        <v>33</v>
      </c>
      <c r="B2347" t="s">
        <v>47</v>
      </c>
      <c r="C2347" t="s">
        <v>212</v>
      </c>
      <c r="D2347" s="9">
        <v>46011</v>
      </c>
      <c r="E2347" s="9">
        <v>46011</v>
      </c>
      <c r="F2347" s="2">
        <v>0</v>
      </c>
      <c r="G2347" s="3" t="s">
        <v>50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 t="s">
        <v>377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</row>
    <row r="2348" spans="1:28" hidden="1" x14ac:dyDescent="0.25">
      <c r="A2348" t="s">
        <v>193</v>
      </c>
      <c r="B2348" t="s">
        <v>34</v>
      </c>
      <c r="C2348" t="s">
        <v>195</v>
      </c>
      <c r="D2348" s="9">
        <v>46012</v>
      </c>
      <c r="E2348" s="9">
        <v>46012</v>
      </c>
      <c r="F2348" s="2">
        <v>82</v>
      </c>
      <c r="G2348" s="3" t="s">
        <v>23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>
        <v>0</v>
      </c>
      <c r="N2348">
        <v>0</v>
      </c>
      <c r="O2348" s="2">
        <v>0</v>
      </c>
      <c r="P2348" s="2">
        <v>1</v>
      </c>
      <c r="Q2348">
        <v>6</v>
      </c>
      <c r="R2348" s="2">
        <v>0</v>
      </c>
      <c r="S2348" s="2">
        <v>1</v>
      </c>
      <c r="T2348" t="s">
        <v>1230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</row>
    <row r="2349" spans="1:28" hidden="1" x14ac:dyDescent="0.25">
      <c r="A2349" t="s">
        <v>56</v>
      </c>
      <c r="B2349" s="3" t="s">
        <v>1238</v>
      </c>
      <c r="C2349" t="s">
        <v>64</v>
      </c>
      <c r="D2349" s="9">
        <v>46012</v>
      </c>
      <c r="E2349" s="9">
        <v>46012</v>
      </c>
      <c r="F2349" s="2">
        <v>42</v>
      </c>
      <c r="G2349" s="3" t="s">
        <v>23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>
        <v>0</v>
      </c>
      <c r="N2349">
        <v>0</v>
      </c>
      <c r="O2349" s="2">
        <v>0</v>
      </c>
      <c r="P2349" s="2">
        <v>1</v>
      </c>
      <c r="Q2349">
        <v>7</v>
      </c>
      <c r="R2349" s="2">
        <v>0</v>
      </c>
      <c r="S2349" s="2">
        <v>1</v>
      </c>
      <c r="T2349" t="s">
        <v>1231</v>
      </c>
      <c r="U2349" s="2">
        <v>16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1</v>
      </c>
    </row>
    <row r="2350" spans="1:28" hidden="1" x14ac:dyDescent="0.25">
      <c r="A2350" t="s">
        <v>20</v>
      </c>
      <c r="B2350" t="s">
        <v>1160</v>
      </c>
      <c r="C2350" t="s">
        <v>22</v>
      </c>
      <c r="D2350" s="9">
        <v>46012</v>
      </c>
      <c r="E2350" s="9">
        <v>46012</v>
      </c>
      <c r="F2350" s="2">
        <v>51</v>
      </c>
      <c r="G2350" s="3" t="s">
        <v>23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>
        <v>0</v>
      </c>
      <c r="N2350">
        <v>0</v>
      </c>
      <c r="O2350" s="2">
        <v>0</v>
      </c>
      <c r="P2350" s="2">
        <v>1</v>
      </c>
      <c r="Q2350">
        <v>1</v>
      </c>
      <c r="R2350" s="2">
        <v>0</v>
      </c>
      <c r="S2350" s="2">
        <v>1</v>
      </c>
      <c r="T2350" t="s">
        <v>1232</v>
      </c>
      <c r="U2350" s="2">
        <v>16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</row>
    <row r="2351" spans="1:28" hidden="1" x14ac:dyDescent="0.25">
      <c r="A2351" t="s">
        <v>25</v>
      </c>
      <c r="B2351" t="s">
        <v>26</v>
      </c>
      <c r="C2351" t="s">
        <v>27</v>
      </c>
      <c r="D2351" s="9">
        <v>46012</v>
      </c>
      <c r="E2351" s="9">
        <v>46012</v>
      </c>
      <c r="F2351" s="2">
        <v>34</v>
      </c>
      <c r="G2351" s="3" t="s">
        <v>23</v>
      </c>
      <c r="H2351" s="2">
        <v>0</v>
      </c>
      <c r="I2351" s="2">
        <v>0</v>
      </c>
      <c r="J2351" s="2">
        <v>0</v>
      </c>
      <c r="K2351" s="2">
        <v>1</v>
      </c>
      <c r="L2351" s="2">
        <v>0</v>
      </c>
      <c r="M2351">
        <v>0</v>
      </c>
      <c r="N2351">
        <v>0</v>
      </c>
      <c r="O2351" s="2">
        <v>0</v>
      </c>
      <c r="P2351" s="2">
        <v>1</v>
      </c>
      <c r="Q2351">
        <v>3</v>
      </c>
      <c r="R2351" s="2">
        <v>0</v>
      </c>
      <c r="S2351" s="2">
        <v>1</v>
      </c>
      <c r="T2351" t="s">
        <v>1233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</row>
    <row r="2352" spans="1:28" hidden="1" x14ac:dyDescent="0.25">
      <c r="A2352" t="s">
        <v>37</v>
      </c>
      <c r="B2352" t="s">
        <v>57</v>
      </c>
      <c r="C2352" t="s">
        <v>39</v>
      </c>
      <c r="D2352" s="9">
        <v>46012</v>
      </c>
      <c r="E2352" s="9">
        <v>46012</v>
      </c>
      <c r="F2352" s="2">
        <v>21</v>
      </c>
      <c r="G2352" s="3" t="s">
        <v>23</v>
      </c>
      <c r="H2352" s="2">
        <v>0</v>
      </c>
      <c r="I2352" s="2">
        <v>0</v>
      </c>
      <c r="J2352" s="2">
        <v>0</v>
      </c>
      <c r="K2352" s="2">
        <v>1</v>
      </c>
      <c r="L2352" s="2">
        <v>0</v>
      </c>
      <c r="M2352">
        <v>0</v>
      </c>
      <c r="N2352">
        <v>0</v>
      </c>
      <c r="O2352" s="2">
        <v>0</v>
      </c>
      <c r="P2352" s="2">
        <v>1</v>
      </c>
      <c r="Q2352">
        <v>3</v>
      </c>
      <c r="R2352" s="2">
        <v>0</v>
      </c>
      <c r="S2352" s="2">
        <v>1</v>
      </c>
      <c r="T2352" t="s">
        <v>1234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</row>
    <row r="2353" spans="1:28" hidden="1" x14ac:dyDescent="0.25">
      <c r="A2353" t="s">
        <v>63</v>
      </c>
      <c r="B2353" t="s">
        <v>284</v>
      </c>
      <c r="C2353" t="s">
        <v>102</v>
      </c>
      <c r="D2353" s="9">
        <v>46012</v>
      </c>
      <c r="E2353" s="9">
        <v>46012</v>
      </c>
      <c r="F2353" s="2">
        <v>27</v>
      </c>
      <c r="G2353" s="3" t="s">
        <v>23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>
        <v>0</v>
      </c>
      <c r="N2353">
        <v>0</v>
      </c>
      <c r="O2353" s="2">
        <v>0</v>
      </c>
      <c r="P2353" s="2">
        <v>1</v>
      </c>
      <c r="Q2353">
        <v>0</v>
      </c>
      <c r="R2353" s="2">
        <v>0</v>
      </c>
      <c r="S2353" s="2">
        <v>1</v>
      </c>
      <c r="T2353" t="s">
        <v>1235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</row>
    <row r="2354" spans="1:28" hidden="1" x14ac:dyDescent="0.25">
      <c r="A2354" t="s">
        <v>29</v>
      </c>
      <c r="B2354" t="s">
        <v>30</v>
      </c>
      <c r="C2354" t="s">
        <v>31</v>
      </c>
      <c r="D2354" s="9">
        <v>46012</v>
      </c>
      <c r="E2354" s="9">
        <v>46012</v>
      </c>
      <c r="F2354" s="2">
        <v>33</v>
      </c>
      <c r="G2354" s="3" t="s">
        <v>23</v>
      </c>
      <c r="H2354" s="2">
        <v>0</v>
      </c>
      <c r="I2354" s="2">
        <v>0</v>
      </c>
      <c r="J2354" s="2">
        <v>0</v>
      </c>
      <c r="K2354" s="2">
        <v>1</v>
      </c>
      <c r="L2354" s="2">
        <v>0</v>
      </c>
      <c r="M2354">
        <v>0</v>
      </c>
      <c r="N2354">
        <v>0</v>
      </c>
      <c r="O2354" s="2">
        <v>0</v>
      </c>
      <c r="P2354" s="2">
        <v>1</v>
      </c>
      <c r="Q2354">
        <v>3</v>
      </c>
      <c r="R2354" s="2">
        <v>0</v>
      </c>
      <c r="S2354" s="2">
        <v>1</v>
      </c>
      <c r="T2354" t="s">
        <v>1236</v>
      </c>
      <c r="U2354" s="2">
        <v>8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</row>
    <row r="2355" spans="1:28" hidden="1" x14ac:dyDescent="0.25">
      <c r="A2355" t="s">
        <v>568</v>
      </c>
      <c r="B2355" t="s">
        <v>52</v>
      </c>
      <c r="C2355" t="s">
        <v>212</v>
      </c>
      <c r="D2355" s="9">
        <v>46012</v>
      </c>
      <c r="E2355" s="9">
        <v>46012</v>
      </c>
      <c r="F2355" s="2">
        <v>0</v>
      </c>
      <c r="G2355" s="3" t="s">
        <v>378</v>
      </c>
      <c r="H2355">
        <v>0</v>
      </c>
      <c r="I2355" s="2">
        <v>0</v>
      </c>
      <c r="J2355" s="2">
        <v>0</v>
      </c>
      <c r="K2355" s="2">
        <v>0</v>
      </c>
      <c r="L2355" s="2">
        <v>0</v>
      </c>
      <c r="M2355">
        <v>0</v>
      </c>
      <c r="N2355">
        <v>0</v>
      </c>
      <c r="O2355" s="2">
        <v>0</v>
      </c>
      <c r="P2355" s="2">
        <v>0</v>
      </c>
      <c r="Q2355">
        <v>0</v>
      </c>
      <c r="R2355" s="2">
        <v>0</v>
      </c>
      <c r="S2355" s="2">
        <v>0</v>
      </c>
      <c r="T2355" t="s">
        <v>377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</row>
    <row r="2356" spans="1:28" hidden="1" x14ac:dyDescent="0.25">
      <c r="A2356" t="s">
        <v>53</v>
      </c>
      <c r="B2356" t="s">
        <v>38</v>
      </c>
      <c r="C2356" t="s">
        <v>27</v>
      </c>
      <c r="D2356" s="9">
        <v>46012</v>
      </c>
      <c r="E2356" s="9">
        <v>46012</v>
      </c>
      <c r="F2356" s="2">
        <v>25</v>
      </c>
      <c r="G2356" s="3" t="s">
        <v>378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1150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</row>
    <row r="2357" spans="1:28" hidden="1" x14ac:dyDescent="0.25">
      <c r="A2357" t="s">
        <v>730</v>
      </c>
      <c r="B2357" t="s">
        <v>47</v>
      </c>
      <c r="C2357" t="s">
        <v>64</v>
      </c>
      <c r="D2357" s="9">
        <v>46012</v>
      </c>
      <c r="E2357" s="9">
        <v>46012</v>
      </c>
      <c r="F2357" s="2">
        <v>17</v>
      </c>
      <c r="G2357" s="3" t="s">
        <v>378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t="s">
        <v>1153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</row>
    <row r="2358" spans="1:28" hidden="1" x14ac:dyDescent="0.25">
      <c r="A2358" t="s">
        <v>33</v>
      </c>
      <c r="B2358" t="s">
        <v>47</v>
      </c>
      <c r="C2358" t="s">
        <v>64</v>
      </c>
      <c r="D2358" s="9">
        <v>46012</v>
      </c>
      <c r="E2358" s="9">
        <v>46012</v>
      </c>
      <c r="F2358" s="2">
        <v>17</v>
      </c>
      <c r="G2358" s="3" t="s">
        <v>50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1153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</row>
    <row r="2359" spans="1:28" hidden="1" x14ac:dyDescent="0.25">
      <c r="A2359" t="s">
        <v>47</v>
      </c>
      <c r="B2359" t="s">
        <v>52</v>
      </c>
      <c r="C2359" t="s">
        <v>212</v>
      </c>
      <c r="D2359" s="9">
        <v>46012</v>
      </c>
      <c r="E2359" s="9">
        <v>46012</v>
      </c>
      <c r="F2359" s="2">
        <v>0</v>
      </c>
      <c r="G2359" s="3" t="s">
        <v>378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 t="s">
        <v>377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</row>
    <row r="2360" spans="1:28" hidden="1" x14ac:dyDescent="0.25">
      <c r="A2360" t="s">
        <v>47</v>
      </c>
      <c r="B2360" t="s">
        <v>21</v>
      </c>
      <c r="C2360" t="s">
        <v>35</v>
      </c>
      <c r="D2360" s="1">
        <v>46006</v>
      </c>
      <c r="E2360" s="1">
        <v>46006</v>
      </c>
      <c r="F2360" s="2">
        <v>21</v>
      </c>
      <c r="G2360" s="3" t="s">
        <v>129</v>
      </c>
      <c r="H2360">
        <v>0</v>
      </c>
      <c r="I2360" s="2">
        <v>0</v>
      </c>
      <c r="J2360" s="2">
        <v>0</v>
      </c>
      <c r="K2360" s="2">
        <v>0</v>
      </c>
      <c r="L2360" s="2">
        <v>0</v>
      </c>
      <c r="M2360">
        <v>0</v>
      </c>
      <c r="N2360">
        <v>0</v>
      </c>
      <c r="O2360" s="2">
        <v>0</v>
      </c>
      <c r="P2360" s="2">
        <v>0</v>
      </c>
      <c r="Q2360">
        <v>0</v>
      </c>
      <c r="R2360" s="2">
        <v>0</v>
      </c>
      <c r="S2360" s="2">
        <v>0</v>
      </c>
      <c r="T2360" t="s">
        <v>1125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</row>
    <row r="2361" spans="1:28" hidden="1" x14ac:dyDescent="0.25">
      <c r="A2361" t="s">
        <v>47</v>
      </c>
      <c r="B2361" t="s">
        <v>21</v>
      </c>
      <c r="C2361" t="s">
        <v>35</v>
      </c>
      <c r="D2361" s="1">
        <v>46007</v>
      </c>
      <c r="E2361" s="1">
        <v>46006</v>
      </c>
      <c r="F2361" s="2">
        <v>21</v>
      </c>
      <c r="G2361" s="3" t="s">
        <v>129</v>
      </c>
      <c r="H2361">
        <v>0</v>
      </c>
      <c r="I2361" s="2">
        <v>0</v>
      </c>
      <c r="J2361" s="2">
        <v>0</v>
      </c>
      <c r="K2361" s="2">
        <v>0</v>
      </c>
      <c r="L2361" s="2">
        <v>0</v>
      </c>
      <c r="M2361">
        <v>0</v>
      </c>
      <c r="N2361">
        <v>0</v>
      </c>
      <c r="O2361" s="2">
        <v>0</v>
      </c>
      <c r="P2361" s="2">
        <v>0</v>
      </c>
      <c r="Q2361">
        <v>0</v>
      </c>
      <c r="R2361" s="2">
        <v>0</v>
      </c>
      <c r="S2361" s="2">
        <v>0</v>
      </c>
      <c r="T2361" t="s">
        <v>1125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</row>
    <row r="2362" spans="1:28" hidden="1" x14ac:dyDescent="0.25">
      <c r="A2362" t="s">
        <v>47</v>
      </c>
      <c r="B2362" t="s">
        <v>21</v>
      </c>
      <c r="C2362" t="s">
        <v>35</v>
      </c>
      <c r="D2362" s="1">
        <v>46008</v>
      </c>
      <c r="E2362" s="1">
        <v>46006</v>
      </c>
      <c r="F2362" s="2">
        <v>21</v>
      </c>
      <c r="G2362" s="3" t="s">
        <v>129</v>
      </c>
      <c r="H2362">
        <v>0</v>
      </c>
      <c r="I2362" s="2">
        <v>0</v>
      </c>
      <c r="J2362" s="2">
        <v>0</v>
      </c>
      <c r="K2362" s="2">
        <v>0</v>
      </c>
      <c r="L2362" s="2">
        <v>0</v>
      </c>
      <c r="M2362">
        <v>0</v>
      </c>
      <c r="N2362">
        <v>0</v>
      </c>
      <c r="O2362" s="2">
        <v>0</v>
      </c>
      <c r="P2362" s="2">
        <v>0</v>
      </c>
      <c r="Q2362">
        <v>0</v>
      </c>
      <c r="R2362" s="2">
        <v>0</v>
      </c>
      <c r="S2362" s="2">
        <v>0</v>
      </c>
      <c r="T2362" t="s">
        <v>1125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</row>
    <row r="2363" spans="1:28" hidden="1" x14ac:dyDescent="0.25">
      <c r="A2363" t="s">
        <v>47</v>
      </c>
      <c r="B2363" t="s">
        <v>21</v>
      </c>
      <c r="C2363" t="s">
        <v>35</v>
      </c>
      <c r="D2363" s="1">
        <v>46009</v>
      </c>
      <c r="E2363" s="1">
        <v>46006</v>
      </c>
      <c r="F2363" s="2">
        <v>21</v>
      </c>
      <c r="G2363" s="3" t="s">
        <v>129</v>
      </c>
      <c r="H2363">
        <v>0</v>
      </c>
      <c r="I2363" s="2">
        <v>0</v>
      </c>
      <c r="J2363" s="2">
        <v>0</v>
      </c>
      <c r="K2363" s="2">
        <v>0</v>
      </c>
      <c r="L2363" s="2">
        <v>0</v>
      </c>
      <c r="M2363">
        <v>0</v>
      </c>
      <c r="N2363">
        <v>0</v>
      </c>
      <c r="O2363" s="2">
        <v>0</v>
      </c>
      <c r="P2363" s="2">
        <v>0</v>
      </c>
      <c r="Q2363">
        <v>0</v>
      </c>
      <c r="R2363" s="2">
        <v>0</v>
      </c>
      <c r="S2363" s="2">
        <v>0</v>
      </c>
      <c r="T2363" t="s">
        <v>1125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</row>
    <row r="2364" spans="1:28" hidden="1" x14ac:dyDescent="0.25">
      <c r="A2364" t="s">
        <v>47</v>
      </c>
      <c r="B2364" t="s">
        <v>21</v>
      </c>
      <c r="C2364" t="s">
        <v>35</v>
      </c>
      <c r="D2364" s="1">
        <v>46010</v>
      </c>
      <c r="E2364" s="1">
        <v>46006</v>
      </c>
      <c r="F2364" s="2">
        <v>21</v>
      </c>
      <c r="G2364" s="3" t="s">
        <v>129</v>
      </c>
      <c r="H2364">
        <v>0</v>
      </c>
      <c r="I2364" s="2">
        <v>0</v>
      </c>
      <c r="J2364" s="2">
        <v>0</v>
      </c>
      <c r="K2364" s="2">
        <v>0</v>
      </c>
      <c r="L2364" s="2">
        <v>0</v>
      </c>
      <c r="M2364">
        <v>0</v>
      </c>
      <c r="N2364">
        <v>0</v>
      </c>
      <c r="O2364" s="2">
        <v>0</v>
      </c>
      <c r="P2364" s="2">
        <v>0</v>
      </c>
      <c r="Q2364">
        <v>0</v>
      </c>
      <c r="R2364" s="2">
        <v>0</v>
      </c>
      <c r="S2364" s="2">
        <v>0</v>
      </c>
      <c r="T2364" t="s">
        <v>1125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</row>
    <row r="2365" spans="1:28" hidden="1" x14ac:dyDescent="0.25">
      <c r="A2365" t="s">
        <v>47</v>
      </c>
      <c r="B2365" t="s">
        <v>21</v>
      </c>
      <c r="C2365" t="s">
        <v>35</v>
      </c>
      <c r="D2365" s="1">
        <v>46011</v>
      </c>
      <c r="E2365" s="1">
        <v>46006</v>
      </c>
      <c r="F2365" s="2">
        <v>21</v>
      </c>
      <c r="G2365" s="3" t="s">
        <v>129</v>
      </c>
      <c r="H2365">
        <v>0</v>
      </c>
      <c r="I2365" s="2">
        <v>0</v>
      </c>
      <c r="J2365" s="2">
        <v>0</v>
      </c>
      <c r="K2365" s="2">
        <v>0</v>
      </c>
      <c r="L2365" s="2">
        <v>0</v>
      </c>
      <c r="M2365">
        <v>0</v>
      </c>
      <c r="N2365">
        <v>0</v>
      </c>
      <c r="O2365" s="2">
        <v>0</v>
      </c>
      <c r="P2365" s="2">
        <v>0</v>
      </c>
      <c r="Q2365">
        <v>0</v>
      </c>
      <c r="R2365" s="2">
        <v>0</v>
      </c>
      <c r="S2365" s="2">
        <v>0</v>
      </c>
      <c r="T2365" t="s">
        <v>1125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</row>
    <row r="2366" spans="1:28" hidden="1" x14ac:dyDescent="0.25">
      <c r="A2366" t="s">
        <v>47</v>
      </c>
      <c r="B2366" t="s">
        <v>21</v>
      </c>
      <c r="C2366" t="s">
        <v>35</v>
      </c>
      <c r="D2366" s="1">
        <v>46012</v>
      </c>
      <c r="E2366" s="1">
        <v>46006</v>
      </c>
      <c r="F2366" s="2">
        <v>21</v>
      </c>
      <c r="G2366" s="3" t="s">
        <v>129</v>
      </c>
      <c r="H2366">
        <v>0</v>
      </c>
      <c r="I2366" s="2">
        <v>0</v>
      </c>
      <c r="J2366" s="2">
        <v>0</v>
      </c>
      <c r="K2366" s="2">
        <v>0</v>
      </c>
      <c r="L2366" s="2">
        <v>0</v>
      </c>
      <c r="M2366">
        <v>0</v>
      </c>
      <c r="N2366">
        <v>0</v>
      </c>
      <c r="O2366" s="2">
        <v>0</v>
      </c>
      <c r="P2366" s="2">
        <v>0</v>
      </c>
      <c r="Q2366">
        <v>0</v>
      </c>
      <c r="R2366" s="2">
        <v>0</v>
      </c>
      <c r="S2366" s="2">
        <v>0</v>
      </c>
      <c r="T2366" t="s">
        <v>1125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</row>
    <row r="2367" spans="1:28" hidden="1" x14ac:dyDescent="0.25">
      <c r="A2367" t="s">
        <v>53</v>
      </c>
      <c r="B2367" t="s">
        <v>38</v>
      </c>
      <c r="C2367" t="s">
        <v>39</v>
      </c>
      <c r="D2367" s="1">
        <v>46013</v>
      </c>
      <c r="E2367" s="1">
        <v>46013</v>
      </c>
      <c r="F2367" s="2">
        <v>15</v>
      </c>
      <c r="G2367" s="3" t="s">
        <v>23</v>
      </c>
      <c r="H2367">
        <f>7+3</f>
        <v>10</v>
      </c>
      <c r="I2367" s="2">
        <v>0</v>
      </c>
      <c r="J2367" s="2">
        <v>0</v>
      </c>
      <c r="K2367" s="2">
        <v>0</v>
      </c>
      <c r="L2367" s="2">
        <v>0</v>
      </c>
      <c r="M2367">
        <v>0</v>
      </c>
      <c r="N2367">
        <v>0</v>
      </c>
      <c r="O2367" s="2">
        <v>0</v>
      </c>
      <c r="P2367" s="2">
        <v>0</v>
      </c>
      <c r="Q2367">
        <v>0</v>
      </c>
      <c r="R2367" s="2">
        <v>0</v>
      </c>
      <c r="S2367" s="2">
        <v>0</v>
      </c>
      <c r="T2367" t="s">
        <v>1241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</row>
    <row r="2368" spans="1:28" hidden="1" x14ac:dyDescent="0.25">
      <c r="A2368" t="s">
        <v>37</v>
      </c>
      <c r="B2368" t="s">
        <v>57</v>
      </c>
      <c r="C2368" t="s">
        <v>39</v>
      </c>
      <c r="D2368" s="1">
        <v>46013</v>
      </c>
      <c r="E2368" s="1">
        <v>46013</v>
      </c>
      <c r="F2368" s="2">
        <v>15</v>
      </c>
      <c r="G2368" s="3" t="s">
        <v>23</v>
      </c>
      <c r="H2368">
        <v>15</v>
      </c>
      <c r="I2368" s="2">
        <v>0</v>
      </c>
      <c r="J2368" s="2">
        <v>0</v>
      </c>
      <c r="K2368" s="2">
        <v>0</v>
      </c>
      <c r="L2368" s="2">
        <v>0</v>
      </c>
      <c r="M2368">
        <v>0</v>
      </c>
      <c r="N2368">
        <v>0</v>
      </c>
      <c r="O2368" s="2">
        <v>0</v>
      </c>
      <c r="P2368" s="2">
        <v>0</v>
      </c>
      <c r="Q2368">
        <v>0</v>
      </c>
      <c r="R2368" s="2">
        <v>0</v>
      </c>
      <c r="S2368" s="2">
        <v>0</v>
      </c>
      <c r="T2368" t="s">
        <v>1241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</row>
    <row r="2369" spans="1:28" hidden="1" x14ac:dyDescent="0.25">
      <c r="A2369" t="s">
        <v>56</v>
      </c>
      <c r="B2369" t="s">
        <v>47</v>
      </c>
      <c r="C2369" t="s">
        <v>64</v>
      </c>
      <c r="D2369" s="1">
        <v>46013</v>
      </c>
      <c r="E2369" s="1">
        <v>46013</v>
      </c>
      <c r="F2369" s="2">
        <v>18</v>
      </c>
      <c r="G2369" s="3" t="s">
        <v>23</v>
      </c>
      <c r="H2369">
        <v>5</v>
      </c>
      <c r="I2369" s="2">
        <v>0</v>
      </c>
      <c r="J2369" s="2">
        <v>0</v>
      </c>
      <c r="K2369" s="2">
        <v>0</v>
      </c>
      <c r="L2369" s="2">
        <v>0</v>
      </c>
      <c r="M2369">
        <v>1</v>
      </c>
      <c r="N2369">
        <v>0</v>
      </c>
      <c r="O2369" s="2">
        <v>0</v>
      </c>
      <c r="P2369" s="2">
        <v>0</v>
      </c>
      <c r="Q2369">
        <v>0</v>
      </c>
      <c r="R2369" s="2">
        <v>0</v>
      </c>
      <c r="S2369" s="2">
        <v>0</v>
      </c>
      <c r="T2369" t="s">
        <v>1242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</row>
    <row r="2370" spans="1:28" hidden="1" x14ac:dyDescent="0.25">
      <c r="A2370" t="s">
        <v>730</v>
      </c>
      <c r="B2370" t="s">
        <v>47</v>
      </c>
      <c r="C2370" t="s">
        <v>64</v>
      </c>
      <c r="D2370" s="1">
        <v>46013</v>
      </c>
      <c r="E2370" s="1">
        <v>46013</v>
      </c>
      <c r="F2370" s="2">
        <v>18</v>
      </c>
      <c r="G2370" s="3" t="s">
        <v>23</v>
      </c>
      <c r="H2370">
        <v>5</v>
      </c>
      <c r="I2370" s="2">
        <v>0</v>
      </c>
      <c r="J2370" s="2">
        <v>0</v>
      </c>
      <c r="K2370" s="2">
        <v>0</v>
      </c>
      <c r="L2370" s="2">
        <v>0</v>
      </c>
      <c r="M2370">
        <v>1</v>
      </c>
      <c r="N2370">
        <v>0</v>
      </c>
      <c r="O2370" s="2">
        <v>0</v>
      </c>
      <c r="P2370" s="2">
        <v>0</v>
      </c>
      <c r="Q2370">
        <v>0</v>
      </c>
      <c r="R2370" s="2">
        <v>0</v>
      </c>
      <c r="S2370" s="2">
        <v>0</v>
      </c>
      <c r="T2370" t="s">
        <v>1242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</row>
    <row r="2371" spans="1:28" hidden="1" x14ac:dyDescent="0.25">
      <c r="A2371" t="s">
        <v>29</v>
      </c>
      <c r="B2371" t="s">
        <v>30</v>
      </c>
      <c r="C2371" t="s">
        <v>64</v>
      </c>
      <c r="D2371" s="1">
        <v>46013</v>
      </c>
      <c r="E2371" s="1">
        <v>46013</v>
      </c>
      <c r="F2371" s="2">
        <v>18</v>
      </c>
      <c r="G2371" s="3" t="s">
        <v>23</v>
      </c>
      <c r="H2371">
        <v>19</v>
      </c>
      <c r="I2371" s="2">
        <v>0</v>
      </c>
      <c r="J2371" s="2">
        <v>0</v>
      </c>
      <c r="K2371" s="2">
        <v>0</v>
      </c>
      <c r="L2371" s="2">
        <v>0</v>
      </c>
      <c r="M2371">
        <v>0</v>
      </c>
      <c r="N2371">
        <v>0</v>
      </c>
      <c r="O2371" s="2">
        <v>0</v>
      </c>
      <c r="P2371" s="2">
        <v>0</v>
      </c>
      <c r="Q2371">
        <v>0</v>
      </c>
      <c r="R2371" s="2">
        <v>0</v>
      </c>
      <c r="S2371" s="2">
        <v>0</v>
      </c>
      <c r="T2371" t="s">
        <v>1242</v>
      </c>
      <c r="U2371" s="2">
        <v>0</v>
      </c>
      <c r="V2371" s="2">
        <f>8+4+22</f>
        <v>34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</row>
    <row r="2372" spans="1:28" hidden="1" x14ac:dyDescent="0.25">
      <c r="A2372" t="s">
        <v>568</v>
      </c>
      <c r="B2372" t="s">
        <v>26</v>
      </c>
      <c r="C2372" t="s">
        <v>670</v>
      </c>
      <c r="D2372" s="1">
        <v>46013</v>
      </c>
      <c r="E2372" s="1">
        <v>46013</v>
      </c>
      <c r="F2372" s="2">
        <v>164</v>
      </c>
      <c r="G2372" s="3" t="s">
        <v>23</v>
      </c>
      <c r="H2372">
        <v>0</v>
      </c>
      <c r="I2372" s="2">
        <v>0</v>
      </c>
      <c r="J2372" s="2">
        <v>0</v>
      </c>
      <c r="K2372" s="2">
        <v>0</v>
      </c>
      <c r="L2372" s="2">
        <v>0</v>
      </c>
      <c r="M2372">
        <v>0</v>
      </c>
      <c r="N2372">
        <v>0</v>
      </c>
      <c r="O2372" s="2">
        <v>0</v>
      </c>
      <c r="P2372" s="2">
        <v>0</v>
      </c>
      <c r="Q2372">
        <v>0</v>
      </c>
      <c r="R2372" s="2">
        <v>0</v>
      </c>
      <c r="S2372" s="2">
        <v>0</v>
      </c>
      <c r="T2372" t="s">
        <v>1243</v>
      </c>
      <c r="U2372" s="2">
        <v>0</v>
      </c>
      <c r="V2372" s="2">
        <v>62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</row>
    <row r="2373" spans="1:28" hidden="1" x14ac:dyDescent="0.25">
      <c r="A2373" t="s">
        <v>47</v>
      </c>
      <c r="B2373" t="s">
        <v>21</v>
      </c>
      <c r="C2373" t="s">
        <v>35</v>
      </c>
      <c r="D2373" s="1">
        <v>46013</v>
      </c>
      <c r="E2373" s="1">
        <v>46013</v>
      </c>
      <c r="F2373" s="2">
        <v>21</v>
      </c>
      <c r="G2373" s="3" t="s">
        <v>129</v>
      </c>
      <c r="H2373">
        <v>0</v>
      </c>
      <c r="I2373" s="2">
        <v>0</v>
      </c>
      <c r="J2373" s="2">
        <v>0</v>
      </c>
      <c r="K2373" s="2">
        <v>0</v>
      </c>
      <c r="L2373" s="2">
        <v>0</v>
      </c>
      <c r="M2373">
        <v>0</v>
      </c>
      <c r="N2373">
        <v>0</v>
      </c>
      <c r="O2373" s="2">
        <v>0</v>
      </c>
      <c r="P2373" s="2">
        <v>0</v>
      </c>
      <c r="Q2373">
        <v>0</v>
      </c>
      <c r="R2373" s="2">
        <v>0</v>
      </c>
      <c r="S2373" s="2">
        <v>0</v>
      </c>
      <c r="T2373" t="s">
        <v>1125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</row>
    <row r="2374" spans="1:28" hidden="1" x14ac:dyDescent="0.25">
      <c r="A2374" t="s">
        <v>25</v>
      </c>
      <c r="B2374" t="s">
        <v>47</v>
      </c>
      <c r="C2374" t="s">
        <v>35</v>
      </c>
      <c r="D2374" s="1">
        <v>46013</v>
      </c>
      <c r="E2374" s="1">
        <v>46013</v>
      </c>
      <c r="F2374" s="2">
        <v>21</v>
      </c>
      <c r="G2374" s="3" t="s">
        <v>129</v>
      </c>
      <c r="H2374">
        <v>0</v>
      </c>
      <c r="I2374" s="2">
        <v>0</v>
      </c>
      <c r="J2374" s="2">
        <v>0</v>
      </c>
      <c r="K2374" s="2">
        <v>0</v>
      </c>
      <c r="L2374" s="2">
        <v>0</v>
      </c>
      <c r="M2374">
        <v>0</v>
      </c>
      <c r="N2374">
        <v>0</v>
      </c>
      <c r="O2374" s="2">
        <v>0</v>
      </c>
      <c r="P2374" s="2">
        <v>0</v>
      </c>
      <c r="Q2374">
        <v>0</v>
      </c>
      <c r="R2374" s="2">
        <v>0</v>
      </c>
      <c r="S2374" s="2">
        <v>0</v>
      </c>
      <c r="T2374" t="s">
        <v>1125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</row>
    <row r="2375" spans="1:28" hidden="1" x14ac:dyDescent="0.25">
      <c r="A2375" t="s">
        <v>33</v>
      </c>
      <c r="B2375" t="s">
        <v>47</v>
      </c>
      <c r="C2375" t="s">
        <v>35</v>
      </c>
      <c r="D2375" s="1">
        <v>46013</v>
      </c>
      <c r="E2375" s="1">
        <v>46013</v>
      </c>
      <c r="F2375" s="2">
        <v>21</v>
      </c>
      <c r="G2375" s="3" t="s">
        <v>50</v>
      </c>
      <c r="H2375">
        <v>0</v>
      </c>
      <c r="I2375" s="2">
        <v>0</v>
      </c>
      <c r="J2375" s="2">
        <v>0</v>
      </c>
      <c r="K2375" s="2">
        <v>0</v>
      </c>
      <c r="L2375" s="2">
        <v>0</v>
      </c>
      <c r="M2375">
        <v>0</v>
      </c>
      <c r="N2375">
        <v>0</v>
      </c>
      <c r="O2375" s="2">
        <v>0</v>
      </c>
      <c r="P2375" s="2">
        <v>0</v>
      </c>
      <c r="Q2375">
        <v>0</v>
      </c>
      <c r="R2375" s="2">
        <v>0</v>
      </c>
      <c r="S2375" s="2">
        <v>0</v>
      </c>
      <c r="T2375" t="s">
        <v>1125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</row>
    <row r="2376" spans="1:28" hidden="1" x14ac:dyDescent="0.25">
      <c r="A2376" t="s">
        <v>47</v>
      </c>
      <c r="B2376" t="s">
        <v>34</v>
      </c>
      <c r="C2376" t="s">
        <v>35</v>
      </c>
      <c r="D2376" s="1">
        <v>46013</v>
      </c>
      <c r="E2376" s="1">
        <v>46013</v>
      </c>
      <c r="F2376" s="2">
        <v>21</v>
      </c>
      <c r="G2376" s="3" t="s">
        <v>409</v>
      </c>
      <c r="H2376">
        <v>0</v>
      </c>
      <c r="I2376" s="2">
        <v>0</v>
      </c>
      <c r="J2376" s="2">
        <v>0</v>
      </c>
      <c r="K2376" s="2">
        <v>0</v>
      </c>
      <c r="L2376" s="2">
        <v>0</v>
      </c>
      <c r="M2376">
        <v>0</v>
      </c>
      <c r="N2376">
        <v>0</v>
      </c>
      <c r="O2376" s="2">
        <v>0</v>
      </c>
      <c r="P2376" s="2">
        <v>0</v>
      </c>
      <c r="Q2376">
        <v>0</v>
      </c>
      <c r="R2376" s="2">
        <v>0</v>
      </c>
      <c r="S2376" s="2">
        <v>0</v>
      </c>
      <c r="T2376" t="s">
        <v>1125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</row>
    <row r="2377" spans="1:28" hidden="1" x14ac:dyDescent="0.25">
      <c r="A2377" t="s">
        <v>20</v>
      </c>
      <c r="B2377" t="s">
        <v>1160</v>
      </c>
      <c r="C2377" t="s">
        <v>22</v>
      </c>
      <c r="D2377" s="1">
        <v>46013</v>
      </c>
      <c r="E2377" s="1">
        <v>46013</v>
      </c>
      <c r="F2377" s="2">
        <v>18</v>
      </c>
      <c r="G2377" s="3" t="s">
        <v>572</v>
      </c>
      <c r="H2377">
        <v>10</v>
      </c>
      <c r="I2377" s="2">
        <v>0</v>
      </c>
      <c r="J2377" s="2">
        <v>0</v>
      </c>
      <c r="K2377" s="2">
        <v>0</v>
      </c>
      <c r="L2377" s="2">
        <v>0</v>
      </c>
      <c r="M2377">
        <v>0</v>
      </c>
      <c r="N2377">
        <v>0</v>
      </c>
      <c r="O2377" s="2">
        <v>0</v>
      </c>
      <c r="P2377" s="2">
        <v>0</v>
      </c>
      <c r="Q2377">
        <v>0</v>
      </c>
      <c r="R2377" s="2">
        <v>0</v>
      </c>
      <c r="S2377" s="2">
        <v>0</v>
      </c>
      <c r="T2377" t="s">
        <v>1244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</row>
    <row r="2378" spans="1:28" hidden="1" x14ac:dyDescent="0.25">
      <c r="A2378" t="s">
        <v>63</v>
      </c>
      <c r="B2378" t="s">
        <v>284</v>
      </c>
      <c r="C2378" t="s">
        <v>35</v>
      </c>
      <c r="D2378" s="1">
        <v>46013</v>
      </c>
      <c r="E2378" s="1">
        <v>46013</v>
      </c>
      <c r="F2378" s="2">
        <v>21</v>
      </c>
      <c r="G2378" s="3" t="s">
        <v>572</v>
      </c>
      <c r="H2378">
        <v>0</v>
      </c>
      <c r="I2378" s="2">
        <v>0</v>
      </c>
      <c r="J2378" s="2">
        <v>0</v>
      </c>
      <c r="K2378" s="2">
        <v>0</v>
      </c>
      <c r="L2378" s="2">
        <v>0</v>
      </c>
      <c r="M2378">
        <v>0</v>
      </c>
      <c r="N2378">
        <v>0</v>
      </c>
      <c r="O2378" s="2">
        <v>0</v>
      </c>
      <c r="P2378" s="2">
        <v>0</v>
      </c>
      <c r="Q2378">
        <v>0</v>
      </c>
      <c r="R2378" s="2">
        <v>0</v>
      </c>
      <c r="S2378" s="2">
        <v>0</v>
      </c>
      <c r="T2378" t="s">
        <v>1125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</row>
    <row r="2379" spans="1:28" hidden="1" x14ac:dyDescent="0.25">
      <c r="A2379" t="s">
        <v>47</v>
      </c>
      <c r="B2379" t="s">
        <v>52</v>
      </c>
      <c r="C2379" t="s">
        <v>212</v>
      </c>
      <c r="D2379" s="1">
        <v>46013</v>
      </c>
      <c r="E2379" s="1">
        <v>46013</v>
      </c>
      <c r="F2379" s="2">
        <v>0</v>
      </c>
      <c r="G2379" s="3" t="s">
        <v>572</v>
      </c>
      <c r="H2379">
        <v>0</v>
      </c>
      <c r="I2379" s="2">
        <v>0</v>
      </c>
      <c r="J2379" s="2">
        <v>0</v>
      </c>
      <c r="K2379" s="2">
        <v>0</v>
      </c>
      <c r="L2379" s="2">
        <v>0</v>
      </c>
      <c r="M2379">
        <v>0</v>
      </c>
      <c r="N2379">
        <v>0</v>
      </c>
      <c r="O2379" s="2">
        <v>0</v>
      </c>
      <c r="P2379" s="2">
        <v>0</v>
      </c>
      <c r="Q2379">
        <v>0</v>
      </c>
      <c r="R2379" s="2">
        <v>0</v>
      </c>
      <c r="S2379" s="2">
        <v>0</v>
      </c>
      <c r="T2379" t="s">
        <v>377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</row>
    <row r="2380" spans="1:28" hidden="1" x14ac:dyDescent="0.25">
      <c r="A2380" t="s">
        <v>105</v>
      </c>
      <c r="B2380" t="s">
        <v>26</v>
      </c>
      <c r="C2380" t="s">
        <v>107</v>
      </c>
      <c r="D2380" s="1">
        <v>46014</v>
      </c>
      <c r="E2380" s="1">
        <v>46014</v>
      </c>
      <c r="F2380" s="2">
        <v>153</v>
      </c>
      <c r="G2380" s="3" t="s">
        <v>23</v>
      </c>
      <c r="H2380">
        <f>7+7+1+5+5</f>
        <v>25</v>
      </c>
      <c r="I2380" s="2">
        <v>0</v>
      </c>
      <c r="J2380" s="2">
        <v>0</v>
      </c>
      <c r="K2380" s="2">
        <v>1</v>
      </c>
      <c r="L2380" s="2">
        <v>0</v>
      </c>
      <c r="M2380">
        <v>0</v>
      </c>
      <c r="N2380">
        <v>0</v>
      </c>
      <c r="O2380" s="2">
        <v>0</v>
      </c>
      <c r="P2380" s="2">
        <v>0</v>
      </c>
      <c r="Q2380">
        <v>0</v>
      </c>
      <c r="R2380" s="2">
        <v>0</v>
      </c>
      <c r="S2380" s="2">
        <v>0</v>
      </c>
      <c r="T2380" t="s">
        <v>1245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</row>
    <row r="2381" spans="1:28" hidden="1" x14ac:dyDescent="0.25">
      <c r="A2381" t="s">
        <v>53</v>
      </c>
      <c r="B2381" t="s">
        <v>38</v>
      </c>
      <c r="C2381" t="s">
        <v>107</v>
      </c>
      <c r="D2381" s="1">
        <v>46014</v>
      </c>
      <c r="E2381" s="1">
        <v>46014</v>
      </c>
      <c r="F2381" s="2">
        <v>153</v>
      </c>
      <c r="G2381" s="3" t="s">
        <v>23</v>
      </c>
      <c r="H2381">
        <f>4+3+4+3+1</f>
        <v>15</v>
      </c>
      <c r="I2381" s="2">
        <v>0</v>
      </c>
      <c r="J2381" s="2">
        <v>0</v>
      </c>
      <c r="K2381" s="2">
        <v>0</v>
      </c>
      <c r="L2381" s="2">
        <v>1</v>
      </c>
      <c r="M2381">
        <v>0</v>
      </c>
      <c r="N2381">
        <v>0</v>
      </c>
      <c r="O2381" s="2">
        <v>0</v>
      </c>
      <c r="P2381" s="2">
        <v>0</v>
      </c>
      <c r="Q2381">
        <v>0</v>
      </c>
      <c r="R2381" s="2">
        <v>0</v>
      </c>
      <c r="S2381" s="2">
        <v>0</v>
      </c>
      <c r="T2381" t="s">
        <v>1245</v>
      </c>
      <c r="U2381" s="2">
        <v>0</v>
      </c>
      <c r="V2381" s="2">
        <f>4+2</f>
        <v>6</v>
      </c>
      <c r="W2381" s="2">
        <v>4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</row>
    <row r="2382" spans="1:28" hidden="1" x14ac:dyDescent="0.25">
      <c r="A2382" t="s">
        <v>20</v>
      </c>
      <c r="B2382" t="s">
        <v>1160</v>
      </c>
      <c r="C2382" t="s">
        <v>22</v>
      </c>
      <c r="D2382" s="1">
        <v>46014</v>
      </c>
      <c r="E2382" s="1">
        <v>46014</v>
      </c>
      <c r="F2382" s="2">
        <v>89</v>
      </c>
      <c r="G2382" s="3" t="s">
        <v>23</v>
      </c>
      <c r="H2382">
        <v>26</v>
      </c>
      <c r="I2382" s="2">
        <v>0</v>
      </c>
      <c r="J2382" s="2">
        <v>0</v>
      </c>
      <c r="K2382" s="2">
        <v>1</v>
      </c>
      <c r="L2382" s="2">
        <v>0</v>
      </c>
      <c r="M2382">
        <v>0</v>
      </c>
      <c r="N2382">
        <v>0</v>
      </c>
      <c r="O2382" s="2">
        <v>0</v>
      </c>
      <c r="P2382" s="2">
        <v>0</v>
      </c>
      <c r="Q2382">
        <v>0</v>
      </c>
      <c r="R2382" s="2">
        <v>0</v>
      </c>
      <c r="S2382" s="2">
        <v>0</v>
      </c>
      <c r="T2382" t="s">
        <v>1246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</row>
    <row r="2383" spans="1:28" hidden="1" x14ac:dyDescent="0.25">
      <c r="A2383" t="s">
        <v>37</v>
      </c>
      <c r="B2383" t="s">
        <v>57</v>
      </c>
      <c r="C2383" t="s">
        <v>39</v>
      </c>
      <c r="D2383" s="1">
        <v>46014</v>
      </c>
      <c r="E2383" s="1">
        <v>46014</v>
      </c>
      <c r="F2383" s="2">
        <v>30</v>
      </c>
      <c r="G2383" s="3" t="s">
        <v>23</v>
      </c>
      <c r="H2383">
        <v>56</v>
      </c>
      <c r="I2383" s="2">
        <v>0</v>
      </c>
      <c r="J2383" s="2">
        <v>1</v>
      </c>
      <c r="K2383" s="2">
        <v>1</v>
      </c>
      <c r="L2383" s="2">
        <v>0</v>
      </c>
      <c r="M2383">
        <v>0</v>
      </c>
      <c r="N2383">
        <v>1</v>
      </c>
      <c r="O2383" s="2">
        <v>0</v>
      </c>
      <c r="P2383" s="2">
        <v>0</v>
      </c>
      <c r="Q2383">
        <v>0</v>
      </c>
      <c r="R2383" s="2">
        <v>0</v>
      </c>
      <c r="S2383" s="2">
        <v>0</v>
      </c>
      <c r="T2383" t="s">
        <v>1247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</row>
    <row r="2384" spans="1:28" hidden="1" x14ac:dyDescent="0.25">
      <c r="A2384" t="s">
        <v>29</v>
      </c>
      <c r="B2384" t="s">
        <v>661</v>
      </c>
      <c r="C2384" t="s">
        <v>39</v>
      </c>
      <c r="D2384" s="1">
        <v>46014</v>
      </c>
      <c r="E2384" s="1">
        <v>46014</v>
      </c>
      <c r="F2384" s="2">
        <v>30</v>
      </c>
      <c r="G2384" s="3" t="s">
        <v>23</v>
      </c>
      <c r="H2384">
        <v>28</v>
      </c>
      <c r="I2384" s="2">
        <v>0</v>
      </c>
      <c r="J2384" s="2">
        <v>0</v>
      </c>
      <c r="K2384" s="2">
        <v>1</v>
      </c>
      <c r="L2384" s="2">
        <v>0</v>
      </c>
      <c r="M2384">
        <v>0</v>
      </c>
      <c r="N2384">
        <v>0</v>
      </c>
      <c r="O2384" s="2">
        <v>0</v>
      </c>
      <c r="P2384" s="2">
        <v>0</v>
      </c>
      <c r="Q2384">
        <v>0</v>
      </c>
      <c r="R2384" s="2">
        <v>0</v>
      </c>
      <c r="S2384" s="2">
        <v>0</v>
      </c>
      <c r="T2384" t="s">
        <v>1247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</row>
    <row r="2385" spans="1:28" hidden="1" x14ac:dyDescent="0.25">
      <c r="A2385" t="s">
        <v>63</v>
      </c>
      <c r="B2385" t="s">
        <v>284</v>
      </c>
      <c r="C2385" t="s">
        <v>102</v>
      </c>
      <c r="D2385" s="1">
        <v>46014</v>
      </c>
      <c r="E2385" s="1">
        <v>46014</v>
      </c>
      <c r="F2385" s="2">
        <v>17</v>
      </c>
      <c r="G2385" s="3" t="s">
        <v>23</v>
      </c>
      <c r="H2385">
        <v>28</v>
      </c>
      <c r="I2385" s="2">
        <v>0</v>
      </c>
      <c r="J2385" s="2">
        <v>0</v>
      </c>
      <c r="K2385" s="2">
        <v>1</v>
      </c>
      <c r="L2385" s="2">
        <v>0</v>
      </c>
      <c r="M2385">
        <v>0</v>
      </c>
      <c r="N2385">
        <v>0</v>
      </c>
      <c r="O2385" s="2">
        <v>0</v>
      </c>
      <c r="P2385" s="2">
        <v>0</v>
      </c>
      <c r="Q2385">
        <v>0</v>
      </c>
      <c r="R2385" s="2">
        <v>0</v>
      </c>
      <c r="S2385" s="2">
        <v>0</v>
      </c>
      <c r="T2385" t="s">
        <v>1248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</row>
    <row r="2386" spans="1:28" hidden="1" x14ac:dyDescent="0.25">
      <c r="A2386" t="s">
        <v>56</v>
      </c>
      <c r="B2386" t="s">
        <v>34</v>
      </c>
      <c r="C2386" t="s">
        <v>64</v>
      </c>
      <c r="D2386" s="1">
        <v>46014</v>
      </c>
      <c r="E2386" s="1">
        <v>46014</v>
      </c>
      <c r="F2386" s="2">
        <v>30</v>
      </c>
      <c r="G2386" s="3" t="s">
        <v>23</v>
      </c>
      <c r="H2386">
        <f>12+12+4+2+1+1+3</f>
        <v>35</v>
      </c>
      <c r="I2386" s="2">
        <v>0</v>
      </c>
      <c r="J2386" s="2">
        <v>0</v>
      </c>
      <c r="K2386" s="2">
        <v>1</v>
      </c>
      <c r="L2386" s="2">
        <v>0</v>
      </c>
      <c r="M2386">
        <v>0</v>
      </c>
      <c r="N2386">
        <v>0</v>
      </c>
      <c r="O2386" s="2">
        <v>0</v>
      </c>
      <c r="P2386" s="2">
        <v>0</v>
      </c>
      <c r="Q2386">
        <v>0</v>
      </c>
      <c r="R2386" s="2">
        <v>0</v>
      </c>
      <c r="S2386" s="2">
        <v>0</v>
      </c>
      <c r="T2386" t="s">
        <v>1249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</row>
    <row r="2387" spans="1:28" hidden="1" x14ac:dyDescent="0.25">
      <c r="A2387" t="s">
        <v>730</v>
      </c>
      <c r="B2387" t="s">
        <v>47</v>
      </c>
      <c r="C2387" t="s">
        <v>64</v>
      </c>
      <c r="D2387" s="1">
        <v>46014</v>
      </c>
      <c r="E2387" s="1">
        <v>46014</v>
      </c>
      <c r="F2387" s="2">
        <v>30</v>
      </c>
      <c r="G2387" s="3" t="s">
        <v>23</v>
      </c>
      <c r="H2387">
        <f>12+12+4+2+1+1+3</f>
        <v>35</v>
      </c>
      <c r="I2387" s="2">
        <v>0</v>
      </c>
      <c r="J2387" s="2">
        <v>0</v>
      </c>
      <c r="K2387" s="2">
        <v>1</v>
      </c>
      <c r="L2387" s="2">
        <v>0</v>
      </c>
      <c r="M2387">
        <v>0</v>
      </c>
      <c r="N2387">
        <v>0</v>
      </c>
      <c r="O2387" s="2">
        <v>0</v>
      </c>
      <c r="P2387" s="2">
        <v>0</v>
      </c>
      <c r="Q2387">
        <v>0</v>
      </c>
      <c r="R2387" s="2">
        <v>0</v>
      </c>
      <c r="S2387" s="2">
        <v>0</v>
      </c>
      <c r="T2387" t="s">
        <v>1249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</row>
    <row r="2388" spans="1:28" hidden="1" x14ac:dyDescent="0.25">
      <c r="A2388" t="s">
        <v>568</v>
      </c>
      <c r="B2388" t="s">
        <v>47</v>
      </c>
      <c r="C2388" t="s">
        <v>22</v>
      </c>
      <c r="D2388" s="1">
        <v>46014</v>
      </c>
      <c r="E2388" s="1">
        <v>46014</v>
      </c>
      <c r="F2388" s="2">
        <v>18</v>
      </c>
      <c r="G2388" s="3" t="s">
        <v>48</v>
      </c>
      <c r="H2388">
        <v>10</v>
      </c>
      <c r="I2388" s="2">
        <v>0</v>
      </c>
      <c r="J2388" s="2">
        <v>0</v>
      </c>
      <c r="K2388" s="2">
        <v>0</v>
      </c>
      <c r="L2388" s="2">
        <v>0</v>
      </c>
      <c r="M2388">
        <v>0</v>
      </c>
      <c r="N2388">
        <v>0</v>
      </c>
      <c r="O2388" s="2">
        <v>0</v>
      </c>
      <c r="P2388" s="2">
        <v>0</v>
      </c>
      <c r="Q2388">
        <v>0</v>
      </c>
      <c r="R2388" s="2">
        <v>0</v>
      </c>
      <c r="S2388" s="2">
        <v>0</v>
      </c>
      <c r="T2388" t="s">
        <v>1244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</row>
    <row r="2389" spans="1:28" hidden="1" x14ac:dyDescent="0.25">
      <c r="A2389" t="s">
        <v>47</v>
      </c>
      <c r="B2389" t="s">
        <v>52</v>
      </c>
      <c r="C2389" t="s">
        <v>35</v>
      </c>
      <c r="D2389" s="1">
        <v>46014</v>
      </c>
      <c r="E2389" s="1">
        <v>46014</v>
      </c>
      <c r="F2389" s="2">
        <v>21</v>
      </c>
      <c r="G2389" s="3" t="s">
        <v>129</v>
      </c>
      <c r="H2389">
        <v>0</v>
      </c>
      <c r="I2389" s="2">
        <v>0</v>
      </c>
      <c r="J2389" s="2">
        <v>0</v>
      </c>
      <c r="K2389" s="2">
        <v>0</v>
      </c>
      <c r="L2389" s="2">
        <v>0</v>
      </c>
      <c r="M2389">
        <v>0</v>
      </c>
      <c r="N2389">
        <v>0</v>
      </c>
      <c r="O2389" s="2">
        <v>0</v>
      </c>
      <c r="P2389" s="2">
        <v>0</v>
      </c>
      <c r="Q2389">
        <v>0</v>
      </c>
      <c r="R2389" s="2">
        <v>0</v>
      </c>
      <c r="S2389" s="2">
        <v>0</v>
      </c>
      <c r="T2389" t="s">
        <v>1125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</row>
    <row r="2390" spans="1:28" hidden="1" x14ac:dyDescent="0.25">
      <c r="A2390" t="s">
        <v>47</v>
      </c>
      <c r="B2390" t="s">
        <v>21</v>
      </c>
      <c r="C2390" t="s">
        <v>35</v>
      </c>
      <c r="D2390" s="1">
        <v>46014</v>
      </c>
      <c r="E2390" s="1">
        <v>46014</v>
      </c>
      <c r="F2390" s="2">
        <v>21</v>
      </c>
      <c r="G2390" s="3" t="s">
        <v>129</v>
      </c>
      <c r="H2390">
        <v>0</v>
      </c>
      <c r="I2390" s="2">
        <v>0</v>
      </c>
      <c r="J2390" s="2">
        <v>0</v>
      </c>
      <c r="K2390" s="2">
        <v>0</v>
      </c>
      <c r="L2390" s="2">
        <v>0</v>
      </c>
      <c r="M2390">
        <v>0</v>
      </c>
      <c r="N2390">
        <v>0</v>
      </c>
      <c r="O2390" s="2">
        <v>0</v>
      </c>
      <c r="P2390" s="2">
        <v>0</v>
      </c>
      <c r="Q2390">
        <v>0</v>
      </c>
      <c r="R2390" s="2">
        <v>0</v>
      </c>
      <c r="S2390" s="2">
        <v>0</v>
      </c>
      <c r="T2390" t="s">
        <v>1125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</row>
    <row r="2391" spans="1:28" hidden="1" x14ac:dyDescent="0.25">
      <c r="A2391" t="s">
        <v>25</v>
      </c>
      <c r="B2391" t="s">
        <v>47</v>
      </c>
      <c r="C2391" t="s">
        <v>35</v>
      </c>
      <c r="D2391" s="1">
        <v>46014</v>
      </c>
      <c r="E2391" s="1">
        <v>46014</v>
      </c>
      <c r="F2391" s="2">
        <v>21</v>
      </c>
      <c r="G2391" s="3" t="s">
        <v>129</v>
      </c>
      <c r="H2391">
        <v>0</v>
      </c>
      <c r="I2391" s="2">
        <v>0</v>
      </c>
      <c r="J2391" s="2">
        <v>0</v>
      </c>
      <c r="K2391" s="2">
        <v>0</v>
      </c>
      <c r="L2391" s="2">
        <v>0</v>
      </c>
      <c r="M2391">
        <v>0</v>
      </c>
      <c r="N2391">
        <v>0</v>
      </c>
      <c r="O2391" s="2">
        <v>0</v>
      </c>
      <c r="P2391" s="2">
        <v>0</v>
      </c>
      <c r="Q2391">
        <v>0</v>
      </c>
      <c r="R2391" s="2">
        <v>0</v>
      </c>
      <c r="S2391" s="2">
        <v>0</v>
      </c>
      <c r="T2391" t="s">
        <v>1125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</row>
    <row r="2392" spans="1:28" hidden="1" x14ac:dyDescent="0.25">
      <c r="A2392" t="s">
        <v>33</v>
      </c>
      <c r="B2392" t="s">
        <v>47</v>
      </c>
      <c r="C2392" t="s">
        <v>35</v>
      </c>
      <c r="D2392" s="1">
        <v>46014</v>
      </c>
      <c r="E2392" s="1">
        <v>46014</v>
      </c>
      <c r="F2392" s="2">
        <v>21</v>
      </c>
      <c r="G2392" s="3" t="s">
        <v>50</v>
      </c>
      <c r="H2392">
        <v>0</v>
      </c>
      <c r="I2392" s="2">
        <v>0</v>
      </c>
      <c r="J2392" s="2">
        <v>0</v>
      </c>
      <c r="K2392" s="2">
        <v>0</v>
      </c>
      <c r="L2392" s="2">
        <v>0</v>
      </c>
      <c r="M2392">
        <v>0</v>
      </c>
      <c r="N2392">
        <v>0</v>
      </c>
      <c r="O2392" s="2">
        <v>0</v>
      </c>
      <c r="P2392" s="2">
        <v>0</v>
      </c>
      <c r="Q2392">
        <v>0</v>
      </c>
      <c r="R2392" s="2">
        <v>0</v>
      </c>
      <c r="S2392" s="2">
        <v>0</v>
      </c>
      <c r="T2392" t="s">
        <v>1125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</row>
    <row r="2393" spans="1:28" hidden="1" x14ac:dyDescent="0.25">
      <c r="A2393" t="s">
        <v>47</v>
      </c>
      <c r="B2393" t="s">
        <v>52</v>
      </c>
      <c r="C2393" t="s">
        <v>212</v>
      </c>
      <c r="D2393" s="1">
        <v>46014</v>
      </c>
      <c r="E2393" s="1">
        <v>46014</v>
      </c>
      <c r="F2393" s="2">
        <v>0</v>
      </c>
      <c r="G2393" s="3" t="s">
        <v>572</v>
      </c>
      <c r="H2393">
        <v>0</v>
      </c>
      <c r="I2393" s="2">
        <v>0</v>
      </c>
      <c r="J2393" s="2">
        <v>0</v>
      </c>
      <c r="K2393" s="2">
        <v>0</v>
      </c>
      <c r="L2393" s="2">
        <v>0</v>
      </c>
      <c r="M2393">
        <v>0</v>
      </c>
      <c r="N2393">
        <v>0</v>
      </c>
      <c r="O2393" s="2">
        <v>0</v>
      </c>
      <c r="P2393" s="2">
        <v>0</v>
      </c>
      <c r="Q2393">
        <v>0</v>
      </c>
      <c r="R2393" s="2">
        <v>0</v>
      </c>
      <c r="S2393" s="2">
        <v>0</v>
      </c>
      <c r="T2393" t="s">
        <v>377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</row>
    <row r="2394" spans="1:28" hidden="1" x14ac:dyDescent="0.25">
      <c r="A2394" t="s">
        <v>105</v>
      </c>
      <c r="B2394" t="s">
        <v>26</v>
      </c>
      <c r="C2394" t="s">
        <v>107</v>
      </c>
      <c r="D2394" s="1">
        <v>46015</v>
      </c>
      <c r="E2394" s="1">
        <v>46015</v>
      </c>
      <c r="F2394" s="2">
        <v>31</v>
      </c>
      <c r="G2394" s="3" t="s">
        <v>23</v>
      </c>
      <c r="H2394">
        <v>28</v>
      </c>
      <c r="I2394" s="2">
        <v>0</v>
      </c>
      <c r="J2394" s="2">
        <v>0</v>
      </c>
      <c r="K2394" s="2">
        <v>1</v>
      </c>
      <c r="L2394" s="2">
        <v>0</v>
      </c>
      <c r="M2394">
        <v>0</v>
      </c>
      <c r="N2394">
        <v>0</v>
      </c>
      <c r="O2394" s="2">
        <v>0</v>
      </c>
      <c r="P2394" s="2">
        <v>0</v>
      </c>
      <c r="Q2394">
        <v>0</v>
      </c>
      <c r="R2394" s="2">
        <v>0</v>
      </c>
      <c r="S2394" s="2">
        <v>0</v>
      </c>
      <c r="T2394" t="s">
        <v>1250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</row>
    <row r="2395" spans="1:28" hidden="1" x14ac:dyDescent="0.25">
      <c r="A2395" t="s">
        <v>37</v>
      </c>
      <c r="B2395" t="s">
        <v>57</v>
      </c>
      <c r="C2395" t="s">
        <v>39</v>
      </c>
      <c r="D2395" s="1">
        <v>46015</v>
      </c>
      <c r="E2395" s="1">
        <v>46015</v>
      </c>
      <c r="F2395" s="2">
        <v>21</v>
      </c>
      <c r="G2395" s="3" t="s">
        <v>23</v>
      </c>
      <c r="H2395">
        <v>26</v>
      </c>
      <c r="I2395" s="2">
        <v>0</v>
      </c>
      <c r="J2395" s="2">
        <v>0</v>
      </c>
      <c r="K2395" s="2">
        <v>0</v>
      </c>
      <c r="L2395" s="2">
        <v>1</v>
      </c>
      <c r="M2395">
        <v>0</v>
      </c>
      <c r="N2395">
        <v>0</v>
      </c>
      <c r="O2395" s="2">
        <v>0</v>
      </c>
      <c r="P2395" s="2">
        <v>0</v>
      </c>
      <c r="Q2395">
        <v>0</v>
      </c>
      <c r="R2395" s="2">
        <v>0</v>
      </c>
      <c r="S2395" s="2">
        <v>0</v>
      </c>
      <c r="T2395" t="s">
        <v>1251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</row>
    <row r="2396" spans="1:28" hidden="1" x14ac:dyDescent="0.25">
      <c r="A2396" t="s">
        <v>20</v>
      </c>
      <c r="B2396" t="s">
        <v>1160</v>
      </c>
      <c r="C2396" t="s">
        <v>22</v>
      </c>
      <c r="D2396" s="1">
        <v>46015</v>
      </c>
      <c r="E2396" s="1">
        <v>46015</v>
      </c>
      <c r="F2396" s="2">
        <v>28</v>
      </c>
      <c r="G2396" s="3" t="s">
        <v>23</v>
      </c>
      <c r="H2396">
        <v>54</v>
      </c>
      <c r="I2396" s="2">
        <v>0</v>
      </c>
      <c r="J2396" s="2">
        <v>0</v>
      </c>
      <c r="K2396" s="2">
        <v>0</v>
      </c>
      <c r="L2396" s="2">
        <v>1</v>
      </c>
      <c r="M2396">
        <v>0</v>
      </c>
      <c r="N2396">
        <v>0</v>
      </c>
      <c r="O2396" s="2">
        <v>0</v>
      </c>
      <c r="P2396" s="2">
        <v>0</v>
      </c>
      <c r="Q2396">
        <v>0</v>
      </c>
      <c r="R2396" s="2">
        <v>0</v>
      </c>
      <c r="S2396" s="2">
        <v>0</v>
      </c>
      <c r="T2396" t="s">
        <v>1252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</row>
    <row r="2397" spans="1:28" hidden="1" x14ac:dyDescent="0.25">
      <c r="A2397" t="s">
        <v>568</v>
      </c>
      <c r="B2397" t="s">
        <v>47</v>
      </c>
      <c r="C2397" t="s">
        <v>670</v>
      </c>
      <c r="D2397" s="1">
        <v>46015</v>
      </c>
      <c r="E2397" s="1">
        <v>46015</v>
      </c>
      <c r="F2397" s="2">
        <v>56</v>
      </c>
      <c r="G2397" s="3" t="s">
        <v>23</v>
      </c>
      <c r="H2397">
        <v>45</v>
      </c>
      <c r="I2397" s="2">
        <v>0</v>
      </c>
      <c r="J2397" s="2">
        <v>0</v>
      </c>
      <c r="K2397" s="2">
        <v>1</v>
      </c>
      <c r="L2397" s="2">
        <v>0</v>
      </c>
      <c r="M2397">
        <v>0</v>
      </c>
      <c r="N2397">
        <v>0</v>
      </c>
      <c r="O2397" s="2">
        <v>0</v>
      </c>
      <c r="P2397" s="2">
        <v>0</v>
      </c>
      <c r="Q2397">
        <v>0</v>
      </c>
      <c r="R2397" s="2">
        <v>0</v>
      </c>
      <c r="S2397" s="2">
        <v>0</v>
      </c>
      <c r="T2397" t="s">
        <v>1253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</row>
    <row r="2398" spans="1:28" hidden="1" x14ac:dyDescent="0.25">
      <c r="A2398" t="s">
        <v>730</v>
      </c>
      <c r="B2398" t="s">
        <v>47</v>
      </c>
      <c r="C2398" t="s">
        <v>670</v>
      </c>
      <c r="D2398" s="1">
        <v>46015</v>
      </c>
      <c r="E2398" s="1">
        <v>46015</v>
      </c>
      <c r="F2398" s="2">
        <v>56</v>
      </c>
      <c r="G2398" s="3" t="s">
        <v>23</v>
      </c>
      <c r="H2398">
        <v>45</v>
      </c>
      <c r="I2398" s="2">
        <v>0</v>
      </c>
      <c r="J2398" s="2">
        <v>0</v>
      </c>
      <c r="K2398" s="2">
        <v>1</v>
      </c>
      <c r="L2398" s="2">
        <v>0</v>
      </c>
      <c r="M2398">
        <v>0</v>
      </c>
      <c r="N2398">
        <v>0</v>
      </c>
      <c r="O2398" s="2">
        <v>0</v>
      </c>
      <c r="P2398" s="2">
        <v>0</v>
      </c>
      <c r="Q2398">
        <v>0</v>
      </c>
      <c r="R2398" s="2">
        <v>0</v>
      </c>
      <c r="S2398" s="2">
        <v>0</v>
      </c>
      <c r="T2398" t="s">
        <v>1253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</row>
    <row r="2399" spans="1:28" hidden="1" x14ac:dyDescent="0.25">
      <c r="A2399" t="s">
        <v>56</v>
      </c>
      <c r="B2399" t="s">
        <v>34</v>
      </c>
      <c r="C2399" t="s">
        <v>64</v>
      </c>
      <c r="D2399" s="1">
        <v>46015</v>
      </c>
      <c r="E2399" s="1">
        <v>46015</v>
      </c>
      <c r="F2399" s="2">
        <v>47</v>
      </c>
      <c r="G2399" s="3" t="s">
        <v>23</v>
      </c>
      <c r="H2399">
        <f>40+2+4</f>
        <v>46</v>
      </c>
      <c r="I2399" s="2">
        <v>0</v>
      </c>
      <c r="J2399" s="2">
        <v>1</v>
      </c>
      <c r="K2399" s="2">
        <v>1</v>
      </c>
      <c r="L2399" s="2">
        <v>0</v>
      </c>
      <c r="M2399">
        <v>0</v>
      </c>
      <c r="N2399">
        <v>0</v>
      </c>
      <c r="O2399" s="2">
        <v>0</v>
      </c>
      <c r="P2399" s="2">
        <v>0</v>
      </c>
      <c r="Q2399">
        <v>0</v>
      </c>
      <c r="R2399" s="2">
        <v>0</v>
      </c>
      <c r="S2399" s="2">
        <v>0</v>
      </c>
      <c r="T2399" t="s">
        <v>1254</v>
      </c>
      <c r="U2399" s="2">
        <v>0</v>
      </c>
      <c r="V2399" s="2">
        <f>10+8</f>
        <v>18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</row>
    <row r="2400" spans="1:28" hidden="1" x14ac:dyDescent="0.25">
      <c r="A2400" t="s">
        <v>47</v>
      </c>
      <c r="B2400" t="s">
        <v>1203</v>
      </c>
      <c r="C2400" t="s">
        <v>64</v>
      </c>
      <c r="D2400" s="1">
        <v>46015</v>
      </c>
      <c r="E2400" s="1">
        <v>46015</v>
      </c>
      <c r="F2400" s="2">
        <v>47</v>
      </c>
      <c r="G2400" s="3" t="s">
        <v>23</v>
      </c>
      <c r="H2400">
        <f>40+2+4</f>
        <v>46</v>
      </c>
      <c r="I2400" s="2">
        <v>0</v>
      </c>
      <c r="J2400" s="2">
        <v>1</v>
      </c>
      <c r="K2400" s="2">
        <v>1</v>
      </c>
      <c r="L2400" s="2">
        <v>0</v>
      </c>
      <c r="M2400">
        <v>0</v>
      </c>
      <c r="N2400">
        <v>0</v>
      </c>
      <c r="O2400" s="2">
        <v>0</v>
      </c>
      <c r="P2400" s="2">
        <v>0</v>
      </c>
      <c r="Q2400">
        <v>0</v>
      </c>
      <c r="R2400" s="2">
        <v>0</v>
      </c>
      <c r="S2400" s="2">
        <v>0</v>
      </c>
      <c r="T2400" t="s">
        <v>1254</v>
      </c>
      <c r="U2400" s="2">
        <v>0</v>
      </c>
      <c r="V2400" s="2">
        <f>10+8</f>
        <v>18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</row>
    <row r="2401" spans="1:28" hidden="1" x14ac:dyDescent="0.25">
      <c r="A2401" t="s">
        <v>63</v>
      </c>
      <c r="B2401" t="s">
        <v>284</v>
      </c>
      <c r="C2401" t="s">
        <v>102</v>
      </c>
      <c r="D2401" s="1">
        <v>46015</v>
      </c>
      <c r="E2401" s="1">
        <v>46015</v>
      </c>
      <c r="F2401" s="2">
        <v>76</v>
      </c>
      <c r="G2401" s="3" t="s">
        <v>23</v>
      </c>
      <c r="H2401">
        <v>64</v>
      </c>
      <c r="I2401" s="2">
        <v>0</v>
      </c>
      <c r="J2401" s="2">
        <v>0</v>
      </c>
      <c r="K2401" s="2">
        <v>1</v>
      </c>
      <c r="L2401" s="2">
        <v>0</v>
      </c>
      <c r="M2401">
        <v>0</v>
      </c>
      <c r="N2401">
        <v>0</v>
      </c>
      <c r="O2401" s="2">
        <v>0</v>
      </c>
      <c r="P2401" s="2">
        <v>0</v>
      </c>
      <c r="Q2401">
        <v>0</v>
      </c>
      <c r="R2401" s="2">
        <v>0</v>
      </c>
      <c r="S2401" s="2">
        <v>0</v>
      </c>
      <c r="T2401" t="s">
        <v>1255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</row>
    <row r="2402" spans="1:28" hidden="1" x14ac:dyDescent="0.25">
      <c r="A2402" t="s">
        <v>29</v>
      </c>
      <c r="B2402" t="s">
        <v>30</v>
      </c>
      <c r="C2402" t="s">
        <v>22</v>
      </c>
      <c r="D2402" s="1">
        <v>46015</v>
      </c>
      <c r="E2402" s="1">
        <v>46015</v>
      </c>
      <c r="F2402" s="2">
        <v>18</v>
      </c>
      <c r="G2402" s="3" t="s">
        <v>48</v>
      </c>
      <c r="H2402">
        <v>0</v>
      </c>
      <c r="I2402" s="2">
        <v>0</v>
      </c>
      <c r="J2402" s="2">
        <v>0</v>
      </c>
      <c r="K2402" s="2">
        <v>0</v>
      </c>
      <c r="L2402" s="2">
        <v>0</v>
      </c>
      <c r="M2402">
        <v>0</v>
      </c>
      <c r="N2402">
        <v>0</v>
      </c>
      <c r="O2402" s="2">
        <v>0</v>
      </c>
      <c r="P2402" s="2">
        <v>0</v>
      </c>
      <c r="Q2402">
        <v>0</v>
      </c>
      <c r="R2402" s="2">
        <v>0</v>
      </c>
      <c r="S2402" s="2">
        <v>0</v>
      </c>
      <c r="T2402" t="s">
        <v>1244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</row>
    <row r="2403" spans="1:28" hidden="1" x14ac:dyDescent="0.25">
      <c r="A2403" t="s">
        <v>53</v>
      </c>
      <c r="B2403" t="s">
        <v>38</v>
      </c>
      <c r="C2403" t="s">
        <v>22</v>
      </c>
      <c r="D2403" s="1">
        <v>46015</v>
      </c>
      <c r="E2403" s="1">
        <v>46015</v>
      </c>
      <c r="F2403" s="2">
        <v>18</v>
      </c>
      <c r="G2403" s="3" t="s">
        <v>48</v>
      </c>
      <c r="H2403">
        <v>0</v>
      </c>
      <c r="I2403" s="2">
        <v>0</v>
      </c>
      <c r="J2403" s="2">
        <v>0</v>
      </c>
      <c r="K2403" s="2">
        <v>0</v>
      </c>
      <c r="L2403" s="2">
        <v>0</v>
      </c>
      <c r="M2403">
        <v>0</v>
      </c>
      <c r="N2403">
        <v>0</v>
      </c>
      <c r="O2403" s="2">
        <v>0</v>
      </c>
      <c r="P2403" s="2">
        <v>0</v>
      </c>
      <c r="Q2403">
        <v>0</v>
      </c>
      <c r="R2403" s="2">
        <v>0</v>
      </c>
      <c r="S2403" s="2">
        <v>0</v>
      </c>
      <c r="T2403" t="s">
        <v>1244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</row>
    <row r="2404" spans="1:28" hidden="1" x14ac:dyDescent="0.25">
      <c r="A2404" t="s">
        <v>47</v>
      </c>
      <c r="B2404" t="s">
        <v>21</v>
      </c>
      <c r="C2404" t="s">
        <v>35</v>
      </c>
      <c r="D2404" s="1">
        <v>46015</v>
      </c>
      <c r="E2404" s="1">
        <v>46015</v>
      </c>
      <c r="F2404" s="2">
        <v>21</v>
      </c>
      <c r="G2404" s="3" t="s">
        <v>129</v>
      </c>
      <c r="H2404">
        <v>0</v>
      </c>
      <c r="I2404" s="2">
        <v>0</v>
      </c>
      <c r="J2404" s="2">
        <v>0</v>
      </c>
      <c r="K2404" s="2">
        <v>0</v>
      </c>
      <c r="L2404" s="2">
        <v>0</v>
      </c>
      <c r="M2404">
        <v>0</v>
      </c>
      <c r="N2404">
        <v>0</v>
      </c>
      <c r="O2404" s="2">
        <v>0</v>
      </c>
      <c r="P2404" s="2">
        <v>0</v>
      </c>
      <c r="Q2404">
        <v>0</v>
      </c>
      <c r="R2404" s="2">
        <v>0</v>
      </c>
      <c r="S2404" s="2">
        <v>0</v>
      </c>
      <c r="T2404" t="s">
        <v>1125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</row>
    <row r="2405" spans="1:28" hidden="1" x14ac:dyDescent="0.25">
      <c r="A2405" t="s">
        <v>47</v>
      </c>
      <c r="B2405" t="s">
        <v>52</v>
      </c>
      <c r="C2405" t="s">
        <v>35</v>
      </c>
      <c r="D2405" s="1">
        <v>46015</v>
      </c>
      <c r="E2405" s="1">
        <v>46015</v>
      </c>
      <c r="F2405" s="2">
        <v>21</v>
      </c>
      <c r="G2405" s="3" t="s">
        <v>129</v>
      </c>
      <c r="H2405">
        <v>0</v>
      </c>
      <c r="I2405" s="2">
        <v>0</v>
      </c>
      <c r="J2405" s="2">
        <v>0</v>
      </c>
      <c r="K2405" s="2">
        <v>0</v>
      </c>
      <c r="L2405" s="2">
        <v>0</v>
      </c>
      <c r="M2405">
        <v>0</v>
      </c>
      <c r="N2405">
        <v>0</v>
      </c>
      <c r="O2405" s="2">
        <v>0</v>
      </c>
      <c r="P2405" s="2">
        <v>0</v>
      </c>
      <c r="Q2405">
        <v>0</v>
      </c>
      <c r="R2405" s="2">
        <v>0</v>
      </c>
      <c r="S2405" s="2">
        <v>0</v>
      </c>
      <c r="T2405" t="s">
        <v>1125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</row>
    <row r="2406" spans="1:28" hidden="1" x14ac:dyDescent="0.25">
      <c r="A2406" t="s">
        <v>25</v>
      </c>
      <c r="B2406" t="s">
        <v>47</v>
      </c>
      <c r="C2406" t="s">
        <v>35</v>
      </c>
      <c r="D2406" s="1">
        <v>46015</v>
      </c>
      <c r="E2406" s="1">
        <v>46015</v>
      </c>
      <c r="F2406" s="2">
        <v>21</v>
      </c>
      <c r="G2406" s="3" t="s">
        <v>129</v>
      </c>
      <c r="H2406">
        <v>0</v>
      </c>
      <c r="I2406" s="2">
        <v>0</v>
      </c>
      <c r="J2406" s="2">
        <v>0</v>
      </c>
      <c r="K2406" s="2">
        <v>0</v>
      </c>
      <c r="L2406" s="2">
        <v>0</v>
      </c>
      <c r="M2406">
        <v>0</v>
      </c>
      <c r="N2406">
        <v>0</v>
      </c>
      <c r="O2406" s="2">
        <v>0</v>
      </c>
      <c r="P2406" s="2">
        <v>0</v>
      </c>
      <c r="Q2406">
        <v>0</v>
      </c>
      <c r="R2406" s="2">
        <v>0</v>
      </c>
      <c r="S2406" s="2">
        <v>0</v>
      </c>
      <c r="T2406" t="s">
        <v>1125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</row>
    <row r="2407" spans="1:28" hidden="1" x14ac:dyDescent="0.25">
      <c r="A2407" t="s">
        <v>33</v>
      </c>
      <c r="B2407" t="s">
        <v>47</v>
      </c>
      <c r="C2407" t="s">
        <v>35</v>
      </c>
      <c r="D2407" s="1">
        <v>46015</v>
      </c>
      <c r="E2407" s="1">
        <v>46015</v>
      </c>
      <c r="F2407" s="2">
        <v>21</v>
      </c>
      <c r="G2407" s="3" t="s">
        <v>50</v>
      </c>
      <c r="H2407">
        <v>0</v>
      </c>
      <c r="I2407" s="2">
        <v>0</v>
      </c>
      <c r="J2407" s="2">
        <v>0</v>
      </c>
      <c r="K2407" s="2">
        <v>0</v>
      </c>
      <c r="L2407" s="2">
        <v>0</v>
      </c>
      <c r="M2407">
        <v>0</v>
      </c>
      <c r="N2407">
        <v>0</v>
      </c>
      <c r="O2407" s="2">
        <v>0</v>
      </c>
      <c r="P2407" s="2">
        <v>0</v>
      </c>
      <c r="Q2407">
        <v>0</v>
      </c>
      <c r="R2407" s="2">
        <v>0</v>
      </c>
      <c r="S2407" s="2">
        <v>0</v>
      </c>
      <c r="T2407" t="s">
        <v>1125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</row>
    <row r="2408" spans="1:28" hidden="1" x14ac:dyDescent="0.25">
      <c r="A2408" t="s">
        <v>47</v>
      </c>
      <c r="B2408" t="s">
        <v>52</v>
      </c>
      <c r="C2408" t="s">
        <v>212</v>
      </c>
      <c r="D2408" s="1">
        <v>46015</v>
      </c>
      <c r="E2408" s="1">
        <v>46015</v>
      </c>
      <c r="F2408" s="2">
        <v>0</v>
      </c>
      <c r="G2408" s="3" t="s">
        <v>572</v>
      </c>
      <c r="H2408">
        <v>0</v>
      </c>
      <c r="I2408" s="2">
        <v>0</v>
      </c>
      <c r="J2408" s="2">
        <v>0</v>
      </c>
      <c r="K2408" s="2">
        <v>0</v>
      </c>
      <c r="L2408" s="2">
        <v>0</v>
      </c>
      <c r="M2408">
        <v>0</v>
      </c>
      <c r="N2408">
        <v>0</v>
      </c>
      <c r="O2408" s="2">
        <v>0</v>
      </c>
      <c r="P2408" s="2">
        <v>0</v>
      </c>
      <c r="Q2408">
        <v>0</v>
      </c>
      <c r="R2408" s="2">
        <v>0</v>
      </c>
      <c r="S2408" s="2">
        <v>0</v>
      </c>
      <c r="T2408" t="s">
        <v>377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</row>
    <row r="2409" spans="1:28" hidden="1" x14ac:dyDescent="0.25">
      <c r="A2409" t="s">
        <v>105</v>
      </c>
      <c r="B2409" t="s">
        <v>26</v>
      </c>
      <c r="C2409" t="s">
        <v>22</v>
      </c>
      <c r="D2409" s="9">
        <v>46016</v>
      </c>
      <c r="E2409" s="9">
        <v>46016</v>
      </c>
      <c r="F2409" s="2">
        <v>48</v>
      </c>
      <c r="G2409" s="3" t="s">
        <v>23</v>
      </c>
      <c r="H2409">
        <v>0</v>
      </c>
      <c r="I2409" s="2">
        <v>0</v>
      </c>
      <c r="J2409" s="2">
        <v>0</v>
      </c>
      <c r="K2409" s="2">
        <v>0</v>
      </c>
      <c r="L2409" s="2">
        <v>0</v>
      </c>
      <c r="M2409">
        <v>1</v>
      </c>
      <c r="N2409">
        <v>0</v>
      </c>
      <c r="O2409" s="2">
        <v>0</v>
      </c>
      <c r="P2409" s="2">
        <v>1</v>
      </c>
      <c r="Q2409">
        <v>1</v>
      </c>
      <c r="R2409" s="2">
        <v>0</v>
      </c>
      <c r="S2409" s="2">
        <v>1</v>
      </c>
      <c r="T2409" t="s">
        <v>1256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</row>
    <row r="2410" spans="1:28" hidden="1" x14ac:dyDescent="0.25">
      <c r="A2410" t="s">
        <v>730</v>
      </c>
      <c r="B2410" t="s">
        <v>47</v>
      </c>
      <c r="C2410" t="s">
        <v>22</v>
      </c>
      <c r="D2410" s="9">
        <v>46016</v>
      </c>
      <c r="E2410" s="9">
        <v>46016</v>
      </c>
      <c r="F2410" s="2">
        <v>48</v>
      </c>
      <c r="G2410" s="3" t="s">
        <v>23</v>
      </c>
      <c r="H2410">
        <v>0</v>
      </c>
      <c r="I2410" s="2">
        <v>0</v>
      </c>
      <c r="J2410" s="2">
        <v>0</v>
      </c>
      <c r="K2410" s="2">
        <v>0</v>
      </c>
      <c r="L2410" s="2">
        <v>0</v>
      </c>
      <c r="M2410">
        <v>1</v>
      </c>
      <c r="N2410">
        <v>0</v>
      </c>
      <c r="O2410" s="2">
        <v>0</v>
      </c>
      <c r="P2410" s="2">
        <v>1</v>
      </c>
      <c r="Q2410">
        <v>1</v>
      </c>
      <c r="R2410" s="2">
        <v>0</v>
      </c>
      <c r="S2410" s="2">
        <v>1</v>
      </c>
      <c r="T2410" t="s">
        <v>1256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</row>
    <row r="2411" spans="1:28" hidden="1" x14ac:dyDescent="0.25">
      <c r="A2411" t="s">
        <v>53</v>
      </c>
      <c r="B2411" t="s">
        <v>38</v>
      </c>
      <c r="C2411" t="s">
        <v>54</v>
      </c>
      <c r="D2411" s="9">
        <v>46016</v>
      </c>
      <c r="E2411" s="9">
        <v>46016</v>
      </c>
      <c r="F2411" s="2">
        <v>175</v>
      </c>
      <c r="G2411" s="3" t="s">
        <v>23</v>
      </c>
      <c r="H2411">
        <v>0</v>
      </c>
      <c r="I2411" s="2">
        <v>0</v>
      </c>
      <c r="J2411" s="2">
        <v>0</v>
      </c>
      <c r="K2411" s="2">
        <v>0</v>
      </c>
      <c r="L2411" s="2">
        <v>0</v>
      </c>
      <c r="M2411">
        <v>0</v>
      </c>
      <c r="N2411">
        <v>0</v>
      </c>
      <c r="O2411" s="2">
        <v>0</v>
      </c>
      <c r="P2411" s="2">
        <v>0</v>
      </c>
      <c r="Q2411">
        <v>0</v>
      </c>
      <c r="R2411" s="2">
        <v>0</v>
      </c>
      <c r="S2411" s="2">
        <v>1</v>
      </c>
      <c r="T2411" t="s">
        <v>1257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1</v>
      </c>
    </row>
    <row r="2412" spans="1:28" hidden="1" x14ac:dyDescent="0.25">
      <c r="A2412" t="s">
        <v>20</v>
      </c>
      <c r="B2412" t="s">
        <v>1160</v>
      </c>
      <c r="C2412" t="s">
        <v>22</v>
      </c>
      <c r="D2412" s="9">
        <v>46016</v>
      </c>
      <c r="E2412" s="9">
        <v>46016</v>
      </c>
      <c r="F2412" s="2">
        <v>48</v>
      </c>
      <c r="G2412" s="3" t="s">
        <v>23</v>
      </c>
      <c r="H2412">
        <v>0</v>
      </c>
      <c r="I2412" s="2">
        <v>0</v>
      </c>
      <c r="J2412" s="2">
        <v>0</v>
      </c>
      <c r="K2412" s="2">
        <v>0</v>
      </c>
      <c r="L2412" s="2">
        <v>0</v>
      </c>
      <c r="M2412">
        <v>1</v>
      </c>
      <c r="N2412">
        <v>0</v>
      </c>
      <c r="O2412" s="2">
        <v>0</v>
      </c>
      <c r="P2412" s="2">
        <v>1</v>
      </c>
      <c r="Q2412">
        <v>1</v>
      </c>
      <c r="R2412" s="2">
        <v>0</v>
      </c>
      <c r="S2412" s="2">
        <v>1</v>
      </c>
      <c r="T2412" t="s">
        <v>1256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</row>
    <row r="2413" spans="1:28" hidden="1" x14ac:dyDescent="0.25">
      <c r="A2413" t="s">
        <v>568</v>
      </c>
      <c r="B2413" t="s">
        <v>1237</v>
      </c>
      <c r="C2413" t="s">
        <v>670</v>
      </c>
      <c r="D2413" s="9">
        <v>46016</v>
      </c>
      <c r="E2413" s="9">
        <v>46016</v>
      </c>
      <c r="F2413" s="2">
        <v>55</v>
      </c>
      <c r="G2413" s="3" t="s">
        <v>23</v>
      </c>
      <c r="H2413">
        <v>0</v>
      </c>
      <c r="I2413" s="2">
        <v>0</v>
      </c>
      <c r="J2413" s="2">
        <v>0</v>
      </c>
      <c r="K2413" s="2">
        <v>0</v>
      </c>
      <c r="L2413" s="2">
        <v>0</v>
      </c>
      <c r="M2413">
        <v>0</v>
      </c>
      <c r="N2413">
        <v>0</v>
      </c>
      <c r="O2413" s="2">
        <v>0</v>
      </c>
      <c r="P2413" s="2">
        <v>1</v>
      </c>
      <c r="Q2413">
        <v>0</v>
      </c>
      <c r="R2413" s="2">
        <v>0</v>
      </c>
      <c r="S2413" s="2">
        <v>1</v>
      </c>
      <c r="T2413" t="s">
        <v>1258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</row>
    <row r="2414" spans="1:28" hidden="1" x14ac:dyDescent="0.25">
      <c r="A2414" t="s">
        <v>193</v>
      </c>
      <c r="B2414" t="s">
        <v>47</v>
      </c>
      <c r="C2414" t="s">
        <v>670</v>
      </c>
      <c r="D2414" s="9">
        <v>46016</v>
      </c>
      <c r="E2414" s="9">
        <v>46016</v>
      </c>
      <c r="F2414" s="2">
        <v>55</v>
      </c>
      <c r="G2414" s="3" t="s">
        <v>23</v>
      </c>
      <c r="H2414">
        <v>0</v>
      </c>
      <c r="I2414" s="2">
        <v>0</v>
      </c>
      <c r="J2414" s="2">
        <v>0</v>
      </c>
      <c r="K2414" s="2">
        <v>0</v>
      </c>
      <c r="L2414" s="2">
        <v>0</v>
      </c>
      <c r="M2414">
        <v>0</v>
      </c>
      <c r="N2414">
        <v>0</v>
      </c>
      <c r="O2414" s="2">
        <v>0</v>
      </c>
      <c r="P2414" s="2">
        <v>1</v>
      </c>
      <c r="Q2414">
        <v>2</v>
      </c>
      <c r="R2414" s="2">
        <v>0</v>
      </c>
      <c r="S2414" s="2">
        <v>1</v>
      </c>
      <c r="T2414" t="s">
        <v>1258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</row>
    <row r="2415" spans="1:28" hidden="1" x14ac:dyDescent="0.25">
      <c r="A2415" t="s">
        <v>1240</v>
      </c>
      <c r="B2415" t="s">
        <v>47</v>
      </c>
      <c r="C2415" t="s">
        <v>670</v>
      </c>
      <c r="D2415" s="9">
        <v>46016</v>
      </c>
      <c r="E2415" s="9">
        <v>46016</v>
      </c>
      <c r="F2415" s="2">
        <v>55</v>
      </c>
      <c r="G2415" s="3" t="s">
        <v>23</v>
      </c>
      <c r="H2415">
        <v>0</v>
      </c>
      <c r="I2415" s="2">
        <v>0</v>
      </c>
      <c r="J2415" s="2">
        <v>0</v>
      </c>
      <c r="K2415" s="2">
        <v>0</v>
      </c>
      <c r="L2415" s="2">
        <v>0</v>
      </c>
      <c r="M2415">
        <v>0</v>
      </c>
      <c r="N2415">
        <v>0</v>
      </c>
      <c r="O2415" s="2">
        <v>0</v>
      </c>
      <c r="P2415" s="2">
        <v>1</v>
      </c>
      <c r="Q2415">
        <v>2</v>
      </c>
      <c r="R2415" s="2">
        <v>0</v>
      </c>
      <c r="S2415" s="2">
        <v>1</v>
      </c>
      <c r="T2415" t="s">
        <v>1258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</row>
    <row r="2416" spans="1:28" hidden="1" x14ac:dyDescent="0.25">
      <c r="A2416" t="s">
        <v>63</v>
      </c>
      <c r="B2416" t="s">
        <v>284</v>
      </c>
      <c r="C2416" t="s">
        <v>670</v>
      </c>
      <c r="D2416" s="9">
        <v>46016</v>
      </c>
      <c r="E2416" s="9">
        <v>46016</v>
      </c>
      <c r="F2416" s="2">
        <v>55</v>
      </c>
      <c r="G2416" s="3" t="s">
        <v>23</v>
      </c>
      <c r="H2416">
        <v>0</v>
      </c>
      <c r="I2416" s="2">
        <v>0</v>
      </c>
      <c r="J2416" s="2">
        <v>0</v>
      </c>
      <c r="K2416" s="2">
        <v>0</v>
      </c>
      <c r="L2416" s="2">
        <v>0</v>
      </c>
      <c r="M2416">
        <v>0</v>
      </c>
      <c r="N2416">
        <v>0</v>
      </c>
      <c r="O2416" s="2">
        <v>0</v>
      </c>
      <c r="P2416" s="2">
        <v>1</v>
      </c>
      <c r="Q2416">
        <v>0</v>
      </c>
      <c r="R2416" s="2">
        <v>0</v>
      </c>
      <c r="S2416" s="2">
        <v>1</v>
      </c>
      <c r="T2416" t="s">
        <v>1258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</row>
    <row r="2417" spans="1:28" hidden="1" x14ac:dyDescent="0.25">
      <c r="A2417" t="s">
        <v>29</v>
      </c>
      <c r="B2417" t="s">
        <v>30</v>
      </c>
      <c r="C2417" t="s">
        <v>670</v>
      </c>
      <c r="D2417" s="9">
        <v>46016</v>
      </c>
      <c r="E2417" s="9">
        <v>46016</v>
      </c>
      <c r="F2417" s="2">
        <v>55</v>
      </c>
      <c r="G2417" s="3" t="s">
        <v>23</v>
      </c>
      <c r="H2417">
        <v>0</v>
      </c>
      <c r="I2417" s="2">
        <v>0</v>
      </c>
      <c r="J2417" s="2">
        <v>0</v>
      </c>
      <c r="K2417" s="2">
        <v>0</v>
      </c>
      <c r="L2417" s="2">
        <v>0</v>
      </c>
      <c r="M2417">
        <v>0</v>
      </c>
      <c r="N2417">
        <v>0</v>
      </c>
      <c r="O2417" s="2">
        <v>0</v>
      </c>
      <c r="P2417" s="2">
        <v>1</v>
      </c>
      <c r="Q2417">
        <v>0</v>
      </c>
      <c r="R2417" s="2">
        <v>0</v>
      </c>
      <c r="S2417" s="2">
        <v>1</v>
      </c>
      <c r="T2417" t="s">
        <v>1258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</row>
    <row r="2418" spans="1:28" hidden="1" x14ac:dyDescent="0.25">
      <c r="A2418" t="s">
        <v>37</v>
      </c>
      <c r="B2418" t="s">
        <v>57</v>
      </c>
      <c r="C2418" t="s">
        <v>212</v>
      </c>
      <c r="D2418" s="9">
        <v>46016</v>
      </c>
      <c r="E2418" s="9">
        <v>46016</v>
      </c>
      <c r="F2418" s="2">
        <v>0</v>
      </c>
      <c r="G2418" s="3" t="s">
        <v>378</v>
      </c>
      <c r="H2418">
        <v>0</v>
      </c>
      <c r="I2418" s="2">
        <v>0</v>
      </c>
      <c r="J2418" s="2">
        <v>0</v>
      </c>
      <c r="K2418" s="2">
        <v>0</v>
      </c>
      <c r="L2418" s="2">
        <v>0</v>
      </c>
      <c r="M2418">
        <v>0</v>
      </c>
      <c r="N2418">
        <v>0</v>
      </c>
      <c r="O2418" s="2">
        <v>0</v>
      </c>
      <c r="P2418" s="2">
        <v>0</v>
      </c>
      <c r="Q2418">
        <v>0</v>
      </c>
      <c r="R2418" s="2">
        <v>0</v>
      </c>
      <c r="S2418" s="2">
        <v>0</v>
      </c>
      <c r="T2418" t="s">
        <v>377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</row>
    <row r="2419" spans="1:28" hidden="1" x14ac:dyDescent="0.25">
      <c r="A2419" t="s">
        <v>56</v>
      </c>
      <c r="B2419" t="s">
        <v>34</v>
      </c>
      <c r="C2419" t="s">
        <v>27</v>
      </c>
      <c r="D2419" s="9">
        <v>46016</v>
      </c>
      <c r="E2419" s="9">
        <v>46016</v>
      </c>
      <c r="F2419" s="2">
        <v>25</v>
      </c>
      <c r="G2419" s="3" t="s">
        <v>378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 t="s">
        <v>1150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</row>
    <row r="2420" spans="1:28" hidden="1" x14ac:dyDescent="0.25">
      <c r="A2420" t="s">
        <v>47</v>
      </c>
      <c r="B2420" t="s">
        <v>21</v>
      </c>
      <c r="C2420" t="s">
        <v>212</v>
      </c>
      <c r="D2420" s="9">
        <v>46016</v>
      </c>
      <c r="E2420" s="9">
        <v>46016</v>
      </c>
      <c r="F2420" s="2">
        <v>0</v>
      </c>
      <c r="G2420" s="3" t="s">
        <v>129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377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</row>
    <row r="2421" spans="1:28" hidden="1" x14ac:dyDescent="0.25">
      <c r="A2421" t="s">
        <v>47</v>
      </c>
      <c r="B2421" t="s">
        <v>52</v>
      </c>
      <c r="C2421" t="s">
        <v>212</v>
      </c>
      <c r="D2421" s="9">
        <v>46016</v>
      </c>
      <c r="E2421" s="9">
        <v>46016</v>
      </c>
      <c r="F2421" s="2">
        <v>0</v>
      </c>
      <c r="G2421" s="3" t="s">
        <v>129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 t="s">
        <v>377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</row>
    <row r="2422" spans="1:28" hidden="1" x14ac:dyDescent="0.25">
      <c r="A2422" t="s">
        <v>25</v>
      </c>
      <c r="B2422" t="s">
        <v>47</v>
      </c>
      <c r="C2422" t="s">
        <v>35</v>
      </c>
      <c r="D2422" s="9">
        <v>46016</v>
      </c>
      <c r="E2422" s="9">
        <v>46016</v>
      </c>
      <c r="F2422" s="2">
        <v>21</v>
      </c>
      <c r="G2422" s="3" t="s">
        <v>129</v>
      </c>
      <c r="H2422">
        <v>0</v>
      </c>
      <c r="I2422" s="2">
        <v>0</v>
      </c>
      <c r="J2422" s="2">
        <v>0</v>
      </c>
      <c r="K2422" s="2">
        <v>0</v>
      </c>
      <c r="L2422" s="2">
        <v>0</v>
      </c>
      <c r="M2422">
        <v>0</v>
      </c>
      <c r="N2422">
        <v>0</v>
      </c>
      <c r="O2422" s="2">
        <v>0</v>
      </c>
      <c r="P2422" s="2">
        <v>0</v>
      </c>
      <c r="Q2422">
        <v>0</v>
      </c>
      <c r="R2422" s="2">
        <v>0</v>
      </c>
      <c r="S2422" s="2">
        <v>0</v>
      </c>
      <c r="T2422" t="s">
        <v>1125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</row>
    <row r="2423" spans="1:28" hidden="1" x14ac:dyDescent="0.25">
      <c r="A2423" t="s">
        <v>33</v>
      </c>
      <c r="B2423" t="s">
        <v>47</v>
      </c>
      <c r="C2423" t="s">
        <v>35</v>
      </c>
      <c r="D2423" s="9">
        <v>46016</v>
      </c>
      <c r="E2423" s="9">
        <v>46016</v>
      </c>
      <c r="F2423" s="2">
        <v>21</v>
      </c>
      <c r="G2423" s="3" t="s">
        <v>50</v>
      </c>
      <c r="H2423">
        <v>0</v>
      </c>
      <c r="I2423" s="2">
        <v>0</v>
      </c>
      <c r="J2423" s="2">
        <v>0</v>
      </c>
      <c r="K2423" s="2">
        <v>0</v>
      </c>
      <c r="L2423" s="2">
        <v>0</v>
      </c>
      <c r="M2423">
        <v>0</v>
      </c>
      <c r="N2423">
        <v>0</v>
      </c>
      <c r="O2423" s="2">
        <v>0</v>
      </c>
      <c r="P2423" s="2">
        <v>0</v>
      </c>
      <c r="Q2423">
        <v>0</v>
      </c>
      <c r="R2423" s="2">
        <v>0</v>
      </c>
      <c r="S2423" s="2">
        <v>0</v>
      </c>
      <c r="T2423" t="s">
        <v>1125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</row>
    <row r="2424" spans="1:28" hidden="1" x14ac:dyDescent="0.25">
      <c r="A2424" t="s">
        <v>105</v>
      </c>
      <c r="B2424" t="s">
        <v>26</v>
      </c>
      <c r="C2424" t="s">
        <v>107</v>
      </c>
      <c r="D2424" s="1">
        <v>46017</v>
      </c>
      <c r="E2424" s="1">
        <v>46017</v>
      </c>
      <c r="F2424" s="2">
        <v>38</v>
      </c>
      <c r="G2424" s="3" t="s">
        <v>23</v>
      </c>
      <c r="H2424">
        <v>18</v>
      </c>
      <c r="I2424" s="2">
        <v>0</v>
      </c>
      <c r="J2424" s="2">
        <v>0</v>
      </c>
      <c r="K2424" s="2">
        <v>1</v>
      </c>
      <c r="L2424" s="2">
        <v>0</v>
      </c>
      <c r="M2424">
        <v>0</v>
      </c>
      <c r="N2424">
        <v>0</v>
      </c>
      <c r="O2424" s="2">
        <v>0</v>
      </c>
      <c r="P2424" s="2">
        <v>0</v>
      </c>
      <c r="Q2424">
        <v>0</v>
      </c>
      <c r="R2424" s="2">
        <v>0</v>
      </c>
      <c r="S2424" s="2">
        <v>0</v>
      </c>
      <c r="T2424" t="s">
        <v>1259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</row>
    <row r="2425" spans="1:28" hidden="1" x14ac:dyDescent="0.25">
      <c r="A2425" t="s">
        <v>53</v>
      </c>
      <c r="B2425" t="s">
        <v>38</v>
      </c>
      <c r="C2425" t="s">
        <v>107</v>
      </c>
      <c r="D2425" s="1">
        <v>46017</v>
      </c>
      <c r="E2425" s="1">
        <v>46017</v>
      </c>
      <c r="F2425" s="2">
        <v>38</v>
      </c>
      <c r="G2425" s="3" t="s">
        <v>23</v>
      </c>
      <c r="H2425">
        <f>18+1+1</f>
        <v>20</v>
      </c>
      <c r="I2425" s="2">
        <v>0</v>
      </c>
      <c r="J2425" s="2">
        <v>0</v>
      </c>
      <c r="K2425" s="2">
        <v>0</v>
      </c>
      <c r="L2425" s="2">
        <v>1</v>
      </c>
      <c r="M2425">
        <v>0</v>
      </c>
      <c r="N2425">
        <v>0</v>
      </c>
      <c r="O2425" s="2">
        <v>0</v>
      </c>
      <c r="P2425" s="2">
        <v>0</v>
      </c>
      <c r="Q2425">
        <v>0</v>
      </c>
      <c r="R2425" s="2">
        <v>0</v>
      </c>
      <c r="S2425" s="2">
        <v>0</v>
      </c>
      <c r="T2425" t="s">
        <v>1259</v>
      </c>
      <c r="U2425" s="2">
        <v>0</v>
      </c>
      <c r="V2425" s="2">
        <f>5+4</f>
        <v>9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</row>
    <row r="2426" spans="1:28" hidden="1" x14ac:dyDescent="0.25">
      <c r="A2426" t="s">
        <v>20</v>
      </c>
      <c r="B2426" t="s">
        <v>1160</v>
      </c>
      <c r="C2426" t="s">
        <v>22</v>
      </c>
      <c r="D2426" s="1">
        <v>46017</v>
      </c>
      <c r="E2426" s="1">
        <v>46017</v>
      </c>
      <c r="F2426" s="2">
        <v>24</v>
      </c>
      <c r="G2426" s="3" t="s">
        <v>23</v>
      </c>
      <c r="H2426">
        <v>16</v>
      </c>
      <c r="I2426" s="2">
        <v>0</v>
      </c>
      <c r="J2426" s="2">
        <v>0</v>
      </c>
      <c r="K2426" s="2">
        <v>1</v>
      </c>
      <c r="L2426" s="2">
        <v>0</v>
      </c>
      <c r="M2426">
        <v>0</v>
      </c>
      <c r="N2426">
        <v>0</v>
      </c>
      <c r="O2426" s="2">
        <v>0</v>
      </c>
      <c r="P2426" s="2">
        <v>0</v>
      </c>
      <c r="Q2426">
        <v>0</v>
      </c>
      <c r="R2426" s="2">
        <v>0</v>
      </c>
      <c r="S2426" s="2">
        <v>0</v>
      </c>
      <c r="T2426" t="s">
        <v>1260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</row>
    <row r="2427" spans="1:28" hidden="1" x14ac:dyDescent="0.25">
      <c r="A2427" t="s">
        <v>568</v>
      </c>
      <c r="B2427" t="s">
        <v>1237</v>
      </c>
      <c r="C2427" t="s">
        <v>670</v>
      </c>
      <c r="D2427" s="1">
        <v>46017</v>
      </c>
      <c r="E2427" s="1">
        <v>46017</v>
      </c>
      <c r="F2427" s="2">
        <v>70</v>
      </c>
      <c r="G2427" s="3" t="s">
        <v>23</v>
      </c>
      <c r="H2427">
        <v>40</v>
      </c>
      <c r="I2427" s="2">
        <v>0</v>
      </c>
      <c r="J2427" s="2">
        <v>0</v>
      </c>
      <c r="K2427" s="2">
        <v>1</v>
      </c>
      <c r="L2427" s="2">
        <v>0</v>
      </c>
      <c r="M2427">
        <v>0</v>
      </c>
      <c r="N2427">
        <v>0</v>
      </c>
      <c r="O2427" s="2">
        <v>0</v>
      </c>
      <c r="P2427" s="2">
        <v>0</v>
      </c>
      <c r="Q2427">
        <v>0</v>
      </c>
      <c r="R2427" s="2">
        <v>0</v>
      </c>
      <c r="S2427" s="2">
        <v>0</v>
      </c>
      <c r="T2427" t="s">
        <v>1261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</row>
    <row r="2428" spans="1:28" hidden="1" x14ac:dyDescent="0.25">
      <c r="A2428" t="s">
        <v>29</v>
      </c>
      <c r="B2428" t="s">
        <v>30</v>
      </c>
      <c r="C2428" t="s">
        <v>31</v>
      </c>
      <c r="D2428" s="1">
        <v>46017</v>
      </c>
      <c r="E2428" s="1">
        <v>46017</v>
      </c>
      <c r="F2428" s="2">
        <v>18</v>
      </c>
      <c r="G2428" s="3" t="s">
        <v>23</v>
      </c>
      <c r="H2428">
        <v>35</v>
      </c>
      <c r="I2428" s="2">
        <v>0</v>
      </c>
      <c r="J2428" s="2">
        <v>0</v>
      </c>
      <c r="K2428" s="2">
        <v>1</v>
      </c>
      <c r="L2428" s="2">
        <v>0</v>
      </c>
      <c r="M2428">
        <v>1</v>
      </c>
      <c r="N2428">
        <v>0</v>
      </c>
      <c r="O2428" s="2">
        <v>0</v>
      </c>
      <c r="P2428" s="2">
        <v>0</v>
      </c>
      <c r="Q2428">
        <v>0</v>
      </c>
      <c r="R2428" s="2">
        <v>0</v>
      </c>
      <c r="S2428" s="2">
        <v>0</v>
      </c>
      <c r="T2428" t="s">
        <v>1262</v>
      </c>
      <c r="U2428" s="2">
        <v>0</v>
      </c>
      <c r="V2428" s="2">
        <v>0</v>
      </c>
      <c r="W2428" s="2">
        <v>2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</row>
    <row r="2429" spans="1:28" hidden="1" x14ac:dyDescent="0.25">
      <c r="A2429" t="s">
        <v>63</v>
      </c>
      <c r="B2429" t="s">
        <v>284</v>
      </c>
      <c r="C2429" t="s">
        <v>102</v>
      </c>
      <c r="D2429" s="1">
        <v>46017</v>
      </c>
      <c r="E2429" s="1">
        <v>46017</v>
      </c>
      <c r="F2429" s="2">
        <v>24</v>
      </c>
      <c r="G2429" s="3" t="s">
        <v>23</v>
      </c>
      <c r="H2429">
        <v>28</v>
      </c>
      <c r="I2429" s="2">
        <v>0</v>
      </c>
      <c r="J2429" s="2">
        <v>0</v>
      </c>
      <c r="K2429" s="2">
        <v>1</v>
      </c>
      <c r="L2429" s="2">
        <v>0</v>
      </c>
      <c r="M2429">
        <v>0</v>
      </c>
      <c r="N2429">
        <v>0</v>
      </c>
      <c r="O2429" s="2">
        <v>0</v>
      </c>
      <c r="P2429" s="2">
        <v>0</v>
      </c>
      <c r="Q2429">
        <v>0</v>
      </c>
      <c r="R2429" s="2">
        <v>0</v>
      </c>
      <c r="S2429" s="2">
        <v>0</v>
      </c>
      <c r="T2429" t="s">
        <v>1263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</row>
    <row r="2430" spans="1:28" hidden="1" x14ac:dyDescent="0.25">
      <c r="A2430" t="s">
        <v>56</v>
      </c>
      <c r="B2430" t="s">
        <v>34</v>
      </c>
      <c r="C2430" t="s">
        <v>64</v>
      </c>
      <c r="D2430" s="1">
        <v>46017</v>
      </c>
      <c r="E2430" s="1">
        <v>46017</v>
      </c>
      <c r="F2430" s="2">
        <v>28</v>
      </c>
      <c r="G2430" s="3" t="s">
        <v>23</v>
      </c>
      <c r="H2430">
        <v>17</v>
      </c>
      <c r="I2430" s="2">
        <v>0</v>
      </c>
      <c r="J2430" s="2">
        <v>0</v>
      </c>
      <c r="K2430" s="2">
        <v>1</v>
      </c>
      <c r="L2430" s="2">
        <v>0</v>
      </c>
      <c r="M2430">
        <v>1</v>
      </c>
      <c r="N2430">
        <v>0</v>
      </c>
      <c r="O2430" s="2">
        <v>0</v>
      </c>
      <c r="P2430" s="2">
        <v>0</v>
      </c>
      <c r="Q2430">
        <v>0</v>
      </c>
      <c r="R2430" s="2">
        <v>0</v>
      </c>
      <c r="S2430" s="2">
        <v>0</v>
      </c>
      <c r="T2430" t="s">
        <v>1264</v>
      </c>
      <c r="U2430" s="2">
        <v>0</v>
      </c>
      <c r="V2430" s="2">
        <v>0</v>
      </c>
      <c r="W2430" s="2">
        <v>1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</row>
    <row r="2431" spans="1:28" hidden="1" x14ac:dyDescent="0.25">
      <c r="A2431" t="s">
        <v>37</v>
      </c>
      <c r="B2431" t="s">
        <v>57</v>
      </c>
      <c r="C2431" t="s">
        <v>22</v>
      </c>
      <c r="D2431" s="1">
        <v>46017</v>
      </c>
      <c r="E2431" s="1">
        <v>46017</v>
      </c>
      <c r="F2431" s="2">
        <v>18</v>
      </c>
      <c r="G2431" s="3" t="s">
        <v>23</v>
      </c>
      <c r="H2431">
        <v>20</v>
      </c>
      <c r="I2431" s="2">
        <v>0</v>
      </c>
      <c r="J2431" s="2">
        <v>0</v>
      </c>
      <c r="K2431" s="2">
        <v>0</v>
      </c>
      <c r="L2431" s="2">
        <v>0</v>
      </c>
      <c r="M2431">
        <v>0</v>
      </c>
      <c r="N2431">
        <v>0</v>
      </c>
      <c r="O2431" s="2">
        <v>0</v>
      </c>
      <c r="P2431" s="2">
        <v>0</v>
      </c>
      <c r="Q2431">
        <v>2</v>
      </c>
      <c r="R2431" s="2">
        <v>0</v>
      </c>
      <c r="S2431" s="2">
        <v>0</v>
      </c>
      <c r="T2431" t="s">
        <v>1244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</row>
    <row r="2432" spans="1:28" hidden="1" x14ac:dyDescent="0.25">
      <c r="A2432" t="s">
        <v>730</v>
      </c>
      <c r="B2432" t="s">
        <v>47</v>
      </c>
      <c r="C2432" t="s">
        <v>22</v>
      </c>
      <c r="D2432" s="1">
        <v>46017</v>
      </c>
      <c r="E2432" s="1">
        <v>46017</v>
      </c>
      <c r="F2432" s="2">
        <v>18</v>
      </c>
      <c r="G2432" s="3" t="s">
        <v>48</v>
      </c>
      <c r="H2432">
        <v>0</v>
      </c>
      <c r="I2432" s="2">
        <v>0</v>
      </c>
      <c r="J2432" s="2">
        <v>0</v>
      </c>
      <c r="K2432" s="2">
        <v>0</v>
      </c>
      <c r="L2432" s="2">
        <v>0</v>
      </c>
      <c r="M2432">
        <v>0</v>
      </c>
      <c r="N2432">
        <v>0</v>
      </c>
      <c r="O2432" s="2">
        <v>0</v>
      </c>
      <c r="P2432" s="2">
        <v>0</v>
      </c>
      <c r="Q2432">
        <v>0</v>
      </c>
      <c r="R2432" s="2">
        <v>0</v>
      </c>
      <c r="S2432" s="2">
        <v>0</v>
      </c>
      <c r="T2432" t="s">
        <v>1244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</row>
    <row r="2433" spans="1:28" hidden="1" x14ac:dyDescent="0.25">
      <c r="A2433" t="s">
        <v>25</v>
      </c>
      <c r="B2433" t="s">
        <v>47</v>
      </c>
      <c r="C2433" t="s">
        <v>35</v>
      </c>
      <c r="D2433" s="1">
        <v>46017</v>
      </c>
      <c r="E2433" s="1">
        <v>46017</v>
      </c>
      <c r="F2433" s="2">
        <v>21</v>
      </c>
      <c r="G2433" s="3" t="s">
        <v>129</v>
      </c>
      <c r="H2433">
        <v>0</v>
      </c>
      <c r="I2433" s="2">
        <v>0</v>
      </c>
      <c r="J2433" s="2">
        <v>0</v>
      </c>
      <c r="K2433" s="2">
        <v>0</v>
      </c>
      <c r="L2433" s="2">
        <v>0</v>
      </c>
      <c r="M2433">
        <v>0</v>
      </c>
      <c r="N2433">
        <v>0</v>
      </c>
      <c r="O2433" s="2">
        <v>0</v>
      </c>
      <c r="P2433" s="2">
        <v>0</v>
      </c>
      <c r="Q2433">
        <v>0</v>
      </c>
      <c r="R2433" s="2">
        <v>0</v>
      </c>
      <c r="S2433" s="2">
        <v>0</v>
      </c>
      <c r="T2433" t="s">
        <v>1125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</row>
    <row r="2434" spans="1:28" hidden="1" x14ac:dyDescent="0.25">
      <c r="A2434" t="s">
        <v>47</v>
      </c>
      <c r="B2434" t="s">
        <v>21</v>
      </c>
      <c r="C2434" t="s">
        <v>212</v>
      </c>
      <c r="D2434" s="1">
        <v>46017</v>
      </c>
      <c r="E2434" s="1">
        <v>46017</v>
      </c>
      <c r="F2434" s="2">
        <v>0</v>
      </c>
      <c r="G2434" s="3" t="s">
        <v>129</v>
      </c>
      <c r="H2434">
        <v>0</v>
      </c>
      <c r="I2434" s="2">
        <v>0</v>
      </c>
      <c r="J2434" s="2">
        <v>0</v>
      </c>
      <c r="K2434" s="2">
        <v>0</v>
      </c>
      <c r="L2434" s="2">
        <v>0</v>
      </c>
      <c r="M2434">
        <v>0</v>
      </c>
      <c r="N2434">
        <v>0</v>
      </c>
      <c r="O2434" s="2">
        <v>0</v>
      </c>
      <c r="P2434" s="2">
        <v>0</v>
      </c>
      <c r="Q2434">
        <v>0</v>
      </c>
      <c r="R2434" s="2">
        <v>0</v>
      </c>
      <c r="S2434" s="2">
        <v>0</v>
      </c>
      <c r="T2434" t="s">
        <v>377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</row>
    <row r="2435" spans="1:28" hidden="1" x14ac:dyDescent="0.25">
      <c r="A2435" t="s">
        <v>47</v>
      </c>
      <c r="B2435" t="s">
        <v>52</v>
      </c>
      <c r="C2435" t="s">
        <v>212</v>
      </c>
      <c r="D2435" s="1">
        <v>46017</v>
      </c>
      <c r="E2435" s="1">
        <v>46017</v>
      </c>
      <c r="F2435" s="2">
        <v>0</v>
      </c>
      <c r="G2435" s="3" t="s">
        <v>129</v>
      </c>
      <c r="H2435">
        <v>0</v>
      </c>
      <c r="I2435" s="2">
        <v>0</v>
      </c>
      <c r="J2435" s="2">
        <v>0</v>
      </c>
      <c r="K2435" s="2">
        <v>0</v>
      </c>
      <c r="L2435" s="2">
        <v>0</v>
      </c>
      <c r="M2435">
        <v>0</v>
      </c>
      <c r="N2435">
        <v>0</v>
      </c>
      <c r="O2435" s="2">
        <v>0</v>
      </c>
      <c r="P2435" s="2">
        <v>0</v>
      </c>
      <c r="Q2435">
        <v>0</v>
      </c>
      <c r="R2435" s="2">
        <v>0</v>
      </c>
      <c r="S2435" s="2">
        <v>0</v>
      </c>
      <c r="T2435" t="s">
        <v>377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</row>
    <row r="2436" spans="1:28" hidden="1" x14ac:dyDescent="0.25">
      <c r="A2436" t="s">
        <v>33</v>
      </c>
      <c r="B2436" t="s">
        <v>47</v>
      </c>
      <c r="C2436" t="s">
        <v>35</v>
      </c>
      <c r="D2436" s="1">
        <v>46017</v>
      </c>
      <c r="E2436" s="1">
        <v>46017</v>
      </c>
      <c r="F2436" s="2">
        <v>21</v>
      </c>
      <c r="G2436" s="3" t="s">
        <v>50</v>
      </c>
      <c r="H2436">
        <v>0</v>
      </c>
      <c r="I2436" s="2">
        <v>0</v>
      </c>
      <c r="J2436" s="2">
        <v>0</v>
      </c>
      <c r="K2436" s="2">
        <v>0</v>
      </c>
      <c r="L2436" s="2">
        <v>0</v>
      </c>
      <c r="M2436">
        <v>0</v>
      </c>
      <c r="N2436">
        <v>0</v>
      </c>
      <c r="O2436" s="2">
        <v>0</v>
      </c>
      <c r="P2436" s="2">
        <v>0</v>
      </c>
      <c r="Q2436">
        <v>0</v>
      </c>
      <c r="R2436" s="2">
        <v>0</v>
      </c>
      <c r="S2436" s="2">
        <v>0</v>
      </c>
      <c r="T2436" t="s">
        <v>1125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</row>
    <row r="2437" spans="1:28" hidden="1" x14ac:dyDescent="0.25">
      <c r="A2437" t="s">
        <v>105</v>
      </c>
      <c r="B2437" t="s">
        <v>47</v>
      </c>
      <c r="C2437" t="s">
        <v>670</v>
      </c>
      <c r="D2437" s="9">
        <v>46018</v>
      </c>
      <c r="E2437" s="9">
        <v>46018</v>
      </c>
      <c r="F2437" s="2">
        <v>47</v>
      </c>
      <c r="G2437" s="3" t="s">
        <v>23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>
        <v>0</v>
      </c>
      <c r="N2437">
        <v>0</v>
      </c>
      <c r="O2437" s="2">
        <v>1</v>
      </c>
      <c r="P2437" s="2">
        <v>0</v>
      </c>
      <c r="Q2437">
        <v>0</v>
      </c>
      <c r="R2437" s="2">
        <v>1</v>
      </c>
      <c r="S2437" s="2">
        <v>0</v>
      </c>
      <c r="T2437" t="s">
        <v>1265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</row>
    <row r="2438" spans="1:28" hidden="1" x14ac:dyDescent="0.25">
      <c r="A2438" t="s">
        <v>730</v>
      </c>
      <c r="B2438" t="s">
        <v>47</v>
      </c>
      <c r="C2438" t="s">
        <v>670</v>
      </c>
      <c r="D2438" s="9">
        <v>46018</v>
      </c>
      <c r="E2438" s="9">
        <v>46018</v>
      </c>
      <c r="F2438" s="2">
        <v>47</v>
      </c>
      <c r="G2438" s="3" t="s">
        <v>23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>
        <v>0</v>
      </c>
      <c r="N2438">
        <v>0</v>
      </c>
      <c r="O2438" s="2">
        <v>1</v>
      </c>
      <c r="P2438" s="2">
        <v>0</v>
      </c>
      <c r="Q2438">
        <v>0</v>
      </c>
      <c r="R2438" s="2">
        <v>1</v>
      </c>
      <c r="S2438" s="2">
        <v>0</v>
      </c>
      <c r="T2438" t="s">
        <v>1265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</row>
    <row r="2439" spans="1:28" hidden="1" x14ac:dyDescent="0.25">
      <c r="A2439" t="s">
        <v>53</v>
      </c>
      <c r="B2439" t="s">
        <v>38</v>
      </c>
      <c r="C2439" t="s">
        <v>54</v>
      </c>
      <c r="D2439" s="9">
        <v>46018</v>
      </c>
      <c r="E2439" s="9">
        <v>46018</v>
      </c>
      <c r="F2439" s="2">
        <v>63</v>
      </c>
      <c r="G2439" s="3" t="s">
        <v>23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>
        <v>0</v>
      </c>
      <c r="N2439">
        <v>0</v>
      </c>
      <c r="O2439" s="2">
        <v>1</v>
      </c>
      <c r="P2439" s="2">
        <v>0</v>
      </c>
      <c r="Q2439">
        <v>6</v>
      </c>
      <c r="R2439" s="2">
        <v>1</v>
      </c>
      <c r="S2439" s="2">
        <v>0</v>
      </c>
      <c r="T2439" t="s">
        <v>1266</v>
      </c>
      <c r="U2439" s="2">
        <v>16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1</v>
      </c>
      <c r="AB2439" s="2">
        <v>0</v>
      </c>
    </row>
    <row r="2440" spans="1:28" hidden="1" x14ac:dyDescent="0.25">
      <c r="A2440" t="s">
        <v>20</v>
      </c>
      <c r="B2440" t="s">
        <v>1160</v>
      </c>
      <c r="C2440" t="s">
        <v>22</v>
      </c>
      <c r="D2440" s="9">
        <v>46018</v>
      </c>
      <c r="E2440" s="9">
        <v>46018</v>
      </c>
      <c r="F2440" s="2">
        <v>61</v>
      </c>
      <c r="G2440" s="3" t="s">
        <v>23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>
        <v>0</v>
      </c>
      <c r="N2440">
        <v>0</v>
      </c>
      <c r="O2440" s="2">
        <v>1</v>
      </c>
      <c r="P2440" s="2">
        <v>0</v>
      </c>
      <c r="Q2440">
        <v>2</v>
      </c>
      <c r="R2440" s="2">
        <v>1</v>
      </c>
      <c r="S2440" s="2">
        <v>0</v>
      </c>
      <c r="T2440" t="s">
        <v>1267</v>
      </c>
      <c r="U2440" s="2">
        <v>12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</row>
    <row r="2441" spans="1:28" hidden="1" x14ac:dyDescent="0.25">
      <c r="A2441" t="s">
        <v>568</v>
      </c>
      <c r="B2441" t="s">
        <v>1237</v>
      </c>
      <c r="C2441" t="s">
        <v>670</v>
      </c>
      <c r="D2441" s="9">
        <v>46018</v>
      </c>
      <c r="E2441" s="9">
        <v>46018</v>
      </c>
      <c r="F2441" s="2">
        <v>47</v>
      </c>
      <c r="G2441" s="3" t="s">
        <v>23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>
        <v>0</v>
      </c>
      <c r="N2441">
        <v>0</v>
      </c>
      <c r="O2441" s="2">
        <v>1</v>
      </c>
      <c r="P2441" s="2">
        <v>0</v>
      </c>
      <c r="Q2441">
        <v>0</v>
      </c>
      <c r="R2441" s="2">
        <v>1</v>
      </c>
      <c r="S2441" s="2">
        <v>0</v>
      </c>
      <c r="T2441" t="s">
        <v>1265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</row>
    <row r="2442" spans="1:28" hidden="1" x14ac:dyDescent="0.25">
      <c r="A2442" t="s">
        <v>193</v>
      </c>
      <c r="B2442" t="s">
        <v>563</v>
      </c>
      <c r="C2442" t="s">
        <v>670</v>
      </c>
      <c r="D2442" s="9">
        <v>46018</v>
      </c>
      <c r="E2442" s="9">
        <v>46018</v>
      </c>
      <c r="F2442" s="2">
        <v>47</v>
      </c>
      <c r="G2442" s="3" t="s">
        <v>23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>
        <v>0</v>
      </c>
      <c r="N2442">
        <v>0</v>
      </c>
      <c r="O2442" s="2">
        <v>1</v>
      </c>
      <c r="P2442" s="2">
        <v>0</v>
      </c>
      <c r="Q2442">
        <v>0</v>
      </c>
      <c r="R2442" s="2">
        <v>1</v>
      </c>
      <c r="S2442" s="2">
        <v>0</v>
      </c>
      <c r="T2442" t="s">
        <v>1265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</row>
    <row r="2443" spans="1:28" hidden="1" x14ac:dyDescent="0.25">
      <c r="A2443" t="s">
        <v>63</v>
      </c>
      <c r="B2443" t="s">
        <v>284</v>
      </c>
      <c r="C2443" t="s">
        <v>102</v>
      </c>
      <c r="D2443" s="9">
        <v>46018</v>
      </c>
      <c r="E2443" s="9">
        <v>46018</v>
      </c>
      <c r="F2443" s="2">
        <v>28</v>
      </c>
      <c r="G2443" s="3" t="s">
        <v>23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>
        <v>0</v>
      </c>
      <c r="N2443">
        <v>0</v>
      </c>
      <c r="O2443" s="2">
        <v>1</v>
      </c>
      <c r="P2443" s="2">
        <v>0</v>
      </c>
      <c r="Q2443">
        <v>2</v>
      </c>
      <c r="R2443" s="2">
        <v>1</v>
      </c>
      <c r="S2443" s="2">
        <v>0</v>
      </c>
      <c r="T2443" t="s">
        <v>1268</v>
      </c>
      <c r="U2443" s="2">
        <v>14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</row>
    <row r="2444" spans="1:28" ht="14.25" hidden="1" customHeight="1" x14ac:dyDescent="0.25">
      <c r="A2444" t="s">
        <v>29</v>
      </c>
      <c r="B2444" t="s">
        <v>30</v>
      </c>
      <c r="C2444" t="s">
        <v>31</v>
      </c>
      <c r="D2444" s="9">
        <v>46018</v>
      </c>
      <c r="E2444" s="9">
        <v>46018</v>
      </c>
      <c r="F2444" s="2">
        <v>18</v>
      </c>
      <c r="G2444" s="3" t="s">
        <v>23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>
        <v>0</v>
      </c>
      <c r="N2444">
        <v>0</v>
      </c>
      <c r="O2444" s="2">
        <v>1</v>
      </c>
      <c r="P2444" s="2">
        <v>0</v>
      </c>
      <c r="Q2444">
        <v>0</v>
      </c>
      <c r="R2444" s="2">
        <v>1</v>
      </c>
      <c r="S2444" s="2">
        <v>0</v>
      </c>
      <c r="T2444" t="s">
        <v>1269</v>
      </c>
      <c r="U2444" s="2">
        <v>18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</row>
    <row r="2445" spans="1:28" hidden="1" x14ac:dyDescent="0.25">
      <c r="A2445" t="s">
        <v>37</v>
      </c>
      <c r="B2445" t="s">
        <v>57</v>
      </c>
      <c r="C2445" t="s">
        <v>212</v>
      </c>
      <c r="D2445" s="9">
        <v>46018</v>
      </c>
      <c r="E2445" s="9">
        <v>46018</v>
      </c>
      <c r="F2445" s="2">
        <v>0</v>
      </c>
      <c r="G2445" s="3" t="s">
        <v>378</v>
      </c>
      <c r="H2445">
        <v>0</v>
      </c>
      <c r="I2445" s="2">
        <v>0</v>
      </c>
      <c r="J2445" s="2">
        <v>0</v>
      </c>
      <c r="K2445" s="2">
        <v>0</v>
      </c>
      <c r="L2445" s="2">
        <v>0</v>
      </c>
      <c r="M2445">
        <v>0</v>
      </c>
      <c r="N2445">
        <v>0</v>
      </c>
      <c r="O2445" s="2">
        <v>0</v>
      </c>
      <c r="P2445" s="2">
        <v>0</v>
      </c>
      <c r="Q2445">
        <v>0</v>
      </c>
      <c r="R2445" s="2">
        <v>0</v>
      </c>
      <c r="S2445" s="2">
        <v>0</v>
      </c>
      <c r="T2445" t="s">
        <v>377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</row>
    <row r="2446" spans="1:28" hidden="1" x14ac:dyDescent="0.25">
      <c r="A2446" t="s">
        <v>56</v>
      </c>
      <c r="B2446" t="s">
        <v>34</v>
      </c>
      <c r="C2446" t="s">
        <v>27</v>
      </c>
      <c r="D2446" s="9">
        <v>46018</v>
      </c>
      <c r="E2446" s="9">
        <v>46018</v>
      </c>
      <c r="F2446" s="2">
        <v>25</v>
      </c>
      <c r="G2446" s="3" t="s">
        <v>378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1150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</row>
    <row r="2447" spans="1:28" hidden="1" x14ac:dyDescent="0.25">
      <c r="A2447" t="s">
        <v>47</v>
      </c>
      <c r="B2447" t="s">
        <v>21</v>
      </c>
      <c r="C2447" t="s">
        <v>212</v>
      </c>
      <c r="D2447" s="9">
        <v>46018</v>
      </c>
      <c r="E2447" s="9">
        <v>46018</v>
      </c>
      <c r="F2447" s="2">
        <v>0</v>
      </c>
      <c r="G2447" s="3" t="s">
        <v>129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 t="s">
        <v>377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</row>
    <row r="2448" spans="1:28" hidden="1" x14ac:dyDescent="0.25">
      <c r="A2448" t="s">
        <v>47</v>
      </c>
      <c r="B2448" t="s">
        <v>52</v>
      </c>
      <c r="C2448" t="s">
        <v>212</v>
      </c>
      <c r="D2448" s="9">
        <v>46018</v>
      </c>
      <c r="E2448" s="9">
        <v>46018</v>
      </c>
      <c r="F2448" s="2">
        <v>0</v>
      </c>
      <c r="G2448" s="3" t="s">
        <v>129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 t="s">
        <v>377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</row>
    <row r="2449" spans="1:28" hidden="1" x14ac:dyDescent="0.25">
      <c r="A2449" t="s">
        <v>25</v>
      </c>
      <c r="B2449" t="s">
        <v>47</v>
      </c>
      <c r="C2449" t="s">
        <v>35</v>
      </c>
      <c r="D2449" s="9">
        <v>46018</v>
      </c>
      <c r="E2449" s="9">
        <v>46018</v>
      </c>
      <c r="F2449" s="2">
        <v>21</v>
      </c>
      <c r="G2449" s="3" t="s">
        <v>129</v>
      </c>
      <c r="H2449">
        <v>0</v>
      </c>
      <c r="I2449" s="2">
        <v>0</v>
      </c>
      <c r="J2449" s="2">
        <v>0</v>
      </c>
      <c r="K2449" s="2">
        <v>0</v>
      </c>
      <c r="L2449" s="2">
        <v>0</v>
      </c>
      <c r="M2449">
        <v>0</v>
      </c>
      <c r="N2449">
        <v>0</v>
      </c>
      <c r="O2449" s="2">
        <v>0</v>
      </c>
      <c r="P2449" s="2">
        <v>0</v>
      </c>
      <c r="Q2449">
        <v>0</v>
      </c>
      <c r="R2449" s="2">
        <v>0</v>
      </c>
      <c r="S2449" s="2">
        <v>0</v>
      </c>
      <c r="T2449" t="s">
        <v>1125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</row>
    <row r="2450" spans="1:28" hidden="1" x14ac:dyDescent="0.25">
      <c r="A2450" t="s">
        <v>33</v>
      </c>
      <c r="B2450" t="s">
        <v>47</v>
      </c>
      <c r="C2450" t="s">
        <v>35</v>
      </c>
      <c r="D2450" s="9">
        <v>46018</v>
      </c>
      <c r="E2450" s="9">
        <v>46018</v>
      </c>
      <c r="F2450" s="2">
        <v>21</v>
      </c>
      <c r="G2450" s="3" t="s">
        <v>50</v>
      </c>
      <c r="H2450">
        <v>0</v>
      </c>
      <c r="I2450" s="2">
        <v>0</v>
      </c>
      <c r="J2450" s="2">
        <v>0</v>
      </c>
      <c r="K2450" s="2">
        <v>0</v>
      </c>
      <c r="L2450" s="2">
        <v>0</v>
      </c>
      <c r="M2450">
        <v>0</v>
      </c>
      <c r="N2450">
        <v>0</v>
      </c>
      <c r="O2450" s="2">
        <v>0</v>
      </c>
      <c r="P2450" s="2">
        <v>0</v>
      </c>
      <c r="Q2450">
        <v>0</v>
      </c>
      <c r="R2450" s="2">
        <v>0</v>
      </c>
      <c r="S2450" s="2">
        <v>0</v>
      </c>
      <c r="T2450" t="s">
        <v>1125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</row>
    <row r="2451" spans="1:28" hidden="1" x14ac:dyDescent="0.25">
      <c r="A2451" t="s">
        <v>105</v>
      </c>
      <c r="B2451" t="s">
        <v>47</v>
      </c>
      <c r="C2451" t="s">
        <v>22</v>
      </c>
      <c r="D2451" s="9">
        <v>46019</v>
      </c>
      <c r="E2451" s="9">
        <v>46019</v>
      </c>
      <c r="F2451" s="2">
        <v>22</v>
      </c>
      <c r="G2451" s="3" t="s">
        <v>23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>
        <v>0</v>
      </c>
      <c r="N2451">
        <v>0</v>
      </c>
      <c r="O2451" s="2">
        <v>0</v>
      </c>
      <c r="P2451" s="2">
        <v>1</v>
      </c>
      <c r="Q2451">
        <v>2</v>
      </c>
      <c r="R2451" s="2">
        <v>0</v>
      </c>
      <c r="S2451" s="2">
        <v>1</v>
      </c>
      <c r="T2451" t="s">
        <v>1270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</row>
    <row r="2452" spans="1:28" hidden="1" x14ac:dyDescent="0.25">
      <c r="A2452" t="s">
        <v>730</v>
      </c>
      <c r="B2452" t="s">
        <v>47</v>
      </c>
      <c r="C2452" t="s">
        <v>22</v>
      </c>
      <c r="D2452" s="9">
        <v>46019</v>
      </c>
      <c r="E2452" s="9">
        <v>46019</v>
      </c>
      <c r="F2452" s="2">
        <v>22</v>
      </c>
      <c r="G2452" s="3" t="s">
        <v>23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>
        <v>0</v>
      </c>
      <c r="N2452">
        <v>0</v>
      </c>
      <c r="O2452" s="2">
        <v>0</v>
      </c>
      <c r="P2452" s="2">
        <v>1</v>
      </c>
      <c r="Q2452">
        <v>2</v>
      </c>
      <c r="R2452" s="2">
        <v>0</v>
      </c>
      <c r="S2452" s="2">
        <v>1</v>
      </c>
      <c r="T2452" t="s">
        <v>1270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</row>
    <row r="2453" spans="1:28" hidden="1" x14ac:dyDescent="0.25">
      <c r="A2453" t="s">
        <v>53</v>
      </c>
      <c r="B2453" t="s">
        <v>38</v>
      </c>
      <c r="C2453" t="s">
        <v>54</v>
      </c>
      <c r="D2453" s="9">
        <v>46019</v>
      </c>
      <c r="E2453" s="9">
        <v>46019</v>
      </c>
      <c r="F2453" s="2">
        <v>43</v>
      </c>
      <c r="G2453" s="3" t="s">
        <v>23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>
        <v>0</v>
      </c>
      <c r="N2453">
        <v>0</v>
      </c>
      <c r="O2453" s="2">
        <v>0</v>
      </c>
      <c r="P2453" s="2">
        <v>1</v>
      </c>
      <c r="Q2453">
        <v>4</v>
      </c>
      <c r="R2453" s="2">
        <v>0</v>
      </c>
      <c r="S2453" s="2">
        <v>1</v>
      </c>
      <c r="T2453" t="s">
        <v>1271</v>
      </c>
      <c r="U2453" s="2">
        <v>15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1</v>
      </c>
    </row>
    <row r="2454" spans="1:28" hidden="1" x14ac:dyDescent="0.25">
      <c r="A2454" t="s">
        <v>20</v>
      </c>
      <c r="B2454" t="s">
        <v>1160</v>
      </c>
      <c r="C2454" t="s">
        <v>22</v>
      </c>
      <c r="D2454" s="9">
        <v>46019</v>
      </c>
      <c r="E2454" s="9">
        <v>46019</v>
      </c>
      <c r="F2454" s="2">
        <v>22</v>
      </c>
      <c r="G2454" s="3" t="s">
        <v>23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>
        <v>0</v>
      </c>
      <c r="N2454">
        <v>0</v>
      </c>
      <c r="O2454" s="2">
        <v>0</v>
      </c>
      <c r="P2454" s="2">
        <v>1</v>
      </c>
      <c r="Q2454">
        <v>1</v>
      </c>
      <c r="R2454" s="2">
        <v>0</v>
      </c>
      <c r="S2454" s="2">
        <v>1</v>
      </c>
      <c r="T2454" t="s">
        <v>1270</v>
      </c>
      <c r="U2454" s="2">
        <v>16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</row>
    <row r="2455" spans="1:28" hidden="1" x14ac:dyDescent="0.25">
      <c r="A2455" t="s">
        <v>568</v>
      </c>
      <c r="B2455" t="s">
        <v>1237</v>
      </c>
      <c r="C2455" t="s">
        <v>670</v>
      </c>
      <c r="D2455" s="9">
        <v>46019</v>
      </c>
      <c r="E2455" s="9">
        <v>46019</v>
      </c>
      <c r="F2455" s="2">
        <v>57</v>
      </c>
      <c r="G2455" s="3" t="s">
        <v>23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>
        <v>0</v>
      </c>
      <c r="N2455">
        <v>0</v>
      </c>
      <c r="O2455" s="2">
        <v>0</v>
      </c>
      <c r="P2455" s="2">
        <v>1</v>
      </c>
      <c r="Q2455">
        <v>1</v>
      </c>
      <c r="R2455" s="2">
        <v>0</v>
      </c>
      <c r="S2455" s="2">
        <v>1</v>
      </c>
      <c r="T2455" t="s">
        <v>1272</v>
      </c>
      <c r="U2455" s="2">
        <v>20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</row>
    <row r="2456" spans="1:28" hidden="1" x14ac:dyDescent="0.25">
      <c r="A2456" t="s">
        <v>193</v>
      </c>
      <c r="B2456" t="s">
        <v>563</v>
      </c>
      <c r="C2456" t="s">
        <v>670</v>
      </c>
      <c r="D2456" s="9">
        <v>46019</v>
      </c>
      <c r="E2456" s="9">
        <v>46019</v>
      </c>
      <c r="F2456" s="2">
        <v>57</v>
      </c>
      <c r="G2456" s="3" t="s">
        <v>23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>
        <v>0</v>
      </c>
      <c r="N2456">
        <v>0</v>
      </c>
      <c r="O2456" s="2">
        <v>0</v>
      </c>
      <c r="P2456" s="2">
        <v>1</v>
      </c>
      <c r="Q2456">
        <v>1</v>
      </c>
      <c r="R2456" s="2">
        <v>0</v>
      </c>
      <c r="S2456" s="2">
        <v>1</v>
      </c>
      <c r="T2456" t="s">
        <v>1272</v>
      </c>
      <c r="U2456" s="2">
        <v>20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</row>
    <row r="2457" spans="1:28" hidden="1" x14ac:dyDescent="0.25">
      <c r="A2457" t="s">
        <v>63</v>
      </c>
      <c r="B2457" t="s">
        <v>284</v>
      </c>
      <c r="C2457" t="s">
        <v>102</v>
      </c>
      <c r="D2457" s="9">
        <v>46019</v>
      </c>
      <c r="E2457" s="9">
        <v>46019</v>
      </c>
      <c r="F2457" s="2">
        <v>24</v>
      </c>
      <c r="G2457" s="3" t="s">
        <v>23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>
        <v>0</v>
      </c>
      <c r="N2457">
        <v>0</v>
      </c>
      <c r="O2457" s="2">
        <v>0</v>
      </c>
      <c r="P2457" s="2">
        <v>1</v>
      </c>
      <c r="Q2457">
        <v>0</v>
      </c>
      <c r="R2457" s="2">
        <v>0</v>
      </c>
      <c r="S2457" s="2">
        <v>1</v>
      </c>
      <c r="T2457" t="s">
        <v>1273</v>
      </c>
      <c r="U2457" s="2">
        <v>18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</row>
    <row r="2458" spans="1:28" hidden="1" x14ac:dyDescent="0.25">
      <c r="A2458" t="s">
        <v>29</v>
      </c>
      <c r="B2458" t="s">
        <v>30</v>
      </c>
      <c r="C2458" t="s">
        <v>31</v>
      </c>
      <c r="D2458" s="9">
        <v>46019</v>
      </c>
      <c r="E2458" s="9">
        <v>46019</v>
      </c>
      <c r="F2458" s="2">
        <v>14</v>
      </c>
      <c r="G2458" s="3" t="s">
        <v>23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>
        <v>0</v>
      </c>
      <c r="N2458">
        <v>0</v>
      </c>
      <c r="O2458" s="2">
        <v>0</v>
      </c>
      <c r="P2458" s="2">
        <v>1</v>
      </c>
      <c r="Q2458">
        <v>0</v>
      </c>
      <c r="R2458" s="2">
        <v>0</v>
      </c>
      <c r="S2458" s="2">
        <v>1</v>
      </c>
      <c r="T2458" t="s">
        <v>1274</v>
      </c>
      <c r="U2458" s="2">
        <v>15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</row>
    <row r="2459" spans="1:28" hidden="1" x14ac:dyDescent="0.25">
      <c r="A2459" t="s">
        <v>37</v>
      </c>
      <c r="B2459" t="s">
        <v>57</v>
      </c>
      <c r="C2459" t="s">
        <v>212</v>
      </c>
      <c r="D2459" s="9">
        <v>46019</v>
      </c>
      <c r="E2459" s="9">
        <v>46019</v>
      </c>
      <c r="F2459" s="2">
        <v>0</v>
      </c>
      <c r="G2459" s="3" t="s">
        <v>378</v>
      </c>
      <c r="H2459">
        <v>0</v>
      </c>
      <c r="I2459" s="2">
        <v>0</v>
      </c>
      <c r="J2459" s="2">
        <v>0</v>
      </c>
      <c r="K2459" s="2">
        <v>0</v>
      </c>
      <c r="L2459" s="2">
        <v>0</v>
      </c>
      <c r="M2459">
        <v>0</v>
      </c>
      <c r="N2459">
        <v>0</v>
      </c>
      <c r="O2459" s="2">
        <v>0</v>
      </c>
      <c r="P2459" s="2">
        <v>0</v>
      </c>
      <c r="Q2459">
        <v>0</v>
      </c>
      <c r="R2459" s="2">
        <v>0</v>
      </c>
      <c r="S2459" s="2">
        <v>0</v>
      </c>
      <c r="T2459" t="s">
        <v>377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</row>
    <row r="2460" spans="1:28" hidden="1" x14ac:dyDescent="0.25">
      <c r="A2460" t="s">
        <v>56</v>
      </c>
      <c r="B2460" t="s">
        <v>34</v>
      </c>
      <c r="C2460" t="s">
        <v>27</v>
      </c>
      <c r="D2460" s="9">
        <v>46019</v>
      </c>
      <c r="E2460" s="9">
        <v>46019</v>
      </c>
      <c r="F2460" s="2">
        <v>25</v>
      </c>
      <c r="G2460" s="3" t="s">
        <v>378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 t="s">
        <v>1150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</row>
    <row r="2461" spans="1:28" hidden="1" x14ac:dyDescent="0.25">
      <c r="A2461" t="s">
        <v>47</v>
      </c>
      <c r="B2461" t="s">
        <v>21</v>
      </c>
      <c r="C2461" t="s">
        <v>212</v>
      </c>
      <c r="D2461" s="9">
        <v>46019</v>
      </c>
      <c r="E2461" s="9">
        <v>46019</v>
      </c>
      <c r="F2461" s="2">
        <v>0</v>
      </c>
      <c r="G2461" s="3" t="s">
        <v>129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 t="s">
        <v>377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</row>
    <row r="2462" spans="1:28" hidden="1" x14ac:dyDescent="0.25">
      <c r="A2462" t="s">
        <v>47</v>
      </c>
      <c r="B2462" t="s">
        <v>52</v>
      </c>
      <c r="C2462" t="s">
        <v>212</v>
      </c>
      <c r="D2462" s="9">
        <v>46019</v>
      </c>
      <c r="E2462" s="9">
        <v>46019</v>
      </c>
      <c r="F2462" s="2">
        <v>0</v>
      </c>
      <c r="G2462" s="3" t="s">
        <v>129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t="s">
        <v>377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</row>
    <row r="2463" spans="1:28" hidden="1" x14ac:dyDescent="0.25">
      <c r="A2463" t="s">
        <v>25</v>
      </c>
      <c r="B2463" t="s">
        <v>47</v>
      </c>
      <c r="C2463" t="s">
        <v>35</v>
      </c>
      <c r="D2463" s="9">
        <v>46019</v>
      </c>
      <c r="E2463" s="9">
        <v>46019</v>
      </c>
      <c r="F2463" s="2">
        <v>21</v>
      </c>
      <c r="G2463" s="3" t="s">
        <v>129</v>
      </c>
      <c r="H2463">
        <v>0</v>
      </c>
      <c r="I2463" s="2">
        <v>0</v>
      </c>
      <c r="J2463" s="2">
        <v>0</v>
      </c>
      <c r="K2463" s="2">
        <v>0</v>
      </c>
      <c r="L2463" s="2">
        <v>0</v>
      </c>
      <c r="M2463">
        <v>0</v>
      </c>
      <c r="N2463">
        <v>0</v>
      </c>
      <c r="O2463" s="2">
        <v>0</v>
      </c>
      <c r="P2463" s="2">
        <v>0</v>
      </c>
      <c r="Q2463">
        <v>0</v>
      </c>
      <c r="R2463" s="2">
        <v>0</v>
      </c>
      <c r="S2463" s="2">
        <v>0</v>
      </c>
      <c r="T2463" t="s">
        <v>1125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</row>
    <row r="2464" spans="1:28" hidden="1" x14ac:dyDescent="0.25">
      <c r="A2464" t="s">
        <v>33</v>
      </c>
      <c r="B2464" t="s">
        <v>47</v>
      </c>
      <c r="C2464" t="s">
        <v>35</v>
      </c>
      <c r="D2464" s="9">
        <v>46019</v>
      </c>
      <c r="E2464" s="9">
        <v>46019</v>
      </c>
      <c r="F2464" s="2">
        <v>21</v>
      </c>
      <c r="G2464" s="3" t="s">
        <v>50</v>
      </c>
      <c r="H2464">
        <v>0</v>
      </c>
      <c r="I2464" s="2">
        <v>0</v>
      </c>
      <c r="J2464" s="2">
        <v>0</v>
      </c>
      <c r="K2464" s="2">
        <v>0</v>
      </c>
      <c r="L2464" s="2">
        <v>0</v>
      </c>
      <c r="M2464">
        <v>0</v>
      </c>
      <c r="N2464">
        <v>0</v>
      </c>
      <c r="O2464" s="2">
        <v>0</v>
      </c>
      <c r="P2464" s="2">
        <v>0</v>
      </c>
      <c r="Q2464">
        <v>0</v>
      </c>
      <c r="R2464" s="2">
        <v>0</v>
      </c>
      <c r="S2464" s="2">
        <v>0</v>
      </c>
      <c r="T2464" t="s">
        <v>1125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</row>
    <row r="2465" spans="1:28" hidden="1" x14ac:dyDescent="0.25">
      <c r="A2465" t="s">
        <v>20</v>
      </c>
      <c r="B2465" t="s">
        <v>1160</v>
      </c>
      <c r="C2465" t="s">
        <v>22</v>
      </c>
      <c r="D2465" s="1">
        <v>46020</v>
      </c>
      <c r="E2465" s="1">
        <v>46020</v>
      </c>
      <c r="F2465" s="2">
        <v>44</v>
      </c>
      <c r="G2465" s="3" t="s">
        <v>23</v>
      </c>
      <c r="H2465">
        <f>2+1+1+2+1</f>
        <v>7</v>
      </c>
      <c r="I2465" s="2">
        <v>0</v>
      </c>
      <c r="J2465" s="2">
        <v>0</v>
      </c>
      <c r="K2465" s="2">
        <v>0</v>
      </c>
      <c r="L2465" s="2">
        <v>0</v>
      </c>
      <c r="M2465">
        <v>0</v>
      </c>
      <c r="N2465">
        <v>0</v>
      </c>
      <c r="O2465" s="2">
        <v>0</v>
      </c>
      <c r="P2465" s="2">
        <v>0</v>
      </c>
      <c r="Q2465">
        <v>0</v>
      </c>
      <c r="R2465" s="2">
        <v>0</v>
      </c>
      <c r="S2465" s="2">
        <v>0</v>
      </c>
      <c r="T2465" t="s">
        <v>1244</v>
      </c>
      <c r="U2465" s="2">
        <v>0</v>
      </c>
      <c r="V2465" s="2">
        <v>0</v>
      </c>
      <c r="W2465" s="2">
        <v>1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</row>
    <row r="2466" spans="1:28" hidden="1" x14ac:dyDescent="0.25">
      <c r="A2466" t="s">
        <v>29</v>
      </c>
      <c r="B2466" t="s">
        <v>30</v>
      </c>
      <c r="C2466" t="s">
        <v>22</v>
      </c>
      <c r="D2466" s="1">
        <v>46020</v>
      </c>
      <c r="E2466" s="1">
        <v>46020</v>
      </c>
      <c r="F2466" s="2">
        <v>18</v>
      </c>
      <c r="G2466" s="3" t="s">
        <v>23</v>
      </c>
      <c r="H2466">
        <f>2+2+2</f>
        <v>6</v>
      </c>
      <c r="I2466" s="2">
        <v>0</v>
      </c>
      <c r="J2466" s="2">
        <v>0</v>
      </c>
      <c r="K2466" s="2">
        <v>0</v>
      </c>
      <c r="L2466" s="2">
        <v>0</v>
      </c>
      <c r="M2466">
        <v>0</v>
      </c>
      <c r="N2466">
        <v>0</v>
      </c>
      <c r="O2466" s="2">
        <v>0</v>
      </c>
      <c r="P2466" s="2">
        <v>0</v>
      </c>
      <c r="Q2466">
        <v>0</v>
      </c>
      <c r="R2466" s="2">
        <v>0</v>
      </c>
      <c r="S2466" s="2">
        <v>0</v>
      </c>
      <c r="T2466" t="s">
        <v>1244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</row>
    <row r="2467" spans="1:28" hidden="1" x14ac:dyDescent="0.25">
      <c r="A2467" t="s">
        <v>53</v>
      </c>
      <c r="B2467" t="s">
        <v>38</v>
      </c>
      <c r="C2467" t="s">
        <v>54</v>
      </c>
      <c r="D2467" s="1">
        <v>46020</v>
      </c>
      <c r="E2467" s="1">
        <v>46020</v>
      </c>
      <c r="F2467" s="2">
        <v>37</v>
      </c>
      <c r="G2467" s="3" t="s">
        <v>572</v>
      </c>
      <c r="H2467">
        <v>0</v>
      </c>
      <c r="I2467" s="2">
        <v>0</v>
      </c>
      <c r="J2467" s="2">
        <v>0</v>
      </c>
      <c r="K2467" s="2">
        <v>0</v>
      </c>
      <c r="L2467" s="2">
        <v>0</v>
      </c>
      <c r="M2467">
        <v>0</v>
      </c>
      <c r="N2467">
        <v>0</v>
      </c>
      <c r="O2467" s="2">
        <v>0</v>
      </c>
      <c r="P2467" s="2">
        <v>0</v>
      </c>
      <c r="Q2467">
        <v>0</v>
      </c>
      <c r="R2467" s="2">
        <v>0</v>
      </c>
      <c r="S2467" s="2">
        <v>0</v>
      </c>
      <c r="T2467" t="s">
        <v>1244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</row>
    <row r="2468" spans="1:28" hidden="1" x14ac:dyDescent="0.25">
      <c r="A2468" t="s">
        <v>63</v>
      </c>
      <c r="B2468" t="s">
        <v>284</v>
      </c>
      <c r="C2468" t="s">
        <v>102</v>
      </c>
      <c r="D2468" s="1">
        <v>46020</v>
      </c>
      <c r="E2468" s="1">
        <v>46020</v>
      </c>
      <c r="F2468" s="2">
        <v>22</v>
      </c>
      <c r="G2468" s="3" t="s">
        <v>572</v>
      </c>
      <c r="H2468">
        <v>0</v>
      </c>
      <c r="I2468" s="2">
        <v>0</v>
      </c>
      <c r="J2468" s="2">
        <v>0</v>
      </c>
      <c r="K2468" s="2">
        <v>0</v>
      </c>
      <c r="L2468" s="2">
        <v>0</v>
      </c>
      <c r="M2468">
        <v>0</v>
      </c>
      <c r="N2468">
        <v>0</v>
      </c>
      <c r="O2468" s="2">
        <v>0</v>
      </c>
      <c r="P2468" s="2">
        <v>0</v>
      </c>
      <c r="Q2468">
        <v>0</v>
      </c>
      <c r="R2468" s="2">
        <v>0</v>
      </c>
      <c r="S2468" s="2">
        <v>0</v>
      </c>
      <c r="T2468" t="s">
        <v>1244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</row>
    <row r="2469" spans="1:28" hidden="1" x14ac:dyDescent="0.25">
      <c r="A2469" t="s">
        <v>568</v>
      </c>
      <c r="B2469" t="s">
        <v>26</v>
      </c>
      <c r="C2469" t="s">
        <v>670</v>
      </c>
      <c r="D2469" s="1">
        <v>46020</v>
      </c>
      <c r="E2469" s="1">
        <v>46020</v>
      </c>
      <c r="F2469" s="2">
        <v>63</v>
      </c>
      <c r="G2469" s="3" t="s">
        <v>572</v>
      </c>
      <c r="H2469">
        <v>0</v>
      </c>
      <c r="I2469" s="2">
        <v>0</v>
      </c>
      <c r="J2469" s="2">
        <v>0</v>
      </c>
      <c r="K2469" s="2">
        <v>0</v>
      </c>
      <c r="L2469" s="2">
        <v>0</v>
      </c>
      <c r="M2469">
        <v>0</v>
      </c>
      <c r="N2469">
        <v>0</v>
      </c>
      <c r="O2469" s="2">
        <v>0</v>
      </c>
      <c r="P2469" s="2">
        <v>0</v>
      </c>
      <c r="Q2469">
        <v>0</v>
      </c>
      <c r="R2469" s="2">
        <v>0</v>
      </c>
      <c r="S2469" s="2">
        <v>0</v>
      </c>
      <c r="T2469" t="s">
        <v>1244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</row>
    <row r="2470" spans="1:28" hidden="1" x14ac:dyDescent="0.25">
      <c r="A2470" t="s">
        <v>37</v>
      </c>
      <c r="B2470" t="s">
        <v>47</v>
      </c>
      <c r="C2470" t="s">
        <v>39</v>
      </c>
      <c r="D2470" s="1">
        <v>46020</v>
      </c>
      <c r="E2470" s="1">
        <v>46020</v>
      </c>
      <c r="F2470" s="2">
        <v>18</v>
      </c>
      <c r="G2470" s="3" t="s">
        <v>23</v>
      </c>
      <c r="H2470">
        <v>0</v>
      </c>
      <c r="I2470" s="2">
        <v>0</v>
      </c>
      <c r="J2470" s="2">
        <v>0</v>
      </c>
      <c r="K2470" s="2">
        <v>0</v>
      </c>
      <c r="L2470" s="2">
        <v>0</v>
      </c>
      <c r="M2470">
        <v>0</v>
      </c>
      <c r="N2470">
        <v>0</v>
      </c>
      <c r="O2470" s="2">
        <v>0</v>
      </c>
      <c r="P2470" s="2">
        <v>0</v>
      </c>
      <c r="Q2470">
        <v>2</v>
      </c>
      <c r="R2470" s="2">
        <v>0</v>
      </c>
      <c r="S2470" s="2">
        <v>0</v>
      </c>
      <c r="T2470" t="s">
        <v>1244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</row>
    <row r="2471" spans="1:28" hidden="1" x14ac:dyDescent="0.25">
      <c r="A2471" t="s">
        <v>105</v>
      </c>
      <c r="B2471" t="s">
        <v>47</v>
      </c>
      <c r="C2471" t="s">
        <v>39</v>
      </c>
      <c r="D2471" s="1">
        <v>46020</v>
      </c>
      <c r="E2471" s="1">
        <v>46020</v>
      </c>
      <c r="F2471" s="2">
        <v>18</v>
      </c>
      <c r="G2471" s="3" t="s">
        <v>23</v>
      </c>
      <c r="H2471">
        <v>0</v>
      </c>
      <c r="I2471" s="2">
        <v>0</v>
      </c>
      <c r="J2471" s="2">
        <v>0</v>
      </c>
      <c r="K2471" s="2">
        <v>0</v>
      </c>
      <c r="L2471" s="2">
        <v>0</v>
      </c>
      <c r="M2471">
        <v>0</v>
      </c>
      <c r="N2471">
        <v>0</v>
      </c>
      <c r="O2471" s="2">
        <v>0</v>
      </c>
      <c r="P2471" s="2">
        <v>0</v>
      </c>
      <c r="Q2471">
        <v>2</v>
      </c>
      <c r="R2471" s="2">
        <v>0</v>
      </c>
      <c r="S2471" s="2">
        <v>0</v>
      </c>
      <c r="T2471" t="s">
        <v>1244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</row>
    <row r="2472" spans="1:28" hidden="1" x14ac:dyDescent="0.25">
      <c r="A2472" t="s">
        <v>47</v>
      </c>
      <c r="B2472" t="s">
        <v>57</v>
      </c>
      <c r="C2472" t="s">
        <v>39</v>
      </c>
      <c r="D2472" s="1">
        <v>46020</v>
      </c>
      <c r="E2472" s="1">
        <v>46020</v>
      </c>
      <c r="F2472" s="2">
        <v>18</v>
      </c>
      <c r="G2472" s="3" t="s">
        <v>572</v>
      </c>
      <c r="H2472">
        <v>0</v>
      </c>
      <c r="I2472" s="2">
        <v>0</v>
      </c>
      <c r="J2472" s="2">
        <v>0</v>
      </c>
      <c r="K2472" s="2">
        <v>0</v>
      </c>
      <c r="L2472" s="2">
        <v>0</v>
      </c>
      <c r="M2472">
        <v>0</v>
      </c>
      <c r="N2472">
        <v>0</v>
      </c>
      <c r="O2472" s="2">
        <v>0</v>
      </c>
      <c r="P2472" s="2">
        <v>0</v>
      </c>
      <c r="Q2472">
        <v>0</v>
      </c>
      <c r="R2472" s="2">
        <v>0</v>
      </c>
      <c r="S2472" s="2">
        <v>0</v>
      </c>
      <c r="T2472" t="s">
        <v>1244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</row>
    <row r="2473" spans="1:28" hidden="1" x14ac:dyDescent="0.25">
      <c r="A2473" t="s">
        <v>56</v>
      </c>
      <c r="B2473" t="s">
        <v>47</v>
      </c>
      <c r="C2473" t="s">
        <v>39</v>
      </c>
      <c r="D2473" s="1">
        <v>46020</v>
      </c>
      <c r="E2473" s="1">
        <v>46020</v>
      </c>
      <c r="F2473" s="2">
        <v>18</v>
      </c>
      <c r="G2473" s="3" t="s">
        <v>572</v>
      </c>
      <c r="H2473">
        <v>0</v>
      </c>
      <c r="I2473" s="2">
        <v>0</v>
      </c>
      <c r="J2473" s="2">
        <v>0</v>
      </c>
      <c r="K2473" s="2">
        <v>0</v>
      </c>
      <c r="L2473" s="2">
        <v>0</v>
      </c>
      <c r="M2473">
        <v>0</v>
      </c>
      <c r="N2473">
        <v>0</v>
      </c>
      <c r="O2473" s="2">
        <v>0</v>
      </c>
      <c r="P2473" s="2">
        <v>0</v>
      </c>
      <c r="Q2473">
        <v>0</v>
      </c>
      <c r="R2473" s="2">
        <v>0</v>
      </c>
      <c r="S2473" s="2">
        <v>0</v>
      </c>
      <c r="T2473" t="s">
        <v>1244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</row>
    <row r="2474" spans="1:28" hidden="1" x14ac:dyDescent="0.25">
      <c r="A2474" t="s">
        <v>730</v>
      </c>
      <c r="B2474" t="s">
        <v>47</v>
      </c>
      <c r="C2474" t="s">
        <v>22</v>
      </c>
      <c r="D2474" s="1">
        <v>46020</v>
      </c>
      <c r="E2474" s="1">
        <v>46020</v>
      </c>
      <c r="F2474" s="2">
        <v>18</v>
      </c>
      <c r="G2474" s="3" t="s">
        <v>572</v>
      </c>
      <c r="H2474">
        <v>0</v>
      </c>
      <c r="I2474" s="2">
        <v>0</v>
      </c>
      <c r="J2474" s="2">
        <v>0</v>
      </c>
      <c r="K2474" s="2">
        <v>0</v>
      </c>
      <c r="L2474" s="2">
        <v>0</v>
      </c>
      <c r="M2474">
        <v>0</v>
      </c>
      <c r="N2474">
        <v>0</v>
      </c>
      <c r="O2474" s="2">
        <v>0</v>
      </c>
      <c r="P2474" s="2">
        <v>0</v>
      </c>
      <c r="Q2474">
        <v>0</v>
      </c>
      <c r="R2474" s="2">
        <v>0</v>
      </c>
      <c r="S2474" s="2">
        <v>0</v>
      </c>
      <c r="T2474" t="s">
        <v>1244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</row>
    <row r="2475" spans="1:28" hidden="1" x14ac:dyDescent="0.25">
      <c r="A2475" t="s">
        <v>25</v>
      </c>
      <c r="B2475" t="s">
        <v>47</v>
      </c>
      <c r="C2475" t="s">
        <v>35</v>
      </c>
      <c r="D2475" s="1">
        <v>46020</v>
      </c>
      <c r="E2475" s="1">
        <v>46020</v>
      </c>
      <c r="F2475" s="2">
        <v>21</v>
      </c>
      <c r="G2475" s="3" t="s">
        <v>129</v>
      </c>
      <c r="H2475">
        <v>0</v>
      </c>
      <c r="I2475" s="2">
        <v>0</v>
      </c>
      <c r="J2475" s="2">
        <v>0</v>
      </c>
      <c r="K2475" s="2">
        <v>0</v>
      </c>
      <c r="L2475" s="2">
        <v>0</v>
      </c>
      <c r="M2475">
        <v>0</v>
      </c>
      <c r="N2475">
        <v>0</v>
      </c>
      <c r="O2475" s="2">
        <v>0</v>
      </c>
      <c r="P2475" s="2">
        <v>0</v>
      </c>
      <c r="Q2475">
        <v>0</v>
      </c>
      <c r="R2475" s="2">
        <v>0</v>
      </c>
      <c r="S2475" s="2">
        <v>0</v>
      </c>
      <c r="T2475" t="s">
        <v>1125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</row>
    <row r="2476" spans="1:28" hidden="1" x14ac:dyDescent="0.25">
      <c r="A2476" t="s">
        <v>47</v>
      </c>
      <c r="B2476" t="s">
        <v>52</v>
      </c>
      <c r="C2476" t="s">
        <v>212</v>
      </c>
      <c r="D2476" s="1">
        <v>46020</v>
      </c>
      <c r="E2476" s="1">
        <v>46020</v>
      </c>
      <c r="F2476" s="2">
        <v>0</v>
      </c>
      <c r="G2476" s="3" t="s">
        <v>129</v>
      </c>
      <c r="H2476">
        <v>0</v>
      </c>
      <c r="I2476" s="2">
        <v>0</v>
      </c>
      <c r="J2476" s="2">
        <v>0</v>
      </c>
      <c r="K2476" s="2">
        <v>0</v>
      </c>
      <c r="L2476" s="2">
        <v>0</v>
      </c>
      <c r="M2476">
        <v>0</v>
      </c>
      <c r="N2476">
        <v>0</v>
      </c>
      <c r="O2476" s="2">
        <v>0</v>
      </c>
      <c r="P2476" s="2">
        <v>0</v>
      </c>
      <c r="Q2476">
        <v>0</v>
      </c>
      <c r="R2476" s="2">
        <v>0</v>
      </c>
      <c r="S2476" s="2">
        <v>0</v>
      </c>
      <c r="T2476" t="s">
        <v>377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</row>
    <row r="2477" spans="1:28" hidden="1" x14ac:dyDescent="0.25">
      <c r="A2477" t="s">
        <v>47</v>
      </c>
      <c r="B2477" t="s">
        <v>21</v>
      </c>
      <c r="C2477" t="s">
        <v>212</v>
      </c>
      <c r="D2477" s="1">
        <v>46020</v>
      </c>
      <c r="E2477" s="1">
        <v>46020</v>
      </c>
      <c r="F2477" s="2">
        <v>0</v>
      </c>
      <c r="G2477" s="3" t="s">
        <v>129</v>
      </c>
      <c r="H2477">
        <v>0</v>
      </c>
      <c r="I2477" s="2">
        <v>0</v>
      </c>
      <c r="J2477" s="2">
        <v>0</v>
      </c>
      <c r="K2477" s="2">
        <v>0</v>
      </c>
      <c r="L2477" s="2">
        <v>0</v>
      </c>
      <c r="M2477">
        <v>0</v>
      </c>
      <c r="N2477">
        <v>0</v>
      </c>
      <c r="O2477" s="2">
        <v>0</v>
      </c>
      <c r="P2477" s="2">
        <v>0</v>
      </c>
      <c r="Q2477">
        <v>0</v>
      </c>
      <c r="R2477" s="2">
        <v>0</v>
      </c>
      <c r="S2477" s="2">
        <v>0</v>
      </c>
      <c r="T2477" t="s">
        <v>377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</row>
    <row r="2478" spans="1:28" hidden="1" x14ac:dyDescent="0.25">
      <c r="A2478" t="s">
        <v>47</v>
      </c>
      <c r="B2478" t="s">
        <v>34</v>
      </c>
      <c r="C2478" t="s">
        <v>212</v>
      </c>
      <c r="D2478" s="1">
        <v>46020</v>
      </c>
      <c r="E2478" s="1">
        <v>46020</v>
      </c>
      <c r="F2478" s="2">
        <v>0</v>
      </c>
      <c r="G2478" s="3" t="s">
        <v>1275</v>
      </c>
      <c r="H2478">
        <v>0</v>
      </c>
      <c r="I2478" s="2">
        <v>0</v>
      </c>
      <c r="J2478" s="2">
        <v>0</v>
      </c>
      <c r="K2478" s="2">
        <v>0</v>
      </c>
      <c r="L2478" s="2">
        <v>0</v>
      </c>
      <c r="M2478">
        <v>0</v>
      </c>
      <c r="N2478">
        <v>0</v>
      </c>
      <c r="O2478" s="2">
        <v>0</v>
      </c>
      <c r="P2478" s="2">
        <v>0</v>
      </c>
      <c r="Q2478">
        <v>0</v>
      </c>
      <c r="R2478" s="2">
        <v>0</v>
      </c>
      <c r="S2478" s="2">
        <v>0</v>
      </c>
      <c r="T2478" t="s">
        <v>377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</row>
    <row r="2479" spans="1:28" hidden="1" x14ac:dyDescent="0.25">
      <c r="A2479" t="s">
        <v>33</v>
      </c>
      <c r="B2479" t="s">
        <v>47</v>
      </c>
      <c r="C2479" t="s">
        <v>35</v>
      </c>
      <c r="D2479" s="1">
        <v>46020</v>
      </c>
      <c r="E2479" s="1">
        <v>46020</v>
      </c>
      <c r="F2479" s="2">
        <v>21</v>
      </c>
      <c r="G2479" s="3" t="s">
        <v>50</v>
      </c>
      <c r="H2479">
        <v>0</v>
      </c>
      <c r="I2479" s="2">
        <v>0</v>
      </c>
      <c r="J2479" s="2">
        <v>0</v>
      </c>
      <c r="K2479" s="2">
        <v>0</v>
      </c>
      <c r="L2479" s="2">
        <v>0</v>
      </c>
      <c r="M2479">
        <v>0</v>
      </c>
      <c r="N2479">
        <v>0</v>
      </c>
      <c r="O2479" s="2">
        <v>0</v>
      </c>
      <c r="P2479" s="2">
        <v>0</v>
      </c>
      <c r="Q2479">
        <v>0</v>
      </c>
      <c r="R2479" s="2">
        <v>0</v>
      </c>
      <c r="S2479" s="2">
        <v>0</v>
      </c>
      <c r="T2479" t="s">
        <v>1125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</row>
    <row r="2480" spans="1:28" hidden="1" x14ac:dyDescent="0.25">
      <c r="A2480" t="s">
        <v>37</v>
      </c>
      <c r="B2480" t="s">
        <v>57</v>
      </c>
      <c r="C2480" t="s">
        <v>39</v>
      </c>
      <c r="D2480" s="1">
        <v>46021</v>
      </c>
      <c r="E2480" s="1">
        <v>46021</v>
      </c>
      <c r="F2480" s="2">
        <v>18</v>
      </c>
      <c r="G2480" s="3" t="s">
        <v>23</v>
      </c>
      <c r="H2480">
        <f>7+7+10</f>
        <v>24</v>
      </c>
      <c r="I2480" s="2">
        <v>0</v>
      </c>
      <c r="J2480" s="2">
        <v>1</v>
      </c>
      <c r="K2480" s="2">
        <v>1</v>
      </c>
      <c r="L2480" s="2">
        <v>0</v>
      </c>
      <c r="M2480">
        <v>0</v>
      </c>
      <c r="N2480">
        <v>1</v>
      </c>
      <c r="O2480" s="2">
        <v>0</v>
      </c>
      <c r="P2480" s="2">
        <v>0</v>
      </c>
      <c r="Q2480">
        <v>0</v>
      </c>
      <c r="R2480" s="2">
        <v>0</v>
      </c>
      <c r="S2480" s="2">
        <v>0</v>
      </c>
      <c r="T2480" t="s">
        <v>1276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</row>
    <row r="2481" spans="1:28" hidden="1" x14ac:dyDescent="0.25">
      <c r="A2481" t="s">
        <v>105</v>
      </c>
      <c r="B2481" t="s">
        <v>1277</v>
      </c>
      <c r="C2481" t="s">
        <v>39</v>
      </c>
      <c r="D2481" s="1">
        <v>46021</v>
      </c>
      <c r="E2481" s="1">
        <v>46021</v>
      </c>
      <c r="F2481" s="2">
        <v>18</v>
      </c>
      <c r="G2481" s="3" t="s">
        <v>23</v>
      </c>
      <c r="H2481">
        <f>7+7+4+2</f>
        <v>20</v>
      </c>
      <c r="I2481" s="2">
        <v>0</v>
      </c>
      <c r="J2481" s="2">
        <v>0</v>
      </c>
      <c r="K2481" s="2">
        <v>0</v>
      </c>
      <c r="L2481" s="2">
        <v>1</v>
      </c>
      <c r="M2481">
        <v>1</v>
      </c>
      <c r="N2481">
        <v>0</v>
      </c>
      <c r="O2481" s="2">
        <v>0</v>
      </c>
      <c r="P2481" s="2">
        <v>0</v>
      </c>
      <c r="Q2481">
        <v>0</v>
      </c>
      <c r="R2481" s="2">
        <v>0</v>
      </c>
      <c r="S2481" s="2">
        <v>0</v>
      </c>
      <c r="T2481" t="s">
        <v>1276</v>
      </c>
      <c r="U2481" s="2">
        <v>0</v>
      </c>
      <c r="V2481" s="2">
        <f>6+4</f>
        <v>10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</row>
    <row r="2482" spans="1:28" hidden="1" x14ac:dyDescent="0.25">
      <c r="A2482" t="s">
        <v>730</v>
      </c>
      <c r="B2482" t="s">
        <v>47</v>
      </c>
      <c r="C2482" t="s">
        <v>39</v>
      </c>
      <c r="D2482" s="1">
        <v>46021</v>
      </c>
      <c r="E2482" s="1">
        <v>46021</v>
      </c>
      <c r="F2482" s="2">
        <v>18</v>
      </c>
      <c r="G2482" s="3" t="s">
        <v>23</v>
      </c>
      <c r="H2482">
        <f>7+7+4+2</f>
        <v>20</v>
      </c>
      <c r="I2482" s="2">
        <v>0</v>
      </c>
      <c r="J2482" s="2">
        <v>0</v>
      </c>
      <c r="K2482" s="2">
        <v>0</v>
      </c>
      <c r="L2482" s="2">
        <v>1</v>
      </c>
      <c r="M2482">
        <v>1</v>
      </c>
      <c r="N2482">
        <v>0</v>
      </c>
      <c r="O2482" s="2">
        <v>0</v>
      </c>
      <c r="P2482" s="2">
        <v>0</v>
      </c>
      <c r="Q2482">
        <v>0</v>
      </c>
      <c r="R2482" s="2">
        <v>0</v>
      </c>
      <c r="S2482" s="2">
        <v>0</v>
      </c>
      <c r="T2482" t="s">
        <v>1276</v>
      </c>
      <c r="U2482" s="2">
        <v>0</v>
      </c>
      <c r="V2482" s="2">
        <f>6+4</f>
        <v>10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</row>
    <row r="2483" spans="1:28" hidden="1" x14ac:dyDescent="0.25">
      <c r="A2483" t="s">
        <v>29</v>
      </c>
      <c r="B2483" t="s">
        <v>30</v>
      </c>
      <c r="C2483" t="s">
        <v>39</v>
      </c>
      <c r="D2483" s="1">
        <v>46021</v>
      </c>
      <c r="E2483" s="1">
        <v>46021</v>
      </c>
      <c r="F2483" s="2">
        <v>18</v>
      </c>
      <c r="G2483" s="3" t="s">
        <v>23</v>
      </c>
      <c r="H2483">
        <f>8+8+1+1</f>
        <v>18</v>
      </c>
      <c r="I2483" s="2">
        <v>0</v>
      </c>
      <c r="J2483" s="2">
        <v>0</v>
      </c>
      <c r="K2483" s="2">
        <v>1</v>
      </c>
      <c r="L2483" s="2">
        <v>0</v>
      </c>
      <c r="M2483">
        <v>0</v>
      </c>
      <c r="N2483">
        <v>0</v>
      </c>
      <c r="O2483" s="2">
        <v>0</v>
      </c>
      <c r="P2483" s="2">
        <v>0</v>
      </c>
      <c r="Q2483">
        <v>0</v>
      </c>
      <c r="R2483" s="2">
        <v>0</v>
      </c>
      <c r="S2483" s="2">
        <v>0</v>
      </c>
      <c r="T2483" t="s">
        <v>1276</v>
      </c>
      <c r="U2483" s="2">
        <v>0</v>
      </c>
      <c r="V2483" s="2">
        <v>35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</row>
    <row r="2484" spans="1:28" hidden="1" x14ac:dyDescent="0.25">
      <c r="A2484" t="s">
        <v>20</v>
      </c>
      <c r="B2484" t="s">
        <v>1160</v>
      </c>
      <c r="C2484" t="s">
        <v>22</v>
      </c>
      <c r="D2484" s="1">
        <v>46021</v>
      </c>
      <c r="E2484" s="1">
        <v>46021</v>
      </c>
      <c r="F2484" s="2">
        <v>44</v>
      </c>
      <c r="G2484" s="3" t="s">
        <v>23</v>
      </c>
      <c r="H2484">
        <f>18+18</f>
        <v>36</v>
      </c>
      <c r="I2484" s="2">
        <v>0</v>
      </c>
      <c r="J2484" s="2">
        <v>0</v>
      </c>
      <c r="K2484" s="2">
        <v>1</v>
      </c>
      <c r="L2484" s="2">
        <v>0</v>
      </c>
      <c r="M2484">
        <v>0</v>
      </c>
      <c r="N2484">
        <v>0</v>
      </c>
      <c r="O2484" s="2">
        <v>0</v>
      </c>
      <c r="P2484" s="2">
        <v>0</v>
      </c>
      <c r="Q2484">
        <v>0</v>
      </c>
      <c r="R2484" s="2">
        <v>0</v>
      </c>
      <c r="S2484" s="2">
        <v>0</v>
      </c>
      <c r="T2484" t="s">
        <v>1278</v>
      </c>
      <c r="U2484" s="2">
        <v>0</v>
      </c>
      <c r="V2484" s="2">
        <f>14+9</f>
        <v>23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</row>
    <row r="2485" spans="1:28" hidden="1" x14ac:dyDescent="0.25">
      <c r="A2485" t="s">
        <v>53</v>
      </c>
      <c r="B2485" t="s">
        <v>38</v>
      </c>
      <c r="C2485" t="s">
        <v>54</v>
      </c>
      <c r="D2485" s="1">
        <v>46021</v>
      </c>
      <c r="E2485" s="1">
        <v>46021</v>
      </c>
      <c r="F2485" s="2">
        <v>37</v>
      </c>
      <c r="G2485" s="3" t="s">
        <v>23</v>
      </c>
      <c r="H2485">
        <v>80</v>
      </c>
      <c r="I2485" s="2">
        <v>0</v>
      </c>
      <c r="J2485" s="2">
        <v>1</v>
      </c>
      <c r="K2485" s="2">
        <v>1</v>
      </c>
      <c r="L2485" s="2">
        <v>0</v>
      </c>
      <c r="M2485">
        <v>0</v>
      </c>
      <c r="N2485">
        <v>0</v>
      </c>
      <c r="O2485" s="2">
        <v>0</v>
      </c>
      <c r="P2485" s="2">
        <v>0</v>
      </c>
      <c r="Q2485">
        <v>0</v>
      </c>
      <c r="R2485" s="2">
        <v>0</v>
      </c>
      <c r="S2485" s="2">
        <v>0</v>
      </c>
      <c r="T2485" t="s">
        <v>1279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</row>
    <row r="2486" spans="1:28" hidden="1" x14ac:dyDescent="0.25">
      <c r="A2486" t="s">
        <v>63</v>
      </c>
      <c r="B2486" t="s">
        <v>284</v>
      </c>
      <c r="C2486" t="s">
        <v>102</v>
      </c>
      <c r="D2486" s="1">
        <v>46021</v>
      </c>
      <c r="E2486" s="1">
        <v>46021</v>
      </c>
      <c r="F2486" s="2">
        <v>22</v>
      </c>
      <c r="G2486" s="3" t="s">
        <v>23</v>
      </c>
      <c r="H2486">
        <f>13+13+6+6+1</f>
        <v>39</v>
      </c>
      <c r="I2486" s="2">
        <v>0</v>
      </c>
      <c r="J2486" s="2">
        <v>0</v>
      </c>
      <c r="K2486" s="2">
        <v>1</v>
      </c>
      <c r="L2486" s="2">
        <v>0</v>
      </c>
      <c r="M2486">
        <v>0</v>
      </c>
      <c r="N2486">
        <v>0</v>
      </c>
      <c r="O2486" s="2">
        <v>0</v>
      </c>
      <c r="P2486" s="2">
        <v>0</v>
      </c>
      <c r="Q2486">
        <v>0</v>
      </c>
      <c r="R2486" s="2">
        <v>0</v>
      </c>
      <c r="S2486" s="2">
        <v>0</v>
      </c>
      <c r="T2486" t="s">
        <v>1280</v>
      </c>
      <c r="U2486" s="2">
        <v>0</v>
      </c>
      <c r="V2486" s="2">
        <f>14+8</f>
        <v>22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</row>
    <row r="2487" spans="1:28" hidden="1" x14ac:dyDescent="0.25">
      <c r="A2487" t="s">
        <v>568</v>
      </c>
      <c r="B2487" t="s">
        <v>26</v>
      </c>
      <c r="C2487" t="s">
        <v>670</v>
      </c>
      <c r="D2487" s="1">
        <v>46021</v>
      </c>
      <c r="E2487" s="1">
        <v>46021</v>
      </c>
      <c r="F2487" s="2">
        <v>63</v>
      </c>
      <c r="G2487" s="3" t="s">
        <v>23</v>
      </c>
      <c r="H2487">
        <f>37-10</f>
        <v>27</v>
      </c>
      <c r="I2487" s="2">
        <v>0</v>
      </c>
      <c r="J2487" s="2">
        <v>0</v>
      </c>
      <c r="K2487" s="2">
        <v>1</v>
      </c>
      <c r="L2487" s="2">
        <v>0</v>
      </c>
      <c r="M2487">
        <v>0</v>
      </c>
      <c r="N2487">
        <v>0</v>
      </c>
      <c r="O2487" s="2">
        <v>0</v>
      </c>
      <c r="P2487" s="2">
        <v>0</v>
      </c>
      <c r="Q2487">
        <v>0</v>
      </c>
      <c r="R2487" s="2">
        <v>0</v>
      </c>
      <c r="S2487" s="2">
        <v>0</v>
      </c>
      <c r="T2487" t="s">
        <v>1281</v>
      </c>
      <c r="U2487" s="2">
        <v>0</v>
      </c>
      <c r="V2487" s="2">
        <v>10</v>
      </c>
      <c r="W2487" s="2">
        <v>1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</row>
    <row r="2488" spans="1:28" hidden="1" x14ac:dyDescent="0.25">
      <c r="A2488" t="s">
        <v>56</v>
      </c>
      <c r="B2488" t="s">
        <v>34</v>
      </c>
      <c r="C2488" t="s">
        <v>39</v>
      </c>
      <c r="D2488" s="1">
        <v>46021</v>
      </c>
      <c r="E2488" s="1">
        <v>46021</v>
      </c>
      <c r="F2488" s="2">
        <v>18</v>
      </c>
      <c r="G2488" s="3" t="s">
        <v>48</v>
      </c>
      <c r="H2488">
        <v>0</v>
      </c>
      <c r="I2488" s="2">
        <v>0</v>
      </c>
      <c r="J2488" s="2">
        <v>0</v>
      </c>
      <c r="K2488" s="2">
        <v>0</v>
      </c>
      <c r="L2488" s="2">
        <v>0</v>
      </c>
      <c r="M2488">
        <v>0</v>
      </c>
      <c r="N2488">
        <v>0</v>
      </c>
      <c r="O2488" s="2">
        <v>0</v>
      </c>
      <c r="P2488" s="2">
        <v>0</v>
      </c>
      <c r="Q2488">
        <v>0</v>
      </c>
      <c r="R2488" s="2">
        <v>0</v>
      </c>
      <c r="S2488" s="2">
        <v>0</v>
      </c>
      <c r="T2488" t="s">
        <v>1244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</row>
    <row r="2489" spans="1:28" hidden="1" x14ac:dyDescent="0.25">
      <c r="A2489" t="s">
        <v>25</v>
      </c>
      <c r="B2489" t="s">
        <v>47</v>
      </c>
      <c r="C2489" t="s">
        <v>35</v>
      </c>
      <c r="D2489" s="1">
        <v>46021</v>
      </c>
      <c r="E2489" s="1">
        <v>46021</v>
      </c>
      <c r="F2489" s="2">
        <v>21</v>
      </c>
      <c r="G2489" s="3" t="s">
        <v>129</v>
      </c>
      <c r="H2489">
        <v>0</v>
      </c>
      <c r="I2489" s="2">
        <v>0</v>
      </c>
      <c r="J2489" s="2">
        <v>0</v>
      </c>
      <c r="K2489" s="2">
        <v>0</v>
      </c>
      <c r="L2489" s="2">
        <v>0</v>
      </c>
      <c r="M2489">
        <v>0</v>
      </c>
      <c r="N2489">
        <v>0</v>
      </c>
      <c r="O2489" s="2">
        <v>0</v>
      </c>
      <c r="P2489" s="2">
        <v>0</v>
      </c>
      <c r="Q2489">
        <v>0</v>
      </c>
      <c r="R2489" s="2">
        <v>0</v>
      </c>
      <c r="S2489" s="2">
        <v>0</v>
      </c>
      <c r="T2489" t="s">
        <v>1125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</row>
    <row r="2490" spans="1:28" hidden="1" x14ac:dyDescent="0.25">
      <c r="A2490" t="s">
        <v>47</v>
      </c>
      <c r="B2490" t="s">
        <v>21</v>
      </c>
      <c r="C2490" t="s">
        <v>212</v>
      </c>
      <c r="D2490" s="1">
        <v>46021</v>
      </c>
      <c r="E2490" s="1">
        <v>46021</v>
      </c>
      <c r="F2490" s="2">
        <v>0</v>
      </c>
      <c r="G2490" s="3" t="s">
        <v>129</v>
      </c>
      <c r="H2490">
        <v>0</v>
      </c>
      <c r="I2490" s="2">
        <v>0</v>
      </c>
      <c r="J2490" s="2">
        <v>0</v>
      </c>
      <c r="K2490" s="2">
        <v>0</v>
      </c>
      <c r="L2490" s="2">
        <v>0</v>
      </c>
      <c r="M2490">
        <v>0</v>
      </c>
      <c r="N2490">
        <v>0</v>
      </c>
      <c r="O2490" s="2">
        <v>0</v>
      </c>
      <c r="P2490" s="2">
        <v>0</v>
      </c>
      <c r="Q2490">
        <v>0</v>
      </c>
      <c r="R2490" s="2">
        <v>0</v>
      </c>
      <c r="S2490" s="2">
        <v>0</v>
      </c>
      <c r="T2490" t="s">
        <v>377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</row>
    <row r="2491" spans="1:28" hidden="1" x14ac:dyDescent="0.25">
      <c r="A2491" t="s">
        <v>47</v>
      </c>
      <c r="B2491" t="s">
        <v>52</v>
      </c>
      <c r="C2491" t="s">
        <v>212</v>
      </c>
      <c r="D2491" s="1">
        <v>46021</v>
      </c>
      <c r="E2491" s="1">
        <v>46021</v>
      </c>
      <c r="F2491" s="2">
        <v>0</v>
      </c>
      <c r="G2491" s="3" t="s">
        <v>129</v>
      </c>
      <c r="H2491">
        <v>0</v>
      </c>
      <c r="I2491" s="2">
        <v>0</v>
      </c>
      <c r="J2491" s="2">
        <v>0</v>
      </c>
      <c r="K2491" s="2">
        <v>0</v>
      </c>
      <c r="L2491" s="2">
        <v>0</v>
      </c>
      <c r="M2491">
        <v>0</v>
      </c>
      <c r="N2491">
        <v>0</v>
      </c>
      <c r="O2491" s="2">
        <v>0</v>
      </c>
      <c r="P2491" s="2">
        <v>0</v>
      </c>
      <c r="Q2491">
        <v>0</v>
      </c>
      <c r="R2491" s="2">
        <v>0</v>
      </c>
      <c r="S2491" s="2">
        <v>0</v>
      </c>
      <c r="T2491" t="s">
        <v>377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</row>
    <row r="2492" spans="1:28" hidden="1" x14ac:dyDescent="0.25">
      <c r="A2492" t="s">
        <v>33</v>
      </c>
      <c r="B2492" t="s">
        <v>47</v>
      </c>
      <c r="C2492" t="s">
        <v>35</v>
      </c>
      <c r="D2492" s="1">
        <v>46021</v>
      </c>
      <c r="E2492" s="1">
        <v>46021</v>
      </c>
      <c r="F2492" s="2">
        <v>21</v>
      </c>
      <c r="G2492" s="3" t="s">
        <v>50</v>
      </c>
      <c r="H2492">
        <v>0</v>
      </c>
      <c r="I2492" s="2">
        <v>0</v>
      </c>
      <c r="J2492" s="2">
        <v>0</v>
      </c>
      <c r="K2492" s="2">
        <v>0</v>
      </c>
      <c r="L2492" s="2">
        <v>0</v>
      </c>
      <c r="M2492">
        <v>0</v>
      </c>
      <c r="N2492">
        <v>0</v>
      </c>
      <c r="O2492" s="2">
        <v>0</v>
      </c>
      <c r="P2492" s="2">
        <v>0</v>
      </c>
      <c r="Q2492">
        <v>0</v>
      </c>
      <c r="R2492" s="2">
        <v>0</v>
      </c>
      <c r="S2492" s="2">
        <v>0</v>
      </c>
      <c r="T2492" t="s">
        <v>1125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</row>
    <row r="2493" spans="1:28" hidden="1" x14ac:dyDescent="0.25">
      <c r="A2493" t="s">
        <v>37</v>
      </c>
      <c r="B2493" t="s">
        <v>57</v>
      </c>
      <c r="C2493" t="s">
        <v>64</v>
      </c>
      <c r="D2493" s="1">
        <v>46022</v>
      </c>
      <c r="E2493" s="1">
        <v>46022</v>
      </c>
      <c r="F2493" s="2">
        <v>32</v>
      </c>
      <c r="G2493" s="3" t="s">
        <v>23</v>
      </c>
      <c r="H2493">
        <f>14+14</f>
        <v>28</v>
      </c>
      <c r="I2493" s="2">
        <v>0</v>
      </c>
      <c r="J2493" s="2">
        <v>1</v>
      </c>
      <c r="K2493" s="2">
        <v>1</v>
      </c>
      <c r="L2493" s="2">
        <v>0</v>
      </c>
      <c r="M2493">
        <v>0</v>
      </c>
      <c r="N2493">
        <v>0</v>
      </c>
      <c r="O2493" s="2">
        <v>0</v>
      </c>
      <c r="P2493" s="2">
        <v>0</v>
      </c>
      <c r="Q2493">
        <v>0</v>
      </c>
      <c r="R2493" s="2">
        <v>0</v>
      </c>
      <c r="S2493" s="2">
        <v>0</v>
      </c>
      <c r="T2493" t="s">
        <v>1282</v>
      </c>
      <c r="U2493" s="2">
        <v>0</v>
      </c>
      <c r="V2493" s="2">
        <f>15+2</f>
        <v>17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</row>
    <row r="2494" spans="1:28" hidden="1" x14ac:dyDescent="0.25">
      <c r="A2494" t="s">
        <v>105</v>
      </c>
      <c r="B2494" t="s">
        <v>47</v>
      </c>
      <c r="C2494" t="s">
        <v>64</v>
      </c>
      <c r="D2494" s="1">
        <v>46022</v>
      </c>
      <c r="E2494" s="1">
        <v>46022</v>
      </c>
      <c r="F2494" s="2">
        <v>32</v>
      </c>
      <c r="G2494" s="3" t="s">
        <v>23</v>
      </c>
      <c r="H2494">
        <f>3+2+3+2+1</f>
        <v>11</v>
      </c>
      <c r="I2494" s="2">
        <v>0</v>
      </c>
      <c r="J2494" s="2">
        <v>0</v>
      </c>
      <c r="K2494" s="2">
        <v>0</v>
      </c>
      <c r="L2494" s="2">
        <v>1</v>
      </c>
      <c r="M2494">
        <v>0</v>
      </c>
      <c r="N2494">
        <v>0</v>
      </c>
      <c r="O2494" s="2">
        <v>0</v>
      </c>
      <c r="P2494" s="2">
        <v>0</v>
      </c>
      <c r="Q2494">
        <v>0</v>
      </c>
      <c r="R2494" s="2">
        <v>0</v>
      </c>
      <c r="S2494" s="2">
        <v>0</v>
      </c>
      <c r="T2494" t="s">
        <v>1282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</row>
    <row r="2495" spans="1:28" hidden="1" x14ac:dyDescent="0.25">
      <c r="A2495" t="s">
        <v>730</v>
      </c>
      <c r="B2495" t="s">
        <v>47</v>
      </c>
      <c r="C2495" t="s">
        <v>64</v>
      </c>
      <c r="D2495" s="1">
        <v>46022</v>
      </c>
      <c r="E2495" s="1">
        <v>46022</v>
      </c>
      <c r="F2495" s="2">
        <v>32</v>
      </c>
      <c r="G2495" s="3" t="s">
        <v>23</v>
      </c>
      <c r="H2495">
        <f>3+2+3+2+1</f>
        <v>11</v>
      </c>
      <c r="I2495" s="2">
        <v>0</v>
      </c>
      <c r="J2495" s="2">
        <v>0</v>
      </c>
      <c r="K2495" s="2">
        <v>0</v>
      </c>
      <c r="L2495" s="2">
        <v>1</v>
      </c>
      <c r="M2495">
        <v>0</v>
      </c>
      <c r="N2495">
        <v>0</v>
      </c>
      <c r="O2495" s="2">
        <v>0</v>
      </c>
      <c r="P2495" s="2">
        <v>0</v>
      </c>
      <c r="Q2495">
        <v>0</v>
      </c>
      <c r="R2495" s="2">
        <v>0</v>
      </c>
      <c r="S2495" s="2">
        <v>0</v>
      </c>
      <c r="T2495" t="s">
        <v>1282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</row>
    <row r="2496" spans="1:28" hidden="1" x14ac:dyDescent="0.25">
      <c r="A2496" t="s">
        <v>29</v>
      </c>
      <c r="B2496" t="s">
        <v>30</v>
      </c>
      <c r="C2496" t="s">
        <v>31</v>
      </c>
      <c r="D2496" s="1">
        <v>46022</v>
      </c>
      <c r="E2496" s="1">
        <v>46022</v>
      </c>
      <c r="F2496" s="2">
        <v>37</v>
      </c>
      <c r="G2496" s="3" t="s">
        <v>23</v>
      </c>
      <c r="H2496">
        <f>12+12</f>
        <v>24</v>
      </c>
      <c r="I2496" s="2">
        <v>0</v>
      </c>
      <c r="J2496" s="2">
        <v>1</v>
      </c>
      <c r="K2496" s="2">
        <v>1</v>
      </c>
      <c r="L2496" s="2">
        <v>0</v>
      </c>
      <c r="M2496">
        <v>0</v>
      </c>
      <c r="N2496">
        <v>0</v>
      </c>
      <c r="O2496" s="2">
        <v>0</v>
      </c>
      <c r="P2496" s="2">
        <v>0</v>
      </c>
      <c r="Q2496">
        <v>0</v>
      </c>
      <c r="R2496" s="2">
        <v>0</v>
      </c>
      <c r="S2496" s="2">
        <v>0</v>
      </c>
      <c r="T2496" t="s">
        <v>1283</v>
      </c>
      <c r="U2496" s="2">
        <v>0</v>
      </c>
      <c r="V2496" s="2">
        <f>15+2</f>
        <v>17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</row>
    <row r="2497" spans="1:28" hidden="1" x14ac:dyDescent="0.25">
      <c r="A2497" t="s">
        <v>20</v>
      </c>
      <c r="B2497" t="s">
        <v>1160</v>
      </c>
      <c r="C2497" t="s">
        <v>22</v>
      </c>
      <c r="D2497" s="1">
        <v>46022</v>
      </c>
      <c r="E2497" s="1">
        <v>46022</v>
      </c>
      <c r="F2497" s="13">
        <v>3325</v>
      </c>
      <c r="G2497" s="3" t="s">
        <v>23</v>
      </c>
      <c r="H2497">
        <f>21+21</f>
        <v>42</v>
      </c>
      <c r="I2497" s="2">
        <v>0</v>
      </c>
      <c r="J2497" s="2">
        <v>1</v>
      </c>
      <c r="K2497" s="2">
        <v>1</v>
      </c>
      <c r="L2497" s="2">
        <v>0</v>
      </c>
      <c r="M2497">
        <v>0</v>
      </c>
      <c r="N2497">
        <v>0</v>
      </c>
      <c r="O2497" s="2">
        <v>0</v>
      </c>
      <c r="P2497" s="2">
        <v>0</v>
      </c>
      <c r="Q2497">
        <v>0</v>
      </c>
      <c r="R2497" s="2">
        <v>0</v>
      </c>
      <c r="S2497" s="2">
        <v>0</v>
      </c>
      <c r="T2497" t="s">
        <v>1284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</row>
    <row r="2498" spans="1:28" hidden="1" x14ac:dyDescent="0.25">
      <c r="A2498" t="s">
        <v>56</v>
      </c>
      <c r="B2498" t="s">
        <v>34</v>
      </c>
      <c r="C2498" t="s">
        <v>64</v>
      </c>
      <c r="D2498" s="1">
        <v>46022</v>
      </c>
      <c r="E2498" s="1">
        <v>46022</v>
      </c>
      <c r="F2498" s="2">
        <v>32</v>
      </c>
      <c r="G2498" s="3" t="s">
        <v>23</v>
      </c>
      <c r="H2498">
        <f>20+20+1</f>
        <v>41</v>
      </c>
      <c r="I2498" s="2">
        <v>0</v>
      </c>
      <c r="J2498" s="2">
        <v>1</v>
      </c>
      <c r="K2498" s="2">
        <v>1</v>
      </c>
      <c r="L2498" s="2">
        <v>0</v>
      </c>
      <c r="M2498">
        <v>0</v>
      </c>
      <c r="N2498">
        <v>0</v>
      </c>
      <c r="O2498" s="2">
        <v>0</v>
      </c>
      <c r="P2498" s="2">
        <v>0</v>
      </c>
      <c r="Q2498">
        <v>0</v>
      </c>
      <c r="R2498" s="2">
        <v>0</v>
      </c>
      <c r="S2498" s="2">
        <v>0</v>
      </c>
      <c r="T2498" t="s">
        <v>1282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</row>
    <row r="2499" spans="1:28" hidden="1" x14ac:dyDescent="0.25">
      <c r="A2499" t="s">
        <v>63</v>
      </c>
      <c r="B2499" t="s">
        <v>284</v>
      </c>
      <c r="C2499" t="s">
        <v>102</v>
      </c>
      <c r="D2499" s="1">
        <v>46022</v>
      </c>
      <c r="E2499" s="1">
        <v>46022</v>
      </c>
      <c r="F2499" s="2">
        <v>64</v>
      </c>
      <c r="G2499" s="3" t="s">
        <v>23</v>
      </c>
      <c r="H2499">
        <f>6+3+6+3+2+2</f>
        <v>22</v>
      </c>
      <c r="I2499" s="2">
        <v>0</v>
      </c>
      <c r="J2499" s="2">
        <v>1</v>
      </c>
      <c r="K2499" s="2">
        <v>0</v>
      </c>
      <c r="L2499" s="2">
        <v>1</v>
      </c>
      <c r="M2499">
        <v>0</v>
      </c>
      <c r="N2499">
        <v>0</v>
      </c>
      <c r="O2499" s="2">
        <v>0</v>
      </c>
      <c r="P2499" s="2">
        <v>0</v>
      </c>
      <c r="Q2499">
        <v>0</v>
      </c>
      <c r="R2499" s="2">
        <v>0</v>
      </c>
      <c r="S2499" s="2">
        <v>0</v>
      </c>
      <c r="T2499" t="s">
        <v>1285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</row>
    <row r="2500" spans="1:28" hidden="1" x14ac:dyDescent="0.25">
      <c r="A2500" t="s">
        <v>568</v>
      </c>
      <c r="B2500" t="s">
        <v>47</v>
      </c>
      <c r="C2500" t="s">
        <v>102</v>
      </c>
      <c r="D2500" s="1">
        <v>46022</v>
      </c>
      <c r="E2500" s="1">
        <v>46022</v>
      </c>
      <c r="F2500" s="2">
        <v>64</v>
      </c>
      <c r="G2500" s="3" t="s">
        <v>23</v>
      </c>
      <c r="H2500">
        <f>3+3+2+2+5</f>
        <v>15</v>
      </c>
      <c r="I2500" s="2">
        <v>0</v>
      </c>
      <c r="J2500" s="2">
        <v>1</v>
      </c>
      <c r="K2500" s="2">
        <v>1</v>
      </c>
      <c r="L2500" s="2">
        <v>0</v>
      </c>
      <c r="M2500">
        <v>0</v>
      </c>
      <c r="N2500">
        <v>0</v>
      </c>
      <c r="O2500" s="2">
        <v>0</v>
      </c>
      <c r="P2500" s="2">
        <v>0</v>
      </c>
      <c r="Q2500">
        <v>0</v>
      </c>
      <c r="R2500" s="2">
        <v>0</v>
      </c>
      <c r="S2500" s="2">
        <v>0</v>
      </c>
      <c r="T2500" t="s">
        <v>1285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</row>
    <row r="2501" spans="1:28" hidden="1" x14ac:dyDescent="0.25">
      <c r="A2501" t="s">
        <v>53</v>
      </c>
      <c r="B2501" t="s">
        <v>38</v>
      </c>
      <c r="C2501" t="s">
        <v>39</v>
      </c>
      <c r="D2501" s="1">
        <v>46022</v>
      </c>
      <c r="E2501" s="1">
        <v>46022</v>
      </c>
      <c r="F2501" s="2">
        <v>18</v>
      </c>
      <c r="G2501" s="3" t="s">
        <v>1286</v>
      </c>
      <c r="H2501">
        <v>0</v>
      </c>
      <c r="I2501" s="2">
        <v>0</v>
      </c>
      <c r="J2501" s="2">
        <v>0</v>
      </c>
      <c r="K2501" s="2">
        <v>0</v>
      </c>
      <c r="L2501" s="2">
        <v>0</v>
      </c>
      <c r="M2501">
        <v>0</v>
      </c>
      <c r="N2501">
        <v>0</v>
      </c>
      <c r="O2501" s="2">
        <v>0</v>
      </c>
      <c r="P2501" s="2">
        <v>0</v>
      </c>
      <c r="Q2501">
        <v>0</v>
      </c>
      <c r="R2501" s="2">
        <v>0</v>
      </c>
      <c r="S2501" s="2">
        <v>0</v>
      </c>
      <c r="T2501" t="s">
        <v>1244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</row>
    <row r="2502" spans="1:28" hidden="1" x14ac:dyDescent="0.25">
      <c r="A2502" t="s">
        <v>47</v>
      </c>
      <c r="B2502" t="s">
        <v>26</v>
      </c>
      <c r="C2502" t="s">
        <v>39</v>
      </c>
      <c r="D2502" s="1">
        <v>46022</v>
      </c>
      <c r="E2502" s="1">
        <v>46022</v>
      </c>
      <c r="F2502" s="2">
        <v>18</v>
      </c>
      <c r="G2502" s="3" t="s">
        <v>1286</v>
      </c>
      <c r="H2502">
        <v>0</v>
      </c>
      <c r="I2502" s="2">
        <v>0</v>
      </c>
      <c r="J2502" s="2">
        <v>0</v>
      </c>
      <c r="K2502" s="2">
        <v>0</v>
      </c>
      <c r="L2502" s="2">
        <v>0</v>
      </c>
      <c r="M2502">
        <v>0</v>
      </c>
      <c r="N2502">
        <v>0</v>
      </c>
      <c r="O2502" s="2">
        <v>0</v>
      </c>
      <c r="P2502" s="2">
        <v>0</v>
      </c>
      <c r="Q2502">
        <v>0</v>
      </c>
      <c r="R2502" s="2">
        <v>0</v>
      </c>
      <c r="S2502" s="2">
        <v>0</v>
      </c>
      <c r="T2502" t="s">
        <v>1244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</row>
    <row r="2503" spans="1:28" hidden="1" x14ac:dyDescent="0.25">
      <c r="A2503" t="s">
        <v>25</v>
      </c>
      <c r="B2503" t="s">
        <v>47</v>
      </c>
      <c r="C2503" t="s">
        <v>35</v>
      </c>
      <c r="D2503" s="1">
        <v>46022</v>
      </c>
      <c r="E2503" s="1">
        <v>46022</v>
      </c>
      <c r="F2503" s="2">
        <v>21</v>
      </c>
      <c r="G2503" s="3" t="s">
        <v>129</v>
      </c>
      <c r="H2503">
        <v>0</v>
      </c>
      <c r="I2503" s="2">
        <v>0</v>
      </c>
      <c r="J2503" s="2">
        <v>0</v>
      </c>
      <c r="K2503" s="2">
        <v>0</v>
      </c>
      <c r="L2503" s="2">
        <v>0</v>
      </c>
      <c r="M2503">
        <v>0</v>
      </c>
      <c r="N2503">
        <v>0</v>
      </c>
      <c r="O2503" s="2">
        <v>0</v>
      </c>
      <c r="P2503" s="2">
        <v>0</v>
      </c>
      <c r="Q2503">
        <v>0</v>
      </c>
      <c r="R2503" s="2">
        <v>0</v>
      </c>
      <c r="S2503" s="2">
        <v>0</v>
      </c>
      <c r="T2503" t="s">
        <v>1125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</row>
    <row r="2504" spans="1:28" hidden="1" x14ac:dyDescent="0.25">
      <c r="A2504" t="s">
        <v>47</v>
      </c>
      <c r="B2504" t="s">
        <v>21</v>
      </c>
      <c r="C2504" t="s">
        <v>212</v>
      </c>
      <c r="D2504" s="1">
        <v>46022</v>
      </c>
      <c r="E2504" s="1">
        <v>46022</v>
      </c>
      <c r="F2504" s="2">
        <v>0</v>
      </c>
      <c r="G2504" s="3" t="s">
        <v>129</v>
      </c>
      <c r="H2504">
        <v>0</v>
      </c>
      <c r="I2504" s="2">
        <v>0</v>
      </c>
      <c r="J2504" s="2">
        <v>0</v>
      </c>
      <c r="K2504" s="2">
        <v>0</v>
      </c>
      <c r="L2504" s="2">
        <v>0</v>
      </c>
      <c r="M2504">
        <v>0</v>
      </c>
      <c r="N2504">
        <v>0</v>
      </c>
      <c r="O2504" s="2">
        <v>0</v>
      </c>
      <c r="P2504" s="2">
        <v>0</v>
      </c>
      <c r="Q2504">
        <v>0</v>
      </c>
      <c r="R2504" s="2">
        <v>0</v>
      </c>
      <c r="S2504" s="2">
        <v>0</v>
      </c>
      <c r="T2504" t="s">
        <v>377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</row>
    <row r="2505" spans="1:28" hidden="1" x14ac:dyDescent="0.25">
      <c r="A2505" t="s">
        <v>47</v>
      </c>
      <c r="B2505" t="s">
        <v>52</v>
      </c>
      <c r="C2505" t="s">
        <v>212</v>
      </c>
      <c r="D2505" s="1">
        <v>46022</v>
      </c>
      <c r="E2505" s="1">
        <v>46022</v>
      </c>
      <c r="F2505" s="2">
        <v>0</v>
      </c>
      <c r="G2505" s="3" t="s">
        <v>129</v>
      </c>
      <c r="H2505">
        <v>0</v>
      </c>
      <c r="I2505" s="2">
        <v>0</v>
      </c>
      <c r="J2505" s="2">
        <v>0</v>
      </c>
      <c r="K2505" s="2">
        <v>0</v>
      </c>
      <c r="L2505" s="2">
        <v>0</v>
      </c>
      <c r="M2505">
        <v>0</v>
      </c>
      <c r="N2505">
        <v>0</v>
      </c>
      <c r="O2505" s="2">
        <v>0</v>
      </c>
      <c r="P2505" s="2">
        <v>0</v>
      </c>
      <c r="Q2505">
        <v>0</v>
      </c>
      <c r="R2505" s="2">
        <v>0</v>
      </c>
      <c r="S2505" s="2">
        <v>0</v>
      </c>
      <c r="T2505" t="s">
        <v>377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</row>
    <row r="2506" spans="1:28" hidden="1" x14ac:dyDescent="0.25">
      <c r="A2506" t="s">
        <v>33</v>
      </c>
      <c r="B2506" t="s">
        <v>47</v>
      </c>
      <c r="C2506" t="s">
        <v>35</v>
      </c>
      <c r="D2506" s="1">
        <v>46022</v>
      </c>
      <c r="E2506" s="1">
        <v>46022</v>
      </c>
      <c r="F2506" s="2">
        <v>21</v>
      </c>
      <c r="G2506" s="3" t="s">
        <v>50</v>
      </c>
      <c r="H2506">
        <v>0</v>
      </c>
      <c r="I2506" s="2">
        <v>0</v>
      </c>
      <c r="J2506" s="2">
        <v>0</v>
      </c>
      <c r="K2506" s="2">
        <v>0</v>
      </c>
      <c r="L2506" s="2">
        <v>0</v>
      </c>
      <c r="M2506">
        <v>0</v>
      </c>
      <c r="N2506">
        <v>0</v>
      </c>
      <c r="O2506" s="2">
        <v>0</v>
      </c>
      <c r="P2506" s="2">
        <v>0</v>
      </c>
      <c r="Q2506">
        <v>0</v>
      </c>
      <c r="R2506" s="2">
        <v>0</v>
      </c>
      <c r="S2506" s="2">
        <v>0</v>
      </c>
      <c r="T2506" t="s">
        <v>1125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</row>
    <row r="2507" spans="1:28" hidden="1" x14ac:dyDescent="0.25">
      <c r="A2507" t="s">
        <v>37</v>
      </c>
      <c r="B2507" t="s">
        <v>57</v>
      </c>
      <c r="C2507" t="s">
        <v>39</v>
      </c>
      <c r="D2507" s="9">
        <v>46023</v>
      </c>
      <c r="E2507" s="9">
        <v>46023</v>
      </c>
      <c r="F2507" s="2">
        <v>24</v>
      </c>
      <c r="G2507" s="3" t="s">
        <v>23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>
        <v>0</v>
      </c>
      <c r="N2507">
        <v>0</v>
      </c>
      <c r="O2507" s="2">
        <v>0</v>
      </c>
      <c r="P2507" s="2">
        <v>1</v>
      </c>
      <c r="Q2507">
        <v>2</v>
      </c>
      <c r="R2507" s="2">
        <v>0</v>
      </c>
      <c r="S2507" s="2">
        <v>1</v>
      </c>
      <c r="T2507" t="s">
        <v>1287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</row>
    <row r="2508" spans="1:28" hidden="1" x14ac:dyDescent="0.25">
      <c r="A2508" t="s">
        <v>105</v>
      </c>
      <c r="B2508" t="s">
        <v>38</v>
      </c>
      <c r="C2508" t="s">
        <v>39</v>
      </c>
      <c r="D2508" s="9">
        <v>46023</v>
      </c>
      <c r="E2508" s="9">
        <v>46023</v>
      </c>
      <c r="F2508" s="2">
        <v>24</v>
      </c>
      <c r="G2508" s="3" t="s">
        <v>23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>
        <v>0</v>
      </c>
      <c r="N2508">
        <v>0</v>
      </c>
      <c r="O2508" s="2">
        <v>0</v>
      </c>
      <c r="P2508" s="2">
        <v>1</v>
      </c>
      <c r="Q2508">
        <v>2</v>
      </c>
      <c r="R2508" s="2">
        <v>0</v>
      </c>
      <c r="S2508" s="2">
        <v>1</v>
      </c>
      <c r="T2508" t="s">
        <v>1287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1</v>
      </c>
    </row>
    <row r="2509" spans="1:28" hidden="1" x14ac:dyDescent="0.25">
      <c r="A2509" t="s">
        <v>29</v>
      </c>
      <c r="B2509" t="s">
        <v>30</v>
      </c>
      <c r="C2509" t="s">
        <v>39</v>
      </c>
      <c r="D2509" s="9">
        <v>46023</v>
      </c>
      <c r="E2509" s="9">
        <v>46023</v>
      </c>
      <c r="F2509" s="2">
        <v>24</v>
      </c>
      <c r="G2509" s="3" t="s">
        <v>23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>
        <v>0</v>
      </c>
      <c r="N2509">
        <v>0</v>
      </c>
      <c r="O2509" s="2">
        <v>0</v>
      </c>
      <c r="P2509" s="2">
        <v>1</v>
      </c>
      <c r="Q2509">
        <v>2</v>
      </c>
      <c r="R2509" s="2">
        <v>0</v>
      </c>
      <c r="S2509" s="2">
        <v>1</v>
      </c>
      <c r="T2509" t="s">
        <v>1287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</row>
    <row r="2510" spans="1:28" hidden="1" x14ac:dyDescent="0.25">
      <c r="A2510" t="s">
        <v>20</v>
      </c>
      <c r="B2510" t="s">
        <v>1160</v>
      </c>
      <c r="C2510" t="s">
        <v>39</v>
      </c>
      <c r="D2510" s="9">
        <v>46023</v>
      </c>
      <c r="E2510" s="9">
        <v>46023</v>
      </c>
      <c r="F2510" s="2">
        <v>24</v>
      </c>
      <c r="G2510" s="3" t="s">
        <v>23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>
        <v>0</v>
      </c>
      <c r="N2510">
        <v>0</v>
      </c>
      <c r="O2510" s="2">
        <v>0</v>
      </c>
      <c r="P2510" s="2">
        <v>1</v>
      </c>
      <c r="Q2510">
        <v>2</v>
      </c>
      <c r="R2510" s="2">
        <v>0</v>
      </c>
      <c r="S2510" s="2">
        <v>1</v>
      </c>
      <c r="T2510" t="s">
        <v>1287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</row>
    <row r="2511" spans="1:28" hidden="1" x14ac:dyDescent="0.25">
      <c r="A2511" t="s">
        <v>56</v>
      </c>
      <c r="B2511" t="s">
        <v>34</v>
      </c>
      <c r="C2511" t="s">
        <v>64</v>
      </c>
      <c r="D2511" s="9">
        <v>46023</v>
      </c>
      <c r="E2511" s="9">
        <v>46023</v>
      </c>
      <c r="F2511" s="2">
        <v>63</v>
      </c>
      <c r="G2511" s="3" t="s">
        <v>23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>
        <v>0</v>
      </c>
      <c r="N2511">
        <v>0</v>
      </c>
      <c r="O2511" s="2">
        <v>0</v>
      </c>
      <c r="P2511" s="2">
        <v>1</v>
      </c>
      <c r="Q2511">
        <v>3</v>
      </c>
      <c r="R2511" s="2">
        <v>0</v>
      </c>
      <c r="S2511" s="2">
        <v>1</v>
      </c>
      <c r="T2511" t="s">
        <v>1288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</row>
    <row r="2512" spans="1:28" hidden="1" x14ac:dyDescent="0.25">
      <c r="A2512" t="s">
        <v>63</v>
      </c>
      <c r="B2512" t="s">
        <v>284</v>
      </c>
      <c r="C2512" t="s">
        <v>102</v>
      </c>
      <c r="D2512" s="9">
        <v>46023</v>
      </c>
      <c r="E2512" s="9">
        <v>46023</v>
      </c>
      <c r="F2512" s="2">
        <v>30</v>
      </c>
      <c r="G2512" s="3" t="s">
        <v>23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>
        <v>0</v>
      </c>
      <c r="N2512">
        <v>0</v>
      </c>
      <c r="O2512" s="2">
        <v>0</v>
      </c>
      <c r="P2512" s="2">
        <v>1</v>
      </c>
      <c r="Q2512">
        <v>2</v>
      </c>
      <c r="R2512" s="2">
        <v>0</v>
      </c>
      <c r="S2512" s="2">
        <v>1</v>
      </c>
      <c r="T2512" t="s">
        <v>1289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</row>
    <row r="2513" spans="1:28" hidden="1" x14ac:dyDescent="0.25">
      <c r="A2513" t="s">
        <v>568</v>
      </c>
      <c r="B2513" t="s">
        <v>26</v>
      </c>
      <c r="C2513" t="s">
        <v>670</v>
      </c>
      <c r="D2513" s="9">
        <v>46023</v>
      </c>
      <c r="E2513" s="9">
        <v>46023</v>
      </c>
      <c r="F2513" s="2">
        <v>73</v>
      </c>
      <c r="G2513" s="3" t="s">
        <v>23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>
        <v>0</v>
      </c>
      <c r="N2513">
        <v>0</v>
      </c>
      <c r="O2513" s="2">
        <v>0</v>
      </c>
      <c r="P2513" s="2">
        <v>1</v>
      </c>
      <c r="Q2513">
        <v>3</v>
      </c>
      <c r="R2513" s="2">
        <v>0</v>
      </c>
      <c r="S2513" s="2">
        <v>1</v>
      </c>
      <c r="T2513" t="s">
        <v>1290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</row>
    <row r="2514" spans="1:28" hidden="1" x14ac:dyDescent="0.25">
      <c r="A2514" t="s">
        <v>730</v>
      </c>
      <c r="B2514" t="s">
        <v>47</v>
      </c>
      <c r="C2514" t="s">
        <v>670</v>
      </c>
      <c r="D2514" s="9">
        <v>46023</v>
      </c>
      <c r="E2514" s="9">
        <v>46023</v>
      </c>
      <c r="F2514" s="2">
        <v>73</v>
      </c>
      <c r="G2514" s="3" t="s">
        <v>23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>
        <v>0</v>
      </c>
      <c r="N2514">
        <v>0</v>
      </c>
      <c r="O2514" s="2">
        <v>0</v>
      </c>
      <c r="P2514" s="2">
        <v>1</v>
      </c>
      <c r="Q2514">
        <v>2</v>
      </c>
      <c r="R2514" s="2">
        <v>0</v>
      </c>
      <c r="S2514" s="2">
        <v>1</v>
      </c>
      <c r="T2514" t="s">
        <v>1290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</row>
    <row r="2515" spans="1:28" hidden="1" x14ac:dyDescent="0.25">
      <c r="A2515" t="s">
        <v>53</v>
      </c>
      <c r="B2515" t="s">
        <v>47</v>
      </c>
      <c r="C2515" t="s">
        <v>212</v>
      </c>
      <c r="D2515" s="9">
        <v>46023</v>
      </c>
      <c r="E2515" s="9">
        <v>46023</v>
      </c>
      <c r="F2515" s="2">
        <v>0</v>
      </c>
      <c r="G2515" s="3" t="s">
        <v>378</v>
      </c>
      <c r="H2515">
        <v>0</v>
      </c>
      <c r="I2515" s="2">
        <v>0</v>
      </c>
      <c r="J2515" s="2">
        <v>0</v>
      </c>
      <c r="K2515" s="2">
        <v>0</v>
      </c>
      <c r="L2515" s="2">
        <v>0</v>
      </c>
      <c r="M2515">
        <v>0</v>
      </c>
      <c r="N2515">
        <v>0</v>
      </c>
      <c r="O2515" s="2">
        <v>0</v>
      </c>
      <c r="P2515" s="2">
        <v>0</v>
      </c>
      <c r="Q2515">
        <v>0</v>
      </c>
      <c r="R2515" s="2">
        <v>0</v>
      </c>
      <c r="S2515" s="2">
        <v>0</v>
      </c>
      <c r="T2515" t="s">
        <v>377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</row>
    <row r="2516" spans="1:28" hidden="1" x14ac:dyDescent="0.25">
      <c r="A2516" t="s">
        <v>47</v>
      </c>
      <c r="B2516" t="s">
        <v>21</v>
      </c>
      <c r="C2516" t="s">
        <v>212</v>
      </c>
      <c r="D2516" s="9">
        <v>46023</v>
      </c>
      <c r="E2516" s="9">
        <v>46023</v>
      </c>
      <c r="F2516" s="2">
        <v>0</v>
      </c>
      <c r="G2516" s="3" t="s">
        <v>129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377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</row>
    <row r="2517" spans="1:28" hidden="1" x14ac:dyDescent="0.25">
      <c r="A2517" t="s">
        <v>47</v>
      </c>
      <c r="B2517" t="s">
        <v>52</v>
      </c>
      <c r="C2517" t="s">
        <v>212</v>
      </c>
      <c r="D2517" s="9">
        <v>46023</v>
      </c>
      <c r="E2517" s="9">
        <v>46023</v>
      </c>
      <c r="F2517" s="2">
        <v>0</v>
      </c>
      <c r="G2517" s="3" t="s">
        <v>129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377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</row>
    <row r="2518" spans="1:28" hidden="1" x14ac:dyDescent="0.25">
      <c r="A2518" t="s">
        <v>25</v>
      </c>
      <c r="B2518" t="s">
        <v>47</v>
      </c>
      <c r="C2518" t="s">
        <v>35</v>
      </c>
      <c r="D2518" s="9">
        <v>46023</v>
      </c>
      <c r="E2518" s="9">
        <v>46023</v>
      </c>
      <c r="F2518" s="2">
        <v>21</v>
      </c>
      <c r="G2518" s="3" t="s">
        <v>129</v>
      </c>
      <c r="H2518">
        <v>0</v>
      </c>
      <c r="I2518" s="2">
        <v>0</v>
      </c>
      <c r="J2518" s="2">
        <v>0</v>
      </c>
      <c r="K2518" s="2">
        <v>0</v>
      </c>
      <c r="L2518" s="2">
        <v>0</v>
      </c>
      <c r="M2518">
        <v>0</v>
      </c>
      <c r="N2518">
        <v>0</v>
      </c>
      <c r="O2518" s="2">
        <v>0</v>
      </c>
      <c r="P2518" s="2">
        <v>0</v>
      </c>
      <c r="Q2518">
        <v>0</v>
      </c>
      <c r="R2518" s="2">
        <v>0</v>
      </c>
      <c r="S2518" s="2">
        <v>0</v>
      </c>
      <c r="T2518" t="s">
        <v>1125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</row>
    <row r="2519" spans="1:28" hidden="1" x14ac:dyDescent="0.25">
      <c r="A2519" t="s">
        <v>33</v>
      </c>
      <c r="B2519" t="s">
        <v>47</v>
      </c>
      <c r="C2519" t="s">
        <v>35</v>
      </c>
      <c r="D2519" s="9">
        <v>46023</v>
      </c>
      <c r="E2519" s="9">
        <v>46023</v>
      </c>
      <c r="F2519" s="2">
        <v>21</v>
      </c>
      <c r="G2519" s="3" t="s">
        <v>50</v>
      </c>
      <c r="H2519">
        <v>0</v>
      </c>
      <c r="I2519" s="2">
        <v>0</v>
      </c>
      <c r="J2519" s="2">
        <v>0</v>
      </c>
      <c r="K2519" s="2">
        <v>0</v>
      </c>
      <c r="L2519" s="2">
        <v>0</v>
      </c>
      <c r="M2519">
        <v>0</v>
      </c>
      <c r="N2519">
        <v>0</v>
      </c>
      <c r="O2519" s="2">
        <v>0</v>
      </c>
      <c r="P2519" s="2">
        <v>0</v>
      </c>
      <c r="Q2519">
        <v>0</v>
      </c>
      <c r="R2519" s="2">
        <v>0</v>
      </c>
      <c r="S2519" s="2">
        <v>0</v>
      </c>
      <c r="T2519" t="s">
        <v>1125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</row>
    <row r="2520" spans="1:28" hidden="1" x14ac:dyDescent="0.25">
      <c r="A2520" t="s">
        <v>37</v>
      </c>
      <c r="B2520" t="s">
        <v>1238</v>
      </c>
      <c r="C2520" t="s">
        <v>39</v>
      </c>
      <c r="D2520" s="1">
        <v>46024</v>
      </c>
      <c r="E2520" s="1">
        <v>46024</v>
      </c>
      <c r="F2520" s="2">
        <v>29</v>
      </c>
      <c r="G2520" s="3" t="s">
        <v>23</v>
      </c>
      <c r="H2520">
        <f>9+9+1+3+4+1</f>
        <v>27</v>
      </c>
      <c r="I2520" s="2">
        <v>0</v>
      </c>
      <c r="J2520" s="2">
        <v>0</v>
      </c>
      <c r="K2520" s="2">
        <v>1</v>
      </c>
      <c r="L2520" s="2">
        <v>0</v>
      </c>
      <c r="M2520">
        <v>1</v>
      </c>
      <c r="N2520">
        <v>0</v>
      </c>
      <c r="O2520" s="2">
        <v>0</v>
      </c>
      <c r="P2520" s="2">
        <v>0</v>
      </c>
      <c r="Q2520">
        <v>1</v>
      </c>
      <c r="R2520" s="2">
        <v>0</v>
      </c>
      <c r="S2520" s="2">
        <v>0</v>
      </c>
      <c r="T2520" t="s">
        <v>1291</v>
      </c>
      <c r="U2520" s="2">
        <v>0</v>
      </c>
      <c r="V2520" s="2">
        <v>6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</row>
    <row r="2521" spans="1:28" hidden="1" x14ac:dyDescent="0.25">
      <c r="A2521" t="s">
        <v>105</v>
      </c>
      <c r="B2521" t="s">
        <v>38</v>
      </c>
      <c r="C2521" t="s">
        <v>39</v>
      </c>
      <c r="D2521" s="1">
        <v>46024</v>
      </c>
      <c r="E2521" s="1">
        <v>46024</v>
      </c>
      <c r="F2521" s="2">
        <v>29</v>
      </c>
      <c r="G2521" s="3" t="s">
        <v>23</v>
      </c>
      <c r="H2521">
        <f>9+9+1</f>
        <v>19</v>
      </c>
      <c r="I2521" s="2">
        <v>0</v>
      </c>
      <c r="J2521" s="2">
        <v>0</v>
      </c>
      <c r="K2521" s="2">
        <v>0</v>
      </c>
      <c r="L2521" s="2">
        <v>1</v>
      </c>
      <c r="M2521">
        <v>1</v>
      </c>
      <c r="N2521">
        <v>0</v>
      </c>
      <c r="O2521" s="2">
        <v>0</v>
      </c>
      <c r="P2521" s="2">
        <v>0</v>
      </c>
      <c r="Q2521">
        <v>0</v>
      </c>
      <c r="R2521" s="2">
        <v>0</v>
      </c>
      <c r="S2521" s="2">
        <v>0</v>
      </c>
      <c r="T2521" t="s">
        <v>1291</v>
      </c>
      <c r="U2521" s="2">
        <v>0</v>
      </c>
      <c r="V2521" s="2">
        <f>6+4</f>
        <v>10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</row>
    <row r="2522" spans="1:28" hidden="1" x14ac:dyDescent="0.25">
      <c r="A2522" t="s">
        <v>57</v>
      </c>
      <c r="B2522" t="s">
        <v>26</v>
      </c>
      <c r="C2522" t="s">
        <v>173</v>
      </c>
      <c r="D2522" s="1">
        <v>46024</v>
      </c>
      <c r="E2522" s="1">
        <v>46024</v>
      </c>
      <c r="F2522" s="2">
        <v>62</v>
      </c>
      <c r="G2522" s="3" t="s">
        <v>23</v>
      </c>
      <c r="H2522">
        <v>23</v>
      </c>
      <c r="I2522" s="2">
        <v>0</v>
      </c>
      <c r="J2522" s="2">
        <v>0</v>
      </c>
      <c r="K2522" s="2">
        <v>1</v>
      </c>
      <c r="L2522" s="2">
        <v>0</v>
      </c>
      <c r="M2522">
        <v>0</v>
      </c>
      <c r="N2522">
        <v>0</v>
      </c>
      <c r="O2522" s="2">
        <v>0</v>
      </c>
      <c r="P2522" s="2">
        <v>0</v>
      </c>
      <c r="Q2522">
        <v>0</v>
      </c>
      <c r="R2522" s="2">
        <v>0</v>
      </c>
      <c r="S2522" s="2">
        <v>0</v>
      </c>
      <c r="T2522" t="s">
        <v>1292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</row>
    <row r="2523" spans="1:28" hidden="1" x14ac:dyDescent="0.25">
      <c r="A2523" t="s">
        <v>193</v>
      </c>
      <c r="B2523" t="s">
        <v>1277</v>
      </c>
      <c r="C2523" t="s">
        <v>173</v>
      </c>
      <c r="D2523" s="1">
        <v>46024</v>
      </c>
      <c r="E2523" s="1">
        <v>46024</v>
      </c>
      <c r="F2523" s="2">
        <v>62</v>
      </c>
      <c r="G2523" s="3" t="s">
        <v>23</v>
      </c>
      <c r="H2523">
        <v>40</v>
      </c>
      <c r="I2523" s="2">
        <v>0</v>
      </c>
      <c r="J2523" s="2">
        <v>0</v>
      </c>
      <c r="K2523" s="2">
        <v>1</v>
      </c>
      <c r="L2523" s="2">
        <v>0</v>
      </c>
      <c r="M2523">
        <v>0</v>
      </c>
      <c r="N2523">
        <v>0</v>
      </c>
      <c r="O2523" s="2">
        <v>0</v>
      </c>
      <c r="P2523" s="2">
        <v>0</v>
      </c>
      <c r="Q2523">
        <v>1</v>
      </c>
      <c r="R2523" s="2">
        <v>0</v>
      </c>
      <c r="S2523" s="2">
        <v>0</v>
      </c>
      <c r="T2523" t="s">
        <v>1292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</row>
    <row r="2524" spans="1:28" hidden="1" x14ac:dyDescent="0.25">
      <c r="A2524" t="s">
        <v>56</v>
      </c>
      <c r="B2524" t="s">
        <v>34</v>
      </c>
      <c r="C2524" t="s">
        <v>64</v>
      </c>
      <c r="D2524" s="1">
        <v>46024</v>
      </c>
      <c r="E2524" s="1">
        <v>46024</v>
      </c>
      <c r="F2524" s="2">
        <v>29</v>
      </c>
      <c r="G2524" s="3" t="s">
        <v>23</v>
      </c>
      <c r="H2524">
        <f>14+14+1+1+2</f>
        <v>32</v>
      </c>
      <c r="I2524" s="2">
        <v>0</v>
      </c>
      <c r="J2524" s="2">
        <v>0</v>
      </c>
      <c r="K2524" s="2">
        <v>1</v>
      </c>
      <c r="L2524" s="2">
        <v>0</v>
      </c>
      <c r="M2524">
        <v>0</v>
      </c>
      <c r="N2524">
        <v>1</v>
      </c>
      <c r="O2524" s="2">
        <v>0</v>
      </c>
      <c r="P2524" s="2">
        <v>0</v>
      </c>
      <c r="Q2524">
        <v>0</v>
      </c>
      <c r="R2524" s="2">
        <v>0</v>
      </c>
      <c r="S2524" s="2">
        <v>0</v>
      </c>
      <c r="T2524" t="s">
        <v>1293</v>
      </c>
      <c r="U2524" s="2">
        <v>0</v>
      </c>
      <c r="V2524" s="2">
        <v>22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</row>
    <row r="2525" spans="1:28" hidden="1" x14ac:dyDescent="0.25">
      <c r="A2525" t="s">
        <v>63</v>
      </c>
      <c r="B2525" t="s">
        <v>284</v>
      </c>
      <c r="C2525" t="s">
        <v>102</v>
      </c>
      <c r="D2525" s="1">
        <v>46024</v>
      </c>
      <c r="E2525" s="1">
        <v>46024</v>
      </c>
      <c r="F2525" s="2">
        <v>21</v>
      </c>
      <c r="G2525" s="3" t="s">
        <v>23</v>
      </c>
      <c r="H2525">
        <f>12+4+12+4</f>
        <v>32</v>
      </c>
      <c r="I2525" s="2">
        <v>0</v>
      </c>
      <c r="J2525" s="2">
        <v>0</v>
      </c>
      <c r="K2525" s="2">
        <v>1</v>
      </c>
      <c r="L2525" s="2">
        <v>0</v>
      </c>
      <c r="M2525">
        <v>0</v>
      </c>
      <c r="N2525">
        <v>0</v>
      </c>
      <c r="O2525" s="2">
        <v>0</v>
      </c>
      <c r="P2525" s="2">
        <v>0</v>
      </c>
      <c r="Q2525">
        <v>0</v>
      </c>
      <c r="R2525" s="2">
        <v>0</v>
      </c>
      <c r="S2525" s="2">
        <v>0</v>
      </c>
      <c r="T2525" t="s">
        <v>1294</v>
      </c>
      <c r="U2525" s="2">
        <v>0</v>
      </c>
      <c r="V2525" s="2">
        <f>14+3+10</f>
        <v>27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</row>
    <row r="2526" spans="1:28" hidden="1" x14ac:dyDescent="0.25">
      <c r="A2526" t="s">
        <v>568</v>
      </c>
      <c r="B2526" t="s">
        <v>1237</v>
      </c>
      <c r="C2526" t="s">
        <v>670</v>
      </c>
      <c r="D2526" s="1">
        <v>46024</v>
      </c>
      <c r="E2526" s="1">
        <v>46024</v>
      </c>
      <c r="F2526" s="2">
        <v>52</v>
      </c>
      <c r="G2526" s="3" t="s">
        <v>23</v>
      </c>
      <c r="H2526">
        <f>8+8+1+1</f>
        <v>18</v>
      </c>
      <c r="I2526" s="2">
        <v>0</v>
      </c>
      <c r="J2526" s="2">
        <v>0</v>
      </c>
      <c r="K2526" s="2">
        <v>1</v>
      </c>
      <c r="L2526" s="2">
        <v>0</v>
      </c>
      <c r="M2526">
        <v>1</v>
      </c>
      <c r="N2526">
        <v>0</v>
      </c>
      <c r="O2526" s="2">
        <v>0</v>
      </c>
      <c r="P2526" s="2">
        <v>0</v>
      </c>
      <c r="Q2526">
        <v>0</v>
      </c>
      <c r="R2526" s="2">
        <v>0</v>
      </c>
      <c r="S2526" s="2">
        <v>0</v>
      </c>
      <c r="T2526" t="s">
        <v>1295</v>
      </c>
      <c r="U2526" s="2">
        <v>0</v>
      </c>
      <c r="V2526" s="2">
        <v>14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</row>
    <row r="2527" spans="1:28" hidden="1" x14ac:dyDescent="0.25">
      <c r="A2527" t="s">
        <v>53</v>
      </c>
      <c r="B2527" t="s">
        <v>47</v>
      </c>
      <c r="C2527" t="s">
        <v>39</v>
      </c>
      <c r="D2527" s="1">
        <v>46024</v>
      </c>
      <c r="E2527" s="1">
        <v>46024</v>
      </c>
      <c r="F2527" s="2">
        <v>18</v>
      </c>
      <c r="G2527" s="3" t="s">
        <v>1217</v>
      </c>
      <c r="H2527">
        <v>0</v>
      </c>
      <c r="I2527" s="2">
        <v>0</v>
      </c>
      <c r="J2527" s="2">
        <v>0</v>
      </c>
      <c r="K2527" s="2">
        <v>0</v>
      </c>
      <c r="L2527" s="2">
        <v>0</v>
      </c>
      <c r="M2527">
        <v>0</v>
      </c>
      <c r="N2527">
        <v>0</v>
      </c>
      <c r="O2527" s="2">
        <v>0</v>
      </c>
      <c r="P2527" s="2">
        <v>0</v>
      </c>
      <c r="Q2527">
        <v>0</v>
      </c>
      <c r="R2527" s="2">
        <v>0</v>
      </c>
      <c r="S2527" s="2">
        <v>0</v>
      </c>
      <c r="T2527" t="s">
        <v>1244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</row>
    <row r="2528" spans="1:28" hidden="1" x14ac:dyDescent="0.25">
      <c r="A2528" t="s">
        <v>20</v>
      </c>
      <c r="B2528" t="s">
        <v>1160</v>
      </c>
      <c r="C2528" t="s">
        <v>39</v>
      </c>
      <c r="D2528" s="1">
        <v>46024</v>
      </c>
      <c r="E2528" s="1">
        <v>46024</v>
      </c>
      <c r="F2528" s="2">
        <v>18</v>
      </c>
      <c r="G2528" s="3" t="s">
        <v>48</v>
      </c>
      <c r="H2528">
        <v>0</v>
      </c>
      <c r="I2528" s="2">
        <v>0</v>
      </c>
      <c r="J2528" s="2">
        <v>0</v>
      </c>
      <c r="K2528" s="2">
        <v>0</v>
      </c>
      <c r="L2528" s="2">
        <v>0</v>
      </c>
      <c r="M2528">
        <v>0</v>
      </c>
      <c r="N2528">
        <v>0</v>
      </c>
      <c r="O2528" s="2">
        <v>0</v>
      </c>
      <c r="P2528" s="2">
        <v>0</v>
      </c>
      <c r="Q2528">
        <v>0</v>
      </c>
      <c r="R2528" s="2">
        <v>0</v>
      </c>
      <c r="S2528" s="2">
        <v>0</v>
      </c>
      <c r="T2528" t="s">
        <v>1244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</row>
    <row r="2529" spans="1:28" hidden="1" x14ac:dyDescent="0.25">
      <c r="A2529" t="s">
        <v>730</v>
      </c>
      <c r="B2529" t="s">
        <v>47</v>
      </c>
      <c r="C2529" t="s">
        <v>39</v>
      </c>
      <c r="D2529" s="1">
        <v>46024</v>
      </c>
      <c r="E2529" s="1">
        <v>46024</v>
      </c>
      <c r="F2529" s="2">
        <v>18</v>
      </c>
      <c r="G2529" s="3" t="s">
        <v>48</v>
      </c>
      <c r="H2529">
        <v>0</v>
      </c>
      <c r="I2529" s="2">
        <v>0</v>
      </c>
      <c r="J2529" s="2">
        <v>0</v>
      </c>
      <c r="K2529" s="2">
        <v>0</v>
      </c>
      <c r="L2529" s="2">
        <v>0</v>
      </c>
      <c r="M2529">
        <v>0</v>
      </c>
      <c r="N2529">
        <v>0</v>
      </c>
      <c r="O2529" s="2">
        <v>0</v>
      </c>
      <c r="P2529" s="2">
        <v>0</v>
      </c>
      <c r="Q2529">
        <v>0</v>
      </c>
      <c r="R2529" s="2">
        <v>0</v>
      </c>
      <c r="S2529" s="2">
        <v>0</v>
      </c>
      <c r="T2529" t="s">
        <v>1244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</row>
    <row r="2530" spans="1:28" hidden="1" x14ac:dyDescent="0.25">
      <c r="A2530" t="s">
        <v>29</v>
      </c>
      <c r="B2530" t="s">
        <v>30</v>
      </c>
      <c r="C2530" t="s">
        <v>35</v>
      </c>
      <c r="D2530" s="1">
        <v>46024</v>
      </c>
      <c r="E2530" s="1">
        <v>46024</v>
      </c>
      <c r="F2530" s="2">
        <v>21</v>
      </c>
      <c r="G2530" s="3" t="s">
        <v>129</v>
      </c>
      <c r="H2530">
        <v>0</v>
      </c>
      <c r="I2530" s="2">
        <v>0</v>
      </c>
      <c r="J2530" s="2">
        <v>0</v>
      </c>
      <c r="K2530" s="2">
        <v>0</v>
      </c>
      <c r="L2530" s="2">
        <v>0</v>
      </c>
      <c r="M2530">
        <v>0</v>
      </c>
      <c r="N2530">
        <v>0</v>
      </c>
      <c r="O2530" s="2">
        <v>0</v>
      </c>
      <c r="P2530" s="2">
        <v>0</v>
      </c>
      <c r="Q2530">
        <v>0</v>
      </c>
      <c r="R2530" s="2">
        <v>0</v>
      </c>
      <c r="S2530" s="2">
        <v>0</v>
      </c>
      <c r="T2530" t="s">
        <v>1125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</row>
    <row r="2531" spans="1:28" hidden="1" x14ac:dyDescent="0.25">
      <c r="A2531" t="s">
        <v>25</v>
      </c>
      <c r="B2531" t="s">
        <v>47</v>
      </c>
      <c r="C2531" t="s">
        <v>35</v>
      </c>
      <c r="D2531" s="1">
        <v>46024</v>
      </c>
      <c r="E2531" s="1">
        <v>46024</v>
      </c>
      <c r="F2531" s="2">
        <v>21</v>
      </c>
      <c r="G2531" s="3" t="s">
        <v>129</v>
      </c>
      <c r="H2531">
        <v>0</v>
      </c>
      <c r="I2531" s="2">
        <v>0</v>
      </c>
      <c r="J2531" s="2">
        <v>0</v>
      </c>
      <c r="K2531" s="2">
        <v>0</v>
      </c>
      <c r="L2531" s="2">
        <v>0</v>
      </c>
      <c r="M2531">
        <v>0</v>
      </c>
      <c r="N2531">
        <v>0</v>
      </c>
      <c r="O2531" s="2">
        <v>0</v>
      </c>
      <c r="P2531" s="2">
        <v>0</v>
      </c>
      <c r="Q2531">
        <v>0</v>
      </c>
      <c r="R2531" s="2">
        <v>0</v>
      </c>
      <c r="S2531" s="2">
        <v>0</v>
      </c>
      <c r="T2531" t="s">
        <v>1125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</row>
    <row r="2532" spans="1:28" hidden="1" x14ac:dyDescent="0.25">
      <c r="A2532" t="s">
        <v>47</v>
      </c>
      <c r="B2532" t="s">
        <v>21</v>
      </c>
      <c r="C2532" t="s">
        <v>212</v>
      </c>
      <c r="D2532" s="1">
        <v>46024</v>
      </c>
      <c r="E2532" s="1">
        <v>46024</v>
      </c>
      <c r="F2532" s="2">
        <v>0</v>
      </c>
      <c r="G2532" s="3" t="s">
        <v>129</v>
      </c>
      <c r="H2532">
        <v>0</v>
      </c>
      <c r="I2532" s="2">
        <v>0</v>
      </c>
      <c r="J2532" s="2">
        <v>0</v>
      </c>
      <c r="K2532" s="2">
        <v>0</v>
      </c>
      <c r="L2532" s="2">
        <v>0</v>
      </c>
      <c r="M2532">
        <v>0</v>
      </c>
      <c r="N2532">
        <v>0</v>
      </c>
      <c r="O2532" s="2">
        <v>0</v>
      </c>
      <c r="P2532" s="2">
        <v>0</v>
      </c>
      <c r="Q2532">
        <v>0</v>
      </c>
      <c r="R2532" s="2">
        <v>0</v>
      </c>
      <c r="S2532" s="2">
        <v>0</v>
      </c>
      <c r="T2532" t="s">
        <v>377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</row>
    <row r="2533" spans="1:28" hidden="1" x14ac:dyDescent="0.25">
      <c r="A2533" t="s">
        <v>47</v>
      </c>
      <c r="B2533" t="s">
        <v>52</v>
      </c>
      <c r="C2533" t="s">
        <v>212</v>
      </c>
      <c r="D2533" s="1">
        <v>46024</v>
      </c>
      <c r="E2533" s="1">
        <v>46024</v>
      </c>
      <c r="F2533" s="2">
        <v>0</v>
      </c>
      <c r="G2533" s="3" t="s">
        <v>129</v>
      </c>
      <c r="H2533">
        <v>0</v>
      </c>
      <c r="I2533" s="2">
        <v>0</v>
      </c>
      <c r="J2533" s="2">
        <v>0</v>
      </c>
      <c r="K2533" s="2">
        <v>0</v>
      </c>
      <c r="L2533" s="2">
        <v>0</v>
      </c>
      <c r="M2533">
        <v>0</v>
      </c>
      <c r="N2533">
        <v>0</v>
      </c>
      <c r="O2533" s="2">
        <v>0</v>
      </c>
      <c r="P2533" s="2">
        <v>0</v>
      </c>
      <c r="Q2533">
        <v>0</v>
      </c>
      <c r="R2533" s="2">
        <v>0</v>
      </c>
      <c r="S2533" s="2">
        <v>0</v>
      </c>
      <c r="T2533" t="s">
        <v>377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</row>
    <row r="2534" spans="1:28" hidden="1" x14ac:dyDescent="0.25">
      <c r="A2534" t="s">
        <v>33</v>
      </c>
      <c r="B2534" t="s">
        <v>47</v>
      </c>
      <c r="C2534" t="s">
        <v>35</v>
      </c>
      <c r="D2534" s="1">
        <v>46024</v>
      </c>
      <c r="E2534" s="1">
        <v>46024</v>
      </c>
      <c r="F2534" s="2">
        <v>21</v>
      </c>
      <c r="G2534" s="3" t="s">
        <v>50</v>
      </c>
      <c r="H2534">
        <v>0</v>
      </c>
      <c r="I2534" s="2">
        <v>0</v>
      </c>
      <c r="J2534" s="2">
        <v>0</v>
      </c>
      <c r="K2534" s="2">
        <v>0</v>
      </c>
      <c r="L2534" s="2">
        <v>0</v>
      </c>
      <c r="M2534">
        <v>0</v>
      </c>
      <c r="N2534">
        <v>0</v>
      </c>
      <c r="O2534" s="2">
        <v>0</v>
      </c>
      <c r="P2534" s="2">
        <v>0</v>
      </c>
      <c r="Q2534">
        <v>0</v>
      </c>
      <c r="R2534" s="2">
        <v>0</v>
      </c>
      <c r="S2534" s="2">
        <v>0</v>
      </c>
      <c r="T2534" t="s">
        <v>1125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</row>
    <row r="2535" spans="1:28" hidden="1" x14ac:dyDescent="0.25">
      <c r="A2535" t="s">
        <v>37</v>
      </c>
      <c r="B2535" t="s">
        <v>1238</v>
      </c>
      <c r="C2535" t="s">
        <v>39</v>
      </c>
      <c r="D2535" s="9">
        <v>46025</v>
      </c>
      <c r="E2535" s="9">
        <v>46025</v>
      </c>
      <c r="F2535" s="2">
        <v>20</v>
      </c>
      <c r="G2535" s="3" t="s">
        <v>23</v>
      </c>
      <c r="H2535">
        <v>0</v>
      </c>
      <c r="I2535" s="2">
        <v>0</v>
      </c>
      <c r="J2535" s="2">
        <v>0</v>
      </c>
      <c r="K2535" s="2">
        <v>0</v>
      </c>
      <c r="L2535" s="2">
        <v>0</v>
      </c>
      <c r="M2535">
        <v>0</v>
      </c>
      <c r="N2535">
        <v>0</v>
      </c>
      <c r="O2535" s="2">
        <v>1</v>
      </c>
      <c r="P2535" s="2">
        <v>0</v>
      </c>
      <c r="Q2535">
        <v>0</v>
      </c>
      <c r="R2535" s="2">
        <v>1</v>
      </c>
      <c r="S2535" s="2">
        <v>0</v>
      </c>
      <c r="T2535" t="s">
        <v>1296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</row>
    <row r="2536" spans="1:28" hidden="1" x14ac:dyDescent="0.25">
      <c r="A2536" t="s">
        <v>105</v>
      </c>
      <c r="B2536" t="s">
        <v>47</v>
      </c>
      <c r="C2536" t="s">
        <v>39</v>
      </c>
      <c r="D2536" s="9">
        <v>46025</v>
      </c>
      <c r="E2536" s="9">
        <v>46025</v>
      </c>
      <c r="F2536" s="2">
        <v>20</v>
      </c>
      <c r="G2536" s="3" t="s">
        <v>23</v>
      </c>
      <c r="H2536">
        <v>0</v>
      </c>
      <c r="I2536" s="2">
        <v>0</v>
      </c>
      <c r="J2536" s="2">
        <v>0</v>
      </c>
      <c r="K2536" s="2">
        <v>0</v>
      </c>
      <c r="L2536" s="2">
        <v>0</v>
      </c>
      <c r="M2536">
        <v>0</v>
      </c>
      <c r="N2536">
        <v>0</v>
      </c>
      <c r="O2536" s="2">
        <v>1</v>
      </c>
      <c r="P2536" s="2">
        <v>0</v>
      </c>
      <c r="Q2536">
        <v>6</v>
      </c>
      <c r="R2536" s="2">
        <v>1</v>
      </c>
      <c r="S2536" s="2">
        <v>0</v>
      </c>
      <c r="T2536" t="s">
        <v>1296</v>
      </c>
      <c r="U2536" s="2">
        <v>16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1</v>
      </c>
      <c r="AB2536" s="2">
        <v>0</v>
      </c>
    </row>
    <row r="2537" spans="1:28" hidden="1" x14ac:dyDescent="0.25">
      <c r="A2537" t="s">
        <v>730</v>
      </c>
      <c r="B2537" t="s">
        <v>47</v>
      </c>
      <c r="C2537" t="s">
        <v>39</v>
      </c>
      <c r="D2537" s="9">
        <v>46025</v>
      </c>
      <c r="E2537" s="9">
        <v>46025</v>
      </c>
      <c r="F2537" s="2">
        <v>20</v>
      </c>
      <c r="G2537" s="3" t="s">
        <v>23</v>
      </c>
      <c r="H2537">
        <v>0</v>
      </c>
      <c r="I2537" s="2">
        <v>0</v>
      </c>
      <c r="J2537" s="2">
        <v>0</v>
      </c>
      <c r="K2537" s="2">
        <v>0</v>
      </c>
      <c r="L2537" s="2">
        <v>0</v>
      </c>
      <c r="M2537">
        <v>0</v>
      </c>
      <c r="N2537">
        <v>0</v>
      </c>
      <c r="O2537" s="2">
        <v>1</v>
      </c>
      <c r="P2537" s="2">
        <v>0</v>
      </c>
      <c r="Q2537">
        <v>6</v>
      </c>
      <c r="R2537" s="2">
        <v>1</v>
      </c>
      <c r="S2537" s="2">
        <v>0</v>
      </c>
      <c r="T2537" t="s">
        <v>1296</v>
      </c>
      <c r="U2537" s="2">
        <v>16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1</v>
      </c>
      <c r="AB2537" s="2">
        <v>0</v>
      </c>
    </row>
    <row r="2538" spans="1:28" hidden="1" x14ac:dyDescent="0.25">
      <c r="A2538" t="s">
        <v>1240</v>
      </c>
      <c r="B2538" t="s">
        <v>26</v>
      </c>
      <c r="C2538" t="s">
        <v>1297</v>
      </c>
      <c r="D2538" s="9">
        <v>46025</v>
      </c>
      <c r="E2538" s="9">
        <v>46025</v>
      </c>
      <c r="F2538" s="2">
        <v>42</v>
      </c>
      <c r="G2538" s="3" t="s">
        <v>23</v>
      </c>
      <c r="H2538">
        <v>0</v>
      </c>
      <c r="I2538" s="2">
        <v>0</v>
      </c>
      <c r="J2538" s="2">
        <v>0</v>
      </c>
      <c r="K2538" s="2">
        <v>0</v>
      </c>
      <c r="L2538" s="2">
        <v>0</v>
      </c>
      <c r="M2538">
        <v>0</v>
      </c>
      <c r="N2538">
        <v>0</v>
      </c>
      <c r="O2538" s="2">
        <v>1</v>
      </c>
      <c r="P2538" s="2">
        <v>0</v>
      </c>
      <c r="Q2538">
        <v>2</v>
      </c>
      <c r="R2538" s="2">
        <v>1</v>
      </c>
      <c r="S2538" s="2">
        <v>0</v>
      </c>
      <c r="T2538" t="s">
        <v>1298</v>
      </c>
      <c r="U2538" s="2">
        <v>12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</row>
    <row r="2539" spans="1:28" hidden="1" x14ac:dyDescent="0.25">
      <c r="A2539" t="s">
        <v>193</v>
      </c>
      <c r="B2539" t="s">
        <v>1277</v>
      </c>
      <c r="C2539" t="s">
        <v>1297</v>
      </c>
      <c r="D2539" s="9">
        <v>46025</v>
      </c>
      <c r="E2539" s="9">
        <v>46025</v>
      </c>
      <c r="F2539" s="2">
        <v>42</v>
      </c>
      <c r="G2539" s="3" t="s">
        <v>23</v>
      </c>
      <c r="H2539">
        <v>0</v>
      </c>
      <c r="I2539" s="2">
        <v>0</v>
      </c>
      <c r="J2539" s="2">
        <v>0</v>
      </c>
      <c r="K2539" s="2">
        <v>0</v>
      </c>
      <c r="L2539" s="2">
        <v>0</v>
      </c>
      <c r="M2539">
        <v>0</v>
      </c>
      <c r="N2539">
        <v>0</v>
      </c>
      <c r="O2539" s="2">
        <v>1</v>
      </c>
      <c r="P2539" s="2">
        <v>0</v>
      </c>
      <c r="Q2539">
        <v>3</v>
      </c>
      <c r="R2539" s="2">
        <v>1</v>
      </c>
      <c r="S2539" s="2">
        <v>0</v>
      </c>
      <c r="T2539" t="s">
        <v>1298</v>
      </c>
      <c r="U2539" s="2">
        <v>21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</row>
    <row r="2540" spans="1:28" hidden="1" x14ac:dyDescent="0.25">
      <c r="A2540" t="s">
        <v>56</v>
      </c>
      <c r="B2540" t="s">
        <v>34</v>
      </c>
      <c r="C2540" t="s">
        <v>64</v>
      </c>
      <c r="D2540" s="9">
        <v>46025</v>
      </c>
      <c r="E2540" s="9">
        <v>46025</v>
      </c>
      <c r="F2540" s="2">
        <v>66</v>
      </c>
      <c r="G2540" s="3" t="s">
        <v>23</v>
      </c>
      <c r="H2540">
        <v>0</v>
      </c>
      <c r="I2540" s="2">
        <v>0</v>
      </c>
      <c r="J2540" s="2">
        <v>0</v>
      </c>
      <c r="K2540" s="2">
        <v>0</v>
      </c>
      <c r="L2540" s="2">
        <v>0</v>
      </c>
      <c r="M2540">
        <v>0</v>
      </c>
      <c r="N2540">
        <v>0</v>
      </c>
      <c r="O2540" s="2">
        <v>1</v>
      </c>
      <c r="P2540" s="2">
        <v>0</v>
      </c>
      <c r="Q2540">
        <v>0</v>
      </c>
      <c r="R2540" s="2">
        <v>1</v>
      </c>
      <c r="S2540" s="2">
        <v>0</v>
      </c>
      <c r="T2540" t="s">
        <v>1299</v>
      </c>
      <c r="U2540" s="2">
        <v>20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</row>
    <row r="2541" spans="1:28" hidden="1" x14ac:dyDescent="0.25">
      <c r="A2541" t="s">
        <v>63</v>
      </c>
      <c r="B2541" t="s">
        <v>284</v>
      </c>
      <c r="C2541" t="s">
        <v>102</v>
      </c>
      <c r="D2541" s="9">
        <v>46025</v>
      </c>
      <c r="E2541" s="9">
        <v>46025</v>
      </c>
      <c r="F2541" s="2">
        <v>16</v>
      </c>
      <c r="G2541" s="3" t="s">
        <v>23</v>
      </c>
      <c r="H2541">
        <v>0</v>
      </c>
      <c r="I2541" s="2">
        <v>0</v>
      </c>
      <c r="J2541" s="2">
        <v>0</v>
      </c>
      <c r="K2541" s="2">
        <v>0</v>
      </c>
      <c r="L2541" s="2">
        <v>0</v>
      </c>
      <c r="M2541">
        <v>0</v>
      </c>
      <c r="N2541">
        <v>0</v>
      </c>
      <c r="O2541" s="2">
        <v>1</v>
      </c>
      <c r="P2541" s="2">
        <v>0</v>
      </c>
      <c r="Q2541">
        <v>0</v>
      </c>
      <c r="R2541" s="2">
        <v>1</v>
      </c>
      <c r="S2541" s="2">
        <v>0</v>
      </c>
      <c r="T2541" t="s">
        <v>1300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</row>
    <row r="2542" spans="1:28" hidden="1" x14ac:dyDescent="0.25">
      <c r="A2542" t="s">
        <v>568</v>
      </c>
      <c r="B2542" t="s">
        <v>1237</v>
      </c>
      <c r="C2542" t="s">
        <v>670</v>
      </c>
      <c r="D2542" s="9">
        <v>46025</v>
      </c>
      <c r="E2542" s="9">
        <v>46025</v>
      </c>
      <c r="F2542" s="2">
        <v>47</v>
      </c>
      <c r="G2542" s="3" t="s">
        <v>23</v>
      </c>
      <c r="H2542">
        <v>0</v>
      </c>
      <c r="I2542" s="2">
        <v>0</v>
      </c>
      <c r="J2542" s="2">
        <v>0</v>
      </c>
      <c r="K2542" s="2">
        <v>0</v>
      </c>
      <c r="L2542" s="2">
        <v>0</v>
      </c>
      <c r="M2542">
        <v>0</v>
      </c>
      <c r="N2542">
        <v>0</v>
      </c>
      <c r="O2542" s="2">
        <v>1</v>
      </c>
      <c r="P2542" s="2">
        <v>0</v>
      </c>
      <c r="Q2542">
        <v>0</v>
      </c>
      <c r="R2542" s="2">
        <v>1</v>
      </c>
      <c r="S2542" s="2">
        <v>0</v>
      </c>
      <c r="T2542" t="s">
        <v>1301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</row>
    <row r="2543" spans="1:28" hidden="1" x14ac:dyDescent="0.25">
      <c r="A2543" t="s">
        <v>47</v>
      </c>
      <c r="B2543" t="s">
        <v>57</v>
      </c>
      <c r="C2543" t="s">
        <v>212</v>
      </c>
      <c r="D2543" s="9">
        <v>46025</v>
      </c>
      <c r="E2543" s="9">
        <v>46025</v>
      </c>
      <c r="F2543" s="2">
        <v>0</v>
      </c>
      <c r="G2543" s="3" t="s">
        <v>378</v>
      </c>
      <c r="H2543">
        <v>0</v>
      </c>
      <c r="I2543" s="2">
        <v>0</v>
      </c>
      <c r="J2543" s="2">
        <v>0</v>
      </c>
      <c r="K2543" s="2">
        <v>0</v>
      </c>
      <c r="L2543" s="2">
        <v>0</v>
      </c>
      <c r="M2543">
        <v>0</v>
      </c>
      <c r="N2543">
        <v>0</v>
      </c>
      <c r="O2543" s="2">
        <v>0</v>
      </c>
      <c r="P2543" s="2">
        <v>0</v>
      </c>
      <c r="Q2543">
        <v>0</v>
      </c>
      <c r="R2543" s="2">
        <v>0</v>
      </c>
      <c r="S2543" s="2">
        <v>0</v>
      </c>
      <c r="T2543" t="s">
        <v>377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</row>
    <row r="2544" spans="1:28" hidden="1" x14ac:dyDescent="0.25">
      <c r="A2544" t="s">
        <v>20</v>
      </c>
      <c r="B2544" t="s">
        <v>1160</v>
      </c>
      <c r="C2544" t="s">
        <v>212</v>
      </c>
      <c r="D2544" s="9">
        <v>46025</v>
      </c>
      <c r="E2544" s="9">
        <v>46025</v>
      </c>
      <c r="F2544" s="2">
        <v>0</v>
      </c>
      <c r="G2544" s="3" t="s">
        <v>378</v>
      </c>
      <c r="H2544">
        <v>0</v>
      </c>
      <c r="I2544" s="2">
        <v>0</v>
      </c>
      <c r="J2544" s="2">
        <v>0</v>
      </c>
      <c r="K2544" s="2">
        <v>0</v>
      </c>
      <c r="L2544" s="2">
        <v>0</v>
      </c>
      <c r="M2544">
        <v>0</v>
      </c>
      <c r="N2544">
        <v>0</v>
      </c>
      <c r="O2544" s="2">
        <v>0</v>
      </c>
      <c r="P2544" s="2">
        <v>0</v>
      </c>
      <c r="Q2544">
        <v>0</v>
      </c>
      <c r="R2544" s="2">
        <v>0</v>
      </c>
      <c r="S2544" s="2">
        <v>0</v>
      </c>
      <c r="T2544" t="s">
        <v>377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</row>
    <row r="2545" spans="1:28" hidden="1" x14ac:dyDescent="0.25">
      <c r="A2545" t="s">
        <v>29</v>
      </c>
      <c r="B2545" t="s">
        <v>30</v>
      </c>
      <c r="C2545" t="s">
        <v>212</v>
      </c>
      <c r="D2545" s="9">
        <v>46025</v>
      </c>
      <c r="E2545" s="9">
        <v>46025</v>
      </c>
      <c r="F2545" s="2">
        <v>0</v>
      </c>
      <c r="G2545" s="3" t="s">
        <v>378</v>
      </c>
      <c r="H2545">
        <v>0</v>
      </c>
      <c r="I2545" s="2">
        <v>0</v>
      </c>
      <c r="J2545" s="2">
        <v>0</v>
      </c>
      <c r="K2545" s="2">
        <v>0</v>
      </c>
      <c r="L2545" s="2">
        <v>0</v>
      </c>
      <c r="M2545">
        <v>0</v>
      </c>
      <c r="N2545">
        <v>0</v>
      </c>
      <c r="O2545" s="2">
        <v>0</v>
      </c>
      <c r="P2545" s="2">
        <v>0</v>
      </c>
      <c r="Q2545">
        <v>0</v>
      </c>
      <c r="R2545" s="2">
        <v>0</v>
      </c>
      <c r="S2545" s="2">
        <v>0</v>
      </c>
      <c r="T2545" t="s">
        <v>377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</row>
    <row r="2546" spans="1:28" hidden="1" x14ac:dyDescent="0.25">
      <c r="A2546" t="s">
        <v>53</v>
      </c>
      <c r="B2546" t="s">
        <v>38</v>
      </c>
      <c r="C2546" t="s">
        <v>212</v>
      </c>
      <c r="D2546" s="9">
        <v>46025</v>
      </c>
      <c r="E2546" s="9">
        <v>46025</v>
      </c>
      <c r="F2546" s="2">
        <v>0</v>
      </c>
      <c r="G2546" s="3" t="s">
        <v>378</v>
      </c>
      <c r="H2546">
        <v>0</v>
      </c>
      <c r="I2546" s="2">
        <v>0</v>
      </c>
      <c r="J2546" s="2">
        <v>0</v>
      </c>
      <c r="K2546" s="2">
        <v>0</v>
      </c>
      <c r="L2546" s="2">
        <v>0</v>
      </c>
      <c r="M2546">
        <v>0</v>
      </c>
      <c r="N2546">
        <v>0</v>
      </c>
      <c r="O2546" s="2">
        <v>0</v>
      </c>
      <c r="P2546" s="2">
        <v>0</v>
      </c>
      <c r="Q2546">
        <v>0</v>
      </c>
      <c r="R2546" s="2">
        <v>0</v>
      </c>
      <c r="S2546" s="2">
        <v>0</v>
      </c>
      <c r="T2546" t="s">
        <v>377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</row>
    <row r="2547" spans="1:28" hidden="1" x14ac:dyDescent="0.25">
      <c r="A2547" t="s">
        <v>47</v>
      </c>
      <c r="B2547" t="s">
        <v>21</v>
      </c>
      <c r="C2547" t="s">
        <v>212</v>
      </c>
      <c r="D2547" s="9">
        <v>46025</v>
      </c>
      <c r="E2547" s="9">
        <v>46025</v>
      </c>
      <c r="F2547" s="2">
        <v>0</v>
      </c>
      <c r="G2547" s="3" t="s">
        <v>129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 t="s">
        <v>377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</row>
    <row r="2548" spans="1:28" hidden="1" x14ac:dyDescent="0.25">
      <c r="A2548" t="s">
        <v>47</v>
      </c>
      <c r="B2548" t="s">
        <v>52</v>
      </c>
      <c r="C2548" t="s">
        <v>212</v>
      </c>
      <c r="D2548" s="9">
        <v>46025</v>
      </c>
      <c r="E2548" s="9">
        <v>46025</v>
      </c>
      <c r="F2548" s="2">
        <v>0</v>
      </c>
      <c r="G2548" s="3" t="s">
        <v>129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377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</row>
    <row r="2549" spans="1:28" hidden="1" x14ac:dyDescent="0.25">
      <c r="A2549" t="s">
        <v>25</v>
      </c>
      <c r="B2549" t="s">
        <v>47</v>
      </c>
      <c r="C2549" t="s">
        <v>35</v>
      </c>
      <c r="D2549" s="9">
        <v>46025</v>
      </c>
      <c r="E2549" s="9">
        <v>46025</v>
      </c>
      <c r="F2549" s="2">
        <v>21</v>
      </c>
      <c r="G2549" s="3" t="s">
        <v>129</v>
      </c>
      <c r="H2549">
        <v>0</v>
      </c>
      <c r="I2549" s="2">
        <v>0</v>
      </c>
      <c r="J2549" s="2">
        <v>0</v>
      </c>
      <c r="K2549" s="2">
        <v>0</v>
      </c>
      <c r="L2549" s="2">
        <v>0</v>
      </c>
      <c r="M2549">
        <v>0</v>
      </c>
      <c r="N2549">
        <v>0</v>
      </c>
      <c r="O2549" s="2">
        <v>0</v>
      </c>
      <c r="P2549" s="2">
        <v>0</v>
      </c>
      <c r="Q2549">
        <v>0</v>
      </c>
      <c r="R2549" s="2">
        <v>0</v>
      </c>
      <c r="S2549" s="2">
        <v>0</v>
      </c>
      <c r="T2549" t="s">
        <v>1125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</row>
    <row r="2550" spans="1:28" hidden="1" x14ac:dyDescent="0.25">
      <c r="A2550" t="s">
        <v>33</v>
      </c>
      <c r="B2550" t="s">
        <v>47</v>
      </c>
      <c r="C2550" t="s">
        <v>35</v>
      </c>
      <c r="D2550" s="9">
        <v>46025</v>
      </c>
      <c r="E2550" s="9">
        <v>46025</v>
      </c>
      <c r="F2550" s="2">
        <v>21</v>
      </c>
      <c r="G2550" s="3" t="s">
        <v>50</v>
      </c>
      <c r="H2550">
        <v>0</v>
      </c>
      <c r="I2550" s="2">
        <v>0</v>
      </c>
      <c r="J2550" s="2">
        <v>0</v>
      </c>
      <c r="K2550" s="2">
        <v>0</v>
      </c>
      <c r="L2550" s="2">
        <v>0</v>
      </c>
      <c r="M2550">
        <v>0</v>
      </c>
      <c r="N2550">
        <v>0</v>
      </c>
      <c r="O2550" s="2">
        <v>0</v>
      </c>
      <c r="P2550" s="2">
        <v>0</v>
      </c>
      <c r="Q2550">
        <v>0</v>
      </c>
      <c r="R2550" s="2">
        <v>0</v>
      </c>
      <c r="S2550" s="2">
        <v>0</v>
      </c>
      <c r="T2550" t="s">
        <v>1125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</row>
    <row r="2551" spans="1:28" hidden="1" x14ac:dyDescent="0.25">
      <c r="A2551" t="s">
        <v>37</v>
      </c>
      <c r="B2551" t="s">
        <v>1238</v>
      </c>
      <c r="C2551" t="s">
        <v>39</v>
      </c>
      <c r="D2551" s="9">
        <v>46026</v>
      </c>
      <c r="E2551" s="9">
        <v>46026</v>
      </c>
      <c r="F2551" s="2">
        <v>24</v>
      </c>
      <c r="G2551" s="3" t="s">
        <v>23</v>
      </c>
      <c r="H2551">
        <v>0</v>
      </c>
      <c r="I2551" s="2">
        <v>0</v>
      </c>
      <c r="J2551" s="2">
        <v>0</v>
      </c>
      <c r="K2551" s="2">
        <v>0</v>
      </c>
      <c r="L2551" s="2">
        <v>0</v>
      </c>
      <c r="M2551">
        <v>0</v>
      </c>
      <c r="N2551">
        <v>0</v>
      </c>
      <c r="O2551" s="2">
        <v>0</v>
      </c>
      <c r="P2551" s="2">
        <v>1</v>
      </c>
      <c r="Q2551">
        <v>2</v>
      </c>
      <c r="R2551" s="2">
        <v>0</v>
      </c>
      <c r="S2551" s="2">
        <v>1</v>
      </c>
      <c r="T2551" t="s">
        <v>1302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</row>
    <row r="2552" spans="1:28" hidden="1" x14ac:dyDescent="0.25">
      <c r="A2552" t="s">
        <v>105</v>
      </c>
      <c r="B2552" t="s">
        <v>47</v>
      </c>
      <c r="C2552" t="s">
        <v>39</v>
      </c>
      <c r="D2552" s="9">
        <v>46026</v>
      </c>
      <c r="E2552" s="9">
        <v>46026</v>
      </c>
      <c r="F2552" s="2">
        <v>24</v>
      </c>
      <c r="G2552" s="3" t="s">
        <v>23</v>
      </c>
      <c r="H2552">
        <v>0</v>
      </c>
      <c r="I2552" s="2">
        <v>0</v>
      </c>
      <c r="J2552" s="2">
        <v>0</v>
      </c>
      <c r="K2552" s="2">
        <v>0</v>
      </c>
      <c r="L2552" s="2">
        <v>0</v>
      </c>
      <c r="M2552">
        <v>0</v>
      </c>
      <c r="N2552">
        <v>0</v>
      </c>
      <c r="O2552" s="2">
        <v>0</v>
      </c>
      <c r="P2552" s="2">
        <v>1</v>
      </c>
      <c r="Q2552">
        <v>4</v>
      </c>
      <c r="R2552" s="2">
        <v>0</v>
      </c>
      <c r="S2552" s="2">
        <v>1</v>
      </c>
      <c r="T2552" t="s">
        <v>1302</v>
      </c>
      <c r="U2552" s="2">
        <f>5+6+4</f>
        <v>15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1</v>
      </c>
    </row>
    <row r="2553" spans="1:28" hidden="1" x14ac:dyDescent="0.25">
      <c r="A2553" t="s">
        <v>730</v>
      </c>
      <c r="B2553" t="s">
        <v>47</v>
      </c>
      <c r="C2553" t="s">
        <v>39</v>
      </c>
      <c r="D2553" s="9">
        <v>46026</v>
      </c>
      <c r="E2553" s="9">
        <v>46026</v>
      </c>
      <c r="F2553" s="2">
        <v>24</v>
      </c>
      <c r="G2553" s="3" t="s">
        <v>23</v>
      </c>
      <c r="H2553">
        <v>0</v>
      </c>
      <c r="I2553" s="2">
        <v>0</v>
      </c>
      <c r="J2553" s="2">
        <v>0</v>
      </c>
      <c r="K2553" s="2">
        <v>0</v>
      </c>
      <c r="L2553" s="2">
        <v>0</v>
      </c>
      <c r="M2553">
        <v>0</v>
      </c>
      <c r="N2553">
        <v>0</v>
      </c>
      <c r="O2553" s="2">
        <v>0</v>
      </c>
      <c r="P2553" s="2">
        <v>1</v>
      </c>
      <c r="Q2553">
        <v>4</v>
      </c>
      <c r="R2553" s="2">
        <v>0</v>
      </c>
      <c r="S2553" s="2">
        <v>1</v>
      </c>
      <c r="T2553" t="s">
        <v>1302</v>
      </c>
      <c r="U2553" s="2">
        <f>5+6+4</f>
        <v>15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1</v>
      </c>
    </row>
    <row r="2554" spans="1:28" hidden="1" x14ac:dyDescent="0.25">
      <c r="A2554" t="s">
        <v>1240</v>
      </c>
      <c r="B2554" t="s">
        <v>26</v>
      </c>
      <c r="C2554" t="s">
        <v>1297</v>
      </c>
      <c r="D2554" s="9">
        <v>46026</v>
      </c>
      <c r="E2554" s="9">
        <v>46026</v>
      </c>
      <c r="F2554" s="2">
        <v>42</v>
      </c>
      <c r="G2554" s="3" t="s">
        <v>23</v>
      </c>
      <c r="H2554">
        <v>0</v>
      </c>
      <c r="I2554" s="2">
        <v>0</v>
      </c>
      <c r="J2554" s="2">
        <v>0</v>
      </c>
      <c r="K2554" s="2">
        <v>0</v>
      </c>
      <c r="L2554" s="2">
        <v>0</v>
      </c>
      <c r="M2554">
        <v>0</v>
      </c>
      <c r="N2554">
        <v>0</v>
      </c>
      <c r="O2554" s="2">
        <v>0</v>
      </c>
      <c r="P2554" s="2">
        <v>1</v>
      </c>
      <c r="Q2554">
        <v>2</v>
      </c>
      <c r="R2554" s="2">
        <v>0</v>
      </c>
      <c r="S2554" s="2">
        <v>1</v>
      </c>
      <c r="T2554" t="s">
        <v>1298</v>
      </c>
      <c r="U2554" s="2">
        <v>16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</row>
    <row r="2555" spans="1:28" hidden="1" x14ac:dyDescent="0.25">
      <c r="A2555" t="s">
        <v>193</v>
      </c>
      <c r="B2555" t="s">
        <v>1277</v>
      </c>
      <c r="C2555" t="s">
        <v>1297</v>
      </c>
      <c r="D2555" s="9">
        <v>46026</v>
      </c>
      <c r="E2555" s="9">
        <v>46026</v>
      </c>
      <c r="F2555" s="2">
        <v>42</v>
      </c>
      <c r="G2555" s="3" t="s">
        <v>23</v>
      </c>
      <c r="H2555">
        <v>0</v>
      </c>
      <c r="I2555" s="2">
        <v>0</v>
      </c>
      <c r="J2555" s="2">
        <v>0</v>
      </c>
      <c r="K2555" s="2">
        <v>0</v>
      </c>
      <c r="L2555" s="2">
        <v>0</v>
      </c>
      <c r="M2555">
        <v>0</v>
      </c>
      <c r="N2555">
        <v>0</v>
      </c>
      <c r="O2555" s="2">
        <v>0</v>
      </c>
      <c r="P2555" s="2">
        <v>1</v>
      </c>
      <c r="Q2555">
        <v>2</v>
      </c>
      <c r="R2555" s="2">
        <v>0</v>
      </c>
      <c r="S2555" s="2">
        <v>1</v>
      </c>
      <c r="T2555" t="s">
        <v>1298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</row>
    <row r="2556" spans="1:28" hidden="1" x14ac:dyDescent="0.25">
      <c r="A2556" t="s">
        <v>56</v>
      </c>
      <c r="B2556" t="s">
        <v>34</v>
      </c>
      <c r="C2556" t="s">
        <v>64</v>
      </c>
      <c r="D2556" s="9">
        <v>46026</v>
      </c>
      <c r="E2556" s="9">
        <v>46026</v>
      </c>
      <c r="F2556" s="2">
        <v>16</v>
      </c>
      <c r="G2556" s="3" t="s">
        <v>23</v>
      </c>
      <c r="H2556">
        <v>0</v>
      </c>
      <c r="I2556" s="2">
        <v>0</v>
      </c>
      <c r="J2556" s="2">
        <v>0</v>
      </c>
      <c r="K2556" s="2">
        <v>0</v>
      </c>
      <c r="L2556" s="2">
        <v>0</v>
      </c>
      <c r="M2556">
        <v>0</v>
      </c>
      <c r="N2556">
        <v>0</v>
      </c>
      <c r="O2556" s="2">
        <v>0</v>
      </c>
      <c r="P2556" s="2">
        <v>1</v>
      </c>
      <c r="Q2556">
        <v>0</v>
      </c>
      <c r="R2556" s="2">
        <v>0</v>
      </c>
      <c r="S2556" s="2">
        <v>1</v>
      </c>
      <c r="T2556" t="s">
        <v>1303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</row>
    <row r="2557" spans="1:28" hidden="1" x14ac:dyDescent="0.25">
      <c r="A2557" t="s">
        <v>63</v>
      </c>
      <c r="B2557" t="s">
        <v>284</v>
      </c>
      <c r="C2557" t="s">
        <v>102</v>
      </c>
      <c r="D2557" s="9">
        <v>46026</v>
      </c>
      <c r="E2557" s="9">
        <v>46026</v>
      </c>
      <c r="F2557" s="2">
        <v>16</v>
      </c>
      <c r="G2557" s="3" t="s">
        <v>23</v>
      </c>
      <c r="H2557">
        <v>0</v>
      </c>
      <c r="I2557" s="2">
        <v>0</v>
      </c>
      <c r="J2557" s="2">
        <v>0</v>
      </c>
      <c r="K2557" s="2">
        <v>0</v>
      </c>
      <c r="L2557" s="2">
        <v>0</v>
      </c>
      <c r="M2557">
        <v>0</v>
      </c>
      <c r="N2557">
        <v>0</v>
      </c>
      <c r="O2557" s="2">
        <v>0</v>
      </c>
      <c r="P2557" s="2">
        <v>1</v>
      </c>
      <c r="Q2557">
        <v>0</v>
      </c>
      <c r="R2557" s="2">
        <v>0</v>
      </c>
      <c r="S2557" s="2">
        <v>1</v>
      </c>
      <c r="T2557" t="s">
        <v>1304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</row>
    <row r="2558" spans="1:28" hidden="1" x14ac:dyDescent="0.25">
      <c r="A2558" t="s">
        <v>568</v>
      </c>
      <c r="B2558" t="s">
        <v>1237</v>
      </c>
      <c r="C2558" t="s">
        <v>670</v>
      </c>
      <c r="D2558" s="9">
        <v>46026</v>
      </c>
      <c r="E2558" s="9">
        <v>46026</v>
      </c>
      <c r="F2558" s="2">
        <v>78</v>
      </c>
      <c r="G2558" s="3" t="s">
        <v>23</v>
      </c>
      <c r="H2558">
        <v>0</v>
      </c>
      <c r="I2558" s="2">
        <v>0</v>
      </c>
      <c r="J2558" s="2">
        <v>0</v>
      </c>
      <c r="K2558" s="2">
        <v>0</v>
      </c>
      <c r="L2558" s="2">
        <v>0</v>
      </c>
      <c r="M2558">
        <v>0</v>
      </c>
      <c r="N2558">
        <v>0</v>
      </c>
      <c r="O2558" s="2">
        <v>0</v>
      </c>
      <c r="P2558" s="2">
        <v>1</v>
      </c>
      <c r="Q2558">
        <v>0</v>
      </c>
      <c r="R2558" s="2">
        <v>0</v>
      </c>
      <c r="S2558" s="2">
        <v>1</v>
      </c>
      <c r="T2558" t="s">
        <v>1305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</row>
    <row r="2559" spans="1:28" hidden="1" x14ac:dyDescent="0.25">
      <c r="A2559" t="s">
        <v>20</v>
      </c>
      <c r="B2559" t="s">
        <v>1160</v>
      </c>
      <c r="C2559" t="s">
        <v>212</v>
      </c>
      <c r="D2559" s="9">
        <v>46026</v>
      </c>
      <c r="E2559" s="9">
        <v>46026</v>
      </c>
      <c r="F2559" s="2">
        <v>0</v>
      </c>
      <c r="G2559" s="3" t="s">
        <v>378</v>
      </c>
      <c r="H2559">
        <v>0</v>
      </c>
      <c r="I2559" s="2">
        <v>0</v>
      </c>
      <c r="J2559" s="2">
        <v>0</v>
      </c>
      <c r="K2559" s="2">
        <v>0</v>
      </c>
      <c r="L2559" s="2">
        <v>0</v>
      </c>
      <c r="M2559">
        <v>0</v>
      </c>
      <c r="N2559">
        <v>0</v>
      </c>
      <c r="O2559" s="2">
        <v>0</v>
      </c>
      <c r="P2559" s="2">
        <v>0</v>
      </c>
      <c r="Q2559">
        <v>0</v>
      </c>
      <c r="R2559" s="2">
        <v>0</v>
      </c>
      <c r="S2559" s="2">
        <v>0</v>
      </c>
      <c r="T2559" t="s">
        <v>377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</row>
    <row r="2560" spans="1:28" hidden="1" x14ac:dyDescent="0.25">
      <c r="A2560" t="s">
        <v>29</v>
      </c>
      <c r="B2560" t="s">
        <v>30</v>
      </c>
      <c r="C2560" t="s">
        <v>212</v>
      </c>
      <c r="D2560" s="9">
        <v>46026</v>
      </c>
      <c r="E2560" s="9">
        <v>46026</v>
      </c>
      <c r="F2560" s="2">
        <v>0</v>
      </c>
      <c r="G2560" s="3" t="s">
        <v>378</v>
      </c>
      <c r="H2560">
        <v>0</v>
      </c>
      <c r="I2560" s="2">
        <v>0</v>
      </c>
      <c r="J2560" s="2">
        <v>0</v>
      </c>
      <c r="K2560" s="2">
        <v>0</v>
      </c>
      <c r="L2560" s="2">
        <v>0</v>
      </c>
      <c r="M2560">
        <v>0</v>
      </c>
      <c r="N2560">
        <v>0</v>
      </c>
      <c r="O2560" s="2">
        <v>0</v>
      </c>
      <c r="P2560" s="2">
        <v>0</v>
      </c>
      <c r="Q2560">
        <v>0</v>
      </c>
      <c r="R2560" s="2">
        <v>0</v>
      </c>
      <c r="S2560" s="2">
        <v>0</v>
      </c>
      <c r="T2560" t="s">
        <v>377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</row>
    <row r="2561" spans="1:28" hidden="1" x14ac:dyDescent="0.25">
      <c r="A2561" t="s">
        <v>53</v>
      </c>
      <c r="B2561" t="s">
        <v>38</v>
      </c>
      <c r="C2561" t="s">
        <v>212</v>
      </c>
      <c r="D2561" s="9">
        <v>46026</v>
      </c>
      <c r="E2561" s="9">
        <v>46026</v>
      </c>
      <c r="F2561" s="2">
        <v>0</v>
      </c>
      <c r="G2561" s="3" t="s">
        <v>378</v>
      </c>
      <c r="H2561">
        <v>0</v>
      </c>
      <c r="I2561" s="2">
        <v>0</v>
      </c>
      <c r="J2561" s="2">
        <v>0</v>
      </c>
      <c r="K2561" s="2">
        <v>0</v>
      </c>
      <c r="L2561" s="2">
        <v>0</v>
      </c>
      <c r="M2561">
        <v>0</v>
      </c>
      <c r="N2561">
        <v>0</v>
      </c>
      <c r="O2561" s="2">
        <v>0</v>
      </c>
      <c r="P2561" s="2">
        <v>0</v>
      </c>
      <c r="Q2561">
        <v>0</v>
      </c>
      <c r="R2561" s="2">
        <v>0</v>
      </c>
      <c r="S2561" s="2">
        <v>0</v>
      </c>
      <c r="T2561" t="s">
        <v>377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</row>
    <row r="2562" spans="1:28" hidden="1" x14ac:dyDescent="0.25">
      <c r="A2562" t="s">
        <v>47</v>
      </c>
      <c r="B2562" t="s">
        <v>21</v>
      </c>
      <c r="C2562" t="s">
        <v>212</v>
      </c>
      <c r="D2562" s="9">
        <v>46026</v>
      </c>
      <c r="E2562" s="9">
        <v>46026</v>
      </c>
      <c r="F2562" s="2">
        <v>0</v>
      </c>
      <c r="G2562" s="3" t="s">
        <v>129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 t="s">
        <v>377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</row>
    <row r="2563" spans="1:28" hidden="1" x14ac:dyDescent="0.25">
      <c r="A2563" t="s">
        <v>47</v>
      </c>
      <c r="B2563" t="s">
        <v>52</v>
      </c>
      <c r="C2563" t="s">
        <v>212</v>
      </c>
      <c r="D2563" s="9">
        <v>46026</v>
      </c>
      <c r="E2563" s="9">
        <v>46026</v>
      </c>
      <c r="F2563" s="2">
        <v>0</v>
      </c>
      <c r="G2563" s="3" t="s">
        <v>129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 t="s">
        <v>377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</row>
    <row r="2564" spans="1:28" hidden="1" x14ac:dyDescent="0.25">
      <c r="A2564" t="s">
        <v>47</v>
      </c>
      <c r="B2564" t="s">
        <v>57</v>
      </c>
      <c r="C2564" t="s">
        <v>35</v>
      </c>
      <c r="D2564" s="9">
        <v>46026</v>
      </c>
      <c r="E2564" s="9">
        <v>46026</v>
      </c>
      <c r="F2564" s="2">
        <v>21</v>
      </c>
      <c r="G2564" s="3" t="s">
        <v>129</v>
      </c>
      <c r="H2564">
        <v>0</v>
      </c>
      <c r="I2564" s="2">
        <v>0</v>
      </c>
      <c r="J2564" s="2">
        <v>0</v>
      </c>
      <c r="K2564" s="2">
        <v>0</v>
      </c>
      <c r="L2564" s="2">
        <v>0</v>
      </c>
      <c r="M2564">
        <v>0</v>
      </c>
      <c r="N2564">
        <v>0</v>
      </c>
      <c r="O2564" s="2">
        <v>0</v>
      </c>
      <c r="P2564" s="2">
        <v>0</v>
      </c>
      <c r="Q2564">
        <v>0</v>
      </c>
      <c r="R2564" s="2">
        <v>0</v>
      </c>
      <c r="S2564" s="2">
        <v>0</v>
      </c>
      <c r="T2564" t="s">
        <v>1125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</row>
    <row r="2565" spans="1:28" hidden="1" x14ac:dyDescent="0.25">
      <c r="A2565" t="s">
        <v>25</v>
      </c>
      <c r="B2565" t="s">
        <v>47</v>
      </c>
      <c r="C2565" t="s">
        <v>35</v>
      </c>
      <c r="D2565" s="9">
        <v>46026</v>
      </c>
      <c r="E2565" s="9">
        <v>46026</v>
      </c>
      <c r="F2565" s="2">
        <v>21</v>
      </c>
      <c r="G2565" s="3" t="s">
        <v>129</v>
      </c>
      <c r="H2565">
        <v>0</v>
      </c>
      <c r="I2565" s="2">
        <v>0</v>
      </c>
      <c r="J2565" s="2">
        <v>0</v>
      </c>
      <c r="K2565" s="2">
        <v>0</v>
      </c>
      <c r="L2565" s="2">
        <v>0</v>
      </c>
      <c r="M2565">
        <v>0</v>
      </c>
      <c r="N2565">
        <v>0</v>
      </c>
      <c r="O2565" s="2">
        <v>0</v>
      </c>
      <c r="P2565" s="2">
        <v>0</v>
      </c>
      <c r="Q2565">
        <v>0</v>
      </c>
      <c r="R2565" s="2">
        <v>0</v>
      </c>
      <c r="S2565" s="2">
        <v>0</v>
      </c>
      <c r="T2565" t="s">
        <v>1125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</row>
    <row r="2566" spans="1:28" hidden="1" x14ac:dyDescent="0.25">
      <c r="A2566" t="s">
        <v>33</v>
      </c>
      <c r="B2566" t="s">
        <v>47</v>
      </c>
      <c r="C2566" t="s">
        <v>35</v>
      </c>
      <c r="D2566" s="9">
        <v>46026</v>
      </c>
      <c r="E2566" s="9">
        <v>46026</v>
      </c>
      <c r="F2566" s="2">
        <v>21</v>
      </c>
      <c r="G2566" s="3" t="s">
        <v>50</v>
      </c>
      <c r="H2566">
        <v>0</v>
      </c>
      <c r="I2566" s="2">
        <v>0</v>
      </c>
      <c r="J2566" s="2">
        <v>0</v>
      </c>
      <c r="K2566" s="2">
        <v>0</v>
      </c>
      <c r="L2566" s="2">
        <v>0</v>
      </c>
      <c r="M2566">
        <v>0</v>
      </c>
      <c r="N2566">
        <v>0</v>
      </c>
      <c r="O2566" s="2">
        <v>0</v>
      </c>
      <c r="P2566" s="2">
        <v>0</v>
      </c>
      <c r="Q2566">
        <v>0</v>
      </c>
      <c r="R2566" s="2">
        <v>0</v>
      </c>
      <c r="S2566" s="2">
        <v>0</v>
      </c>
      <c r="T2566" t="s">
        <v>1125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</row>
    <row r="2567" spans="1:28" hidden="1" x14ac:dyDescent="0.25">
      <c r="A2567" t="s">
        <v>37</v>
      </c>
      <c r="B2567" t="s">
        <v>38</v>
      </c>
      <c r="C2567" t="s">
        <v>39</v>
      </c>
      <c r="D2567" s="1">
        <v>46027</v>
      </c>
      <c r="E2567" s="1">
        <v>46027</v>
      </c>
      <c r="F2567" s="2">
        <v>16</v>
      </c>
      <c r="G2567" s="3" t="s">
        <v>23</v>
      </c>
      <c r="H2567">
        <f>2+1+1+1</f>
        <v>5</v>
      </c>
      <c r="I2567" s="2">
        <v>0</v>
      </c>
      <c r="J2567" s="2">
        <v>0</v>
      </c>
      <c r="K2567" s="2">
        <v>0</v>
      </c>
      <c r="L2567" s="2">
        <v>0</v>
      </c>
      <c r="M2567">
        <v>0</v>
      </c>
      <c r="N2567">
        <v>0</v>
      </c>
      <c r="O2567" s="2">
        <v>0</v>
      </c>
      <c r="P2567" s="2">
        <v>0</v>
      </c>
      <c r="Q2567">
        <v>0</v>
      </c>
      <c r="R2567" s="2">
        <v>0</v>
      </c>
      <c r="S2567" s="2">
        <v>0</v>
      </c>
      <c r="T2567" t="s">
        <v>1306</v>
      </c>
      <c r="U2567" s="2">
        <v>0</v>
      </c>
      <c r="V2567" s="2">
        <f>10+0</f>
        <v>10</v>
      </c>
      <c r="W2567" s="2">
        <v>2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</row>
    <row r="2568" spans="1:28" hidden="1" x14ac:dyDescent="0.25">
      <c r="A2568" t="s">
        <v>568</v>
      </c>
      <c r="B2568" t="s">
        <v>1160</v>
      </c>
      <c r="C2568" t="s">
        <v>670</v>
      </c>
      <c r="D2568" s="1">
        <v>46027</v>
      </c>
      <c r="E2568" s="1">
        <v>46027</v>
      </c>
      <c r="F2568" s="2">
        <v>76</v>
      </c>
      <c r="G2568" s="3" t="s">
        <v>23</v>
      </c>
      <c r="H2568">
        <v>4</v>
      </c>
      <c r="I2568" s="2">
        <v>0</v>
      </c>
      <c r="J2568" s="2">
        <v>0</v>
      </c>
      <c r="K2568" s="2">
        <v>0</v>
      </c>
      <c r="L2568" s="2">
        <v>0</v>
      </c>
      <c r="M2568">
        <v>1</v>
      </c>
      <c r="N2568">
        <v>0</v>
      </c>
      <c r="O2568" s="2">
        <v>0</v>
      </c>
      <c r="P2568" s="2">
        <v>0</v>
      </c>
      <c r="Q2568">
        <v>0</v>
      </c>
      <c r="R2568" s="2">
        <v>0</v>
      </c>
      <c r="S2568" s="2">
        <v>0</v>
      </c>
      <c r="T2568" t="s">
        <v>1307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</row>
    <row r="2569" spans="1:28" hidden="1" x14ac:dyDescent="0.25">
      <c r="A2569" t="s">
        <v>29</v>
      </c>
      <c r="B2569" t="s">
        <v>30</v>
      </c>
      <c r="C2569" t="s">
        <v>670</v>
      </c>
      <c r="D2569" s="1">
        <v>46027</v>
      </c>
      <c r="E2569" s="1">
        <v>46027</v>
      </c>
      <c r="F2569" s="2">
        <v>76</v>
      </c>
      <c r="G2569" s="3" t="s">
        <v>23</v>
      </c>
      <c r="H2569">
        <v>2</v>
      </c>
      <c r="I2569" s="2">
        <v>0</v>
      </c>
      <c r="J2569" s="2">
        <v>0</v>
      </c>
      <c r="K2569" s="2">
        <v>0</v>
      </c>
      <c r="L2569" s="2">
        <v>0</v>
      </c>
      <c r="M2569">
        <v>1</v>
      </c>
      <c r="N2569">
        <v>0</v>
      </c>
      <c r="O2569" s="2">
        <v>0</v>
      </c>
      <c r="P2569" s="2">
        <v>0</v>
      </c>
      <c r="Q2569">
        <v>0</v>
      </c>
      <c r="R2569" s="2">
        <v>0</v>
      </c>
      <c r="S2569" s="2">
        <v>0</v>
      </c>
      <c r="T2569" t="s">
        <v>1307</v>
      </c>
      <c r="U2569" s="2">
        <v>0</v>
      </c>
      <c r="V2569" s="2">
        <v>2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</row>
    <row r="2570" spans="1:28" hidden="1" x14ac:dyDescent="0.25">
      <c r="A2570" t="s">
        <v>25</v>
      </c>
      <c r="B2570" t="s">
        <v>26</v>
      </c>
      <c r="C2570" t="s">
        <v>27</v>
      </c>
      <c r="D2570" s="1">
        <v>46027</v>
      </c>
      <c r="E2570" s="1">
        <v>46027</v>
      </c>
      <c r="F2570" s="2">
        <v>43</v>
      </c>
      <c r="G2570" s="3" t="s">
        <v>23</v>
      </c>
      <c r="H2570">
        <v>1</v>
      </c>
      <c r="I2570" s="2">
        <v>0</v>
      </c>
      <c r="J2570" s="2">
        <v>0</v>
      </c>
      <c r="K2570" s="2">
        <v>0</v>
      </c>
      <c r="L2570" s="2">
        <v>0</v>
      </c>
      <c r="M2570">
        <v>0</v>
      </c>
      <c r="N2570">
        <v>0</v>
      </c>
      <c r="O2570" s="2">
        <v>0</v>
      </c>
      <c r="P2570" s="2">
        <v>0</v>
      </c>
      <c r="Q2570">
        <v>0</v>
      </c>
      <c r="R2570" s="2">
        <v>0</v>
      </c>
      <c r="S2570" s="2">
        <v>0</v>
      </c>
      <c r="T2570" t="s">
        <v>1308</v>
      </c>
      <c r="U2570" s="2">
        <v>0</v>
      </c>
      <c r="V2570" s="2">
        <v>12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</row>
    <row r="2571" spans="1:28" hidden="1" x14ac:dyDescent="0.25">
      <c r="A2571" t="s">
        <v>63</v>
      </c>
      <c r="B2571" t="s">
        <v>47</v>
      </c>
      <c r="C2571" t="s">
        <v>22</v>
      </c>
      <c r="D2571" s="1">
        <v>46027</v>
      </c>
      <c r="E2571" s="1">
        <v>46027</v>
      </c>
      <c r="F2571" s="2">
        <v>29</v>
      </c>
      <c r="G2571" s="3" t="s">
        <v>23</v>
      </c>
      <c r="H2571">
        <v>0</v>
      </c>
      <c r="I2571" s="2">
        <v>0</v>
      </c>
      <c r="J2571" s="2">
        <v>0</v>
      </c>
      <c r="K2571" s="2">
        <v>0</v>
      </c>
      <c r="L2571" s="2">
        <v>0</v>
      </c>
      <c r="M2571">
        <v>0</v>
      </c>
      <c r="N2571">
        <v>0</v>
      </c>
      <c r="O2571" s="2">
        <v>0</v>
      </c>
      <c r="P2571" s="2">
        <v>0</v>
      </c>
      <c r="Q2571">
        <v>3</v>
      </c>
      <c r="R2571" s="2">
        <v>0</v>
      </c>
      <c r="S2571" s="2">
        <v>0</v>
      </c>
      <c r="T2571" t="s">
        <v>1309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</row>
    <row r="2572" spans="1:28" hidden="1" x14ac:dyDescent="0.25">
      <c r="A2572" t="s">
        <v>20</v>
      </c>
      <c r="B2572" t="s">
        <v>21</v>
      </c>
      <c r="C2572" t="s">
        <v>22</v>
      </c>
      <c r="D2572" s="1">
        <v>46027</v>
      </c>
      <c r="E2572" s="1">
        <v>46027</v>
      </c>
      <c r="F2572" s="2">
        <v>29</v>
      </c>
      <c r="G2572" s="3" t="s">
        <v>23</v>
      </c>
      <c r="H2572">
        <v>0</v>
      </c>
      <c r="I2572" s="2">
        <v>0</v>
      </c>
      <c r="J2572" s="2">
        <v>0</v>
      </c>
      <c r="K2572" s="2">
        <v>0</v>
      </c>
      <c r="L2572" s="2">
        <v>0</v>
      </c>
      <c r="M2572">
        <v>0</v>
      </c>
      <c r="N2572">
        <v>0</v>
      </c>
      <c r="O2572" s="2">
        <v>0</v>
      </c>
      <c r="P2572" s="2">
        <v>0</v>
      </c>
      <c r="Q2572">
        <v>3</v>
      </c>
      <c r="R2572" s="2">
        <v>0</v>
      </c>
      <c r="S2572" s="2">
        <v>0</v>
      </c>
      <c r="T2572" t="s">
        <v>1309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</row>
    <row r="2573" spans="1:28" hidden="1" x14ac:dyDescent="0.25">
      <c r="A2573" t="s">
        <v>53</v>
      </c>
      <c r="B2573" t="s">
        <v>47</v>
      </c>
      <c r="C2573" t="s">
        <v>39</v>
      </c>
      <c r="D2573" s="1">
        <v>46027</v>
      </c>
      <c r="E2573" s="1">
        <v>46027</v>
      </c>
      <c r="F2573" s="2">
        <v>18</v>
      </c>
      <c r="G2573" s="3" t="s">
        <v>1286</v>
      </c>
      <c r="H2573">
        <v>0</v>
      </c>
      <c r="I2573" s="2">
        <v>0</v>
      </c>
      <c r="J2573" s="2">
        <v>0</v>
      </c>
      <c r="K2573" s="2">
        <v>0</v>
      </c>
      <c r="L2573" s="2">
        <v>0</v>
      </c>
      <c r="M2573">
        <v>0</v>
      </c>
      <c r="N2573">
        <v>0</v>
      </c>
      <c r="O2573" s="2">
        <v>0</v>
      </c>
      <c r="P2573" s="2">
        <v>0</v>
      </c>
      <c r="Q2573">
        <v>0</v>
      </c>
      <c r="R2573" s="2">
        <v>0</v>
      </c>
      <c r="S2573" s="2">
        <v>0</v>
      </c>
      <c r="T2573" t="s">
        <v>1244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</row>
    <row r="2574" spans="1:28" hidden="1" x14ac:dyDescent="0.25">
      <c r="A2574" t="s">
        <v>730</v>
      </c>
      <c r="B2574" t="s">
        <v>284</v>
      </c>
      <c r="C2574" t="s">
        <v>39</v>
      </c>
      <c r="D2574" s="1">
        <v>46027</v>
      </c>
      <c r="E2574" s="1">
        <v>46027</v>
      </c>
      <c r="F2574" s="2">
        <v>18</v>
      </c>
      <c r="G2574" s="3" t="s">
        <v>1286</v>
      </c>
      <c r="H2574">
        <v>0</v>
      </c>
      <c r="I2574" s="2">
        <v>0</v>
      </c>
      <c r="J2574" s="2">
        <v>0</v>
      </c>
      <c r="K2574" s="2">
        <v>0</v>
      </c>
      <c r="L2574" s="2">
        <v>0</v>
      </c>
      <c r="M2574">
        <v>0</v>
      </c>
      <c r="N2574">
        <v>0</v>
      </c>
      <c r="O2574" s="2">
        <v>0</v>
      </c>
      <c r="P2574" s="2">
        <v>0</v>
      </c>
      <c r="Q2574">
        <v>0</v>
      </c>
      <c r="R2574" s="2">
        <v>0</v>
      </c>
      <c r="S2574" s="2">
        <v>0</v>
      </c>
      <c r="T2574" t="s">
        <v>1244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</row>
    <row r="2575" spans="1:28" hidden="1" x14ac:dyDescent="0.25">
      <c r="A2575" t="s">
        <v>56</v>
      </c>
      <c r="B2575" t="s">
        <v>34</v>
      </c>
      <c r="C2575" t="s">
        <v>39</v>
      </c>
      <c r="D2575" s="1">
        <v>46027</v>
      </c>
      <c r="E2575" s="1">
        <v>46027</v>
      </c>
      <c r="F2575" s="2">
        <v>18</v>
      </c>
      <c r="G2575" s="3" t="s">
        <v>1286</v>
      </c>
      <c r="H2575">
        <v>0</v>
      </c>
      <c r="I2575" s="2">
        <v>0</v>
      </c>
      <c r="J2575" s="2">
        <v>0</v>
      </c>
      <c r="K2575" s="2">
        <v>0</v>
      </c>
      <c r="L2575" s="2">
        <v>0</v>
      </c>
      <c r="M2575">
        <v>0</v>
      </c>
      <c r="N2575">
        <v>0</v>
      </c>
      <c r="O2575" s="2">
        <v>0</v>
      </c>
      <c r="P2575" s="2">
        <v>0</v>
      </c>
      <c r="Q2575">
        <v>0</v>
      </c>
      <c r="R2575" s="2">
        <v>0</v>
      </c>
      <c r="S2575" s="2">
        <v>0</v>
      </c>
      <c r="T2575" t="s">
        <v>1244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</row>
    <row r="2576" spans="1:28" hidden="1" x14ac:dyDescent="0.25">
      <c r="A2576" t="s">
        <v>47</v>
      </c>
      <c r="B2576" t="s">
        <v>57</v>
      </c>
      <c r="C2576" t="s">
        <v>35</v>
      </c>
      <c r="D2576" s="1">
        <v>46027</v>
      </c>
      <c r="E2576" s="1">
        <v>46027</v>
      </c>
      <c r="F2576" s="2">
        <v>21</v>
      </c>
      <c r="G2576" s="3" t="s">
        <v>129</v>
      </c>
      <c r="H2576">
        <v>0</v>
      </c>
      <c r="I2576" s="2">
        <v>0</v>
      </c>
      <c r="J2576" s="2">
        <v>0</v>
      </c>
      <c r="K2576" s="2">
        <v>0</v>
      </c>
      <c r="L2576" s="2">
        <v>0</v>
      </c>
      <c r="M2576">
        <v>0</v>
      </c>
      <c r="N2576">
        <v>0</v>
      </c>
      <c r="O2576" s="2">
        <v>0</v>
      </c>
      <c r="P2576" s="2">
        <v>0</v>
      </c>
      <c r="Q2576">
        <v>0</v>
      </c>
      <c r="R2576" s="2">
        <v>0</v>
      </c>
      <c r="S2576" s="2">
        <v>0</v>
      </c>
      <c r="T2576" t="s">
        <v>1125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</row>
    <row r="2577" spans="1:28" hidden="1" x14ac:dyDescent="0.25">
      <c r="A2577" t="s">
        <v>33</v>
      </c>
      <c r="B2577" t="s">
        <v>47</v>
      </c>
      <c r="C2577" t="s">
        <v>35</v>
      </c>
      <c r="D2577" s="1">
        <v>46027</v>
      </c>
      <c r="E2577" s="1">
        <v>46027</v>
      </c>
      <c r="F2577" s="2">
        <v>21</v>
      </c>
      <c r="G2577" s="3" t="s">
        <v>50</v>
      </c>
      <c r="H2577">
        <v>0</v>
      </c>
      <c r="I2577" s="2">
        <v>0</v>
      </c>
      <c r="J2577" s="2">
        <v>0</v>
      </c>
      <c r="K2577" s="2">
        <v>0</v>
      </c>
      <c r="L2577" s="2">
        <v>0</v>
      </c>
      <c r="M2577">
        <v>0</v>
      </c>
      <c r="N2577">
        <v>0</v>
      </c>
      <c r="O2577" s="2">
        <v>0</v>
      </c>
      <c r="P2577" s="2">
        <v>0</v>
      </c>
      <c r="Q2577">
        <v>0</v>
      </c>
      <c r="R2577" s="2">
        <v>0</v>
      </c>
      <c r="S2577" s="2">
        <v>0</v>
      </c>
      <c r="T2577" t="s">
        <v>1125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</row>
    <row r="2578" spans="1:28" hidden="1" x14ac:dyDescent="0.25">
      <c r="A2578" t="s">
        <v>56</v>
      </c>
      <c r="B2578" t="s">
        <v>34</v>
      </c>
      <c r="C2578" t="s">
        <v>64</v>
      </c>
      <c r="D2578" s="1">
        <v>46028</v>
      </c>
      <c r="E2578" s="1">
        <v>46028</v>
      </c>
      <c r="F2578" s="2">
        <v>23</v>
      </c>
      <c r="G2578" s="3" t="s">
        <v>23</v>
      </c>
      <c r="H2578">
        <v>22</v>
      </c>
      <c r="I2578" s="2">
        <v>0</v>
      </c>
      <c r="J2578" s="2">
        <v>0</v>
      </c>
      <c r="K2578" s="2">
        <v>0</v>
      </c>
      <c r="L2578" s="2">
        <v>1</v>
      </c>
      <c r="M2578">
        <v>0</v>
      </c>
      <c r="N2578">
        <v>0</v>
      </c>
      <c r="O2578" s="2">
        <v>0</v>
      </c>
      <c r="P2578" s="2">
        <v>0</v>
      </c>
      <c r="Q2578">
        <v>0</v>
      </c>
      <c r="R2578" s="2">
        <v>0</v>
      </c>
      <c r="S2578" s="2">
        <v>0</v>
      </c>
      <c r="T2578" t="s">
        <v>1310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</row>
    <row r="2579" spans="1:28" hidden="1" x14ac:dyDescent="0.25">
      <c r="A2579" t="s">
        <v>53</v>
      </c>
      <c r="B2579" t="s">
        <v>38</v>
      </c>
      <c r="C2579" t="s">
        <v>54</v>
      </c>
      <c r="D2579" s="1">
        <v>46028</v>
      </c>
      <c r="E2579" s="1">
        <v>46028</v>
      </c>
      <c r="F2579" s="2">
        <v>49</v>
      </c>
      <c r="G2579" s="3" t="s">
        <v>23</v>
      </c>
      <c r="H2579">
        <v>22</v>
      </c>
      <c r="I2579" s="2">
        <v>0</v>
      </c>
      <c r="J2579" s="2">
        <v>0</v>
      </c>
      <c r="K2579" s="2">
        <v>0</v>
      </c>
      <c r="L2579" s="2">
        <v>1</v>
      </c>
      <c r="M2579">
        <v>0</v>
      </c>
      <c r="N2579">
        <v>0</v>
      </c>
      <c r="O2579" s="2">
        <v>0</v>
      </c>
      <c r="P2579" s="2">
        <v>0</v>
      </c>
      <c r="Q2579">
        <v>3</v>
      </c>
      <c r="R2579" s="2">
        <v>0</v>
      </c>
      <c r="S2579" s="2">
        <v>0</v>
      </c>
      <c r="T2579" t="s">
        <v>1311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</row>
    <row r="2580" spans="1:28" hidden="1" x14ac:dyDescent="0.25">
      <c r="A2580" t="s">
        <v>37</v>
      </c>
      <c r="B2580" t="s">
        <v>26</v>
      </c>
      <c r="C2580" t="s">
        <v>39</v>
      </c>
      <c r="D2580" s="1">
        <v>46028</v>
      </c>
      <c r="E2580" s="1">
        <v>46028</v>
      </c>
      <c r="F2580" s="2">
        <v>16</v>
      </c>
      <c r="G2580" s="3" t="s">
        <v>23</v>
      </c>
      <c r="H2580">
        <v>50</v>
      </c>
      <c r="I2580" s="2">
        <v>0</v>
      </c>
      <c r="J2580" s="2">
        <v>0</v>
      </c>
      <c r="K2580" s="2">
        <v>1</v>
      </c>
      <c r="L2580" s="2">
        <v>0</v>
      </c>
      <c r="M2580">
        <v>0</v>
      </c>
      <c r="N2580">
        <v>0</v>
      </c>
      <c r="O2580" s="2">
        <v>0</v>
      </c>
      <c r="P2580" s="2">
        <v>0</v>
      </c>
      <c r="Q2580">
        <v>0</v>
      </c>
      <c r="R2580" s="2">
        <v>0</v>
      </c>
      <c r="S2580" s="2">
        <v>0</v>
      </c>
      <c r="T2580" t="s">
        <v>1312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</row>
    <row r="2581" spans="1:28" hidden="1" x14ac:dyDescent="0.25">
      <c r="A2581" t="s">
        <v>20</v>
      </c>
      <c r="B2581" t="s">
        <v>21</v>
      </c>
      <c r="C2581" t="s">
        <v>22</v>
      </c>
      <c r="D2581" s="1">
        <v>46028</v>
      </c>
      <c r="E2581" s="1">
        <v>46028</v>
      </c>
      <c r="F2581" s="2">
        <v>34</v>
      </c>
      <c r="G2581" s="3" t="s">
        <v>23</v>
      </c>
      <c r="H2581">
        <f>14+14+3+1+1+4+1</f>
        <v>38</v>
      </c>
      <c r="I2581" s="2">
        <v>0</v>
      </c>
      <c r="J2581" s="2">
        <v>0</v>
      </c>
      <c r="K2581" s="2">
        <v>1</v>
      </c>
      <c r="L2581" s="2">
        <v>0</v>
      </c>
      <c r="M2581">
        <v>1</v>
      </c>
      <c r="N2581">
        <v>0</v>
      </c>
      <c r="O2581" s="2">
        <v>0</v>
      </c>
      <c r="P2581" s="2">
        <v>0</v>
      </c>
      <c r="Q2581">
        <v>0</v>
      </c>
      <c r="R2581" s="2">
        <v>0</v>
      </c>
      <c r="S2581" s="2">
        <v>0</v>
      </c>
      <c r="T2581" t="s">
        <v>1313</v>
      </c>
      <c r="U2581" s="2">
        <v>0</v>
      </c>
      <c r="V2581" s="2">
        <v>8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</row>
    <row r="2582" spans="1:28" hidden="1" x14ac:dyDescent="0.25">
      <c r="A2582" t="s">
        <v>63</v>
      </c>
      <c r="B2582" t="s">
        <v>284</v>
      </c>
      <c r="C2582" t="s">
        <v>102</v>
      </c>
      <c r="D2582" s="1">
        <v>46028</v>
      </c>
      <c r="E2582" s="1">
        <v>46028</v>
      </c>
      <c r="F2582" s="2">
        <v>50</v>
      </c>
      <c r="G2582" s="3" t="s">
        <v>23</v>
      </c>
      <c r="H2582">
        <v>48</v>
      </c>
      <c r="I2582" s="2">
        <v>0</v>
      </c>
      <c r="J2582" s="2">
        <v>0</v>
      </c>
      <c r="K2582" s="2">
        <v>1</v>
      </c>
      <c r="L2582" s="2">
        <v>0</v>
      </c>
      <c r="M2582">
        <v>1</v>
      </c>
      <c r="N2582">
        <v>0</v>
      </c>
      <c r="O2582" s="2">
        <v>0</v>
      </c>
      <c r="P2582" s="2">
        <v>0</v>
      </c>
      <c r="Q2582">
        <v>0</v>
      </c>
      <c r="R2582" s="2">
        <v>0</v>
      </c>
      <c r="S2582" s="2">
        <v>0</v>
      </c>
      <c r="T2582" t="s">
        <v>1314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</row>
    <row r="2583" spans="1:28" hidden="1" x14ac:dyDescent="0.25">
      <c r="A2583" t="s">
        <v>568</v>
      </c>
      <c r="B2583" t="s">
        <v>1160</v>
      </c>
      <c r="C2583" t="s">
        <v>670</v>
      </c>
      <c r="D2583" s="1">
        <v>46028</v>
      </c>
      <c r="E2583" s="1">
        <v>46028</v>
      </c>
      <c r="F2583" s="2">
        <v>143</v>
      </c>
      <c r="G2583" s="3" t="s">
        <v>23</v>
      </c>
      <c r="H2583">
        <v>30</v>
      </c>
      <c r="I2583" s="2">
        <v>0</v>
      </c>
      <c r="J2583" s="2">
        <v>0</v>
      </c>
      <c r="K2583" s="2">
        <v>1</v>
      </c>
      <c r="L2583" s="2">
        <v>0</v>
      </c>
      <c r="M2583">
        <v>1</v>
      </c>
      <c r="N2583">
        <v>0</v>
      </c>
      <c r="O2583" s="2">
        <v>0</v>
      </c>
      <c r="P2583" s="2">
        <v>0</v>
      </c>
      <c r="Q2583">
        <v>0</v>
      </c>
      <c r="R2583" s="2">
        <v>0</v>
      </c>
      <c r="S2583" s="2">
        <v>0</v>
      </c>
      <c r="T2583" t="s">
        <v>1315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</row>
    <row r="2584" spans="1:28" hidden="1" x14ac:dyDescent="0.25">
      <c r="A2584" t="s">
        <v>25</v>
      </c>
      <c r="B2584" t="s">
        <v>47</v>
      </c>
      <c r="C2584" t="s">
        <v>39</v>
      </c>
      <c r="D2584" s="1">
        <v>46028</v>
      </c>
      <c r="E2584" s="1">
        <v>46028</v>
      </c>
      <c r="F2584" s="2">
        <v>18</v>
      </c>
      <c r="G2584" s="3" t="s">
        <v>48</v>
      </c>
      <c r="H2584">
        <v>0</v>
      </c>
      <c r="I2584" s="2">
        <v>0</v>
      </c>
      <c r="J2584" s="2">
        <v>0</v>
      </c>
      <c r="K2584" s="2">
        <v>0</v>
      </c>
      <c r="L2584" s="2">
        <v>0</v>
      </c>
      <c r="M2584">
        <v>0</v>
      </c>
      <c r="N2584">
        <v>0</v>
      </c>
      <c r="O2584" s="2">
        <v>0</v>
      </c>
      <c r="P2584" s="2">
        <v>0</v>
      </c>
      <c r="Q2584">
        <v>0</v>
      </c>
      <c r="R2584" s="2">
        <v>0</v>
      </c>
      <c r="S2584" s="2">
        <v>0</v>
      </c>
      <c r="T2584" t="s">
        <v>1244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</row>
    <row r="2585" spans="1:28" hidden="1" x14ac:dyDescent="0.25">
      <c r="A2585" t="s">
        <v>730</v>
      </c>
      <c r="B2585" t="s">
        <v>47</v>
      </c>
      <c r="C2585" t="s">
        <v>39</v>
      </c>
      <c r="D2585" s="1">
        <v>46028</v>
      </c>
      <c r="E2585" s="1">
        <v>46028</v>
      </c>
      <c r="F2585" s="2">
        <v>18</v>
      </c>
      <c r="G2585" s="3" t="s">
        <v>48</v>
      </c>
      <c r="H2585">
        <v>0</v>
      </c>
      <c r="I2585" s="2">
        <v>0</v>
      </c>
      <c r="J2585" s="2">
        <v>0</v>
      </c>
      <c r="K2585" s="2">
        <v>0</v>
      </c>
      <c r="L2585" s="2">
        <v>0</v>
      </c>
      <c r="M2585">
        <v>0</v>
      </c>
      <c r="N2585">
        <v>0</v>
      </c>
      <c r="O2585" s="2">
        <v>0</v>
      </c>
      <c r="P2585" s="2">
        <v>0</v>
      </c>
      <c r="Q2585">
        <v>0</v>
      </c>
      <c r="R2585" s="2">
        <v>0</v>
      </c>
      <c r="S2585" s="2">
        <v>0</v>
      </c>
      <c r="T2585" t="s">
        <v>1244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</row>
    <row r="2586" spans="1:28" hidden="1" x14ac:dyDescent="0.25">
      <c r="A2586" t="s">
        <v>29</v>
      </c>
      <c r="B2586" t="s">
        <v>30</v>
      </c>
      <c r="C2586" t="s">
        <v>39</v>
      </c>
      <c r="D2586" s="1">
        <v>46028</v>
      </c>
      <c r="E2586" s="1">
        <v>46028</v>
      </c>
      <c r="F2586" s="2">
        <v>18</v>
      </c>
      <c r="G2586" s="3" t="s">
        <v>48</v>
      </c>
      <c r="H2586">
        <v>0</v>
      </c>
      <c r="I2586" s="2">
        <v>0</v>
      </c>
      <c r="J2586" s="2">
        <v>0</v>
      </c>
      <c r="K2586" s="2">
        <v>0</v>
      </c>
      <c r="L2586" s="2">
        <v>0</v>
      </c>
      <c r="M2586">
        <v>0</v>
      </c>
      <c r="N2586">
        <v>0</v>
      </c>
      <c r="O2586" s="2">
        <v>0</v>
      </c>
      <c r="P2586" s="2">
        <v>0</v>
      </c>
      <c r="Q2586">
        <v>0</v>
      </c>
      <c r="R2586" s="2">
        <v>0</v>
      </c>
      <c r="S2586" s="2">
        <v>0</v>
      </c>
      <c r="T2586" t="s">
        <v>1244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</row>
    <row r="2587" spans="1:28" hidden="1" x14ac:dyDescent="0.25">
      <c r="A2587" t="s">
        <v>47</v>
      </c>
      <c r="B2587" t="s">
        <v>57</v>
      </c>
      <c r="C2587" t="s">
        <v>35</v>
      </c>
      <c r="D2587" s="1">
        <v>46028</v>
      </c>
      <c r="E2587" s="1">
        <v>46028</v>
      </c>
      <c r="F2587" s="2">
        <v>21</v>
      </c>
      <c r="G2587" s="3" t="s">
        <v>129</v>
      </c>
      <c r="H2587">
        <v>0</v>
      </c>
      <c r="I2587" s="2">
        <v>0</v>
      </c>
      <c r="J2587" s="2">
        <v>0</v>
      </c>
      <c r="K2587" s="2">
        <v>0</v>
      </c>
      <c r="L2587" s="2">
        <v>0</v>
      </c>
      <c r="M2587">
        <v>0</v>
      </c>
      <c r="N2587">
        <v>0</v>
      </c>
      <c r="O2587" s="2">
        <v>0</v>
      </c>
      <c r="P2587" s="2">
        <v>0</v>
      </c>
      <c r="Q2587">
        <v>0</v>
      </c>
      <c r="R2587" s="2">
        <v>0</v>
      </c>
      <c r="S2587" s="2">
        <v>0</v>
      </c>
      <c r="T2587" t="s">
        <v>1125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</row>
    <row r="2588" spans="1:28" hidden="1" x14ac:dyDescent="0.25">
      <c r="A2588" t="s">
        <v>33</v>
      </c>
      <c r="B2588" t="s">
        <v>47</v>
      </c>
      <c r="C2588" t="s">
        <v>35</v>
      </c>
      <c r="D2588" s="1">
        <v>46028</v>
      </c>
      <c r="E2588" s="1">
        <v>46028</v>
      </c>
      <c r="F2588" s="2">
        <v>21</v>
      </c>
      <c r="G2588" s="3" t="s">
        <v>50</v>
      </c>
      <c r="H2588">
        <v>0</v>
      </c>
      <c r="I2588" s="2">
        <v>0</v>
      </c>
      <c r="J2588" s="2">
        <v>0</v>
      </c>
      <c r="K2588" s="2">
        <v>0</v>
      </c>
      <c r="L2588" s="2">
        <v>0</v>
      </c>
      <c r="M2588">
        <v>0</v>
      </c>
      <c r="N2588">
        <v>0</v>
      </c>
      <c r="O2588" s="2">
        <v>0</v>
      </c>
      <c r="P2588" s="2">
        <v>0</v>
      </c>
      <c r="Q2588">
        <v>0</v>
      </c>
      <c r="R2588" s="2">
        <v>0</v>
      </c>
      <c r="S2588" s="2">
        <v>0</v>
      </c>
      <c r="T2588" t="s">
        <v>1125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</row>
    <row r="2589" spans="1:28" hidden="1" x14ac:dyDescent="0.25">
      <c r="A2589" t="s">
        <v>56</v>
      </c>
      <c r="B2589" t="s">
        <v>34</v>
      </c>
      <c r="C2589" t="s">
        <v>64</v>
      </c>
      <c r="D2589" s="1">
        <v>46029</v>
      </c>
      <c r="E2589" s="1">
        <v>46029</v>
      </c>
      <c r="F2589" s="2">
        <v>27</v>
      </c>
      <c r="G2589" s="3" t="s">
        <v>23</v>
      </c>
      <c r="H2589">
        <f>14+14+14+1+1+2</f>
        <v>46</v>
      </c>
      <c r="I2589" s="2">
        <v>0</v>
      </c>
      <c r="J2589" s="2">
        <v>0</v>
      </c>
      <c r="K2589" s="2">
        <v>1</v>
      </c>
      <c r="L2589" s="2">
        <v>0</v>
      </c>
      <c r="M2589">
        <v>0</v>
      </c>
      <c r="N2589">
        <v>0</v>
      </c>
      <c r="O2589" s="2">
        <v>0</v>
      </c>
      <c r="P2589" s="2">
        <v>0</v>
      </c>
      <c r="Q2589">
        <v>0</v>
      </c>
      <c r="R2589" s="2">
        <v>0</v>
      </c>
      <c r="S2589" s="2">
        <v>0</v>
      </c>
      <c r="T2589" t="s">
        <v>1316</v>
      </c>
      <c r="U2589" s="2">
        <v>0</v>
      </c>
      <c r="V2589" s="2">
        <v>10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</row>
    <row r="2590" spans="1:28" hidden="1" x14ac:dyDescent="0.25">
      <c r="A2590" t="s">
        <v>25</v>
      </c>
      <c r="B2590" t="s">
        <v>26</v>
      </c>
      <c r="C2590" t="s">
        <v>27</v>
      </c>
      <c r="D2590" s="1">
        <v>46029</v>
      </c>
      <c r="E2590" s="1">
        <v>46029</v>
      </c>
      <c r="F2590" s="2">
        <v>42</v>
      </c>
      <c r="G2590" s="3" t="s">
        <v>23</v>
      </c>
      <c r="H2590">
        <f>5+5+8+1</f>
        <v>19</v>
      </c>
      <c r="I2590" s="2">
        <v>0</v>
      </c>
      <c r="J2590" s="2">
        <v>0</v>
      </c>
      <c r="K2590" s="2">
        <v>0</v>
      </c>
      <c r="L2590" s="2">
        <v>1</v>
      </c>
      <c r="M2590">
        <v>0</v>
      </c>
      <c r="N2590">
        <v>1</v>
      </c>
      <c r="O2590" s="2">
        <v>0</v>
      </c>
      <c r="P2590" s="2">
        <v>0</v>
      </c>
      <c r="Q2590">
        <v>0</v>
      </c>
      <c r="R2590" s="2">
        <v>0</v>
      </c>
      <c r="S2590" s="2">
        <v>0</v>
      </c>
      <c r="T2590" t="s">
        <v>1317</v>
      </c>
      <c r="U2590" s="2">
        <v>0</v>
      </c>
      <c r="V2590" s="2">
        <v>10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</row>
    <row r="2591" spans="1:28" ht="15.75" hidden="1" customHeight="1" x14ac:dyDescent="0.25">
      <c r="A2591" t="s">
        <v>53</v>
      </c>
      <c r="B2591" t="s">
        <v>38</v>
      </c>
      <c r="C2591" t="s">
        <v>31</v>
      </c>
      <c r="D2591" s="1">
        <v>46029</v>
      </c>
      <c r="E2591" s="1">
        <v>46029</v>
      </c>
      <c r="F2591" s="2">
        <v>15</v>
      </c>
      <c r="G2591" s="3" t="s">
        <v>23</v>
      </c>
      <c r="H2591">
        <v>24</v>
      </c>
      <c r="I2591" s="2">
        <v>0</v>
      </c>
      <c r="J2591" s="2">
        <v>0</v>
      </c>
      <c r="K2591" s="2">
        <v>1</v>
      </c>
      <c r="L2591" s="2">
        <v>0</v>
      </c>
      <c r="M2591">
        <v>0</v>
      </c>
      <c r="N2591">
        <v>0</v>
      </c>
      <c r="O2591" s="2">
        <v>0</v>
      </c>
      <c r="P2591" s="2">
        <v>0</v>
      </c>
      <c r="Q2591">
        <v>0</v>
      </c>
      <c r="R2591" s="2">
        <v>0</v>
      </c>
      <c r="S2591" s="2">
        <v>0</v>
      </c>
      <c r="T2591" t="s">
        <v>1318</v>
      </c>
      <c r="U2591" s="2">
        <v>0</v>
      </c>
      <c r="V2591" s="2">
        <v>11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</row>
    <row r="2592" spans="1:28" hidden="1" x14ac:dyDescent="0.25">
      <c r="A2592" t="s">
        <v>29</v>
      </c>
      <c r="B2592" t="s">
        <v>30</v>
      </c>
      <c r="C2592" t="s">
        <v>31</v>
      </c>
      <c r="D2592" s="1">
        <v>46029</v>
      </c>
      <c r="E2592" s="1">
        <v>46029</v>
      </c>
      <c r="F2592" s="2">
        <v>15</v>
      </c>
      <c r="G2592" s="3" t="s">
        <v>23</v>
      </c>
      <c r="H2592">
        <f>21+21+1+1+22+2</f>
        <v>68</v>
      </c>
      <c r="I2592" s="2">
        <v>0</v>
      </c>
      <c r="J2592" s="2">
        <v>0</v>
      </c>
      <c r="K2592" s="2">
        <v>1</v>
      </c>
      <c r="L2592" s="2">
        <v>0</v>
      </c>
      <c r="M2592">
        <v>0</v>
      </c>
      <c r="N2592">
        <v>0</v>
      </c>
      <c r="O2592" s="2">
        <v>0</v>
      </c>
      <c r="P2592" s="2">
        <v>0</v>
      </c>
      <c r="Q2592">
        <v>0</v>
      </c>
      <c r="R2592" s="2">
        <v>0</v>
      </c>
      <c r="S2592" s="2">
        <v>0</v>
      </c>
      <c r="T2592" t="s">
        <v>1318</v>
      </c>
      <c r="U2592" s="2">
        <v>0</v>
      </c>
      <c r="V2592" s="2">
        <v>10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</row>
    <row r="2593" spans="1:28" hidden="1" x14ac:dyDescent="0.25">
      <c r="A2593" t="s">
        <v>37</v>
      </c>
      <c r="B2593" t="s">
        <v>47</v>
      </c>
      <c r="C2593" t="s">
        <v>39</v>
      </c>
      <c r="D2593" s="1">
        <v>46029</v>
      </c>
      <c r="E2593" s="1">
        <v>46029</v>
      </c>
      <c r="F2593" s="2">
        <v>44</v>
      </c>
      <c r="G2593" s="3" t="s">
        <v>23</v>
      </c>
      <c r="H2593">
        <f>20+20</f>
        <v>40</v>
      </c>
      <c r="I2593" s="2">
        <v>0</v>
      </c>
      <c r="J2593" s="2">
        <v>0</v>
      </c>
      <c r="K2593" s="2">
        <v>1</v>
      </c>
      <c r="L2593" s="2">
        <v>0</v>
      </c>
      <c r="M2593">
        <v>0</v>
      </c>
      <c r="N2593">
        <v>0</v>
      </c>
      <c r="O2593" s="2">
        <v>0</v>
      </c>
      <c r="P2593" s="2">
        <v>0</v>
      </c>
      <c r="Q2593">
        <v>0</v>
      </c>
      <c r="R2593" s="2">
        <v>0</v>
      </c>
      <c r="S2593" s="2">
        <v>0</v>
      </c>
      <c r="T2593" t="s">
        <v>1319</v>
      </c>
      <c r="U2593" s="2">
        <v>0</v>
      </c>
      <c r="V2593" s="2">
        <f>10+22+10</f>
        <v>42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</row>
    <row r="2594" spans="1:28" hidden="1" x14ac:dyDescent="0.25">
      <c r="A2594" t="s">
        <v>730</v>
      </c>
      <c r="B2594" t="s">
        <v>47</v>
      </c>
      <c r="C2594" t="s">
        <v>39</v>
      </c>
      <c r="D2594" s="1">
        <v>46029</v>
      </c>
      <c r="E2594" s="1">
        <v>46029</v>
      </c>
      <c r="F2594" s="2">
        <v>44</v>
      </c>
      <c r="G2594" s="3" t="s">
        <v>23</v>
      </c>
      <c r="H2594">
        <f>20+20</f>
        <v>40</v>
      </c>
      <c r="I2594" s="2">
        <v>0</v>
      </c>
      <c r="J2594" s="2">
        <v>0</v>
      </c>
      <c r="K2594" s="2">
        <v>1</v>
      </c>
      <c r="L2594" s="2">
        <v>0</v>
      </c>
      <c r="M2594">
        <v>0</v>
      </c>
      <c r="N2594">
        <v>0</v>
      </c>
      <c r="O2594" s="2">
        <v>0</v>
      </c>
      <c r="P2594" s="2">
        <v>0</v>
      </c>
      <c r="Q2594">
        <v>0</v>
      </c>
      <c r="R2594" s="2">
        <v>0</v>
      </c>
      <c r="S2594" s="2">
        <v>0</v>
      </c>
      <c r="T2594" t="s">
        <v>1319</v>
      </c>
      <c r="U2594" s="2">
        <v>0</v>
      </c>
      <c r="V2594" s="2">
        <f>10+22+10</f>
        <v>42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</row>
    <row r="2595" spans="1:28" hidden="1" x14ac:dyDescent="0.25">
      <c r="A2595" t="s">
        <v>568</v>
      </c>
      <c r="B2595" t="s">
        <v>1160</v>
      </c>
      <c r="C2595" t="s">
        <v>670</v>
      </c>
      <c r="D2595" s="1">
        <v>46029</v>
      </c>
      <c r="E2595" s="1">
        <v>46029</v>
      </c>
      <c r="F2595" s="2">
        <v>273</v>
      </c>
      <c r="G2595" s="3" t="s">
        <v>23</v>
      </c>
      <c r="H2595">
        <f>6+2+6+2+2+3+12</f>
        <v>33</v>
      </c>
      <c r="I2595" s="2">
        <v>0</v>
      </c>
      <c r="J2595" s="2">
        <v>0</v>
      </c>
      <c r="K2595" s="2">
        <v>0</v>
      </c>
      <c r="L2595" s="2">
        <v>1</v>
      </c>
      <c r="M2595">
        <v>0</v>
      </c>
      <c r="N2595">
        <v>0</v>
      </c>
      <c r="O2595" s="2">
        <v>0</v>
      </c>
      <c r="P2595" s="2">
        <v>0</v>
      </c>
      <c r="Q2595">
        <v>0</v>
      </c>
      <c r="R2595" s="2">
        <v>0</v>
      </c>
      <c r="S2595" s="2">
        <v>0</v>
      </c>
      <c r="T2595" t="s">
        <v>1320</v>
      </c>
      <c r="U2595" s="2">
        <v>0</v>
      </c>
      <c r="V2595" s="2">
        <v>10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</row>
    <row r="2596" spans="1:28" hidden="1" x14ac:dyDescent="0.25">
      <c r="A2596" t="s">
        <v>20</v>
      </c>
      <c r="B2596" t="s">
        <v>21</v>
      </c>
      <c r="C2596" t="s">
        <v>39</v>
      </c>
      <c r="D2596" s="1">
        <v>46029</v>
      </c>
      <c r="E2596" s="1">
        <v>46029</v>
      </c>
      <c r="F2596" s="2">
        <v>18</v>
      </c>
      <c r="G2596" s="3" t="s">
        <v>48</v>
      </c>
      <c r="H2596">
        <v>0</v>
      </c>
      <c r="I2596" s="2">
        <v>0</v>
      </c>
      <c r="J2596" s="2">
        <v>0</v>
      </c>
      <c r="K2596" s="2">
        <v>0</v>
      </c>
      <c r="L2596" s="2">
        <v>0</v>
      </c>
      <c r="M2596">
        <v>0</v>
      </c>
      <c r="N2596">
        <v>0</v>
      </c>
      <c r="O2596" s="2">
        <v>0</v>
      </c>
      <c r="P2596" s="2">
        <v>0</v>
      </c>
      <c r="Q2596">
        <v>0</v>
      </c>
      <c r="R2596" s="2">
        <v>0</v>
      </c>
      <c r="S2596" s="2">
        <v>0</v>
      </c>
      <c r="T2596" t="s">
        <v>1244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</row>
    <row r="2597" spans="1:28" hidden="1" x14ac:dyDescent="0.25">
      <c r="A2597" t="s">
        <v>63</v>
      </c>
      <c r="B2597" t="s">
        <v>284</v>
      </c>
      <c r="C2597" t="s">
        <v>39</v>
      </c>
      <c r="D2597" s="1">
        <v>46029</v>
      </c>
      <c r="E2597" s="1">
        <v>46029</v>
      </c>
      <c r="F2597" s="2">
        <v>18</v>
      </c>
      <c r="G2597" s="3" t="s">
        <v>48</v>
      </c>
      <c r="H2597">
        <v>0</v>
      </c>
      <c r="I2597" s="2">
        <v>0</v>
      </c>
      <c r="J2597" s="2">
        <v>0</v>
      </c>
      <c r="K2597" s="2">
        <v>0</v>
      </c>
      <c r="L2597" s="2">
        <v>0</v>
      </c>
      <c r="M2597">
        <v>0</v>
      </c>
      <c r="N2597">
        <v>0</v>
      </c>
      <c r="O2597" s="2">
        <v>0</v>
      </c>
      <c r="P2597" s="2">
        <v>0</v>
      </c>
      <c r="Q2597">
        <v>0</v>
      </c>
      <c r="R2597" s="2">
        <v>0</v>
      </c>
      <c r="S2597" s="2">
        <v>0</v>
      </c>
      <c r="T2597" t="s">
        <v>1244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</row>
    <row r="2598" spans="1:28" hidden="1" x14ac:dyDescent="0.25">
      <c r="A2598" t="s">
        <v>47</v>
      </c>
      <c r="B2598" t="s">
        <v>57</v>
      </c>
      <c r="C2598" t="s">
        <v>35</v>
      </c>
      <c r="D2598" s="1">
        <v>46029</v>
      </c>
      <c r="E2598" s="1">
        <v>46029</v>
      </c>
      <c r="F2598" s="2">
        <v>21</v>
      </c>
      <c r="G2598" s="3" t="s">
        <v>129</v>
      </c>
      <c r="H2598">
        <v>0</v>
      </c>
      <c r="I2598" s="2">
        <v>0</v>
      </c>
      <c r="J2598" s="2">
        <v>0</v>
      </c>
      <c r="K2598" s="2">
        <v>0</v>
      </c>
      <c r="L2598" s="2">
        <v>0</v>
      </c>
      <c r="M2598">
        <v>0</v>
      </c>
      <c r="N2598">
        <v>0</v>
      </c>
      <c r="O2598" s="2">
        <v>0</v>
      </c>
      <c r="P2598" s="2">
        <v>0</v>
      </c>
      <c r="Q2598">
        <v>0</v>
      </c>
      <c r="R2598" s="2">
        <v>0</v>
      </c>
      <c r="S2598" s="2">
        <v>0</v>
      </c>
      <c r="T2598" t="s">
        <v>1125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</row>
    <row r="2599" spans="1:28" hidden="1" x14ac:dyDescent="0.25">
      <c r="A2599" t="s">
        <v>33</v>
      </c>
      <c r="B2599" t="s">
        <v>47</v>
      </c>
      <c r="C2599" t="s">
        <v>35</v>
      </c>
      <c r="D2599" s="1">
        <v>46029</v>
      </c>
      <c r="E2599" s="1">
        <v>46029</v>
      </c>
      <c r="F2599" s="2">
        <v>21</v>
      </c>
      <c r="G2599" s="3" t="s">
        <v>50</v>
      </c>
      <c r="H2599">
        <v>0</v>
      </c>
      <c r="I2599" s="2">
        <v>0</v>
      </c>
      <c r="J2599" s="2">
        <v>0</v>
      </c>
      <c r="K2599" s="2">
        <v>0</v>
      </c>
      <c r="L2599" s="2">
        <v>0</v>
      </c>
      <c r="M2599">
        <v>0</v>
      </c>
      <c r="N2599">
        <v>0</v>
      </c>
      <c r="O2599" s="2">
        <v>0</v>
      </c>
      <c r="P2599" s="2">
        <v>0</v>
      </c>
      <c r="Q2599">
        <v>0</v>
      </c>
      <c r="R2599" s="2">
        <v>0</v>
      </c>
      <c r="S2599" s="2">
        <v>0</v>
      </c>
      <c r="T2599" t="s">
        <v>1125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</row>
    <row r="2600" spans="1:28" hidden="1" x14ac:dyDescent="0.25">
      <c r="A2600" t="s">
        <v>56</v>
      </c>
      <c r="B2600" t="s">
        <v>34</v>
      </c>
      <c r="C2600" t="s">
        <v>64</v>
      </c>
      <c r="D2600" s="1">
        <v>46030</v>
      </c>
      <c r="E2600" s="1">
        <v>46030</v>
      </c>
      <c r="F2600" s="2">
        <v>28</v>
      </c>
      <c r="G2600" s="3" t="s">
        <v>23</v>
      </c>
      <c r="H2600">
        <f>7+7+1+1</f>
        <v>16</v>
      </c>
      <c r="I2600" s="2">
        <v>0</v>
      </c>
      <c r="J2600" s="2">
        <v>0</v>
      </c>
      <c r="K2600" s="2">
        <v>1</v>
      </c>
      <c r="L2600" s="2">
        <v>0</v>
      </c>
      <c r="M2600">
        <v>0</v>
      </c>
      <c r="N2600">
        <v>0</v>
      </c>
      <c r="O2600" s="2">
        <v>0</v>
      </c>
      <c r="P2600" s="2">
        <v>0</v>
      </c>
      <c r="Q2600">
        <v>0</v>
      </c>
      <c r="R2600" s="2">
        <v>0</v>
      </c>
      <c r="S2600" s="2">
        <v>0</v>
      </c>
      <c r="T2600" t="s">
        <v>1321</v>
      </c>
      <c r="U2600" s="2">
        <v>0</v>
      </c>
      <c r="V2600" s="2">
        <f>12+14</f>
        <v>26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</row>
    <row r="2601" spans="1:28" hidden="1" x14ac:dyDescent="0.25">
      <c r="A2601" t="s">
        <v>25</v>
      </c>
      <c r="B2601" t="s">
        <v>26</v>
      </c>
      <c r="C2601" t="s">
        <v>27</v>
      </c>
      <c r="D2601" s="1">
        <v>46030</v>
      </c>
      <c r="E2601" s="1">
        <v>46030</v>
      </c>
      <c r="F2601" s="2">
        <v>18</v>
      </c>
      <c r="G2601" s="3" t="s">
        <v>23</v>
      </c>
      <c r="H2601">
        <f>8+8+2</f>
        <v>18</v>
      </c>
      <c r="I2601" s="2">
        <v>0</v>
      </c>
      <c r="J2601" s="2">
        <v>0</v>
      </c>
      <c r="K2601" s="2">
        <v>0</v>
      </c>
      <c r="L2601" s="2">
        <v>1</v>
      </c>
      <c r="M2601">
        <v>0</v>
      </c>
      <c r="N2601">
        <v>0</v>
      </c>
      <c r="O2601" s="2">
        <v>0</v>
      </c>
      <c r="P2601" s="2">
        <v>0</v>
      </c>
      <c r="Q2601">
        <v>0</v>
      </c>
      <c r="R2601" s="2">
        <v>0</v>
      </c>
      <c r="S2601" s="2">
        <v>0</v>
      </c>
      <c r="T2601" t="s">
        <v>1322</v>
      </c>
      <c r="U2601" s="2">
        <v>0</v>
      </c>
      <c r="V2601" s="2">
        <f>14+13+2</f>
        <v>29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</row>
    <row r="2602" spans="1:28" hidden="1" x14ac:dyDescent="0.25">
      <c r="A2602" t="s">
        <v>47</v>
      </c>
      <c r="B2602" t="s">
        <v>1323</v>
      </c>
      <c r="C2602" t="s">
        <v>27</v>
      </c>
      <c r="D2602" s="1">
        <v>46030</v>
      </c>
      <c r="E2602" s="1">
        <v>46030</v>
      </c>
      <c r="F2602" s="2">
        <v>18</v>
      </c>
      <c r="G2602" s="3" t="s">
        <v>23</v>
      </c>
      <c r="H2602">
        <f>8+8+2</f>
        <v>18</v>
      </c>
      <c r="I2602" s="2">
        <v>0</v>
      </c>
      <c r="J2602" s="2">
        <v>0</v>
      </c>
      <c r="K2602" s="2">
        <v>0</v>
      </c>
      <c r="L2602" s="2">
        <v>1</v>
      </c>
      <c r="M2602">
        <v>0</v>
      </c>
      <c r="N2602">
        <v>0</v>
      </c>
      <c r="O2602" s="2">
        <v>0</v>
      </c>
      <c r="P2602" s="2">
        <v>0</v>
      </c>
      <c r="Q2602">
        <v>0</v>
      </c>
      <c r="R2602" s="2">
        <v>0</v>
      </c>
      <c r="S2602" s="2">
        <v>0</v>
      </c>
      <c r="T2602" t="s">
        <v>1322</v>
      </c>
      <c r="U2602" s="2">
        <v>0</v>
      </c>
      <c r="V2602" s="2">
        <f>14+13+2</f>
        <v>29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</row>
    <row r="2603" spans="1:28" hidden="1" x14ac:dyDescent="0.25">
      <c r="A2603" t="s">
        <v>37</v>
      </c>
      <c r="B2603" t="s">
        <v>1237</v>
      </c>
      <c r="C2603" t="s">
        <v>39</v>
      </c>
      <c r="D2603" s="1">
        <v>46030</v>
      </c>
      <c r="E2603" s="1">
        <v>46030</v>
      </c>
      <c r="F2603" s="2">
        <v>29</v>
      </c>
      <c r="G2603" s="3" t="s">
        <v>23</v>
      </c>
      <c r="H2603">
        <f>16+16+1+2+2+1+1</f>
        <v>39</v>
      </c>
      <c r="I2603" s="2">
        <v>0</v>
      </c>
      <c r="J2603" s="2">
        <v>0</v>
      </c>
      <c r="K2603" s="2">
        <v>1</v>
      </c>
      <c r="L2603" s="2">
        <v>0</v>
      </c>
      <c r="M2603">
        <v>0</v>
      </c>
      <c r="N2603">
        <v>0</v>
      </c>
      <c r="O2603" s="2">
        <v>0</v>
      </c>
      <c r="P2603" s="2">
        <v>0</v>
      </c>
      <c r="Q2603">
        <v>0</v>
      </c>
      <c r="R2603" s="2">
        <v>0</v>
      </c>
      <c r="S2603" s="2">
        <v>0</v>
      </c>
      <c r="T2603" t="s">
        <v>1324</v>
      </c>
      <c r="U2603" s="2">
        <v>0</v>
      </c>
      <c r="V2603" s="2">
        <f>10+20</f>
        <v>30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</row>
    <row r="2604" spans="1:28" hidden="1" x14ac:dyDescent="0.25">
      <c r="A2604" t="s">
        <v>730</v>
      </c>
      <c r="B2604" t="s">
        <v>47</v>
      </c>
      <c r="C2604" t="s">
        <v>39</v>
      </c>
      <c r="D2604" s="1">
        <v>46030</v>
      </c>
      <c r="E2604" s="1">
        <v>46030</v>
      </c>
      <c r="F2604" s="2">
        <v>29</v>
      </c>
      <c r="G2604" s="3" t="s">
        <v>23</v>
      </c>
      <c r="H2604">
        <f>16+16+1+2+2+1+1</f>
        <v>39</v>
      </c>
      <c r="I2604" s="2">
        <v>0</v>
      </c>
      <c r="J2604" s="2">
        <v>0</v>
      </c>
      <c r="K2604" s="2">
        <v>1</v>
      </c>
      <c r="L2604" s="2">
        <v>0</v>
      </c>
      <c r="M2604">
        <v>0</v>
      </c>
      <c r="N2604">
        <v>0</v>
      </c>
      <c r="O2604" s="2">
        <v>0</v>
      </c>
      <c r="P2604" s="2">
        <v>0</v>
      </c>
      <c r="Q2604">
        <v>0</v>
      </c>
      <c r="R2604" s="2">
        <v>0</v>
      </c>
      <c r="S2604" s="2">
        <v>0</v>
      </c>
      <c r="T2604" t="s">
        <v>1324</v>
      </c>
      <c r="U2604" s="2">
        <v>0</v>
      </c>
      <c r="V2604" s="2">
        <f>10+20</f>
        <v>30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</row>
    <row r="2605" spans="1:28" hidden="1" x14ac:dyDescent="0.25">
      <c r="A2605" t="s">
        <v>29</v>
      </c>
      <c r="B2605" t="s">
        <v>30</v>
      </c>
      <c r="C2605" t="s">
        <v>39</v>
      </c>
      <c r="D2605" s="1">
        <v>46030</v>
      </c>
      <c r="E2605" s="1">
        <v>46030</v>
      </c>
      <c r="F2605" s="2">
        <v>29</v>
      </c>
      <c r="G2605" s="3" t="s">
        <v>23</v>
      </c>
      <c r="H2605">
        <f>18+18+1+1+2+2+1</f>
        <v>43</v>
      </c>
      <c r="I2605" s="2">
        <v>0</v>
      </c>
      <c r="J2605" s="2">
        <v>0</v>
      </c>
      <c r="K2605" s="2">
        <v>1</v>
      </c>
      <c r="L2605" s="2">
        <v>0</v>
      </c>
      <c r="M2605">
        <v>0</v>
      </c>
      <c r="N2605">
        <v>0</v>
      </c>
      <c r="O2605" s="2">
        <v>0</v>
      </c>
      <c r="P2605" s="2">
        <v>0</v>
      </c>
      <c r="Q2605">
        <v>0</v>
      </c>
      <c r="R2605" s="2">
        <v>0</v>
      </c>
      <c r="S2605" s="2">
        <v>0</v>
      </c>
      <c r="T2605" t="s">
        <v>1324</v>
      </c>
      <c r="U2605" s="2">
        <v>0</v>
      </c>
      <c r="V2605" s="2">
        <f>14+10+4</f>
        <v>28</v>
      </c>
      <c r="W2605" s="2">
        <f>2+5</f>
        <v>7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</row>
    <row r="2606" spans="1:28" hidden="1" x14ac:dyDescent="0.25">
      <c r="A2606" t="s">
        <v>20</v>
      </c>
      <c r="B2606" t="s">
        <v>21</v>
      </c>
      <c r="C2606" t="s">
        <v>22</v>
      </c>
      <c r="D2606" s="1">
        <v>46030</v>
      </c>
      <c r="E2606" s="1">
        <v>46030</v>
      </c>
      <c r="F2606" s="2">
        <v>34</v>
      </c>
      <c r="G2606" s="3" t="s">
        <v>23</v>
      </c>
      <c r="H2606">
        <f>20+20</f>
        <v>40</v>
      </c>
      <c r="I2606" s="2">
        <v>0</v>
      </c>
      <c r="J2606" s="2">
        <v>1</v>
      </c>
      <c r="K2606" s="2">
        <v>1</v>
      </c>
      <c r="L2606" s="2">
        <v>0</v>
      </c>
      <c r="M2606">
        <v>0</v>
      </c>
      <c r="N2606">
        <v>0</v>
      </c>
      <c r="O2606" s="2">
        <v>0</v>
      </c>
      <c r="P2606" s="2">
        <v>0</v>
      </c>
      <c r="Q2606">
        <v>0</v>
      </c>
      <c r="R2606" s="2">
        <v>0</v>
      </c>
      <c r="S2606" s="2">
        <v>0</v>
      </c>
      <c r="T2606" t="s">
        <v>1325</v>
      </c>
      <c r="U2606" s="2">
        <v>0</v>
      </c>
      <c r="V2606" s="2">
        <f>10+20+21+2</f>
        <v>53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</row>
    <row r="2607" spans="1:28" hidden="1" x14ac:dyDescent="0.25">
      <c r="A2607" t="s">
        <v>1326</v>
      </c>
      <c r="B2607" t="s">
        <v>47</v>
      </c>
      <c r="C2607" t="s">
        <v>22</v>
      </c>
      <c r="D2607" s="1">
        <v>46030</v>
      </c>
      <c r="E2607" s="1">
        <v>46030</v>
      </c>
      <c r="F2607" s="2">
        <v>34</v>
      </c>
      <c r="G2607" s="3" t="s">
        <v>23</v>
      </c>
      <c r="H2607">
        <f>20+20</f>
        <v>40</v>
      </c>
      <c r="I2607" s="2">
        <v>0</v>
      </c>
      <c r="J2607" s="2">
        <v>1</v>
      </c>
      <c r="K2607" s="2">
        <v>1</v>
      </c>
      <c r="L2607" s="2">
        <v>0</v>
      </c>
      <c r="M2607">
        <v>0</v>
      </c>
      <c r="N2607">
        <v>0</v>
      </c>
      <c r="O2607" s="2">
        <v>0</v>
      </c>
      <c r="P2607" s="2">
        <v>0</v>
      </c>
      <c r="Q2607">
        <v>0</v>
      </c>
      <c r="R2607" s="2">
        <v>0</v>
      </c>
      <c r="S2607" s="2">
        <v>0</v>
      </c>
      <c r="T2607" t="s">
        <v>1325</v>
      </c>
      <c r="U2607" s="2">
        <v>0</v>
      </c>
      <c r="V2607" s="2">
        <f>10+20+21+2</f>
        <v>53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</row>
    <row r="2608" spans="1:28" hidden="1" x14ac:dyDescent="0.25">
      <c r="A2608" t="s">
        <v>63</v>
      </c>
      <c r="B2608" t="s">
        <v>284</v>
      </c>
      <c r="C2608" t="s">
        <v>102</v>
      </c>
      <c r="D2608" s="1">
        <v>46030</v>
      </c>
      <c r="E2608" s="1">
        <v>46030</v>
      </c>
      <c r="F2608" s="2">
        <v>33</v>
      </c>
      <c r="G2608" s="3" t="s">
        <v>23</v>
      </c>
      <c r="H2608">
        <f>6+4+6+4+1+4</f>
        <v>25</v>
      </c>
      <c r="I2608" s="2">
        <v>0</v>
      </c>
      <c r="J2608" s="2">
        <v>1</v>
      </c>
      <c r="K2608" s="2">
        <v>1</v>
      </c>
      <c r="L2608" s="2">
        <v>0</v>
      </c>
      <c r="M2608">
        <v>0</v>
      </c>
      <c r="N2608">
        <v>0</v>
      </c>
      <c r="O2608" s="2">
        <v>0</v>
      </c>
      <c r="P2608" s="2">
        <v>0</v>
      </c>
      <c r="Q2608">
        <v>0</v>
      </c>
      <c r="R2608" s="2">
        <v>0</v>
      </c>
      <c r="S2608" s="2">
        <v>0</v>
      </c>
      <c r="T2608" t="s">
        <v>1327</v>
      </c>
      <c r="U2608" s="2">
        <v>0</v>
      </c>
      <c r="V2608" s="2">
        <v>4</v>
      </c>
      <c r="W2608" s="2">
        <v>9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</row>
    <row r="2609" spans="1:28" hidden="1" x14ac:dyDescent="0.25">
      <c r="A2609" t="s">
        <v>568</v>
      </c>
      <c r="B2609" t="s">
        <v>38</v>
      </c>
      <c r="C2609" t="s">
        <v>670</v>
      </c>
      <c r="D2609" s="1">
        <v>46030</v>
      </c>
      <c r="E2609" s="1">
        <v>46030</v>
      </c>
      <c r="F2609" s="2">
        <v>50</v>
      </c>
      <c r="G2609" s="3" t="s">
        <v>23</v>
      </c>
      <c r="H2609">
        <f>10+10+1</f>
        <v>21</v>
      </c>
      <c r="I2609" s="2">
        <v>0</v>
      </c>
      <c r="J2609" s="2">
        <v>1</v>
      </c>
      <c r="K2609" s="2">
        <v>1</v>
      </c>
      <c r="L2609" s="2">
        <v>0</v>
      </c>
      <c r="M2609">
        <v>0</v>
      </c>
      <c r="N2609">
        <v>0</v>
      </c>
      <c r="O2609" s="2">
        <v>0</v>
      </c>
      <c r="P2609" s="2">
        <v>0</v>
      </c>
      <c r="Q2609">
        <v>0</v>
      </c>
      <c r="R2609" s="2">
        <v>0</v>
      </c>
      <c r="S2609" s="2">
        <v>0</v>
      </c>
      <c r="T2609" t="s">
        <v>1328</v>
      </c>
      <c r="U2609" s="2">
        <v>0</v>
      </c>
      <c r="V2609" s="2">
        <f>10+21+2</f>
        <v>33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</row>
    <row r="2610" spans="1:28" hidden="1" x14ac:dyDescent="0.25">
      <c r="A2610" t="s">
        <v>53</v>
      </c>
      <c r="B2610" t="s">
        <v>1160</v>
      </c>
      <c r="C2610" t="s">
        <v>39</v>
      </c>
      <c r="D2610" s="1">
        <v>46030</v>
      </c>
      <c r="E2610" s="1">
        <v>46030</v>
      </c>
      <c r="F2610" s="2">
        <v>18</v>
      </c>
      <c r="G2610" s="3" t="s">
        <v>48</v>
      </c>
      <c r="H2610">
        <v>0</v>
      </c>
      <c r="I2610" s="2">
        <v>0</v>
      </c>
      <c r="J2610" s="2">
        <v>0</v>
      </c>
      <c r="K2610" s="2">
        <v>0</v>
      </c>
      <c r="L2610" s="2">
        <v>0</v>
      </c>
      <c r="M2610">
        <v>0</v>
      </c>
      <c r="N2610">
        <v>0</v>
      </c>
      <c r="O2610" s="2">
        <v>0</v>
      </c>
      <c r="P2610" s="2">
        <v>0</v>
      </c>
      <c r="Q2610">
        <v>0</v>
      </c>
      <c r="R2610" s="2">
        <v>0</v>
      </c>
      <c r="S2610" s="2">
        <v>0</v>
      </c>
      <c r="T2610" t="s">
        <v>1244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</row>
    <row r="2611" spans="1:28" hidden="1" x14ac:dyDescent="0.25">
      <c r="A2611" t="s">
        <v>47</v>
      </c>
      <c r="B2611" t="s">
        <v>57</v>
      </c>
      <c r="C2611" t="s">
        <v>35</v>
      </c>
      <c r="D2611" s="1">
        <v>46030</v>
      </c>
      <c r="E2611" s="1">
        <v>46030</v>
      </c>
      <c r="F2611" s="2">
        <v>21</v>
      </c>
      <c r="G2611" s="3" t="s">
        <v>129</v>
      </c>
      <c r="H2611">
        <v>0</v>
      </c>
      <c r="I2611" s="2">
        <v>0</v>
      </c>
      <c r="J2611" s="2">
        <v>0</v>
      </c>
      <c r="K2611" s="2">
        <v>0</v>
      </c>
      <c r="L2611" s="2">
        <v>0</v>
      </c>
      <c r="M2611">
        <v>0</v>
      </c>
      <c r="N2611">
        <v>0</v>
      </c>
      <c r="O2611" s="2">
        <v>0</v>
      </c>
      <c r="P2611" s="2">
        <v>0</v>
      </c>
      <c r="Q2611">
        <v>0</v>
      </c>
      <c r="R2611" s="2">
        <v>0</v>
      </c>
      <c r="S2611" s="2">
        <v>0</v>
      </c>
      <c r="T2611" t="s">
        <v>1125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</row>
    <row r="2612" spans="1:28" hidden="1" x14ac:dyDescent="0.25">
      <c r="A2612" t="s">
        <v>33</v>
      </c>
      <c r="B2612" t="s">
        <v>47</v>
      </c>
      <c r="C2612" t="s">
        <v>35</v>
      </c>
      <c r="D2612" s="1">
        <v>46030</v>
      </c>
      <c r="E2612" s="1">
        <v>46030</v>
      </c>
      <c r="F2612" s="2">
        <v>21</v>
      </c>
      <c r="G2612" s="3" t="s">
        <v>50</v>
      </c>
      <c r="H2612">
        <v>0</v>
      </c>
      <c r="I2612" s="2">
        <v>0</v>
      </c>
      <c r="J2612" s="2">
        <v>0</v>
      </c>
      <c r="K2612" s="2">
        <v>0</v>
      </c>
      <c r="L2612" s="2">
        <v>0</v>
      </c>
      <c r="M2612">
        <v>0</v>
      </c>
      <c r="N2612">
        <v>0</v>
      </c>
      <c r="O2612" s="2">
        <v>0</v>
      </c>
      <c r="P2612" s="2">
        <v>0</v>
      </c>
      <c r="Q2612">
        <v>0</v>
      </c>
      <c r="R2612" s="2">
        <v>0</v>
      </c>
      <c r="S2612" s="2">
        <v>0</v>
      </c>
      <c r="T2612" t="s">
        <v>1125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</row>
    <row r="2613" spans="1:28" hidden="1" x14ac:dyDescent="0.25">
      <c r="A2613" t="s">
        <v>53</v>
      </c>
      <c r="B2613" t="s">
        <v>1237</v>
      </c>
      <c r="C2613" t="s">
        <v>54</v>
      </c>
      <c r="D2613" s="1">
        <v>46031</v>
      </c>
      <c r="E2613" s="1">
        <v>46031</v>
      </c>
      <c r="F2613" s="2">
        <v>43</v>
      </c>
      <c r="G2613" s="3" t="s">
        <v>23</v>
      </c>
      <c r="H2613">
        <f>9+9+1+4+11+1+1+1+1</f>
        <v>38</v>
      </c>
      <c r="I2613" s="2">
        <v>0</v>
      </c>
      <c r="J2613" s="2">
        <v>1</v>
      </c>
      <c r="K2613" s="2">
        <v>1</v>
      </c>
      <c r="L2613" s="2">
        <v>0</v>
      </c>
      <c r="M2613">
        <v>1</v>
      </c>
      <c r="N2613">
        <v>0</v>
      </c>
      <c r="O2613" s="2">
        <v>0</v>
      </c>
      <c r="P2613" s="2">
        <v>0</v>
      </c>
      <c r="Q2613">
        <v>0</v>
      </c>
      <c r="R2613" s="2">
        <v>0</v>
      </c>
      <c r="S2613" s="2">
        <v>0</v>
      </c>
      <c r="T2613" t="s">
        <v>1329</v>
      </c>
      <c r="U2613" s="2">
        <v>0</v>
      </c>
      <c r="V2613" s="2">
        <f>9+2</f>
        <v>11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</row>
    <row r="2614" spans="1:28" hidden="1" x14ac:dyDescent="0.25">
      <c r="A2614" t="s">
        <v>25</v>
      </c>
      <c r="B2614" t="s">
        <v>47</v>
      </c>
      <c r="C2614" t="s">
        <v>27</v>
      </c>
      <c r="D2614" s="1">
        <v>46031</v>
      </c>
      <c r="E2614" s="1">
        <v>46031</v>
      </c>
      <c r="F2614" s="2">
        <v>25</v>
      </c>
      <c r="G2614" s="3" t="s">
        <v>23</v>
      </c>
      <c r="H2614">
        <v>29</v>
      </c>
      <c r="I2614" s="2">
        <v>0</v>
      </c>
      <c r="J2614" s="2">
        <v>0</v>
      </c>
      <c r="K2614" s="2">
        <v>0</v>
      </c>
      <c r="L2614" s="2">
        <v>1</v>
      </c>
      <c r="M2614">
        <v>0</v>
      </c>
      <c r="N2614">
        <v>0</v>
      </c>
      <c r="O2614" s="2">
        <v>0</v>
      </c>
      <c r="P2614" s="2">
        <v>0</v>
      </c>
      <c r="Q2614">
        <v>0</v>
      </c>
      <c r="R2614" s="2">
        <v>0</v>
      </c>
      <c r="S2614" s="2">
        <v>0</v>
      </c>
      <c r="T2614" t="s">
        <v>1330</v>
      </c>
      <c r="U2614" s="2">
        <v>0</v>
      </c>
      <c r="V2614" s="2">
        <v>11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</row>
    <row r="2615" spans="1:28" hidden="1" x14ac:dyDescent="0.25">
      <c r="A2615" t="s">
        <v>47</v>
      </c>
      <c r="B2615" t="s">
        <v>1323</v>
      </c>
      <c r="C2615" t="s">
        <v>27</v>
      </c>
      <c r="D2615" s="1">
        <v>46031</v>
      </c>
      <c r="E2615" s="1">
        <v>46031</v>
      </c>
      <c r="F2615" s="2">
        <v>25</v>
      </c>
      <c r="G2615" s="3" t="s">
        <v>23</v>
      </c>
      <c r="H2615">
        <f>29+1</f>
        <v>30</v>
      </c>
      <c r="I2615" s="2">
        <v>0</v>
      </c>
      <c r="J2615" s="2">
        <v>0</v>
      </c>
      <c r="K2615" s="2">
        <v>0</v>
      </c>
      <c r="L2615" s="2">
        <v>1</v>
      </c>
      <c r="M2615">
        <v>0</v>
      </c>
      <c r="N2615">
        <v>0</v>
      </c>
      <c r="O2615" s="2">
        <v>0</v>
      </c>
      <c r="P2615" s="2">
        <v>0</v>
      </c>
      <c r="Q2615">
        <v>0</v>
      </c>
      <c r="R2615" s="2">
        <v>0</v>
      </c>
      <c r="S2615" s="2">
        <v>0</v>
      </c>
      <c r="T2615" t="s">
        <v>1330</v>
      </c>
      <c r="U2615" s="2">
        <v>0</v>
      </c>
      <c r="V2615" s="2">
        <f>11+12</f>
        <v>23</v>
      </c>
      <c r="W2615" s="2">
        <v>1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</row>
    <row r="2616" spans="1:28" hidden="1" x14ac:dyDescent="0.25">
      <c r="A2616" t="s">
        <v>730</v>
      </c>
      <c r="B2616" t="s">
        <v>47</v>
      </c>
      <c r="C2616" t="s">
        <v>670</v>
      </c>
      <c r="D2616" s="1">
        <v>46031</v>
      </c>
      <c r="E2616" s="1">
        <v>46031</v>
      </c>
      <c r="F2616" s="2">
        <v>119</v>
      </c>
      <c r="G2616" s="3" t="s">
        <v>23</v>
      </c>
      <c r="H2616">
        <f>24+12+1</f>
        <v>37</v>
      </c>
      <c r="I2616" s="2">
        <v>0</v>
      </c>
      <c r="J2616" s="2">
        <v>0</v>
      </c>
      <c r="K2616" s="2">
        <v>1</v>
      </c>
      <c r="L2616" s="2">
        <v>0</v>
      </c>
      <c r="M2616">
        <v>0</v>
      </c>
      <c r="N2616">
        <v>0</v>
      </c>
      <c r="O2616" s="2">
        <v>0</v>
      </c>
      <c r="P2616" s="2">
        <v>0</v>
      </c>
      <c r="Q2616">
        <v>0</v>
      </c>
      <c r="R2616" s="2">
        <v>0</v>
      </c>
      <c r="S2616" s="2">
        <v>0</v>
      </c>
      <c r="T2616" t="s">
        <v>1331</v>
      </c>
      <c r="U2616" s="2">
        <v>0</v>
      </c>
      <c r="V2616" s="2">
        <f>10+2</f>
        <v>12</v>
      </c>
      <c r="W2616" s="2">
        <v>1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</row>
    <row r="2617" spans="1:28" hidden="1" x14ac:dyDescent="0.25">
      <c r="A2617" t="s">
        <v>193</v>
      </c>
      <c r="B2617" t="s">
        <v>47</v>
      </c>
      <c r="C2617" t="s">
        <v>670</v>
      </c>
      <c r="D2617" s="1">
        <v>46031</v>
      </c>
      <c r="E2617" s="1">
        <v>46031</v>
      </c>
      <c r="F2617" s="2">
        <v>119</v>
      </c>
      <c r="G2617" s="3" t="s">
        <v>23</v>
      </c>
      <c r="H2617">
        <v>24</v>
      </c>
      <c r="I2617" s="2">
        <v>0</v>
      </c>
      <c r="J2617" s="2">
        <v>0</v>
      </c>
      <c r="K2617" s="2">
        <v>1</v>
      </c>
      <c r="L2617" s="2">
        <v>0</v>
      </c>
      <c r="M2617">
        <v>0</v>
      </c>
      <c r="N2617">
        <v>0</v>
      </c>
      <c r="O2617" s="2">
        <v>0</v>
      </c>
      <c r="P2617" s="2">
        <v>0</v>
      </c>
      <c r="Q2617">
        <v>0</v>
      </c>
      <c r="R2617" s="2">
        <v>0</v>
      </c>
      <c r="S2617" s="2">
        <v>0</v>
      </c>
      <c r="T2617" t="s">
        <v>1331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</row>
    <row r="2618" spans="1:28" hidden="1" x14ac:dyDescent="0.25">
      <c r="A2618" t="s">
        <v>29</v>
      </c>
      <c r="B2618" t="s">
        <v>30</v>
      </c>
      <c r="C2618" t="s">
        <v>670</v>
      </c>
      <c r="D2618" s="1">
        <v>46031</v>
      </c>
      <c r="E2618" s="1">
        <v>46031</v>
      </c>
      <c r="F2618" s="2">
        <v>119</v>
      </c>
      <c r="G2618" s="3" t="s">
        <v>23</v>
      </c>
      <c r="H2618">
        <f>18+18+1+5+2+2</f>
        <v>46</v>
      </c>
      <c r="I2618" s="2">
        <v>0</v>
      </c>
      <c r="J2618" s="2">
        <v>0</v>
      </c>
      <c r="K2618" s="2">
        <v>1</v>
      </c>
      <c r="L2618" s="2">
        <v>0</v>
      </c>
      <c r="M2618">
        <v>1</v>
      </c>
      <c r="N2618">
        <v>0</v>
      </c>
      <c r="O2618" s="2">
        <v>0</v>
      </c>
      <c r="P2618" s="2">
        <v>0</v>
      </c>
      <c r="Q2618">
        <v>0</v>
      </c>
      <c r="R2618" s="2">
        <v>0</v>
      </c>
      <c r="S2618" s="2">
        <v>0</v>
      </c>
      <c r="T2618" t="s">
        <v>1331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</row>
    <row r="2619" spans="1:28" hidden="1" x14ac:dyDescent="0.25">
      <c r="A2619" t="s">
        <v>20</v>
      </c>
      <c r="B2619" t="s">
        <v>21</v>
      </c>
      <c r="C2619" t="s">
        <v>22</v>
      </c>
      <c r="D2619" s="1">
        <v>46031</v>
      </c>
      <c r="E2619" s="1">
        <v>46031</v>
      </c>
      <c r="F2619" s="2">
        <v>32</v>
      </c>
      <c r="G2619" s="3" t="s">
        <v>23</v>
      </c>
      <c r="H2619">
        <v>39</v>
      </c>
      <c r="I2619" s="2">
        <v>0</v>
      </c>
      <c r="J2619" s="2">
        <v>0</v>
      </c>
      <c r="K2619" s="2">
        <v>1</v>
      </c>
      <c r="L2619" s="2">
        <v>0</v>
      </c>
      <c r="M2619">
        <v>0</v>
      </c>
      <c r="N2619">
        <v>0</v>
      </c>
      <c r="O2619" s="2">
        <v>0</v>
      </c>
      <c r="P2619" s="2">
        <v>0</v>
      </c>
      <c r="Q2619">
        <v>0</v>
      </c>
      <c r="R2619" s="2">
        <v>0</v>
      </c>
      <c r="S2619" s="2">
        <v>0</v>
      </c>
      <c r="T2619" t="s">
        <v>1332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</row>
    <row r="2620" spans="1:28" hidden="1" x14ac:dyDescent="0.25">
      <c r="A2620" t="s">
        <v>63</v>
      </c>
      <c r="B2620" t="s">
        <v>284</v>
      </c>
      <c r="C2620" t="s">
        <v>102</v>
      </c>
      <c r="D2620" s="1">
        <v>46031</v>
      </c>
      <c r="E2620" s="1">
        <v>46031</v>
      </c>
      <c r="F2620" s="2">
        <v>75</v>
      </c>
      <c r="G2620" s="3" t="s">
        <v>23</v>
      </c>
      <c r="H2620">
        <f>12+12+2+2</f>
        <v>28</v>
      </c>
      <c r="I2620" s="2">
        <v>0</v>
      </c>
      <c r="J2620" s="2">
        <v>0</v>
      </c>
      <c r="K2620" s="2">
        <v>1</v>
      </c>
      <c r="L2620" s="2">
        <v>0</v>
      </c>
      <c r="M2620">
        <v>0</v>
      </c>
      <c r="N2620">
        <v>0</v>
      </c>
      <c r="O2620" s="2">
        <v>0</v>
      </c>
      <c r="P2620" s="2">
        <v>0</v>
      </c>
      <c r="Q2620">
        <v>0</v>
      </c>
      <c r="R2620" s="2">
        <v>0</v>
      </c>
      <c r="S2620" s="2">
        <v>0</v>
      </c>
      <c r="T2620" t="s">
        <v>1333</v>
      </c>
      <c r="U2620" s="2">
        <v>0</v>
      </c>
      <c r="V2620" s="2">
        <v>20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</row>
    <row r="2621" spans="1:28" hidden="1" x14ac:dyDescent="0.25">
      <c r="A2621" t="s">
        <v>568</v>
      </c>
      <c r="B2621" t="s">
        <v>1160</v>
      </c>
      <c r="C2621" t="s">
        <v>670</v>
      </c>
      <c r="D2621" s="1">
        <v>46031</v>
      </c>
      <c r="E2621" s="1">
        <v>46031</v>
      </c>
      <c r="F2621" s="2">
        <v>119</v>
      </c>
      <c r="G2621" s="3" t="s">
        <v>23</v>
      </c>
      <c r="H2621">
        <f>6+2+6+2+2+2+1+1+2+1</f>
        <v>25</v>
      </c>
      <c r="I2621" s="2">
        <v>0</v>
      </c>
      <c r="J2621" s="2">
        <v>0</v>
      </c>
      <c r="K2621" s="2">
        <v>1</v>
      </c>
      <c r="L2621" s="2">
        <v>0</v>
      </c>
      <c r="M2621">
        <v>1</v>
      </c>
      <c r="N2621">
        <v>0</v>
      </c>
      <c r="O2621" s="2">
        <v>0</v>
      </c>
      <c r="P2621" s="2">
        <v>0</v>
      </c>
      <c r="Q2621">
        <v>0</v>
      </c>
      <c r="R2621" s="2">
        <v>0</v>
      </c>
      <c r="S2621" s="2">
        <v>0</v>
      </c>
      <c r="T2621" t="s">
        <v>1331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</row>
    <row r="2622" spans="1:28" hidden="1" x14ac:dyDescent="0.25">
      <c r="A2622" t="s">
        <v>47</v>
      </c>
      <c r="B2622" t="s">
        <v>26</v>
      </c>
      <c r="C2622" t="s">
        <v>39</v>
      </c>
      <c r="D2622" s="1">
        <v>46031</v>
      </c>
      <c r="E2622" s="1">
        <v>46031</v>
      </c>
      <c r="F2622" s="2">
        <v>18</v>
      </c>
      <c r="G2622" s="3" t="s">
        <v>48</v>
      </c>
      <c r="H2622">
        <v>0</v>
      </c>
      <c r="I2622" s="2">
        <v>0</v>
      </c>
      <c r="J2622" s="2">
        <v>0</v>
      </c>
      <c r="K2622" s="2">
        <v>0</v>
      </c>
      <c r="L2622" s="2">
        <v>0</v>
      </c>
      <c r="M2622">
        <v>0</v>
      </c>
      <c r="N2622">
        <v>0</v>
      </c>
      <c r="O2622" s="2">
        <v>0</v>
      </c>
      <c r="P2622" s="2">
        <v>0</v>
      </c>
      <c r="Q2622">
        <v>0</v>
      </c>
      <c r="R2622" s="2">
        <v>0</v>
      </c>
      <c r="S2622" s="2">
        <v>0</v>
      </c>
      <c r="T2622" t="s">
        <v>1244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</row>
    <row r="2623" spans="1:28" hidden="1" x14ac:dyDescent="0.25">
      <c r="A2623" t="s">
        <v>56</v>
      </c>
      <c r="B2623" t="s">
        <v>34</v>
      </c>
      <c r="C2623" t="s">
        <v>39</v>
      </c>
      <c r="D2623" s="1">
        <v>46031</v>
      </c>
      <c r="E2623" s="1">
        <v>46031</v>
      </c>
      <c r="F2623" s="2">
        <v>18</v>
      </c>
      <c r="G2623" s="3" t="s">
        <v>48</v>
      </c>
      <c r="H2623">
        <v>0</v>
      </c>
      <c r="I2623" s="2">
        <v>0</v>
      </c>
      <c r="J2623" s="2">
        <v>0</v>
      </c>
      <c r="K2623" s="2">
        <v>0</v>
      </c>
      <c r="L2623" s="2">
        <v>0</v>
      </c>
      <c r="M2623">
        <v>0</v>
      </c>
      <c r="N2623">
        <v>0</v>
      </c>
      <c r="O2623" s="2">
        <v>0</v>
      </c>
      <c r="P2623" s="2">
        <v>0</v>
      </c>
      <c r="Q2623">
        <v>0</v>
      </c>
      <c r="R2623" s="2">
        <v>0</v>
      </c>
      <c r="S2623" s="2">
        <v>0</v>
      </c>
      <c r="T2623" t="s">
        <v>1244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</row>
    <row r="2624" spans="1:28" hidden="1" x14ac:dyDescent="0.25">
      <c r="A2624" t="s">
        <v>37</v>
      </c>
      <c r="B2624" t="s">
        <v>47</v>
      </c>
      <c r="C2624" t="s">
        <v>39</v>
      </c>
      <c r="D2624" s="1">
        <v>46031</v>
      </c>
      <c r="E2624" s="1">
        <v>46031</v>
      </c>
      <c r="F2624" s="2">
        <v>18</v>
      </c>
      <c r="G2624" s="3" t="s">
        <v>48</v>
      </c>
      <c r="H2624">
        <v>0</v>
      </c>
      <c r="I2624" s="2">
        <v>0</v>
      </c>
      <c r="J2624" s="2">
        <v>0</v>
      </c>
      <c r="K2624" s="2">
        <v>0</v>
      </c>
      <c r="L2624" s="2">
        <v>0</v>
      </c>
      <c r="M2624">
        <v>0</v>
      </c>
      <c r="N2624">
        <v>0</v>
      </c>
      <c r="O2624" s="2">
        <v>0</v>
      </c>
      <c r="P2624" s="2">
        <v>0</v>
      </c>
      <c r="Q2624">
        <v>0</v>
      </c>
      <c r="R2624" s="2">
        <v>0</v>
      </c>
      <c r="S2624" s="2">
        <v>0</v>
      </c>
      <c r="T2624" t="s">
        <v>1244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</row>
    <row r="2625" spans="1:28" hidden="1" x14ac:dyDescent="0.25">
      <c r="A2625" t="s">
        <v>47</v>
      </c>
      <c r="B2625" t="s">
        <v>38</v>
      </c>
      <c r="C2625" t="s">
        <v>39</v>
      </c>
      <c r="D2625" s="1">
        <v>46031</v>
      </c>
      <c r="E2625" s="1">
        <v>46031</v>
      </c>
      <c r="F2625" s="2">
        <v>18</v>
      </c>
      <c r="G2625" s="3" t="s">
        <v>48</v>
      </c>
      <c r="H2625">
        <v>0</v>
      </c>
      <c r="I2625" s="2">
        <v>0</v>
      </c>
      <c r="J2625" s="2">
        <v>0</v>
      </c>
      <c r="K2625" s="2">
        <v>0</v>
      </c>
      <c r="L2625" s="2">
        <v>0</v>
      </c>
      <c r="M2625">
        <v>0</v>
      </c>
      <c r="N2625">
        <v>0</v>
      </c>
      <c r="O2625" s="2">
        <v>0</v>
      </c>
      <c r="P2625" s="2">
        <v>0</v>
      </c>
      <c r="Q2625">
        <v>0</v>
      </c>
      <c r="R2625" s="2">
        <v>0</v>
      </c>
      <c r="S2625" s="2">
        <v>0</v>
      </c>
      <c r="T2625" t="s">
        <v>1244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</row>
    <row r="2626" spans="1:28" hidden="1" x14ac:dyDescent="0.25">
      <c r="A2626" t="s">
        <v>47</v>
      </c>
      <c r="B2626" t="s">
        <v>57</v>
      </c>
      <c r="C2626" t="s">
        <v>35</v>
      </c>
      <c r="D2626" s="1">
        <v>46031</v>
      </c>
      <c r="E2626" s="1">
        <v>46031</v>
      </c>
      <c r="F2626" s="2">
        <v>21</v>
      </c>
      <c r="G2626" s="3" t="s">
        <v>129</v>
      </c>
      <c r="H2626">
        <v>0</v>
      </c>
      <c r="I2626" s="2">
        <v>0</v>
      </c>
      <c r="J2626" s="2">
        <v>0</v>
      </c>
      <c r="K2626" s="2">
        <v>0</v>
      </c>
      <c r="L2626" s="2">
        <v>0</v>
      </c>
      <c r="M2626">
        <v>0</v>
      </c>
      <c r="N2626">
        <v>0</v>
      </c>
      <c r="O2626" s="2">
        <v>0</v>
      </c>
      <c r="P2626" s="2">
        <v>0</v>
      </c>
      <c r="Q2626">
        <v>0</v>
      </c>
      <c r="R2626" s="2">
        <v>0</v>
      </c>
      <c r="S2626" s="2">
        <v>0</v>
      </c>
      <c r="T2626" t="s">
        <v>1125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</row>
    <row r="2627" spans="1:28" hidden="1" x14ac:dyDescent="0.25">
      <c r="A2627" t="s">
        <v>33</v>
      </c>
      <c r="B2627" t="s">
        <v>47</v>
      </c>
      <c r="C2627" t="s">
        <v>35</v>
      </c>
      <c r="D2627" s="1">
        <v>46031</v>
      </c>
      <c r="E2627" s="1">
        <v>46031</v>
      </c>
      <c r="F2627" s="2">
        <v>21</v>
      </c>
      <c r="G2627" s="3" t="s">
        <v>50</v>
      </c>
      <c r="H2627">
        <v>0</v>
      </c>
      <c r="I2627" s="2">
        <v>0</v>
      </c>
      <c r="J2627" s="2">
        <v>0</v>
      </c>
      <c r="K2627" s="2">
        <v>0</v>
      </c>
      <c r="L2627" s="2">
        <v>0</v>
      </c>
      <c r="M2627">
        <v>0</v>
      </c>
      <c r="N2627">
        <v>0</v>
      </c>
      <c r="O2627" s="2">
        <v>0</v>
      </c>
      <c r="P2627" s="2">
        <v>0</v>
      </c>
      <c r="Q2627">
        <v>0</v>
      </c>
      <c r="R2627" s="2">
        <v>0</v>
      </c>
      <c r="S2627" s="2">
        <v>0</v>
      </c>
      <c r="T2627" t="s">
        <v>1125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</row>
    <row r="2628" spans="1:28" hidden="1" x14ac:dyDescent="0.25">
      <c r="A2628" t="s">
        <v>56</v>
      </c>
      <c r="B2628" t="s">
        <v>34</v>
      </c>
      <c r="C2628" t="s">
        <v>64</v>
      </c>
      <c r="D2628" s="9">
        <v>46032</v>
      </c>
      <c r="E2628" s="9">
        <v>46032</v>
      </c>
      <c r="F2628" s="2">
        <v>29</v>
      </c>
      <c r="G2628" s="3" t="s">
        <v>23</v>
      </c>
      <c r="H2628">
        <v>0</v>
      </c>
      <c r="I2628" s="2">
        <v>0</v>
      </c>
      <c r="J2628" s="2">
        <v>0</v>
      </c>
      <c r="K2628" s="2">
        <v>0</v>
      </c>
      <c r="L2628" s="2">
        <v>0</v>
      </c>
      <c r="M2628">
        <v>0</v>
      </c>
      <c r="N2628">
        <v>0</v>
      </c>
      <c r="O2628" s="2">
        <v>1</v>
      </c>
      <c r="P2628" s="2">
        <v>0</v>
      </c>
      <c r="Q2628">
        <v>0</v>
      </c>
      <c r="R2628" s="2">
        <v>1</v>
      </c>
      <c r="S2628" s="2">
        <v>0</v>
      </c>
      <c r="T2628" t="s">
        <v>1334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</row>
    <row r="2629" spans="1:28" hidden="1" x14ac:dyDescent="0.25">
      <c r="A2629" t="s">
        <v>25</v>
      </c>
      <c r="B2629" t="s">
        <v>47</v>
      </c>
      <c r="C2629" t="s">
        <v>27</v>
      </c>
      <c r="D2629" s="9">
        <v>46032</v>
      </c>
      <c r="E2629" s="9">
        <v>46032</v>
      </c>
      <c r="F2629" s="2">
        <v>33</v>
      </c>
      <c r="G2629" s="3" t="s">
        <v>23</v>
      </c>
      <c r="H2629">
        <v>0</v>
      </c>
      <c r="I2629" s="2">
        <v>0</v>
      </c>
      <c r="J2629" s="2">
        <v>0</v>
      </c>
      <c r="K2629" s="2">
        <v>0</v>
      </c>
      <c r="L2629" s="2">
        <v>0</v>
      </c>
      <c r="M2629">
        <v>0</v>
      </c>
      <c r="N2629">
        <v>0</v>
      </c>
      <c r="O2629" s="2">
        <v>1</v>
      </c>
      <c r="P2629" s="2">
        <v>0</v>
      </c>
      <c r="Q2629">
        <v>6</v>
      </c>
      <c r="R2629" s="2">
        <v>1</v>
      </c>
      <c r="S2629" s="2">
        <v>0</v>
      </c>
      <c r="T2629" t="s">
        <v>1335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1</v>
      </c>
      <c r="AB2629" s="2">
        <v>0</v>
      </c>
    </row>
    <row r="2630" spans="1:28" hidden="1" x14ac:dyDescent="0.25">
      <c r="A2630" t="s">
        <v>730</v>
      </c>
      <c r="B2630" t="s">
        <v>47</v>
      </c>
      <c r="C2630" t="s">
        <v>27</v>
      </c>
      <c r="D2630" s="9">
        <v>46032</v>
      </c>
      <c r="E2630" s="9">
        <v>46032</v>
      </c>
      <c r="F2630" s="2">
        <v>33</v>
      </c>
      <c r="G2630" s="3" t="s">
        <v>23</v>
      </c>
      <c r="H2630">
        <v>0</v>
      </c>
      <c r="I2630" s="2">
        <v>0</v>
      </c>
      <c r="J2630" s="2">
        <v>0</v>
      </c>
      <c r="K2630" s="2">
        <v>0</v>
      </c>
      <c r="L2630" s="2">
        <v>0</v>
      </c>
      <c r="M2630">
        <v>0</v>
      </c>
      <c r="N2630">
        <v>0</v>
      </c>
      <c r="O2630" s="2">
        <v>1</v>
      </c>
      <c r="P2630" s="2">
        <v>0</v>
      </c>
      <c r="Q2630">
        <v>6</v>
      </c>
      <c r="R2630" s="2">
        <v>1</v>
      </c>
      <c r="S2630" s="2">
        <v>0</v>
      </c>
      <c r="T2630" t="s">
        <v>1335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1</v>
      </c>
      <c r="AB2630" s="2">
        <v>0</v>
      </c>
    </row>
    <row r="2631" spans="1:28" hidden="1" x14ac:dyDescent="0.25">
      <c r="A2631" t="s">
        <v>53</v>
      </c>
      <c r="B2631" t="s">
        <v>38</v>
      </c>
      <c r="C2631" t="s">
        <v>670</v>
      </c>
      <c r="D2631" s="9">
        <v>46032</v>
      </c>
      <c r="E2631" s="9">
        <v>46032</v>
      </c>
      <c r="F2631" s="2">
        <v>192</v>
      </c>
      <c r="G2631" s="3" t="s">
        <v>23</v>
      </c>
      <c r="H2631">
        <v>0</v>
      </c>
      <c r="I2631" s="2">
        <v>0</v>
      </c>
      <c r="J2631" s="2">
        <v>0</v>
      </c>
      <c r="K2631" s="2">
        <v>0</v>
      </c>
      <c r="L2631" s="2">
        <v>0</v>
      </c>
      <c r="M2631">
        <v>0</v>
      </c>
      <c r="N2631">
        <v>0</v>
      </c>
      <c r="O2631" s="2">
        <v>1</v>
      </c>
      <c r="P2631" s="2">
        <v>0</v>
      </c>
      <c r="Q2631">
        <v>0</v>
      </c>
      <c r="R2631" s="2">
        <v>1</v>
      </c>
      <c r="S2631" s="2">
        <v>0</v>
      </c>
      <c r="T2631" t="s">
        <v>1336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</row>
    <row r="2632" spans="1:28" hidden="1" x14ac:dyDescent="0.25">
      <c r="A2632" t="s">
        <v>29</v>
      </c>
      <c r="B2632" t="s">
        <v>30</v>
      </c>
      <c r="C2632" t="s">
        <v>31</v>
      </c>
      <c r="D2632" s="9">
        <v>46032</v>
      </c>
      <c r="E2632" s="9">
        <v>46032</v>
      </c>
      <c r="F2632" s="2">
        <v>29</v>
      </c>
      <c r="G2632" s="3" t="s">
        <v>23</v>
      </c>
      <c r="H2632">
        <v>0</v>
      </c>
      <c r="I2632" s="2">
        <v>0</v>
      </c>
      <c r="J2632" s="2">
        <v>0</v>
      </c>
      <c r="K2632" s="2">
        <v>0</v>
      </c>
      <c r="L2632" s="2">
        <v>0</v>
      </c>
      <c r="M2632">
        <v>0</v>
      </c>
      <c r="N2632">
        <v>0</v>
      </c>
      <c r="O2632" s="2">
        <v>1</v>
      </c>
      <c r="P2632" s="2">
        <v>0</v>
      </c>
      <c r="Q2632">
        <v>0</v>
      </c>
      <c r="R2632" s="2">
        <v>1</v>
      </c>
      <c r="S2632" s="2">
        <v>0</v>
      </c>
      <c r="T2632" t="s">
        <v>1337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</row>
    <row r="2633" spans="1:28" hidden="1" x14ac:dyDescent="0.25">
      <c r="A2633" t="s">
        <v>20</v>
      </c>
      <c r="B2633" t="s">
        <v>21</v>
      </c>
      <c r="C2633" t="s">
        <v>22</v>
      </c>
      <c r="D2633" s="9">
        <v>46032</v>
      </c>
      <c r="E2633" s="9">
        <v>46032</v>
      </c>
      <c r="F2633" s="2">
        <v>33</v>
      </c>
      <c r="G2633" s="3" t="s">
        <v>23</v>
      </c>
      <c r="H2633">
        <v>0</v>
      </c>
      <c r="I2633" s="2">
        <v>0</v>
      </c>
      <c r="J2633" s="2">
        <v>0</v>
      </c>
      <c r="K2633" s="2">
        <v>0</v>
      </c>
      <c r="L2633" s="2">
        <v>0</v>
      </c>
      <c r="M2633">
        <v>0</v>
      </c>
      <c r="N2633">
        <v>0</v>
      </c>
      <c r="O2633" s="2">
        <v>1</v>
      </c>
      <c r="P2633" s="2">
        <v>0</v>
      </c>
      <c r="Q2633">
        <v>0</v>
      </c>
      <c r="R2633" s="2">
        <v>1</v>
      </c>
      <c r="S2633" s="2">
        <v>0</v>
      </c>
      <c r="T2633" t="s">
        <v>1338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</row>
    <row r="2634" spans="1:28" hidden="1" x14ac:dyDescent="0.25">
      <c r="A2634" t="s">
        <v>63</v>
      </c>
      <c r="B2634" t="s">
        <v>284</v>
      </c>
      <c r="C2634" t="s">
        <v>102</v>
      </c>
      <c r="D2634" s="9">
        <v>46032</v>
      </c>
      <c r="E2634" s="9">
        <v>46032</v>
      </c>
      <c r="F2634" s="2">
        <v>30</v>
      </c>
      <c r="G2634" s="3" t="s">
        <v>23</v>
      </c>
      <c r="H2634">
        <v>0</v>
      </c>
      <c r="I2634" s="2">
        <v>0</v>
      </c>
      <c r="J2634" s="2">
        <v>0</v>
      </c>
      <c r="K2634" s="2">
        <v>0</v>
      </c>
      <c r="L2634" s="2">
        <v>0</v>
      </c>
      <c r="M2634">
        <v>0</v>
      </c>
      <c r="N2634">
        <v>0</v>
      </c>
      <c r="O2634" s="2">
        <v>1</v>
      </c>
      <c r="P2634" s="2">
        <v>0</v>
      </c>
      <c r="Q2634">
        <v>0</v>
      </c>
      <c r="R2634" s="2">
        <v>1</v>
      </c>
      <c r="S2634" s="2">
        <v>0</v>
      </c>
      <c r="T2634" t="s">
        <v>1339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</row>
    <row r="2635" spans="1:28" hidden="1" x14ac:dyDescent="0.25">
      <c r="A2635" t="s">
        <v>568</v>
      </c>
      <c r="B2635" t="s">
        <v>1160</v>
      </c>
      <c r="C2635" t="s">
        <v>670</v>
      </c>
      <c r="D2635" s="9">
        <v>46032</v>
      </c>
      <c r="E2635" s="9">
        <v>46032</v>
      </c>
      <c r="F2635" s="2">
        <v>192</v>
      </c>
      <c r="G2635" s="3" t="s">
        <v>23</v>
      </c>
      <c r="H2635">
        <v>0</v>
      </c>
      <c r="I2635" s="2">
        <v>0</v>
      </c>
      <c r="J2635" s="2">
        <v>0</v>
      </c>
      <c r="K2635" s="2">
        <v>0</v>
      </c>
      <c r="L2635" s="2">
        <v>0</v>
      </c>
      <c r="M2635">
        <v>0</v>
      </c>
      <c r="N2635">
        <v>0</v>
      </c>
      <c r="O2635" s="2">
        <v>1</v>
      </c>
      <c r="P2635" s="2">
        <v>0</v>
      </c>
      <c r="Q2635">
        <v>1</v>
      </c>
      <c r="R2635" s="2">
        <v>1</v>
      </c>
      <c r="S2635" s="2">
        <v>0</v>
      </c>
      <c r="T2635" t="s">
        <v>1336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</row>
    <row r="2636" spans="1:28" hidden="1" x14ac:dyDescent="0.25">
      <c r="A2636" t="s">
        <v>37</v>
      </c>
      <c r="B2636" t="s">
        <v>26</v>
      </c>
      <c r="C2636" t="s">
        <v>39</v>
      </c>
      <c r="D2636" s="9">
        <v>46032</v>
      </c>
      <c r="E2636" s="9">
        <v>46032</v>
      </c>
      <c r="F2636" s="2">
        <v>18</v>
      </c>
      <c r="G2636" s="3" t="s">
        <v>378</v>
      </c>
      <c r="H2636">
        <v>0</v>
      </c>
      <c r="I2636" s="2">
        <v>0</v>
      </c>
      <c r="J2636" s="2">
        <v>0</v>
      </c>
      <c r="K2636" s="2">
        <v>0</v>
      </c>
      <c r="L2636" s="2">
        <v>0</v>
      </c>
      <c r="M2636">
        <v>0</v>
      </c>
      <c r="N2636">
        <v>0</v>
      </c>
      <c r="O2636" s="2">
        <v>0</v>
      </c>
      <c r="P2636" s="2">
        <v>0</v>
      </c>
      <c r="Q2636">
        <v>0</v>
      </c>
      <c r="R2636" s="2">
        <v>0</v>
      </c>
      <c r="S2636" s="2">
        <v>0</v>
      </c>
      <c r="T2636" t="s">
        <v>1244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</row>
    <row r="2637" spans="1:28" hidden="1" x14ac:dyDescent="0.25">
      <c r="A2637" t="s">
        <v>47</v>
      </c>
      <c r="B2637" t="s">
        <v>1323</v>
      </c>
      <c r="C2637" t="s">
        <v>39</v>
      </c>
      <c r="D2637" s="9">
        <v>46032</v>
      </c>
      <c r="E2637" s="9">
        <v>46032</v>
      </c>
      <c r="F2637" s="2">
        <v>18</v>
      </c>
      <c r="G2637" s="3" t="s">
        <v>378</v>
      </c>
      <c r="H2637">
        <v>0</v>
      </c>
      <c r="I2637" s="2">
        <v>0</v>
      </c>
      <c r="J2637" s="2">
        <v>0</v>
      </c>
      <c r="K2637" s="2">
        <v>0</v>
      </c>
      <c r="L2637" s="2">
        <v>0</v>
      </c>
      <c r="M2637">
        <v>0</v>
      </c>
      <c r="N2637">
        <v>0</v>
      </c>
      <c r="O2637" s="2">
        <v>0</v>
      </c>
      <c r="P2637" s="2">
        <v>0</v>
      </c>
      <c r="Q2637">
        <v>0</v>
      </c>
      <c r="R2637" s="2">
        <v>0</v>
      </c>
      <c r="S2637" s="2">
        <v>0</v>
      </c>
      <c r="T2637" t="s">
        <v>1244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</row>
    <row r="2638" spans="1:28" hidden="1" x14ac:dyDescent="0.25">
      <c r="A2638" t="s">
        <v>47</v>
      </c>
      <c r="B2638" t="s">
        <v>57</v>
      </c>
      <c r="C2638" t="s">
        <v>35</v>
      </c>
      <c r="D2638" s="9">
        <v>46032</v>
      </c>
      <c r="E2638" s="9">
        <v>46032</v>
      </c>
      <c r="F2638" s="2">
        <v>21</v>
      </c>
      <c r="G2638" s="3" t="s">
        <v>129</v>
      </c>
      <c r="H2638">
        <v>0</v>
      </c>
      <c r="I2638" s="2">
        <v>0</v>
      </c>
      <c r="J2638" s="2">
        <v>0</v>
      </c>
      <c r="K2638" s="2">
        <v>0</v>
      </c>
      <c r="L2638" s="2">
        <v>0</v>
      </c>
      <c r="M2638">
        <v>0</v>
      </c>
      <c r="N2638">
        <v>0</v>
      </c>
      <c r="O2638" s="2">
        <v>0</v>
      </c>
      <c r="P2638" s="2">
        <v>0</v>
      </c>
      <c r="Q2638">
        <v>0</v>
      </c>
      <c r="R2638" s="2">
        <v>0</v>
      </c>
      <c r="S2638" s="2">
        <v>0</v>
      </c>
      <c r="T2638" t="s">
        <v>1125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</row>
    <row r="2639" spans="1:28" hidden="1" x14ac:dyDescent="0.25">
      <c r="A2639" t="s">
        <v>33</v>
      </c>
      <c r="B2639" t="s">
        <v>47</v>
      </c>
      <c r="C2639" t="s">
        <v>35</v>
      </c>
      <c r="D2639" s="9">
        <v>46032</v>
      </c>
      <c r="E2639" s="9">
        <v>46032</v>
      </c>
      <c r="F2639" s="2">
        <v>21</v>
      </c>
      <c r="G2639" s="3" t="s">
        <v>50</v>
      </c>
      <c r="H2639">
        <v>0</v>
      </c>
      <c r="I2639" s="2">
        <v>0</v>
      </c>
      <c r="J2639" s="2">
        <v>0</v>
      </c>
      <c r="K2639" s="2">
        <v>0</v>
      </c>
      <c r="L2639" s="2">
        <v>0</v>
      </c>
      <c r="M2639">
        <v>0</v>
      </c>
      <c r="N2639">
        <v>0</v>
      </c>
      <c r="O2639" s="2">
        <v>0</v>
      </c>
      <c r="P2639" s="2">
        <v>0</v>
      </c>
      <c r="Q2639">
        <v>0</v>
      </c>
      <c r="R2639" s="2">
        <v>0</v>
      </c>
      <c r="S2639" s="2">
        <v>0</v>
      </c>
      <c r="T2639" t="s">
        <v>1125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</row>
    <row r="2640" spans="1:28" hidden="1" x14ac:dyDescent="0.25">
      <c r="A2640" t="s">
        <v>56</v>
      </c>
      <c r="B2640" t="s">
        <v>34</v>
      </c>
      <c r="C2640" t="s">
        <v>64</v>
      </c>
      <c r="D2640" s="9">
        <v>46033</v>
      </c>
      <c r="E2640" s="9">
        <v>46033</v>
      </c>
      <c r="F2640" s="2">
        <v>29</v>
      </c>
      <c r="G2640" s="3" t="s">
        <v>23</v>
      </c>
      <c r="H2640">
        <v>0</v>
      </c>
      <c r="I2640" s="2">
        <v>0</v>
      </c>
      <c r="J2640" s="2">
        <v>0</v>
      </c>
      <c r="K2640" s="2">
        <v>0</v>
      </c>
      <c r="L2640" s="2">
        <v>0</v>
      </c>
      <c r="M2640">
        <v>0</v>
      </c>
      <c r="N2640">
        <v>0</v>
      </c>
      <c r="O2640" s="2">
        <v>0</v>
      </c>
      <c r="P2640" s="2">
        <v>1</v>
      </c>
      <c r="Q2640">
        <v>2</v>
      </c>
      <c r="R2640" s="2">
        <v>0</v>
      </c>
      <c r="S2640" s="2">
        <v>1</v>
      </c>
      <c r="T2640" t="s">
        <v>1340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</row>
    <row r="2641" spans="1:28" hidden="1" x14ac:dyDescent="0.25">
      <c r="A2641" t="s">
        <v>25</v>
      </c>
      <c r="B2641" t="s">
        <v>47</v>
      </c>
      <c r="C2641" t="s">
        <v>27</v>
      </c>
      <c r="D2641" s="9">
        <v>46033</v>
      </c>
      <c r="E2641" s="9">
        <v>46033</v>
      </c>
      <c r="F2641" s="2">
        <v>34</v>
      </c>
      <c r="G2641" s="3" t="s">
        <v>23</v>
      </c>
      <c r="H2641">
        <v>0</v>
      </c>
      <c r="I2641" s="2">
        <v>0</v>
      </c>
      <c r="J2641" s="2">
        <v>0</v>
      </c>
      <c r="K2641" s="2">
        <v>0</v>
      </c>
      <c r="L2641" s="2">
        <v>0</v>
      </c>
      <c r="M2641">
        <v>0</v>
      </c>
      <c r="N2641">
        <v>0</v>
      </c>
      <c r="O2641" s="2">
        <v>0</v>
      </c>
      <c r="P2641" s="2">
        <v>1</v>
      </c>
      <c r="Q2641">
        <v>4</v>
      </c>
      <c r="R2641" s="2">
        <v>0</v>
      </c>
      <c r="S2641" s="2">
        <v>1</v>
      </c>
      <c r="T2641" t="s">
        <v>1341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1</v>
      </c>
    </row>
    <row r="2642" spans="1:28" hidden="1" x14ac:dyDescent="0.25">
      <c r="A2642" t="s">
        <v>730</v>
      </c>
      <c r="B2642" t="s">
        <v>47</v>
      </c>
      <c r="C2642" t="s">
        <v>27</v>
      </c>
      <c r="D2642" s="9">
        <v>46033</v>
      </c>
      <c r="E2642" s="9">
        <v>46033</v>
      </c>
      <c r="F2642" s="2">
        <v>34</v>
      </c>
      <c r="G2642" s="3" t="s">
        <v>23</v>
      </c>
      <c r="H2642">
        <v>0</v>
      </c>
      <c r="I2642" s="2">
        <v>0</v>
      </c>
      <c r="J2642" s="2">
        <v>0</v>
      </c>
      <c r="K2642" s="2">
        <v>0</v>
      </c>
      <c r="L2642" s="2">
        <v>0</v>
      </c>
      <c r="M2642">
        <v>0</v>
      </c>
      <c r="N2642">
        <v>0</v>
      </c>
      <c r="O2642" s="2">
        <v>0</v>
      </c>
      <c r="P2642" s="2">
        <v>1</v>
      </c>
      <c r="Q2642">
        <v>4</v>
      </c>
      <c r="R2642" s="2">
        <v>0</v>
      </c>
      <c r="S2642" s="2">
        <v>1</v>
      </c>
      <c r="T2642" t="s">
        <v>1341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1</v>
      </c>
    </row>
    <row r="2643" spans="1:28" hidden="1" x14ac:dyDescent="0.25">
      <c r="A2643" t="s">
        <v>53</v>
      </c>
      <c r="B2643" t="s">
        <v>38</v>
      </c>
      <c r="C2643" t="s">
        <v>670</v>
      </c>
      <c r="D2643" s="9">
        <v>46033</v>
      </c>
      <c r="E2643" s="9">
        <v>46033</v>
      </c>
      <c r="F2643" s="2">
        <v>47</v>
      </c>
      <c r="G2643" s="3" t="s">
        <v>23</v>
      </c>
      <c r="H2643">
        <v>0</v>
      </c>
      <c r="I2643" s="2">
        <v>0</v>
      </c>
      <c r="J2643" s="2">
        <v>0</v>
      </c>
      <c r="K2643" s="2">
        <v>0</v>
      </c>
      <c r="L2643" s="2">
        <v>0</v>
      </c>
      <c r="M2643">
        <v>0</v>
      </c>
      <c r="N2643">
        <v>0</v>
      </c>
      <c r="O2643" s="2">
        <v>0</v>
      </c>
      <c r="P2643" s="2">
        <v>1</v>
      </c>
      <c r="Q2643">
        <v>0</v>
      </c>
      <c r="R2643" s="2">
        <v>0</v>
      </c>
      <c r="S2643" s="2">
        <v>1</v>
      </c>
      <c r="T2643" t="s">
        <v>1342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</row>
    <row r="2644" spans="1:28" hidden="1" x14ac:dyDescent="0.25">
      <c r="A2644" t="s">
        <v>29</v>
      </c>
      <c r="B2644" t="s">
        <v>30</v>
      </c>
      <c r="C2644" t="s">
        <v>31</v>
      </c>
      <c r="D2644" s="9">
        <v>46033</v>
      </c>
      <c r="E2644" s="9">
        <v>46033</v>
      </c>
      <c r="F2644" s="2">
        <v>17</v>
      </c>
      <c r="G2644" s="3" t="s">
        <v>23</v>
      </c>
      <c r="H2644">
        <v>0</v>
      </c>
      <c r="I2644" s="2">
        <v>0</v>
      </c>
      <c r="J2644" s="2">
        <v>0</v>
      </c>
      <c r="K2644" s="2">
        <v>0</v>
      </c>
      <c r="L2644" s="2">
        <v>0</v>
      </c>
      <c r="M2644">
        <v>0</v>
      </c>
      <c r="N2644">
        <v>0</v>
      </c>
      <c r="O2644" s="2">
        <v>0</v>
      </c>
      <c r="P2644" s="2">
        <v>1</v>
      </c>
      <c r="Q2644">
        <v>0</v>
      </c>
      <c r="R2644" s="2">
        <v>0</v>
      </c>
      <c r="S2644" s="2">
        <v>1</v>
      </c>
      <c r="T2644" t="s">
        <v>1343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</row>
    <row r="2645" spans="1:28" hidden="1" x14ac:dyDescent="0.25">
      <c r="A2645" t="s">
        <v>20</v>
      </c>
      <c r="B2645" t="s">
        <v>21</v>
      </c>
      <c r="C2645" t="s">
        <v>22</v>
      </c>
      <c r="D2645" s="9">
        <v>46033</v>
      </c>
      <c r="E2645" s="9">
        <v>46033</v>
      </c>
      <c r="F2645" s="2">
        <v>38</v>
      </c>
      <c r="G2645" s="3" t="s">
        <v>23</v>
      </c>
      <c r="H2645">
        <v>0</v>
      </c>
      <c r="I2645" s="2">
        <v>0</v>
      </c>
      <c r="J2645" s="2">
        <v>0</v>
      </c>
      <c r="K2645" s="2">
        <v>0</v>
      </c>
      <c r="L2645" s="2">
        <v>0</v>
      </c>
      <c r="M2645">
        <v>0</v>
      </c>
      <c r="N2645">
        <v>0</v>
      </c>
      <c r="O2645" s="2">
        <v>0</v>
      </c>
      <c r="P2645" s="2">
        <v>1</v>
      </c>
      <c r="Q2645">
        <v>2</v>
      </c>
      <c r="R2645" s="2">
        <v>0</v>
      </c>
      <c r="S2645" s="2">
        <v>1</v>
      </c>
      <c r="T2645" t="s">
        <v>1344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</row>
    <row r="2646" spans="1:28" hidden="1" x14ac:dyDescent="0.25">
      <c r="A2646" t="s">
        <v>63</v>
      </c>
      <c r="B2646" t="s">
        <v>284</v>
      </c>
      <c r="C2646" t="s">
        <v>102</v>
      </c>
      <c r="D2646" s="9">
        <v>46033</v>
      </c>
      <c r="E2646" s="9">
        <v>46033</v>
      </c>
      <c r="F2646" s="2">
        <v>18</v>
      </c>
      <c r="G2646" s="3" t="s">
        <v>23</v>
      </c>
      <c r="H2646">
        <v>0</v>
      </c>
      <c r="I2646" s="2">
        <v>0</v>
      </c>
      <c r="J2646" s="2">
        <v>0</v>
      </c>
      <c r="K2646" s="2">
        <v>0</v>
      </c>
      <c r="L2646" s="2">
        <v>0</v>
      </c>
      <c r="M2646">
        <v>0</v>
      </c>
      <c r="N2646">
        <v>0</v>
      </c>
      <c r="O2646" s="2">
        <v>0</v>
      </c>
      <c r="P2646" s="2">
        <v>1</v>
      </c>
      <c r="Q2646">
        <v>0</v>
      </c>
      <c r="R2646" s="2">
        <v>0</v>
      </c>
      <c r="S2646" s="2">
        <v>1</v>
      </c>
      <c r="T2646" t="s">
        <v>1345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</row>
    <row r="2647" spans="1:28" hidden="1" x14ac:dyDescent="0.25">
      <c r="A2647" t="s">
        <v>568</v>
      </c>
      <c r="B2647" t="s">
        <v>1160</v>
      </c>
      <c r="C2647" t="s">
        <v>670</v>
      </c>
      <c r="D2647" s="9">
        <v>46033</v>
      </c>
      <c r="E2647" s="9">
        <v>46033</v>
      </c>
      <c r="F2647" s="2">
        <v>47</v>
      </c>
      <c r="G2647" s="3" t="s">
        <v>23</v>
      </c>
      <c r="H2647">
        <v>0</v>
      </c>
      <c r="I2647" s="2">
        <v>0</v>
      </c>
      <c r="J2647" s="2">
        <v>0</v>
      </c>
      <c r="K2647" s="2">
        <v>0</v>
      </c>
      <c r="L2647" s="2">
        <v>0</v>
      </c>
      <c r="M2647">
        <v>0</v>
      </c>
      <c r="N2647">
        <v>0</v>
      </c>
      <c r="O2647" s="2">
        <v>0</v>
      </c>
      <c r="P2647" s="2">
        <v>1</v>
      </c>
      <c r="Q2647">
        <v>0</v>
      </c>
      <c r="R2647" s="2">
        <v>0</v>
      </c>
      <c r="S2647" s="2">
        <v>1</v>
      </c>
      <c r="T2647" t="s">
        <v>1342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</row>
    <row r="2648" spans="1:28" hidden="1" x14ac:dyDescent="0.25">
      <c r="A2648" t="s">
        <v>37</v>
      </c>
      <c r="B2648" t="s">
        <v>26</v>
      </c>
      <c r="C2648" t="s">
        <v>39</v>
      </c>
      <c r="D2648" s="9">
        <v>46033</v>
      </c>
      <c r="E2648" s="9">
        <v>46033</v>
      </c>
      <c r="F2648" s="2">
        <v>18</v>
      </c>
      <c r="G2648" s="3" t="s">
        <v>378</v>
      </c>
      <c r="H2648">
        <v>0</v>
      </c>
      <c r="I2648" s="2">
        <v>0</v>
      </c>
      <c r="J2648" s="2">
        <v>0</v>
      </c>
      <c r="K2648" s="2">
        <v>0</v>
      </c>
      <c r="L2648" s="2">
        <v>0</v>
      </c>
      <c r="M2648">
        <v>0</v>
      </c>
      <c r="N2648">
        <v>0</v>
      </c>
      <c r="O2648" s="2">
        <v>0</v>
      </c>
      <c r="P2648" s="2">
        <v>0</v>
      </c>
      <c r="Q2648">
        <v>0</v>
      </c>
      <c r="R2648" s="2">
        <v>0</v>
      </c>
      <c r="S2648" s="2">
        <v>0</v>
      </c>
      <c r="T2648" t="s">
        <v>1244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</row>
    <row r="2649" spans="1:28" hidden="1" x14ac:dyDescent="0.25">
      <c r="A2649" t="s">
        <v>47</v>
      </c>
      <c r="B2649" t="s">
        <v>1323</v>
      </c>
      <c r="C2649" t="s">
        <v>39</v>
      </c>
      <c r="D2649" s="9">
        <v>46033</v>
      </c>
      <c r="E2649" s="9">
        <v>46033</v>
      </c>
      <c r="F2649" s="2">
        <v>18</v>
      </c>
      <c r="G2649" s="3" t="s">
        <v>378</v>
      </c>
      <c r="H2649">
        <v>0</v>
      </c>
      <c r="I2649" s="2">
        <v>0</v>
      </c>
      <c r="J2649" s="2">
        <v>0</v>
      </c>
      <c r="K2649" s="2">
        <v>0</v>
      </c>
      <c r="L2649" s="2">
        <v>0</v>
      </c>
      <c r="M2649">
        <v>0</v>
      </c>
      <c r="N2649">
        <v>0</v>
      </c>
      <c r="O2649" s="2">
        <v>0</v>
      </c>
      <c r="P2649" s="2">
        <v>0</v>
      </c>
      <c r="Q2649">
        <v>0</v>
      </c>
      <c r="R2649" s="2">
        <v>0</v>
      </c>
      <c r="S2649" s="2">
        <v>0</v>
      </c>
      <c r="T2649" t="s">
        <v>1244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</row>
    <row r="2650" spans="1:28" hidden="1" x14ac:dyDescent="0.25">
      <c r="A2650" t="s">
        <v>47</v>
      </c>
      <c r="B2650" t="s">
        <v>57</v>
      </c>
      <c r="C2650" t="s">
        <v>35</v>
      </c>
      <c r="D2650" s="9">
        <v>46033</v>
      </c>
      <c r="E2650" s="9">
        <v>46033</v>
      </c>
      <c r="F2650" s="2">
        <v>21</v>
      </c>
      <c r="G2650" s="3" t="s">
        <v>129</v>
      </c>
      <c r="H2650">
        <v>0</v>
      </c>
      <c r="I2650" s="2">
        <v>0</v>
      </c>
      <c r="J2650" s="2">
        <v>0</v>
      </c>
      <c r="K2650" s="2">
        <v>0</v>
      </c>
      <c r="L2650" s="2">
        <v>0</v>
      </c>
      <c r="M2650">
        <v>0</v>
      </c>
      <c r="N2650">
        <v>0</v>
      </c>
      <c r="O2650" s="2">
        <v>0</v>
      </c>
      <c r="P2650" s="2">
        <v>0</v>
      </c>
      <c r="Q2650">
        <v>0</v>
      </c>
      <c r="R2650" s="2">
        <v>0</v>
      </c>
      <c r="S2650" s="2">
        <v>0</v>
      </c>
      <c r="T2650" t="s">
        <v>1125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</row>
    <row r="2651" spans="1:28" hidden="1" x14ac:dyDescent="0.25">
      <c r="A2651" t="s">
        <v>33</v>
      </c>
      <c r="B2651" t="s">
        <v>47</v>
      </c>
      <c r="C2651" t="s">
        <v>35</v>
      </c>
      <c r="D2651" s="9">
        <v>46033</v>
      </c>
      <c r="E2651" s="9">
        <v>46033</v>
      </c>
      <c r="F2651" s="2">
        <v>21</v>
      </c>
      <c r="G2651" s="3" t="s">
        <v>50</v>
      </c>
      <c r="H2651">
        <v>0</v>
      </c>
      <c r="I2651" s="2">
        <v>0</v>
      </c>
      <c r="J2651" s="2">
        <v>0</v>
      </c>
      <c r="K2651" s="2">
        <v>0</v>
      </c>
      <c r="L2651" s="2">
        <v>0</v>
      </c>
      <c r="M2651">
        <v>0</v>
      </c>
      <c r="N2651">
        <v>0</v>
      </c>
      <c r="O2651" s="2">
        <v>0</v>
      </c>
      <c r="P2651" s="2">
        <v>0</v>
      </c>
      <c r="Q2651">
        <v>0</v>
      </c>
      <c r="R2651" s="2">
        <v>0</v>
      </c>
      <c r="S2651" s="2">
        <v>0</v>
      </c>
      <c r="T2651" t="s">
        <v>1125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</row>
    <row r="2652" spans="1:28" hidden="1" x14ac:dyDescent="0.25">
      <c r="A2652" t="s">
        <v>56</v>
      </c>
      <c r="B2652" t="s">
        <v>47</v>
      </c>
      <c r="C2652" t="s">
        <v>64</v>
      </c>
      <c r="D2652" s="1">
        <v>46034</v>
      </c>
      <c r="E2652" s="1">
        <v>46034</v>
      </c>
      <c r="F2652" s="2">
        <v>31</v>
      </c>
      <c r="G2652" s="3" t="s">
        <v>23</v>
      </c>
      <c r="H2652">
        <v>0</v>
      </c>
      <c r="I2652" s="2">
        <v>0</v>
      </c>
      <c r="J2652" s="2">
        <v>0</v>
      </c>
      <c r="K2652" s="2">
        <v>0</v>
      </c>
      <c r="L2652" s="2">
        <v>0</v>
      </c>
      <c r="M2652">
        <v>0</v>
      </c>
      <c r="N2652">
        <v>0</v>
      </c>
      <c r="O2652" s="2">
        <v>0</v>
      </c>
      <c r="P2652" s="2">
        <v>0</v>
      </c>
      <c r="Q2652">
        <v>0</v>
      </c>
      <c r="R2652" s="2">
        <v>0</v>
      </c>
      <c r="S2652" s="2">
        <v>0</v>
      </c>
      <c r="T2652" t="s">
        <v>1346</v>
      </c>
      <c r="U2652" s="2">
        <v>0</v>
      </c>
      <c r="V2652" s="2">
        <f>22+22</f>
        <v>44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</row>
    <row r="2653" spans="1:28" hidden="1" x14ac:dyDescent="0.25">
      <c r="A2653" t="s">
        <v>730</v>
      </c>
      <c r="B2653" t="s">
        <v>47</v>
      </c>
      <c r="C2653" t="s">
        <v>64</v>
      </c>
      <c r="D2653" s="1">
        <v>46034</v>
      </c>
      <c r="E2653" s="1">
        <v>46034</v>
      </c>
      <c r="F2653" s="2">
        <v>31</v>
      </c>
      <c r="G2653" s="3" t="s">
        <v>23</v>
      </c>
      <c r="H2653">
        <v>0</v>
      </c>
      <c r="I2653" s="2">
        <v>0</v>
      </c>
      <c r="J2653" s="2">
        <v>0</v>
      </c>
      <c r="K2653" s="2">
        <v>0</v>
      </c>
      <c r="L2653" s="2">
        <v>0</v>
      </c>
      <c r="M2653">
        <v>0</v>
      </c>
      <c r="N2653">
        <v>0</v>
      </c>
      <c r="O2653" s="2">
        <v>0</v>
      </c>
      <c r="P2653" s="2">
        <v>0</v>
      </c>
      <c r="Q2653">
        <v>0</v>
      </c>
      <c r="R2653" s="2">
        <v>0</v>
      </c>
      <c r="S2653" s="2">
        <v>0</v>
      </c>
      <c r="T2653" t="s">
        <v>1346</v>
      </c>
      <c r="U2653" s="2">
        <v>0</v>
      </c>
      <c r="V2653" s="2">
        <f>22+22</f>
        <v>44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</row>
    <row r="2654" spans="1:28" hidden="1" x14ac:dyDescent="0.25">
      <c r="A2654" t="s">
        <v>37</v>
      </c>
      <c r="B2654" t="s">
        <v>1323</v>
      </c>
      <c r="C2654" t="s">
        <v>39</v>
      </c>
      <c r="D2654" s="1">
        <v>46034</v>
      </c>
      <c r="E2654" s="1">
        <v>46034</v>
      </c>
      <c r="F2654" s="2">
        <v>18</v>
      </c>
      <c r="G2654" s="3" t="s">
        <v>23</v>
      </c>
      <c r="H2654">
        <v>0</v>
      </c>
      <c r="I2654" s="2">
        <v>0</v>
      </c>
      <c r="J2654" s="2">
        <v>0</v>
      </c>
      <c r="K2654" s="2">
        <v>0</v>
      </c>
      <c r="L2654" s="2">
        <v>0</v>
      </c>
      <c r="M2654">
        <v>0</v>
      </c>
      <c r="N2654">
        <v>0</v>
      </c>
      <c r="O2654" s="2">
        <v>0</v>
      </c>
      <c r="P2654" s="2">
        <v>0</v>
      </c>
      <c r="Q2654">
        <v>0</v>
      </c>
      <c r="R2654" s="2">
        <v>0</v>
      </c>
      <c r="S2654" s="2">
        <v>0</v>
      </c>
      <c r="T2654" t="s">
        <v>1347</v>
      </c>
      <c r="U2654" s="2">
        <v>0</v>
      </c>
      <c r="V2654" s="2">
        <f>22+22</f>
        <v>44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</row>
    <row r="2655" spans="1:28" hidden="1" x14ac:dyDescent="0.25">
      <c r="A2655" t="s">
        <v>53</v>
      </c>
      <c r="B2655" t="s">
        <v>38</v>
      </c>
      <c r="C2655" t="s">
        <v>31</v>
      </c>
      <c r="D2655" s="1">
        <v>46034</v>
      </c>
      <c r="E2655" s="1">
        <v>46034</v>
      </c>
      <c r="F2655" s="2">
        <v>18</v>
      </c>
      <c r="G2655" s="3" t="s">
        <v>23</v>
      </c>
      <c r="H2655">
        <v>0</v>
      </c>
      <c r="I2655" s="2">
        <v>0</v>
      </c>
      <c r="J2655" s="2">
        <v>0</v>
      </c>
      <c r="K2655" s="2">
        <v>0</v>
      </c>
      <c r="L2655" s="2">
        <v>0</v>
      </c>
      <c r="M2655">
        <v>0</v>
      </c>
      <c r="N2655">
        <v>0</v>
      </c>
      <c r="O2655" s="2">
        <v>0</v>
      </c>
      <c r="P2655" s="2">
        <v>0</v>
      </c>
      <c r="Q2655">
        <v>0</v>
      </c>
      <c r="R2655" s="2">
        <v>0</v>
      </c>
      <c r="S2655" s="2">
        <v>0</v>
      </c>
      <c r="T2655" t="s">
        <v>1348</v>
      </c>
      <c r="U2655" s="2">
        <v>0</v>
      </c>
      <c r="V2655" s="2">
        <f>16+2+2+20</f>
        <v>40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</row>
    <row r="2656" spans="1:28" hidden="1" x14ac:dyDescent="0.25">
      <c r="A2656" t="s">
        <v>29</v>
      </c>
      <c r="B2656" t="s">
        <v>30</v>
      </c>
      <c r="C2656" t="s">
        <v>31</v>
      </c>
      <c r="D2656" s="1">
        <v>46034</v>
      </c>
      <c r="E2656" s="1">
        <v>46034</v>
      </c>
      <c r="F2656" s="2">
        <v>18</v>
      </c>
      <c r="G2656" s="3" t="s">
        <v>23</v>
      </c>
      <c r="H2656">
        <f>1+1</f>
        <v>2</v>
      </c>
      <c r="I2656" s="2">
        <v>0</v>
      </c>
      <c r="J2656" s="2">
        <v>0</v>
      </c>
      <c r="K2656" s="2">
        <v>0</v>
      </c>
      <c r="L2656" s="2">
        <v>0</v>
      </c>
      <c r="M2656">
        <v>0</v>
      </c>
      <c r="N2656">
        <v>0</v>
      </c>
      <c r="O2656" s="2">
        <v>0</v>
      </c>
      <c r="P2656" s="2">
        <v>0</v>
      </c>
      <c r="Q2656">
        <v>0</v>
      </c>
      <c r="R2656" s="2">
        <v>0</v>
      </c>
      <c r="S2656" s="2">
        <v>0</v>
      </c>
      <c r="T2656" t="s">
        <v>1348</v>
      </c>
      <c r="U2656" s="2">
        <v>0</v>
      </c>
      <c r="V2656" s="2">
        <f>13+13</f>
        <v>26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</row>
    <row r="2657" spans="1:28" hidden="1" x14ac:dyDescent="0.25">
      <c r="A2657" t="s">
        <v>20</v>
      </c>
      <c r="B2657" t="s">
        <v>21</v>
      </c>
      <c r="C2657" t="s">
        <v>22</v>
      </c>
      <c r="D2657" s="1">
        <v>46034</v>
      </c>
      <c r="E2657" s="1">
        <v>46034</v>
      </c>
      <c r="F2657" s="2">
        <v>63</v>
      </c>
      <c r="G2657" s="3" t="s">
        <v>23</v>
      </c>
      <c r="H2657">
        <v>1</v>
      </c>
      <c r="I2657" s="2">
        <v>0</v>
      </c>
      <c r="J2657" s="2">
        <v>0</v>
      </c>
      <c r="K2657" s="2">
        <v>0</v>
      </c>
      <c r="L2657" s="2">
        <v>0</v>
      </c>
      <c r="M2657">
        <v>0</v>
      </c>
      <c r="N2657">
        <v>0</v>
      </c>
      <c r="O2657" s="2">
        <v>0</v>
      </c>
      <c r="P2657" s="2">
        <v>0</v>
      </c>
      <c r="Q2657">
        <v>0</v>
      </c>
      <c r="R2657" s="2">
        <v>0</v>
      </c>
      <c r="S2657" s="2">
        <v>0</v>
      </c>
      <c r="T2657" t="s">
        <v>1349</v>
      </c>
      <c r="U2657" s="2">
        <v>0</v>
      </c>
      <c r="V2657" s="2">
        <v>22</v>
      </c>
      <c r="W2657" s="2">
        <v>23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</row>
    <row r="2658" spans="1:28" hidden="1" x14ac:dyDescent="0.25">
      <c r="A2658" t="s">
        <v>568</v>
      </c>
      <c r="B2658" t="s">
        <v>1160</v>
      </c>
      <c r="C2658" t="s">
        <v>670</v>
      </c>
      <c r="D2658" s="1">
        <v>46034</v>
      </c>
      <c r="E2658" s="1">
        <v>46034</v>
      </c>
      <c r="F2658" s="2">
        <v>71</v>
      </c>
      <c r="G2658" s="3" t="s">
        <v>23</v>
      </c>
      <c r="H2658">
        <v>1</v>
      </c>
      <c r="I2658" s="2">
        <v>0</v>
      </c>
      <c r="J2658" s="2">
        <v>0</v>
      </c>
      <c r="K2658" s="2">
        <v>0</v>
      </c>
      <c r="L2658" s="2">
        <v>0</v>
      </c>
      <c r="M2658">
        <v>0</v>
      </c>
      <c r="N2658">
        <v>0</v>
      </c>
      <c r="O2658" s="2">
        <v>0</v>
      </c>
      <c r="P2658" s="2">
        <v>0</v>
      </c>
      <c r="Q2658">
        <v>0</v>
      </c>
      <c r="R2658" s="2">
        <v>0</v>
      </c>
      <c r="S2658" s="2">
        <v>0</v>
      </c>
      <c r="T2658" t="s">
        <v>1350</v>
      </c>
      <c r="U2658" s="2">
        <v>0</v>
      </c>
      <c r="V2658" s="2">
        <v>20</v>
      </c>
      <c r="W2658" s="2">
        <v>11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</row>
    <row r="2659" spans="1:28" hidden="1" x14ac:dyDescent="0.25">
      <c r="A2659" t="s">
        <v>25</v>
      </c>
      <c r="B2659" t="s">
        <v>26</v>
      </c>
      <c r="C2659" t="s">
        <v>27</v>
      </c>
      <c r="D2659" s="1">
        <v>46034</v>
      </c>
      <c r="E2659" s="1">
        <v>46034</v>
      </c>
      <c r="F2659" s="2">
        <v>18</v>
      </c>
      <c r="G2659" s="3" t="s">
        <v>23</v>
      </c>
      <c r="H2659">
        <v>0</v>
      </c>
      <c r="I2659" s="2">
        <v>0</v>
      </c>
      <c r="J2659" s="2">
        <v>0</v>
      </c>
      <c r="K2659" s="2">
        <v>0</v>
      </c>
      <c r="L2659" s="2">
        <v>0</v>
      </c>
      <c r="M2659">
        <v>0</v>
      </c>
      <c r="N2659">
        <v>0</v>
      </c>
      <c r="O2659" s="2">
        <v>0</v>
      </c>
      <c r="P2659" s="2">
        <v>0</v>
      </c>
      <c r="Q2659">
        <v>0</v>
      </c>
      <c r="R2659" s="2">
        <v>0</v>
      </c>
      <c r="S2659" s="2">
        <v>0</v>
      </c>
      <c r="T2659" t="s">
        <v>1351</v>
      </c>
      <c r="U2659" s="2">
        <v>0</v>
      </c>
      <c r="V2659" s="2">
        <v>14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</row>
    <row r="2660" spans="1:28" hidden="1" x14ac:dyDescent="0.25">
      <c r="A2660" t="s">
        <v>63</v>
      </c>
      <c r="B2660" t="s">
        <v>284</v>
      </c>
      <c r="C2660" t="s">
        <v>102</v>
      </c>
      <c r="D2660" s="1">
        <v>46034</v>
      </c>
      <c r="E2660" s="1">
        <v>46034</v>
      </c>
      <c r="F2660" s="2">
        <v>24</v>
      </c>
      <c r="G2660" s="3" t="s">
        <v>23</v>
      </c>
      <c r="H2660">
        <f>1+1</f>
        <v>2</v>
      </c>
      <c r="I2660" s="2">
        <v>0</v>
      </c>
      <c r="J2660" s="2">
        <v>0</v>
      </c>
      <c r="K2660" s="2">
        <v>0</v>
      </c>
      <c r="L2660" s="2">
        <v>0</v>
      </c>
      <c r="M2660">
        <v>0</v>
      </c>
      <c r="N2660">
        <v>0</v>
      </c>
      <c r="O2660" s="2">
        <v>0</v>
      </c>
      <c r="P2660" s="2">
        <v>0</v>
      </c>
      <c r="Q2660">
        <v>0</v>
      </c>
      <c r="R2660" s="2">
        <v>0</v>
      </c>
      <c r="S2660" s="2">
        <v>0</v>
      </c>
      <c r="T2660" t="s">
        <v>1352</v>
      </c>
      <c r="U2660" s="2">
        <v>0</v>
      </c>
      <c r="V2660" s="2">
        <f>2+2+5+13+4+2</f>
        <v>28</v>
      </c>
      <c r="W2660" s="2">
        <v>12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</row>
    <row r="2661" spans="1:28" hidden="1" x14ac:dyDescent="0.25">
      <c r="A2661" t="s">
        <v>33</v>
      </c>
      <c r="B2661" t="s">
        <v>47</v>
      </c>
      <c r="C2661" t="s">
        <v>35</v>
      </c>
      <c r="D2661" s="1">
        <v>46034</v>
      </c>
      <c r="E2661" s="1">
        <v>46034</v>
      </c>
      <c r="F2661" s="2">
        <v>21</v>
      </c>
      <c r="G2661" s="3" t="s">
        <v>23</v>
      </c>
      <c r="H2661">
        <v>0</v>
      </c>
      <c r="I2661" s="2">
        <v>0</v>
      </c>
      <c r="J2661" s="2">
        <v>0</v>
      </c>
      <c r="K2661" s="2">
        <v>0</v>
      </c>
      <c r="L2661" s="2">
        <v>0</v>
      </c>
      <c r="M2661">
        <v>0</v>
      </c>
      <c r="N2661">
        <v>0</v>
      </c>
      <c r="O2661" s="2">
        <v>0</v>
      </c>
      <c r="P2661" s="2">
        <v>0</v>
      </c>
      <c r="Q2661">
        <v>1</v>
      </c>
      <c r="R2661" s="2">
        <v>0</v>
      </c>
      <c r="S2661" s="2">
        <v>0</v>
      </c>
      <c r="T2661" t="s">
        <v>1125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</row>
    <row r="2662" spans="1:28" hidden="1" x14ac:dyDescent="0.25">
      <c r="A2662" t="s">
        <v>47</v>
      </c>
      <c r="B2662" t="s">
        <v>57</v>
      </c>
      <c r="C2662" t="s">
        <v>35</v>
      </c>
      <c r="D2662" s="1">
        <v>46034</v>
      </c>
      <c r="E2662" s="1">
        <v>46034</v>
      </c>
      <c r="F2662" s="2">
        <v>21</v>
      </c>
      <c r="G2662" s="3" t="s">
        <v>129</v>
      </c>
      <c r="H2662">
        <v>0</v>
      </c>
      <c r="I2662" s="2">
        <v>0</v>
      </c>
      <c r="J2662" s="2">
        <v>0</v>
      </c>
      <c r="K2662" s="2">
        <v>0</v>
      </c>
      <c r="L2662" s="2">
        <v>0</v>
      </c>
      <c r="M2662">
        <v>0</v>
      </c>
      <c r="N2662">
        <v>0</v>
      </c>
      <c r="O2662" s="2">
        <v>0</v>
      </c>
      <c r="P2662" s="2">
        <v>0</v>
      </c>
      <c r="Q2662">
        <v>0</v>
      </c>
      <c r="R2662" s="2">
        <v>0</v>
      </c>
      <c r="S2662" s="2">
        <v>0</v>
      </c>
      <c r="T2662" t="s">
        <v>1125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</row>
    <row r="2663" spans="1:28" hidden="1" x14ac:dyDescent="0.25">
      <c r="A2663" t="s">
        <v>47</v>
      </c>
      <c r="B2663" t="s">
        <v>34</v>
      </c>
      <c r="C2663" t="s">
        <v>35</v>
      </c>
      <c r="D2663" s="1">
        <v>46034</v>
      </c>
      <c r="E2663" s="1">
        <v>46034</v>
      </c>
      <c r="F2663" s="2">
        <v>21</v>
      </c>
      <c r="G2663" s="3" t="s">
        <v>129</v>
      </c>
      <c r="H2663">
        <v>0</v>
      </c>
      <c r="I2663" s="2">
        <v>0</v>
      </c>
      <c r="J2663" s="2">
        <v>0</v>
      </c>
      <c r="K2663" s="2">
        <v>0</v>
      </c>
      <c r="L2663" s="2">
        <v>0</v>
      </c>
      <c r="M2663">
        <v>0</v>
      </c>
      <c r="N2663">
        <v>0</v>
      </c>
      <c r="O2663" s="2">
        <v>0</v>
      </c>
      <c r="P2663" s="2">
        <v>0</v>
      </c>
      <c r="Q2663">
        <v>0</v>
      </c>
      <c r="R2663" s="2">
        <v>0</v>
      </c>
      <c r="S2663" s="2">
        <v>0</v>
      </c>
      <c r="T2663" t="s">
        <v>1125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</row>
    <row r="2664" spans="1:28" hidden="1" x14ac:dyDescent="0.25">
      <c r="A2664" t="s">
        <v>29</v>
      </c>
      <c r="B2664" t="s">
        <v>30</v>
      </c>
      <c r="C2664" t="s">
        <v>31</v>
      </c>
      <c r="D2664" s="1">
        <v>46035</v>
      </c>
      <c r="E2664" s="1">
        <v>46035</v>
      </c>
      <c r="F2664" s="2">
        <v>24</v>
      </c>
      <c r="G2664" s="3" t="s">
        <v>23</v>
      </c>
      <c r="H2664">
        <f>7+3+7+3+10+3+3</f>
        <v>36</v>
      </c>
      <c r="I2664" s="2">
        <v>0</v>
      </c>
      <c r="J2664" s="2">
        <v>0</v>
      </c>
      <c r="K2664" s="2">
        <v>0</v>
      </c>
      <c r="L2664" s="2">
        <v>1</v>
      </c>
      <c r="M2664">
        <v>0</v>
      </c>
      <c r="N2664">
        <v>0</v>
      </c>
      <c r="O2664" s="2">
        <v>0</v>
      </c>
      <c r="P2664" s="2">
        <v>0</v>
      </c>
      <c r="Q2664">
        <v>0</v>
      </c>
      <c r="R2664" s="2">
        <v>0</v>
      </c>
      <c r="S2664" s="2">
        <v>0</v>
      </c>
      <c r="T2664" t="s">
        <v>1353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</row>
    <row r="2665" spans="1:28" hidden="1" x14ac:dyDescent="0.25">
      <c r="A2665" t="s">
        <v>37</v>
      </c>
      <c r="B2665" t="s">
        <v>47</v>
      </c>
      <c r="C2665" t="s">
        <v>39</v>
      </c>
      <c r="D2665" s="1">
        <v>46035</v>
      </c>
      <c r="E2665" s="1">
        <v>46035</v>
      </c>
      <c r="F2665" s="2">
        <v>20</v>
      </c>
      <c r="G2665" s="3" t="s">
        <v>23</v>
      </c>
      <c r="H2665">
        <v>22</v>
      </c>
      <c r="I2665" s="2">
        <v>0</v>
      </c>
      <c r="J2665" s="2">
        <v>0</v>
      </c>
      <c r="K2665" s="2">
        <v>0</v>
      </c>
      <c r="L2665" s="2">
        <v>1</v>
      </c>
      <c r="M2665">
        <v>0</v>
      </c>
      <c r="N2665">
        <v>0</v>
      </c>
      <c r="O2665" s="2">
        <v>0</v>
      </c>
      <c r="P2665" s="2">
        <v>0</v>
      </c>
      <c r="Q2665">
        <v>3</v>
      </c>
      <c r="R2665" s="2">
        <v>0</v>
      </c>
      <c r="S2665" s="2">
        <v>0</v>
      </c>
      <c r="T2665" t="s">
        <v>1354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</row>
    <row r="2666" spans="1:28" hidden="1" x14ac:dyDescent="0.25">
      <c r="A2666" t="s">
        <v>47</v>
      </c>
      <c r="B2666" t="s">
        <v>1323</v>
      </c>
      <c r="C2666" t="s">
        <v>39</v>
      </c>
      <c r="D2666" s="1">
        <v>46035</v>
      </c>
      <c r="E2666" s="1">
        <v>46035</v>
      </c>
      <c r="F2666" s="2">
        <v>20</v>
      </c>
      <c r="G2666" s="3" t="s">
        <v>23</v>
      </c>
      <c r="H2666">
        <v>22</v>
      </c>
      <c r="I2666" s="2">
        <v>0</v>
      </c>
      <c r="J2666" s="2">
        <v>0</v>
      </c>
      <c r="K2666" s="2">
        <v>0</v>
      </c>
      <c r="L2666" s="2">
        <v>1</v>
      </c>
      <c r="M2666">
        <v>0</v>
      </c>
      <c r="N2666">
        <v>0</v>
      </c>
      <c r="O2666" s="2">
        <v>0</v>
      </c>
      <c r="P2666" s="2">
        <v>0</v>
      </c>
      <c r="Q2666">
        <v>0</v>
      </c>
      <c r="R2666" s="2">
        <v>0</v>
      </c>
      <c r="S2666" s="2">
        <v>0</v>
      </c>
      <c r="T2666" t="s">
        <v>1354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</row>
    <row r="2667" spans="1:28" hidden="1" x14ac:dyDescent="0.25">
      <c r="A2667" t="s">
        <v>53</v>
      </c>
      <c r="B2667" t="s">
        <v>47</v>
      </c>
      <c r="C2667" t="s">
        <v>39</v>
      </c>
      <c r="D2667" s="1">
        <v>46035</v>
      </c>
      <c r="E2667" s="1">
        <v>46035</v>
      </c>
      <c r="F2667" s="2">
        <v>20</v>
      </c>
      <c r="G2667" s="3" t="s">
        <v>23</v>
      </c>
      <c r="H2667">
        <f>18+18</f>
        <v>36</v>
      </c>
      <c r="I2667" s="2">
        <v>0</v>
      </c>
      <c r="J2667" s="2">
        <v>0</v>
      </c>
      <c r="K2667" s="2">
        <v>1</v>
      </c>
      <c r="L2667" s="2">
        <v>0</v>
      </c>
      <c r="M2667">
        <v>0</v>
      </c>
      <c r="N2667">
        <v>0</v>
      </c>
      <c r="O2667" s="2">
        <v>0</v>
      </c>
      <c r="P2667" s="2">
        <v>0</v>
      </c>
      <c r="Q2667">
        <v>3</v>
      </c>
      <c r="R2667" s="2">
        <v>0</v>
      </c>
      <c r="S2667" s="2">
        <v>0</v>
      </c>
      <c r="T2667" t="s">
        <v>1354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</row>
    <row r="2668" spans="1:28" hidden="1" x14ac:dyDescent="0.25">
      <c r="A2668" t="s">
        <v>47</v>
      </c>
      <c r="B2668" t="s">
        <v>38</v>
      </c>
      <c r="C2668" t="s">
        <v>39</v>
      </c>
      <c r="D2668" s="1">
        <v>46035</v>
      </c>
      <c r="E2668" s="1">
        <v>46035</v>
      </c>
      <c r="F2668" s="2">
        <v>20</v>
      </c>
      <c r="G2668" s="3" t="s">
        <v>23</v>
      </c>
      <c r="H2668">
        <f>18+18</f>
        <v>36</v>
      </c>
      <c r="I2668" s="2">
        <v>0</v>
      </c>
      <c r="J2668" s="2">
        <v>0</v>
      </c>
      <c r="K2668" s="2">
        <v>1</v>
      </c>
      <c r="L2668" s="2">
        <v>0</v>
      </c>
      <c r="M2668">
        <v>0</v>
      </c>
      <c r="N2668">
        <v>0</v>
      </c>
      <c r="O2668" s="2">
        <v>0</v>
      </c>
      <c r="P2668" s="2">
        <v>0</v>
      </c>
      <c r="Q2668">
        <v>0</v>
      </c>
      <c r="R2668" s="2">
        <v>0</v>
      </c>
      <c r="S2668" s="2">
        <v>0</v>
      </c>
      <c r="T2668" t="s">
        <v>1354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</row>
    <row r="2669" spans="1:28" hidden="1" x14ac:dyDescent="0.25">
      <c r="A2669" t="s">
        <v>20</v>
      </c>
      <c r="B2669" t="s">
        <v>21</v>
      </c>
      <c r="C2669" t="s">
        <v>22</v>
      </c>
      <c r="D2669" s="1">
        <v>46035</v>
      </c>
      <c r="E2669" s="1">
        <v>46035</v>
      </c>
      <c r="F2669" s="2">
        <v>69</v>
      </c>
      <c r="G2669" s="3" t="s">
        <v>23</v>
      </c>
      <c r="H2669">
        <f>14+14+1+10+1+3</f>
        <v>43</v>
      </c>
      <c r="I2669" s="2">
        <v>0</v>
      </c>
      <c r="J2669" s="2">
        <v>0</v>
      </c>
      <c r="K2669" s="2">
        <v>1</v>
      </c>
      <c r="L2669" s="2">
        <v>0</v>
      </c>
      <c r="M2669">
        <v>0</v>
      </c>
      <c r="N2669">
        <v>0</v>
      </c>
      <c r="O2669" s="2">
        <v>0</v>
      </c>
      <c r="P2669" s="2">
        <v>0</v>
      </c>
      <c r="Q2669">
        <v>0</v>
      </c>
      <c r="R2669" s="2">
        <v>0</v>
      </c>
      <c r="S2669" s="2">
        <v>0</v>
      </c>
      <c r="T2669" t="s">
        <v>1355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</row>
    <row r="2670" spans="1:28" hidden="1" x14ac:dyDescent="0.25">
      <c r="A2670" t="s">
        <v>63</v>
      </c>
      <c r="B2670" t="s">
        <v>47</v>
      </c>
      <c r="C2670" t="s">
        <v>102</v>
      </c>
      <c r="D2670" s="1">
        <v>46035</v>
      </c>
      <c r="E2670" s="1">
        <v>46035</v>
      </c>
      <c r="F2670" s="2">
        <v>24</v>
      </c>
      <c r="G2670" s="3" t="s">
        <v>23</v>
      </c>
      <c r="H2670">
        <f>12+4+12+4+1+2+1+1+1+1+1</f>
        <v>40</v>
      </c>
      <c r="I2670" s="2">
        <v>0</v>
      </c>
      <c r="J2670" s="2">
        <v>0</v>
      </c>
      <c r="K2670" s="2">
        <v>1</v>
      </c>
      <c r="L2670" s="2">
        <v>0</v>
      </c>
      <c r="M2670">
        <v>0</v>
      </c>
      <c r="N2670">
        <v>0</v>
      </c>
      <c r="O2670" s="2">
        <v>0</v>
      </c>
      <c r="P2670" s="2">
        <v>0</v>
      </c>
      <c r="Q2670">
        <v>0</v>
      </c>
      <c r="R2670" s="2">
        <v>0</v>
      </c>
      <c r="S2670" s="2">
        <v>0</v>
      </c>
      <c r="T2670" t="s">
        <v>1356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</row>
    <row r="2671" spans="1:28" hidden="1" x14ac:dyDescent="0.25">
      <c r="A2671" t="s">
        <v>730</v>
      </c>
      <c r="B2671" t="s">
        <v>47</v>
      </c>
      <c r="C2671" t="s">
        <v>102</v>
      </c>
      <c r="D2671" s="1">
        <v>46035</v>
      </c>
      <c r="E2671" s="1">
        <v>46035</v>
      </c>
      <c r="F2671" s="2">
        <v>24</v>
      </c>
      <c r="G2671" s="3" t="s">
        <v>23</v>
      </c>
      <c r="H2671">
        <f>12+4+12+4+1+2+1+1+1+1+1</f>
        <v>40</v>
      </c>
      <c r="I2671" s="2">
        <v>0</v>
      </c>
      <c r="J2671" s="2">
        <v>0</v>
      </c>
      <c r="K2671" s="2">
        <v>1</v>
      </c>
      <c r="L2671" s="2">
        <v>0</v>
      </c>
      <c r="M2671">
        <v>0</v>
      </c>
      <c r="N2671">
        <v>0</v>
      </c>
      <c r="O2671" s="2">
        <v>0</v>
      </c>
      <c r="P2671" s="2">
        <v>0</v>
      </c>
      <c r="Q2671">
        <v>0</v>
      </c>
      <c r="R2671" s="2">
        <v>0</v>
      </c>
      <c r="S2671" s="2">
        <v>0</v>
      </c>
      <c r="T2671" t="s">
        <v>1356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</row>
    <row r="2672" spans="1:28" hidden="1" x14ac:dyDescent="0.25">
      <c r="A2672" t="s">
        <v>56</v>
      </c>
      <c r="B2672" t="s">
        <v>284</v>
      </c>
      <c r="C2672" t="s">
        <v>64</v>
      </c>
      <c r="D2672" s="1">
        <v>46035</v>
      </c>
      <c r="E2672" s="1">
        <v>46035</v>
      </c>
      <c r="F2672" s="2">
        <v>33</v>
      </c>
      <c r="G2672" s="3" t="s">
        <v>23</v>
      </c>
      <c r="H2672">
        <v>31</v>
      </c>
      <c r="I2672" s="2">
        <v>0</v>
      </c>
      <c r="J2672" s="2">
        <v>0</v>
      </c>
      <c r="K2672" s="2">
        <v>1</v>
      </c>
      <c r="L2672" s="2">
        <v>0</v>
      </c>
      <c r="M2672">
        <v>0</v>
      </c>
      <c r="N2672">
        <v>0</v>
      </c>
      <c r="O2672" s="2">
        <v>0</v>
      </c>
      <c r="P2672" s="2">
        <v>0</v>
      </c>
      <c r="Q2672">
        <v>0</v>
      </c>
      <c r="R2672" s="2">
        <v>0</v>
      </c>
      <c r="S2672" s="2">
        <v>0</v>
      </c>
      <c r="T2672" t="s">
        <v>1357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</row>
    <row r="2673" spans="1:28" hidden="1" x14ac:dyDescent="0.25">
      <c r="A2673" t="s">
        <v>33</v>
      </c>
      <c r="B2673" t="s">
        <v>47</v>
      </c>
      <c r="C2673" t="s">
        <v>35</v>
      </c>
      <c r="D2673" s="1">
        <v>46035</v>
      </c>
      <c r="E2673" s="1">
        <v>46035</v>
      </c>
      <c r="F2673" s="2">
        <v>21</v>
      </c>
      <c r="G2673" s="3" t="s">
        <v>48</v>
      </c>
      <c r="H2673">
        <v>0</v>
      </c>
      <c r="I2673" s="2">
        <v>0</v>
      </c>
      <c r="J2673" s="2">
        <v>0</v>
      </c>
      <c r="K2673" s="2">
        <v>0</v>
      </c>
      <c r="L2673" s="2">
        <v>0</v>
      </c>
      <c r="M2673">
        <v>0</v>
      </c>
      <c r="N2673">
        <v>0</v>
      </c>
      <c r="O2673" s="2">
        <v>0</v>
      </c>
      <c r="P2673" s="2">
        <v>0</v>
      </c>
      <c r="Q2673">
        <v>0</v>
      </c>
      <c r="R2673" s="2">
        <v>0</v>
      </c>
      <c r="S2673" s="2">
        <v>0</v>
      </c>
      <c r="T2673" t="s">
        <v>1125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</row>
    <row r="2674" spans="1:28" hidden="1" x14ac:dyDescent="0.25">
      <c r="A2674" t="s">
        <v>25</v>
      </c>
      <c r="B2674" t="s">
        <v>26</v>
      </c>
      <c r="C2674" t="s">
        <v>35</v>
      </c>
      <c r="D2674" s="1">
        <v>46035</v>
      </c>
      <c r="E2674" s="1">
        <v>46035</v>
      </c>
      <c r="F2674" s="2">
        <v>21</v>
      </c>
      <c r="G2674" s="3" t="s">
        <v>48</v>
      </c>
      <c r="H2674">
        <v>0</v>
      </c>
      <c r="I2674" s="2">
        <v>0</v>
      </c>
      <c r="J2674" s="2">
        <v>0</v>
      </c>
      <c r="K2674" s="2">
        <v>0</v>
      </c>
      <c r="L2674" s="2">
        <v>0</v>
      </c>
      <c r="M2674">
        <v>0</v>
      </c>
      <c r="N2674">
        <v>0</v>
      </c>
      <c r="O2674" s="2">
        <v>0</v>
      </c>
      <c r="P2674" s="2">
        <v>0</v>
      </c>
      <c r="Q2674">
        <v>0</v>
      </c>
      <c r="R2674" s="2">
        <v>0</v>
      </c>
      <c r="S2674" s="2">
        <v>0</v>
      </c>
      <c r="T2674" t="s">
        <v>1125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</row>
    <row r="2675" spans="1:28" hidden="1" x14ac:dyDescent="0.25">
      <c r="A2675" t="s">
        <v>568</v>
      </c>
      <c r="B2675" t="s">
        <v>1160</v>
      </c>
      <c r="C2675" t="s">
        <v>35</v>
      </c>
      <c r="D2675" s="1">
        <v>46035</v>
      </c>
      <c r="E2675" s="1">
        <v>46035</v>
      </c>
      <c r="F2675" s="2">
        <v>21</v>
      </c>
      <c r="G2675" s="3" t="s">
        <v>48</v>
      </c>
      <c r="H2675">
        <v>0</v>
      </c>
      <c r="I2675" s="2">
        <v>0</v>
      </c>
      <c r="J2675" s="2">
        <v>0</v>
      </c>
      <c r="K2675" s="2">
        <v>0</v>
      </c>
      <c r="L2675" s="2">
        <v>0</v>
      </c>
      <c r="M2675">
        <v>0</v>
      </c>
      <c r="N2675">
        <v>0</v>
      </c>
      <c r="O2675" s="2">
        <v>0</v>
      </c>
      <c r="P2675" s="2">
        <v>0</v>
      </c>
      <c r="Q2675">
        <v>0</v>
      </c>
      <c r="R2675" s="2">
        <v>0</v>
      </c>
      <c r="S2675" s="2">
        <v>0</v>
      </c>
      <c r="T2675" t="s">
        <v>1125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</row>
    <row r="2676" spans="1:28" hidden="1" x14ac:dyDescent="0.25">
      <c r="A2676" t="s">
        <v>47</v>
      </c>
      <c r="B2676" t="s">
        <v>57</v>
      </c>
      <c r="C2676" t="s">
        <v>35</v>
      </c>
      <c r="D2676" s="1">
        <v>46035</v>
      </c>
      <c r="E2676" s="1">
        <v>46035</v>
      </c>
      <c r="F2676" s="2">
        <v>21</v>
      </c>
      <c r="G2676" s="3" t="s">
        <v>129</v>
      </c>
      <c r="H2676">
        <v>0</v>
      </c>
      <c r="I2676" s="2">
        <v>0</v>
      </c>
      <c r="J2676" s="2">
        <v>0</v>
      </c>
      <c r="K2676" s="2">
        <v>0</v>
      </c>
      <c r="L2676" s="2">
        <v>0</v>
      </c>
      <c r="M2676">
        <v>0</v>
      </c>
      <c r="N2676">
        <v>0</v>
      </c>
      <c r="O2676" s="2">
        <v>0</v>
      </c>
      <c r="P2676" s="2">
        <v>0</v>
      </c>
      <c r="Q2676">
        <v>0</v>
      </c>
      <c r="R2676" s="2">
        <v>0</v>
      </c>
      <c r="S2676" s="2">
        <v>0</v>
      </c>
      <c r="T2676" t="s">
        <v>1125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</row>
    <row r="2677" spans="1:28" hidden="1" x14ac:dyDescent="0.25">
      <c r="A2677" t="s">
        <v>47</v>
      </c>
      <c r="B2677" t="s">
        <v>34</v>
      </c>
      <c r="C2677" t="s">
        <v>35</v>
      </c>
      <c r="D2677" s="1">
        <v>46035</v>
      </c>
      <c r="E2677" s="1">
        <v>46035</v>
      </c>
      <c r="F2677" s="2">
        <v>21</v>
      </c>
      <c r="G2677" s="3" t="s">
        <v>129</v>
      </c>
      <c r="H2677">
        <v>0</v>
      </c>
      <c r="I2677" s="2">
        <v>0</v>
      </c>
      <c r="J2677" s="2">
        <v>0</v>
      </c>
      <c r="K2677" s="2">
        <v>0</v>
      </c>
      <c r="L2677" s="2">
        <v>0</v>
      </c>
      <c r="M2677">
        <v>0</v>
      </c>
      <c r="N2677">
        <v>0</v>
      </c>
      <c r="O2677" s="2">
        <v>0</v>
      </c>
      <c r="P2677" s="2">
        <v>0</v>
      </c>
      <c r="Q2677">
        <v>0</v>
      </c>
      <c r="R2677" s="2">
        <v>0</v>
      </c>
      <c r="S2677" s="2">
        <v>0</v>
      </c>
      <c r="T2677" t="s">
        <v>1125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</row>
    <row r="2678" spans="1:28" hidden="1" x14ac:dyDescent="0.25">
      <c r="A2678" t="s">
        <v>25</v>
      </c>
      <c r="B2678" t="s">
        <v>26</v>
      </c>
      <c r="C2678" t="s">
        <v>27</v>
      </c>
      <c r="D2678" s="1">
        <v>46036</v>
      </c>
      <c r="E2678" s="1">
        <v>46036</v>
      </c>
      <c r="F2678" s="2">
        <v>24</v>
      </c>
      <c r="G2678" s="3" t="s">
        <v>23</v>
      </c>
      <c r="H2678">
        <v>38</v>
      </c>
      <c r="I2678" s="2">
        <v>0</v>
      </c>
      <c r="J2678" s="2">
        <v>0</v>
      </c>
      <c r="K2678" s="2">
        <v>1</v>
      </c>
      <c r="L2678" s="2">
        <v>0</v>
      </c>
      <c r="M2678">
        <v>0</v>
      </c>
      <c r="N2678">
        <v>0</v>
      </c>
      <c r="O2678" s="2">
        <v>0</v>
      </c>
      <c r="P2678" s="2">
        <v>0</v>
      </c>
      <c r="Q2678">
        <v>0</v>
      </c>
      <c r="R2678" s="2">
        <v>0</v>
      </c>
      <c r="S2678" s="2">
        <v>0</v>
      </c>
      <c r="T2678" t="s">
        <v>1358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</row>
    <row r="2679" spans="1:28" hidden="1" x14ac:dyDescent="0.25">
      <c r="A2679" t="s">
        <v>29</v>
      </c>
      <c r="B2679" t="s">
        <v>30</v>
      </c>
      <c r="C2679" t="s">
        <v>39</v>
      </c>
      <c r="D2679" s="1">
        <v>46036</v>
      </c>
      <c r="E2679" s="1">
        <v>46036</v>
      </c>
      <c r="F2679" s="2">
        <v>16</v>
      </c>
      <c r="G2679" s="3" t="s">
        <v>23</v>
      </c>
      <c r="H2679">
        <f>3+3+1+1+1+1+1+1+2</f>
        <v>14</v>
      </c>
      <c r="I2679" s="2">
        <v>0</v>
      </c>
      <c r="J2679" s="2">
        <v>0</v>
      </c>
      <c r="K2679" s="2">
        <v>1</v>
      </c>
      <c r="L2679" s="2">
        <v>0</v>
      </c>
      <c r="M2679">
        <v>0</v>
      </c>
      <c r="N2679">
        <v>0</v>
      </c>
      <c r="O2679" s="2">
        <v>0</v>
      </c>
      <c r="P2679" s="2">
        <v>0</v>
      </c>
      <c r="Q2679">
        <v>0</v>
      </c>
      <c r="R2679" s="2">
        <v>0</v>
      </c>
      <c r="S2679" s="2">
        <v>0</v>
      </c>
      <c r="T2679" t="s">
        <v>1359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</row>
    <row r="2680" spans="1:28" hidden="1" x14ac:dyDescent="0.25">
      <c r="A2680" t="s">
        <v>37</v>
      </c>
      <c r="B2680" t="s">
        <v>1323</v>
      </c>
      <c r="C2680" t="s">
        <v>39</v>
      </c>
      <c r="D2680" s="1">
        <v>46036</v>
      </c>
      <c r="E2680" s="1">
        <v>46036</v>
      </c>
      <c r="F2680" s="2">
        <v>16</v>
      </c>
      <c r="G2680" s="3" t="s">
        <v>23</v>
      </c>
      <c r="H2680">
        <v>26</v>
      </c>
      <c r="I2680" s="2">
        <v>0</v>
      </c>
      <c r="J2680" s="2">
        <v>0</v>
      </c>
      <c r="K2680" s="2">
        <v>1</v>
      </c>
      <c r="L2680" s="2">
        <v>0</v>
      </c>
      <c r="M2680">
        <v>0</v>
      </c>
      <c r="N2680">
        <v>0</v>
      </c>
      <c r="O2680" s="2">
        <v>0</v>
      </c>
      <c r="P2680" s="2">
        <v>0</v>
      </c>
      <c r="Q2680">
        <v>0</v>
      </c>
      <c r="R2680" s="2">
        <v>0</v>
      </c>
      <c r="S2680" s="2">
        <v>0</v>
      </c>
      <c r="T2680" t="s">
        <v>1359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</row>
    <row r="2681" spans="1:28" hidden="1" x14ac:dyDescent="0.25">
      <c r="A2681" t="s">
        <v>568</v>
      </c>
      <c r="B2681" t="s">
        <v>1160</v>
      </c>
      <c r="C2681" t="s">
        <v>670</v>
      </c>
      <c r="D2681" s="1">
        <v>46036</v>
      </c>
      <c r="E2681" s="1">
        <v>46036</v>
      </c>
      <c r="F2681" s="2">
        <v>128</v>
      </c>
      <c r="G2681" s="3" t="s">
        <v>23</v>
      </c>
      <c r="H2681">
        <v>42</v>
      </c>
      <c r="I2681" s="2">
        <v>0</v>
      </c>
      <c r="J2681" s="2">
        <v>0</v>
      </c>
      <c r="K2681" s="2">
        <v>1</v>
      </c>
      <c r="L2681" s="2">
        <v>0</v>
      </c>
      <c r="M2681">
        <v>0</v>
      </c>
      <c r="N2681">
        <v>0</v>
      </c>
      <c r="O2681" s="2">
        <v>0</v>
      </c>
      <c r="P2681" s="2">
        <v>0</v>
      </c>
      <c r="Q2681">
        <v>0</v>
      </c>
      <c r="R2681" s="2">
        <v>0</v>
      </c>
      <c r="S2681" s="2">
        <v>0</v>
      </c>
      <c r="T2681" t="s">
        <v>1360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</row>
    <row r="2682" spans="1:28" hidden="1" x14ac:dyDescent="0.25">
      <c r="A2682" t="s">
        <v>53</v>
      </c>
      <c r="B2682" t="s">
        <v>38</v>
      </c>
      <c r="C2682" t="s">
        <v>39</v>
      </c>
      <c r="D2682" s="1">
        <v>46036</v>
      </c>
      <c r="E2682" s="1">
        <v>46036</v>
      </c>
      <c r="F2682" s="2">
        <v>16</v>
      </c>
      <c r="G2682" s="3" t="s">
        <v>23</v>
      </c>
      <c r="H2682">
        <f>20+20</f>
        <v>40</v>
      </c>
      <c r="I2682" s="2">
        <v>0</v>
      </c>
      <c r="J2682" s="2">
        <v>0</v>
      </c>
      <c r="K2682" s="2">
        <v>1</v>
      </c>
      <c r="L2682" s="2">
        <v>0</v>
      </c>
      <c r="M2682">
        <v>0</v>
      </c>
      <c r="N2682">
        <v>0</v>
      </c>
      <c r="O2682" s="2">
        <v>0</v>
      </c>
      <c r="P2682" s="2">
        <v>0</v>
      </c>
      <c r="Q2682">
        <v>0</v>
      </c>
      <c r="R2682" s="2">
        <v>0</v>
      </c>
      <c r="S2682" s="2">
        <v>0</v>
      </c>
      <c r="T2682" t="s">
        <v>1359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</row>
    <row r="2683" spans="1:28" hidden="1" x14ac:dyDescent="0.25">
      <c r="A2683" t="s">
        <v>63</v>
      </c>
      <c r="B2683" t="s">
        <v>47</v>
      </c>
      <c r="C2683" t="s">
        <v>102</v>
      </c>
      <c r="D2683" s="1">
        <v>46036</v>
      </c>
      <c r="E2683" s="1">
        <v>46036</v>
      </c>
      <c r="F2683" s="2">
        <v>47</v>
      </c>
      <c r="G2683" s="3" t="s">
        <v>23</v>
      </c>
      <c r="H2683">
        <v>27</v>
      </c>
      <c r="I2683" s="2">
        <v>0</v>
      </c>
      <c r="J2683" s="2">
        <v>0</v>
      </c>
      <c r="K2683" s="2">
        <v>1</v>
      </c>
      <c r="L2683" s="2">
        <v>0</v>
      </c>
      <c r="M2683">
        <v>1</v>
      </c>
      <c r="N2683">
        <v>0</v>
      </c>
      <c r="O2683" s="2">
        <v>0</v>
      </c>
      <c r="P2683" s="2">
        <v>0</v>
      </c>
      <c r="Q2683">
        <v>0</v>
      </c>
      <c r="R2683" s="2">
        <v>0</v>
      </c>
      <c r="S2683" s="2">
        <v>0</v>
      </c>
      <c r="T2683" t="s">
        <v>1361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</row>
    <row r="2684" spans="1:28" hidden="1" x14ac:dyDescent="0.25">
      <c r="A2684" t="s">
        <v>33</v>
      </c>
      <c r="B2684" t="s">
        <v>47</v>
      </c>
      <c r="C2684" t="s">
        <v>102</v>
      </c>
      <c r="D2684" s="1">
        <v>46036</v>
      </c>
      <c r="E2684" s="1">
        <v>46036</v>
      </c>
      <c r="F2684" s="2">
        <v>47</v>
      </c>
      <c r="G2684" s="3" t="s">
        <v>23</v>
      </c>
      <c r="H2684">
        <v>27</v>
      </c>
      <c r="I2684" s="2">
        <v>0</v>
      </c>
      <c r="J2684" s="2">
        <v>0</v>
      </c>
      <c r="K2684" s="2">
        <v>1</v>
      </c>
      <c r="L2684" s="2">
        <v>0</v>
      </c>
      <c r="M2684">
        <v>1</v>
      </c>
      <c r="N2684">
        <v>0</v>
      </c>
      <c r="O2684" s="2">
        <v>0</v>
      </c>
      <c r="P2684" s="2">
        <v>0</v>
      </c>
      <c r="Q2684">
        <v>0</v>
      </c>
      <c r="R2684" s="2">
        <v>0</v>
      </c>
      <c r="S2684" s="2">
        <v>0</v>
      </c>
      <c r="T2684" t="s">
        <v>1361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</row>
    <row r="2685" spans="1:28" hidden="1" x14ac:dyDescent="0.25">
      <c r="A2685" t="s">
        <v>20</v>
      </c>
      <c r="B2685" t="s">
        <v>47</v>
      </c>
      <c r="C2685" t="s">
        <v>35</v>
      </c>
      <c r="D2685" s="1">
        <v>46036</v>
      </c>
      <c r="E2685" s="1">
        <v>46036</v>
      </c>
      <c r="F2685" s="2">
        <v>21</v>
      </c>
      <c r="G2685" s="3" t="s">
        <v>572</v>
      </c>
      <c r="H2685">
        <v>0</v>
      </c>
      <c r="I2685" s="2">
        <v>0</v>
      </c>
      <c r="J2685" s="2">
        <v>0</v>
      </c>
      <c r="K2685" s="2">
        <v>0</v>
      </c>
      <c r="L2685" s="2">
        <v>0</v>
      </c>
      <c r="M2685">
        <v>0</v>
      </c>
      <c r="N2685">
        <v>0</v>
      </c>
      <c r="O2685" s="2">
        <v>0</v>
      </c>
      <c r="P2685" s="2">
        <v>0</v>
      </c>
      <c r="Q2685">
        <v>0</v>
      </c>
      <c r="R2685" s="2">
        <v>0</v>
      </c>
      <c r="S2685" s="2">
        <v>0</v>
      </c>
      <c r="T2685" t="s">
        <v>1125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</row>
    <row r="2686" spans="1:28" hidden="1" x14ac:dyDescent="0.25">
      <c r="A2686" t="s">
        <v>56</v>
      </c>
      <c r="B2686" t="s">
        <v>284</v>
      </c>
      <c r="C2686" t="s">
        <v>35</v>
      </c>
      <c r="D2686" s="1">
        <v>46036</v>
      </c>
      <c r="E2686" s="1">
        <v>46036</v>
      </c>
      <c r="F2686" s="2">
        <v>21</v>
      </c>
      <c r="G2686" s="3" t="s">
        <v>48</v>
      </c>
      <c r="H2686">
        <v>0</v>
      </c>
      <c r="I2686" s="2">
        <v>0</v>
      </c>
      <c r="J2686" s="2">
        <v>0</v>
      </c>
      <c r="K2686" s="2">
        <v>0</v>
      </c>
      <c r="L2686" s="2">
        <v>0</v>
      </c>
      <c r="M2686">
        <v>0</v>
      </c>
      <c r="N2686">
        <v>0</v>
      </c>
      <c r="O2686" s="2">
        <v>0</v>
      </c>
      <c r="P2686" s="2">
        <v>0</v>
      </c>
      <c r="Q2686">
        <v>0</v>
      </c>
      <c r="R2686" s="2">
        <v>0</v>
      </c>
      <c r="S2686" s="2">
        <v>0</v>
      </c>
      <c r="T2686" t="s">
        <v>1125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</row>
    <row r="2687" spans="1:28" hidden="1" x14ac:dyDescent="0.25">
      <c r="A2687" t="s">
        <v>730</v>
      </c>
      <c r="B2687" t="s">
        <v>47</v>
      </c>
      <c r="C2687" t="s">
        <v>35</v>
      </c>
      <c r="D2687" s="1">
        <v>46036</v>
      </c>
      <c r="E2687" s="1">
        <v>46036</v>
      </c>
      <c r="F2687" s="2">
        <v>21</v>
      </c>
      <c r="G2687" s="3" t="s">
        <v>48</v>
      </c>
      <c r="H2687">
        <v>0</v>
      </c>
      <c r="I2687" s="2">
        <v>0</v>
      </c>
      <c r="J2687" s="2">
        <v>0</v>
      </c>
      <c r="K2687" s="2">
        <v>0</v>
      </c>
      <c r="L2687" s="2">
        <v>0</v>
      </c>
      <c r="M2687">
        <v>0</v>
      </c>
      <c r="N2687">
        <v>0</v>
      </c>
      <c r="O2687" s="2">
        <v>0</v>
      </c>
      <c r="P2687" s="2">
        <v>0</v>
      </c>
      <c r="Q2687">
        <v>0</v>
      </c>
      <c r="R2687" s="2">
        <v>0</v>
      </c>
      <c r="S2687" s="2">
        <v>0</v>
      </c>
      <c r="T2687" t="s">
        <v>1125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</row>
    <row r="2688" spans="1:28" hidden="1" x14ac:dyDescent="0.25">
      <c r="A2688" t="s">
        <v>47</v>
      </c>
      <c r="B2688" t="s">
        <v>21</v>
      </c>
      <c r="C2688" t="s">
        <v>35</v>
      </c>
      <c r="D2688" s="1">
        <v>46036</v>
      </c>
      <c r="E2688" s="1">
        <v>46036</v>
      </c>
      <c r="F2688" s="2">
        <v>21</v>
      </c>
      <c r="G2688" s="3" t="s">
        <v>48</v>
      </c>
      <c r="H2688">
        <v>0</v>
      </c>
      <c r="I2688" s="2">
        <v>0</v>
      </c>
      <c r="J2688" s="2">
        <v>0</v>
      </c>
      <c r="K2688" s="2">
        <v>0</v>
      </c>
      <c r="L2688" s="2">
        <v>0</v>
      </c>
      <c r="M2688">
        <v>0</v>
      </c>
      <c r="N2688">
        <v>0</v>
      </c>
      <c r="O2688" s="2">
        <v>0</v>
      </c>
      <c r="P2688" s="2">
        <v>0</v>
      </c>
      <c r="Q2688">
        <v>0</v>
      </c>
      <c r="R2688" s="2">
        <v>0</v>
      </c>
      <c r="S2688" s="2">
        <v>0</v>
      </c>
      <c r="T2688" t="s">
        <v>1125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</row>
    <row r="2689" spans="1:28" hidden="1" x14ac:dyDescent="0.25">
      <c r="A2689" t="s">
        <v>47</v>
      </c>
      <c r="B2689" t="s">
        <v>57</v>
      </c>
      <c r="C2689" t="s">
        <v>35</v>
      </c>
      <c r="D2689" s="1">
        <v>46036</v>
      </c>
      <c r="E2689" s="1">
        <v>46036</v>
      </c>
      <c r="F2689" s="2">
        <v>21</v>
      </c>
      <c r="G2689" s="3" t="s">
        <v>129</v>
      </c>
      <c r="H2689">
        <v>0</v>
      </c>
      <c r="I2689" s="2">
        <v>0</v>
      </c>
      <c r="J2689" s="2">
        <v>0</v>
      </c>
      <c r="K2689" s="2">
        <v>0</v>
      </c>
      <c r="L2689" s="2">
        <v>0</v>
      </c>
      <c r="M2689">
        <v>0</v>
      </c>
      <c r="N2689">
        <v>0</v>
      </c>
      <c r="O2689" s="2">
        <v>0</v>
      </c>
      <c r="P2689" s="2">
        <v>0</v>
      </c>
      <c r="Q2689">
        <v>0</v>
      </c>
      <c r="R2689" s="2">
        <v>0</v>
      </c>
      <c r="S2689" s="2">
        <v>0</v>
      </c>
      <c r="T2689" t="s">
        <v>1125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</row>
    <row r="2690" spans="1:28" hidden="1" x14ac:dyDescent="0.25">
      <c r="A2690" t="s">
        <v>47</v>
      </c>
      <c r="B2690" t="s">
        <v>34</v>
      </c>
      <c r="C2690" t="s">
        <v>35</v>
      </c>
      <c r="D2690" s="1">
        <v>46036</v>
      </c>
      <c r="E2690" s="1">
        <v>46036</v>
      </c>
      <c r="F2690" s="2">
        <v>21</v>
      </c>
      <c r="G2690" s="3" t="s">
        <v>129</v>
      </c>
      <c r="H2690">
        <v>0</v>
      </c>
      <c r="I2690" s="2">
        <v>0</v>
      </c>
      <c r="J2690" s="2">
        <v>0</v>
      </c>
      <c r="K2690" s="2">
        <v>0</v>
      </c>
      <c r="L2690" s="2">
        <v>0</v>
      </c>
      <c r="M2690">
        <v>0</v>
      </c>
      <c r="N2690">
        <v>0</v>
      </c>
      <c r="O2690" s="2">
        <v>0</v>
      </c>
      <c r="P2690" s="2">
        <v>0</v>
      </c>
      <c r="Q2690">
        <v>0</v>
      </c>
      <c r="R2690" s="2">
        <v>0</v>
      </c>
      <c r="S2690" s="2">
        <v>0</v>
      </c>
      <c r="T2690" t="s">
        <v>1125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</row>
    <row r="2691" spans="1:28" hidden="1" x14ac:dyDescent="0.25">
      <c r="A2691" t="s">
        <v>25</v>
      </c>
      <c r="B2691" t="s">
        <v>26</v>
      </c>
      <c r="C2691" t="s">
        <v>27</v>
      </c>
      <c r="D2691" s="1">
        <v>46037</v>
      </c>
      <c r="E2691" s="1">
        <v>46037</v>
      </c>
      <c r="F2691" s="2">
        <v>68</v>
      </c>
      <c r="G2691" s="3" t="s">
        <v>23</v>
      </c>
      <c r="H2691">
        <v>14</v>
      </c>
      <c r="I2691" s="2">
        <v>0</v>
      </c>
      <c r="J2691" s="2">
        <v>0</v>
      </c>
      <c r="K2691" s="2">
        <v>1</v>
      </c>
      <c r="L2691" s="2">
        <v>0</v>
      </c>
      <c r="M2691">
        <v>0</v>
      </c>
      <c r="N2691">
        <v>0</v>
      </c>
      <c r="O2691" s="2">
        <v>0</v>
      </c>
      <c r="P2691" s="2">
        <v>0</v>
      </c>
      <c r="Q2691">
        <v>0</v>
      </c>
      <c r="R2691" s="2">
        <v>0</v>
      </c>
      <c r="S2691" s="2">
        <v>0</v>
      </c>
      <c r="T2691" t="s">
        <v>1362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</row>
    <row r="2692" spans="1:28" hidden="1" x14ac:dyDescent="0.25">
      <c r="A2692" t="s">
        <v>29</v>
      </c>
      <c r="B2692" t="s">
        <v>30</v>
      </c>
      <c r="C2692" t="s">
        <v>39</v>
      </c>
      <c r="D2692" s="1">
        <v>46037</v>
      </c>
      <c r="E2692" s="1">
        <v>46037</v>
      </c>
      <c r="F2692" s="2">
        <v>18</v>
      </c>
      <c r="G2692" s="3" t="s">
        <v>23</v>
      </c>
      <c r="H2692">
        <f>4+4</f>
        <v>8</v>
      </c>
      <c r="I2692" s="2">
        <v>0</v>
      </c>
      <c r="J2692" s="2">
        <v>0</v>
      </c>
      <c r="K2692" s="2">
        <v>1</v>
      </c>
      <c r="L2692" s="2">
        <v>0</v>
      </c>
      <c r="M2692">
        <v>0</v>
      </c>
      <c r="N2692">
        <v>0</v>
      </c>
      <c r="O2692" s="2">
        <v>0</v>
      </c>
      <c r="P2692" s="2">
        <v>0</v>
      </c>
      <c r="Q2692">
        <v>0</v>
      </c>
      <c r="R2692" s="2">
        <v>0</v>
      </c>
      <c r="S2692" s="2">
        <v>0</v>
      </c>
      <c r="T2692" t="s">
        <v>1363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</row>
    <row r="2693" spans="1:28" hidden="1" x14ac:dyDescent="0.25">
      <c r="A2693" t="s">
        <v>37</v>
      </c>
      <c r="B2693" t="s">
        <v>284</v>
      </c>
      <c r="C2693" t="s">
        <v>39</v>
      </c>
      <c r="D2693" s="1">
        <v>46037</v>
      </c>
      <c r="E2693" s="1">
        <v>46037</v>
      </c>
      <c r="F2693" s="2">
        <v>21</v>
      </c>
      <c r="G2693" s="3" t="s">
        <v>23</v>
      </c>
      <c r="H2693">
        <v>32</v>
      </c>
      <c r="I2693" s="2">
        <v>0</v>
      </c>
      <c r="J2693" s="2">
        <v>0</v>
      </c>
      <c r="K2693" s="2">
        <v>1</v>
      </c>
      <c r="L2693" s="2">
        <v>0</v>
      </c>
      <c r="M2693">
        <v>0</v>
      </c>
      <c r="N2693">
        <v>0</v>
      </c>
      <c r="O2693" s="2">
        <v>0</v>
      </c>
      <c r="P2693" s="2">
        <v>0</v>
      </c>
      <c r="Q2693">
        <v>0</v>
      </c>
      <c r="R2693" s="2">
        <v>0</v>
      </c>
      <c r="S2693" s="2">
        <v>0</v>
      </c>
      <c r="T2693" t="s">
        <v>1364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</row>
    <row r="2694" spans="1:28" hidden="1" x14ac:dyDescent="0.25">
      <c r="A2694" t="s">
        <v>568</v>
      </c>
      <c r="B2694" t="s">
        <v>1160</v>
      </c>
      <c r="C2694" t="s">
        <v>670</v>
      </c>
      <c r="D2694" s="1">
        <v>46037</v>
      </c>
      <c r="E2694" s="1">
        <v>46037</v>
      </c>
      <c r="F2694" s="13">
        <v>6263</v>
      </c>
      <c r="G2694" s="3" t="s">
        <v>23</v>
      </c>
      <c r="H2694">
        <v>46</v>
      </c>
      <c r="I2694" s="2">
        <v>0</v>
      </c>
      <c r="J2694" s="2">
        <v>0</v>
      </c>
      <c r="K2694" s="2">
        <v>1</v>
      </c>
      <c r="L2694" s="2">
        <v>0</v>
      </c>
      <c r="M2694">
        <v>1</v>
      </c>
      <c r="N2694">
        <v>0</v>
      </c>
      <c r="O2694" s="2">
        <v>0</v>
      </c>
      <c r="P2694" s="2">
        <v>0</v>
      </c>
      <c r="Q2694">
        <v>0</v>
      </c>
      <c r="R2694" s="2">
        <v>0</v>
      </c>
      <c r="S2694" s="2">
        <v>0</v>
      </c>
      <c r="T2694" t="s">
        <v>1365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</row>
    <row r="2695" spans="1:28" hidden="1" x14ac:dyDescent="0.25">
      <c r="A2695" t="s">
        <v>20</v>
      </c>
      <c r="B2695" t="s">
        <v>21</v>
      </c>
      <c r="C2695" t="s">
        <v>22</v>
      </c>
      <c r="D2695" s="1">
        <v>46037</v>
      </c>
      <c r="E2695" s="1">
        <v>46037</v>
      </c>
      <c r="F2695" s="2">
        <v>25</v>
      </c>
      <c r="G2695" s="3" t="s">
        <v>23</v>
      </c>
      <c r="H2695">
        <v>40</v>
      </c>
      <c r="I2695" s="2">
        <v>0</v>
      </c>
      <c r="J2695" s="2">
        <v>0</v>
      </c>
      <c r="K2695" s="2">
        <v>1</v>
      </c>
      <c r="L2695" s="2">
        <v>0</v>
      </c>
      <c r="M2695">
        <v>0</v>
      </c>
      <c r="N2695">
        <v>0</v>
      </c>
      <c r="O2695" s="2">
        <v>0</v>
      </c>
      <c r="P2695" s="2">
        <v>0</v>
      </c>
      <c r="Q2695">
        <v>0</v>
      </c>
      <c r="R2695" s="2">
        <v>0</v>
      </c>
      <c r="S2695" s="2">
        <v>0</v>
      </c>
      <c r="T2695" t="s">
        <v>1366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</row>
    <row r="2696" spans="1:28" hidden="1" x14ac:dyDescent="0.25">
      <c r="A2696" t="s">
        <v>63</v>
      </c>
      <c r="B2696" t="s">
        <v>47</v>
      </c>
      <c r="C2696" t="s">
        <v>102</v>
      </c>
      <c r="D2696" s="1">
        <v>46037</v>
      </c>
      <c r="E2696" s="1">
        <v>46037</v>
      </c>
      <c r="F2696" s="2">
        <v>31</v>
      </c>
      <c r="G2696" s="3" t="s">
        <v>23</v>
      </c>
      <c r="H2696">
        <v>20</v>
      </c>
      <c r="I2696" s="2">
        <v>0</v>
      </c>
      <c r="J2696" s="2">
        <v>0</v>
      </c>
      <c r="K2696" s="2">
        <v>1</v>
      </c>
      <c r="L2696" s="2">
        <v>0</v>
      </c>
      <c r="M2696">
        <v>0</v>
      </c>
      <c r="N2696">
        <v>0</v>
      </c>
      <c r="O2696" s="2">
        <v>0</v>
      </c>
      <c r="P2696" s="2">
        <v>0</v>
      </c>
      <c r="Q2696">
        <v>0</v>
      </c>
      <c r="R2696" s="2">
        <v>0</v>
      </c>
      <c r="S2696" s="2">
        <v>0</v>
      </c>
      <c r="T2696" t="s">
        <v>1367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</row>
    <row r="2697" spans="1:28" hidden="1" x14ac:dyDescent="0.25">
      <c r="A2697" t="s">
        <v>33</v>
      </c>
      <c r="B2697" t="s">
        <v>47</v>
      </c>
      <c r="C2697" t="s">
        <v>102</v>
      </c>
      <c r="D2697" s="1">
        <v>46037</v>
      </c>
      <c r="E2697" s="1">
        <v>46037</v>
      </c>
      <c r="F2697" s="2">
        <v>31</v>
      </c>
      <c r="G2697" s="3" t="s">
        <v>23</v>
      </c>
      <c r="H2697">
        <v>20</v>
      </c>
      <c r="I2697" s="2">
        <v>0</v>
      </c>
      <c r="J2697" s="2">
        <v>0</v>
      </c>
      <c r="K2697" s="2">
        <v>1</v>
      </c>
      <c r="L2697" s="2">
        <v>0</v>
      </c>
      <c r="M2697">
        <v>0</v>
      </c>
      <c r="N2697">
        <v>0</v>
      </c>
      <c r="O2697" s="2">
        <v>0</v>
      </c>
      <c r="P2697" s="2">
        <v>0</v>
      </c>
      <c r="Q2697">
        <v>0</v>
      </c>
      <c r="R2697" s="2">
        <v>0</v>
      </c>
      <c r="S2697" s="2">
        <v>0</v>
      </c>
      <c r="T2697" t="s">
        <v>1367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</row>
    <row r="2698" spans="1:28" hidden="1" x14ac:dyDescent="0.25">
      <c r="A2698" t="s">
        <v>56</v>
      </c>
      <c r="B2698" t="s">
        <v>47</v>
      </c>
      <c r="C2698" t="s">
        <v>64</v>
      </c>
      <c r="D2698" s="1">
        <v>46037</v>
      </c>
      <c r="E2698" s="1">
        <v>46037</v>
      </c>
      <c r="F2698" s="2">
        <v>39</v>
      </c>
      <c r="G2698" s="3" t="s">
        <v>23</v>
      </c>
      <c r="H2698">
        <v>25</v>
      </c>
      <c r="I2698" s="2">
        <v>0</v>
      </c>
      <c r="J2698" s="2">
        <v>0</v>
      </c>
      <c r="K2698" s="2">
        <v>1</v>
      </c>
      <c r="L2698" s="2">
        <v>0</v>
      </c>
      <c r="M2698">
        <v>0</v>
      </c>
      <c r="N2698">
        <v>0</v>
      </c>
      <c r="O2698" s="2">
        <v>0</v>
      </c>
      <c r="P2698" s="2">
        <v>0</v>
      </c>
      <c r="Q2698">
        <v>0</v>
      </c>
      <c r="R2698" s="2">
        <v>0</v>
      </c>
      <c r="S2698" s="2">
        <v>0</v>
      </c>
      <c r="T2698" t="s">
        <v>1368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</row>
    <row r="2699" spans="1:28" hidden="1" x14ac:dyDescent="0.25">
      <c r="A2699" t="s">
        <v>730</v>
      </c>
      <c r="B2699" t="s">
        <v>47</v>
      </c>
      <c r="C2699" t="s">
        <v>64</v>
      </c>
      <c r="D2699" s="1">
        <v>46037</v>
      </c>
      <c r="E2699" s="1">
        <v>46037</v>
      </c>
      <c r="F2699" s="2">
        <v>39</v>
      </c>
      <c r="G2699" s="3" t="s">
        <v>23</v>
      </c>
      <c r="H2699">
        <v>25</v>
      </c>
      <c r="I2699" s="2">
        <v>0</v>
      </c>
      <c r="J2699" s="2">
        <v>0</v>
      </c>
      <c r="K2699" s="2">
        <v>1</v>
      </c>
      <c r="L2699" s="2">
        <v>0</v>
      </c>
      <c r="M2699">
        <v>0</v>
      </c>
      <c r="N2699">
        <v>0</v>
      </c>
      <c r="O2699" s="2">
        <v>0</v>
      </c>
      <c r="P2699" s="2">
        <v>0</v>
      </c>
      <c r="Q2699">
        <v>0</v>
      </c>
      <c r="R2699" s="2">
        <v>0</v>
      </c>
      <c r="S2699" s="2">
        <v>0</v>
      </c>
      <c r="T2699" t="s">
        <v>1368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</row>
    <row r="2700" spans="1:28" hidden="1" x14ac:dyDescent="0.25">
      <c r="A2700" t="s">
        <v>53</v>
      </c>
      <c r="B2700" t="s">
        <v>38</v>
      </c>
      <c r="C2700" t="s">
        <v>64</v>
      </c>
      <c r="D2700" s="1">
        <v>46037</v>
      </c>
      <c r="E2700" s="1">
        <v>46037</v>
      </c>
      <c r="F2700" s="2">
        <v>39</v>
      </c>
      <c r="G2700" s="3" t="s">
        <v>23</v>
      </c>
      <c r="H2700">
        <f>4+1+2</f>
        <v>7</v>
      </c>
      <c r="I2700" s="2">
        <v>0</v>
      </c>
      <c r="J2700" s="2">
        <v>0</v>
      </c>
      <c r="K2700" s="2">
        <v>0</v>
      </c>
      <c r="L2700" s="2">
        <v>0</v>
      </c>
      <c r="M2700">
        <v>0</v>
      </c>
      <c r="N2700">
        <v>0</v>
      </c>
      <c r="O2700" s="2">
        <v>0</v>
      </c>
      <c r="P2700" s="2">
        <v>0</v>
      </c>
      <c r="Q2700">
        <v>0</v>
      </c>
      <c r="R2700" s="2">
        <v>0</v>
      </c>
      <c r="S2700" s="2">
        <v>0</v>
      </c>
      <c r="T2700" t="s">
        <v>1368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</row>
    <row r="2701" spans="1:28" hidden="1" x14ac:dyDescent="0.25">
      <c r="A2701" t="s">
        <v>47</v>
      </c>
      <c r="B2701" t="s">
        <v>1323</v>
      </c>
      <c r="C2701" t="s">
        <v>35</v>
      </c>
      <c r="D2701" s="1">
        <v>46037</v>
      </c>
      <c r="E2701" s="1">
        <v>46037</v>
      </c>
      <c r="F2701" s="2">
        <v>21</v>
      </c>
      <c r="G2701" s="3" t="s">
        <v>48</v>
      </c>
      <c r="H2701">
        <v>0</v>
      </c>
      <c r="I2701" s="2">
        <v>0</v>
      </c>
      <c r="J2701" s="2">
        <v>0</v>
      </c>
      <c r="K2701" s="2">
        <v>0</v>
      </c>
      <c r="L2701" s="2">
        <v>0</v>
      </c>
      <c r="M2701">
        <v>0</v>
      </c>
      <c r="N2701">
        <v>0</v>
      </c>
      <c r="O2701" s="2">
        <v>0</v>
      </c>
      <c r="P2701" s="2">
        <v>0</v>
      </c>
      <c r="Q2701">
        <v>0</v>
      </c>
      <c r="R2701" s="2">
        <v>0</v>
      </c>
      <c r="S2701" s="2">
        <v>0</v>
      </c>
      <c r="T2701" t="s">
        <v>1125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</row>
    <row r="2702" spans="1:28" hidden="1" x14ac:dyDescent="0.25">
      <c r="A2702" t="s">
        <v>47</v>
      </c>
      <c r="B2702" t="s">
        <v>57</v>
      </c>
      <c r="C2702" t="s">
        <v>35</v>
      </c>
      <c r="D2702" s="1">
        <v>46037</v>
      </c>
      <c r="E2702" s="1">
        <v>46037</v>
      </c>
      <c r="F2702" s="2">
        <v>21</v>
      </c>
      <c r="G2702" s="3" t="s">
        <v>129</v>
      </c>
      <c r="H2702">
        <v>0</v>
      </c>
      <c r="I2702" s="2">
        <v>0</v>
      </c>
      <c r="J2702" s="2">
        <v>0</v>
      </c>
      <c r="K2702" s="2">
        <v>0</v>
      </c>
      <c r="L2702" s="2">
        <v>0</v>
      </c>
      <c r="M2702">
        <v>0</v>
      </c>
      <c r="N2702">
        <v>0</v>
      </c>
      <c r="O2702" s="2">
        <v>0</v>
      </c>
      <c r="P2702" s="2">
        <v>0</v>
      </c>
      <c r="Q2702">
        <v>0</v>
      </c>
      <c r="R2702" s="2">
        <v>0</v>
      </c>
      <c r="S2702" s="2">
        <v>0</v>
      </c>
      <c r="T2702" t="s">
        <v>1125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</row>
    <row r="2703" spans="1:28" hidden="1" x14ac:dyDescent="0.25">
      <c r="A2703" t="s">
        <v>47</v>
      </c>
      <c r="B2703" t="s">
        <v>34</v>
      </c>
      <c r="C2703" t="s">
        <v>35</v>
      </c>
      <c r="D2703" s="1">
        <v>46037</v>
      </c>
      <c r="E2703" s="1">
        <v>46037</v>
      </c>
      <c r="F2703" s="2">
        <v>21</v>
      </c>
      <c r="G2703" s="3" t="s">
        <v>129</v>
      </c>
      <c r="H2703">
        <v>0</v>
      </c>
      <c r="I2703" s="2">
        <v>0</v>
      </c>
      <c r="J2703" s="2">
        <v>0</v>
      </c>
      <c r="K2703" s="2">
        <v>0</v>
      </c>
      <c r="L2703" s="2">
        <v>0</v>
      </c>
      <c r="M2703">
        <v>0</v>
      </c>
      <c r="N2703">
        <v>0</v>
      </c>
      <c r="O2703" s="2">
        <v>0</v>
      </c>
      <c r="P2703" s="2">
        <v>0</v>
      </c>
      <c r="Q2703">
        <v>0</v>
      </c>
      <c r="R2703" s="2">
        <v>0</v>
      </c>
      <c r="S2703" s="2">
        <v>0</v>
      </c>
      <c r="T2703" t="s">
        <v>1125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</row>
    <row r="2704" spans="1:28" hidden="1" x14ac:dyDescent="0.25">
      <c r="A2704" t="s">
        <v>25</v>
      </c>
      <c r="B2704" t="s">
        <v>26</v>
      </c>
      <c r="C2704" t="s">
        <v>27</v>
      </c>
      <c r="D2704" s="1">
        <v>46038</v>
      </c>
      <c r="E2704" s="1">
        <v>46038</v>
      </c>
      <c r="F2704" s="2">
        <v>47</v>
      </c>
      <c r="G2704" s="3" t="s">
        <v>23</v>
      </c>
      <c r="H2704">
        <f>9+9+4</f>
        <v>22</v>
      </c>
      <c r="I2704" s="2">
        <v>0</v>
      </c>
      <c r="J2704" s="2">
        <v>0</v>
      </c>
      <c r="K2704" s="2">
        <v>1</v>
      </c>
      <c r="L2704" s="2">
        <v>0</v>
      </c>
      <c r="M2704">
        <v>0</v>
      </c>
      <c r="N2704">
        <v>0</v>
      </c>
      <c r="O2704" s="2">
        <v>0</v>
      </c>
      <c r="P2704" s="2">
        <v>0</v>
      </c>
      <c r="Q2704">
        <v>0</v>
      </c>
      <c r="R2704" s="2">
        <v>0</v>
      </c>
      <c r="S2704" s="2">
        <v>0</v>
      </c>
      <c r="T2704" t="s">
        <v>1369</v>
      </c>
      <c r="U2704" s="2">
        <v>0</v>
      </c>
      <c r="V2704" s="2">
        <f>10+4</f>
        <v>14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</row>
    <row r="2705" spans="1:28" hidden="1" x14ac:dyDescent="0.25">
      <c r="A2705" t="s">
        <v>730</v>
      </c>
      <c r="B2705" t="s">
        <v>38</v>
      </c>
      <c r="C2705" t="s">
        <v>1370</v>
      </c>
      <c r="D2705" s="1">
        <v>46038</v>
      </c>
      <c r="E2705" s="1">
        <v>46038</v>
      </c>
      <c r="F2705" s="2">
        <v>58</v>
      </c>
      <c r="G2705" s="3" t="s">
        <v>23</v>
      </c>
      <c r="H2705">
        <v>10</v>
      </c>
      <c r="I2705" s="2">
        <v>0</v>
      </c>
      <c r="J2705" s="2">
        <v>0</v>
      </c>
      <c r="K2705" s="2">
        <v>1</v>
      </c>
      <c r="L2705" s="2">
        <v>0</v>
      </c>
      <c r="M2705">
        <v>0</v>
      </c>
      <c r="N2705">
        <v>0</v>
      </c>
      <c r="O2705" s="2">
        <v>0</v>
      </c>
      <c r="P2705" s="2">
        <v>0</v>
      </c>
      <c r="Q2705">
        <v>0</v>
      </c>
      <c r="R2705" s="2">
        <v>0</v>
      </c>
      <c r="S2705" s="2">
        <v>0</v>
      </c>
      <c r="T2705" t="s">
        <v>1371</v>
      </c>
      <c r="U2705" s="2">
        <v>0</v>
      </c>
      <c r="V2705" s="2">
        <v>12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</row>
    <row r="2706" spans="1:28" hidden="1" x14ac:dyDescent="0.25">
      <c r="A2706" t="s">
        <v>37</v>
      </c>
      <c r="B2706" t="s">
        <v>1323</v>
      </c>
      <c r="C2706" t="s">
        <v>39</v>
      </c>
      <c r="D2706" s="1">
        <v>46038</v>
      </c>
      <c r="E2706" s="1">
        <v>46038</v>
      </c>
      <c r="F2706" s="2">
        <v>18</v>
      </c>
      <c r="G2706" s="3" t="s">
        <v>23</v>
      </c>
      <c r="H2706">
        <f>8+8+1+1</f>
        <v>18</v>
      </c>
      <c r="I2706" s="2">
        <v>0</v>
      </c>
      <c r="J2706" s="2">
        <v>0</v>
      </c>
      <c r="K2706" s="2">
        <v>1</v>
      </c>
      <c r="L2706" s="2">
        <v>0</v>
      </c>
      <c r="M2706">
        <v>0</v>
      </c>
      <c r="N2706">
        <v>0</v>
      </c>
      <c r="O2706" s="2">
        <v>0</v>
      </c>
      <c r="P2706" s="2">
        <v>0</v>
      </c>
      <c r="Q2706">
        <v>0</v>
      </c>
      <c r="R2706" s="2">
        <v>0</v>
      </c>
      <c r="S2706" s="2">
        <v>0</v>
      </c>
      <c r="T2706" t="s">
        <v>1372</v>
      </c>
      <c r="U2706" s="2">
        <v>0</v>
      </c>
      <c r="V2706" s="2">
        <f>10+4</f>
        <v>14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</row>
    <row r="2707" spans="1:28" hidden="1" x14ac:dyDescent="0.25">
      <c r="A2707" t="s">
        <v>568</v>
      </c>
      <c r="B2707" t="s">
        <v>1160</v>
      </c>
      <c r="C2707" t="s">
        <v>39</v>
      </c>
      <c r="D2707" s="1">
        <v>46038</v>
      </c>
      <c r="E2707" s="1">
        <v>46038</v>
      </c>
      <c r="F2707" s="2">
        <v>18</v>
      </c>
      <c r="G2707" s="3" t="s">
        <v>23</v>
      </c>
      <c r="H2707">
        <f>18+18+1+2+2</f>
        <v>41</v>
      </c>
      <c r="I2707" s="2">
        <v>0</v>
      </c>
      <c r="J2707" s="2">
        <v>0</v>
      </c>
      <c r="K2707" s="2">
        <v>1</v>
      </c>
      <c r="L2707" s="2">
        <v>0</v>
      </c>
      <c r="M2707">
        <v>0</v>
      </c>
      <c r="N2707">
        <v>0</v>
      </c>
      <c r="O2707" s="2">
        <v>0</v>
      </c>
      <c r="P2707" s="2">
        <v>0</v>
      </c>
      <c r="Q2707">
        <v>0</v>
      </c>
      <c r="R2707" s="2">
        <v>0</v>
      </c>
      <c r="S2707" s="2">
        <v>0</v>
      </c>
      <c r="T2707" t="s">
        <v>1372</v>
      </c>
      <c r="U2707" s="2">
        <v>0</v>
      </c>
      <c r="V2707" s="2">
        <v>13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</row>
    <row r="2708" spans="1:28" hidden="1" x14ac:dyDescent="0.25">
      <c r="A2708" t="s">
        <v>53</v>
      </c>
      <c r="B2708" t="s">
        <v>284</v>
      </c>
      <c r="C2708" t="s">
        <v>54</v>
      </c>
      <c r="D2708" s="1">
        <v>46038</v>
      </c>
      <c r="E2708" s="1">
        <v>46038</v>
      </c>
      <c r="F2708" s="2">
        <v>15</v>
      </c>
      <c r="G2708" s="3" t="s">
        <v>23</v>
      </c>
      <c r="H2708">
        <f>14+14+1+1</f>
        <v>30</v>
      </c>
      <c r="I2708" s="2">
        <v>0</v>
      </c>
      <c r="J2708" s="2">
        <v>0</v>
      </c>
      <c r="K2708" s="2">
        <v>1</v>
      </c>
      <c r="L2708" s="2">
        <v>0</v>
      </c>
      <c r="M2708">
        <v>0</v>
      </c>
      <c r="N2708">
        <v>0</v>
      </c>
      <c r="O2708" s="2">
        <v>0</v>
      </c>
      <c r="P2708" s="2">
        <v>0</v>
      </c>
      <c r="Q2708">
        <v>0</v>
      </c>
      <c r="R2708" s="2">
        <v>0</v>
      </c>
      <c r="S2708" s="2">
        <v>0</v>
      </c>
      <c r="T2708" t="s">
        <v>1373</v>
      </c>
      <c r="U2708" s="2">
        <v>0</v>
      </c>
      <c r="V2708" s="2">
        <v>13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</row>
    <row r="2709" spans="1:28" hidden="1" x14ac:dyDescent="0.25">
      <c r="A2709" t="s">
        <v>63</v>
      </c>
      <c r="B2709" t="s">
        <v>47</v>
      </c>
      <c r="C2709" t="s">
        <v>102</v>
      </c>
      <c r="D2709" s="1">
        <v>46038</v>
      </c>
      <c r="E2709" s="1">
        <v>46038</v>
      </c>
      <c r="F2709" s="2">
        <v>20</v>
      </c>
      <c r="G2709" s="3" t="s">
        <v>23</v>
      </c>
      <c r="H2709">
        <f>12+4+12+4+2+2+5</f>
        <v>41</v>
      </c>
      <c r="I2709" s="2">
        <v>0</v>
      </c>
      <c r="J2709" s="2">
        <v>0</v>
      </c>
      <c r="K2709" s="2">
        <v>1</v>
      </c>
      <c r="L2709" s="2">
        <v>0</v>
      </c>
      <c r="M2709">
        <v>0</v>
      </c>
      <c r="N2709">
        <v>0</v>
      </c>
      <c r="O2709" s="2">
        <v>0</v>
      </c>
      <c r="P2709" s="2">
        <v>0</v>
      </c>
      <c r="Q2709">
        <v>0</v>
      </c>
      <c r="R2709" s="2">
        <v>0</v>
      </c>
      <c r="S2709" s="2">
        <v>0</v>
      </c>
      <c r="T2709" t="s">
        <v>1374</v>
      </c>
      <c r="U2709" s="2">
        <v>0</v>
      </c>
      <c r="V2709" s="2">
        <f>2+5</f>
        <v>7</v>
      </c>
      <c r="W2709" s="2">
        <v>4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</row>
    <row r="2710" spans="1:28" hidden="1" x14ac:dyDescent="0.25">
      <c r="A2710" t="s">
        <v>33</v>
      </c>
      <c r="B2710" t="s">
        <v>47</v>
      </c>
      <c r="C2710" t="s">
        <v>102</v>
      </c>
      <c r="D2710" s="1">
        <v>46038</v>
      </c>
      <c r="E2710" s="1">
        <v>46038</v>
      </c>
      <c r="F2710" s="2">
        <v>20</v>
      </c>
      <c r="G2710" s="3" t="s">
        <v>23</v>
      </c>
      <c r="H2710">
        <f>12+4+12+4+2+2+5</f>
        <v>41</v>
      </c>
      <c r="I2710" s="2">
        <v>0</v>
      </c>
      <c r="J2710" s="2">
        <v>0</v>
      </c>
      <c r="K2710" s="2">
        <v>1</v>
      </c>
      <c r="L2710" s="2">
        <v>0</v>
      </c>
      <c r="M2710">
        <v>0</v>
      </c>
      <c r="N2710">
        <v>0</v>
      </c>
      <c r="O2710" s="2">
        <v>0</v>
      </c>
      <c r="P2710" s="2">
        <v>0</v>
      </c>
      <c r="Q2710">
        <v>0</v>
      </c>
      <c r="R2710" s="2">
        <v>0</v>
      </c>
      <c r="S2710" s="2">
        <v>0</v>
      </c>
      <c r="T2710" t="s">
        <v>1374</v>
      </c>
      <c r="U2710" s="2">
        <v>0</v>
      </c>
      <c r="V2710" s="2">
        <f>2+5</f>
        <v>7</v>
      </c>
      <c r="W2710" s="2">
        <v>4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</row>
    <row r="2711" spans="1:28" hidden="1" x14ac:dyDescent="0.25">
      <c r="A2711" t="s">
        <v>56</v>
      </c>
      <c r="B2711" t="s">
        <v>21</v>
      </c>
      <c r="C2711" t="s">
        <v>64</v>
      </c>
      <c r="D2711" s="1">
        <v>46038</v>
      </c>
      <c r="E2711" s="1">
        <v>46038</v>
      </c>
      <c r="F2711" s="2">
        <v>42</v>
      </c>
      <c r="G2711" s="3" t="s">
        <v>23</v>
      </c>
      <c r="H2711">
        <f>6+2+6+2+1+2</f>
        <v>19</v>
      </c>
      <c r="I2711" s="2">
        <v>0</v>
      </c>
      <c r="J2711" s="2">
        <v>0</v>
      </c>
      <c r="K2711" s="2">
        <v>1</v>
      </c>
      <c r="L2711" s="2">
        <v>0</v>
      </c>
      <c r="M2711">
        <v>0</v>
      </c>
      <c r="N2711">
        <v>0</v>
      </c>
      <c r="O2711" s="2">
        <v>0</v>
      </c>
      <c r="P2711" s="2">
        <v>0</v>
      </c>
      <c r="Q2711">
        <v>0</v>
      </c>
      <c r="R2711" s="2">
        <v>0</v>
      </c>
      <c r="S2711" s="2">
        <v>0</v>
      </c>
      <c r="T2711" t="s">
        <v>1375</v>
      </c>
      <c r="U2711" s="2">
        <v>0</v>
      </c>
      <c r="V2711" s="2">
        <v>10</v>
      </c>
      <c r="W2711" s="2">
        <v>3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</row>
    <row r="2712" spans="1:28" hidden="1" x14ac:dyDescent="0.25">
      <c r="A2712" t="s">
        <v>29</v>
      </c>
      <c r="B2712" t="s">
        <v>30</v>
      </c>
      <c r="C2712" t="s">
        <v>35</v>
      </c>
      <c r="D2712" s="1">
        <v>46038</v>
      </c>
      <c r="E2712" s="1">
        <v>46038</v>
      </c>
      <c r="F2712" s="2">
        <v>21</v>
      </c>
      <c r="G2712" s="3" t="s">
        <v>48</v>
      </c>
      <c r="H2712">
        <v>0</v>
      </c>
      <c r="I2712" s="2">
        <v>0</v>
      </c>
      <c r="J2712" s="2">
        <v>0</v>
      </c>
      <c r="K2712" s="2">
        <v>0</v>
      </c>
      <c r="L2712" s="2">
        <v>0</v>
      </c>
      <c r="M2712">
        <v>0</v>
      </c>
      <c r="N2712">
        <v>0</v>
      </c>
      <c r="O2712" s="2">
        <v>0</v>
      </c>
      <c r="P2712" s="2">
        <v>0</v>
      </c>
      <c r="Q2712">
        <v>0</v>
      </c>
      <c r="R2712" s="2">
        <v>0</v>
      </c>
      <c r="S2712" s="2">
        <v>0</v>
      </c>
      <c r="T2712" t="s">
        <v>1125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</row>
    <row r="2713" spans="1:28" hidden="1" x14ac:dyDescent="0.25">
      <c r="A2713" t="s">
        <v>20</v>
      </c>
      <c r="B2713" t="s">
        <v>47</v>
      </c>
      <c r="C2713" t="s">
        <v>35</v>
      </c>
      <c r="D2713" s="1">
        <v>46038</v>
      </c>
      <c r="E2713" s="1">
        <v>46038</v>
      </c>
      <c r="F2713" s="2">
        <v>21</v>
      </c>
      <c r="G2713" s="3" t="s">
        <v>48</v>
      </c>
      <c r="H2713">
        <v>0</v>
      </c>
      <c r="I2713" s="2">
        <v>0</v>
      </c>
      <c r="J2713" s="2">
        <v>0</v>
      </c>
      <c r="K2713" s="2">
        <v>0</v>
      </c>
      <c r="L2713" s="2">
        <v>0</v>
      </c>
      <c r="M2713">
        <v>0</v>
      </c>
      <c r="N2713">
        <v>0</v>
      </c>
      <c r="O2713" s="2">
        <v>0</v>
      </c>
      <c r="P2713" s="2">
        <v>0</v>
      </c>
      <c r="Q2713">
        <v>0</v>
      </c>
      <c r="R2713" s="2">
        <v>0</v>
      </c>
      <c r="S2713" s="2">
        <v>0</v>
      </c>
      <c r="T2713" t="s">
        <v>1125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</row>
    <row r="2714" spans="1:28" hidden="1" x14ac:dyDescent="0.25">
      <c r="A2714" t="s">
        <v>47</v>
      </c>
      <c r="B2714" t="s">
        <v>57</v>
      </c>
      <c r="C2714" t="s">
        <v>35</v>
      </c>
      <c r="D2714" s="1">
        <v>46038</v>
      </c>
      <c r="E2714" s="1">
        <v>46038</v>
      </c>
      <c r="F2714" s="2">
        <v>21</v>
      </c>
      <c r="G2714" s="3" t="s">
        <v>129</v>
      </c>
      <c r="H2714">
        <v>0</v>
      </c>
      <c r="I2714" s="2">
        <v>0</v>
      </c>
      <c r="J2714" s="2">
        <v>0</v>
      </c>
      <c r="K2714" s="2">
        <v>0</v>
      </c>
      <c r="L2714" s="2">
        <v>0</v>
      </c>
      <c r="M2714">
        <v>0</v>
      </c>
      <c r="N2714">
        <v>0</v>
      </c>
      <c r="O2714" s="2">
        <v>0</v>
      </c>
      <c r="P2714" s="2">
        <v>0</v>
      </c>
      <c r="Q2714">
        <v>0</v>
      </c>
      <c r="R2714" s="2">
        <v>0</v>
      </c>
      <c r="S2714" s="2">
        <v>0</v>
      </c>
      <c r="T2714" t="s">
        <v>1125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</row>
    <row r="2715" spans="1:28" hidden="1" x14ac:dyDescent="0.25">
      <c r="A2715" t="s">
        <v>47</v>
      </c>
      <c r="B2715" t="s">
        <v>34</v>
      </c>
      <c r="C2715" t="s">
        <v>35</v>
      </c>
      <c r="D2715" s="1">
        <v>46038</v>
      </c>
      <c r="E2715" s="1">
        <v>46038</v>
      </c>
      <c r="F2715" s="2">
        <v>21</v>
      </c>
      <c r="G2715" s="3" t="s">
        <v>129</v>
      </c>
      <c r="H2715">
        <v>0</v>
      </c>
      <c r="I2715" s="2">
        <v>0</v>
      </c>
      <c r="J2715" s="2">
        <v>0</v>
      </c>
      <c r="K2715" s="2">
        <v>0</v>
      </c>
      <c r="L2715" s="2">
        <v>0</v>
      </c>
      <c r="M2715">
        <v>0</v>
      </c>
      <c r="N2715">
        <v>0</v>
      </c>
      <c r="O2715" s="2">
        <v>0</v>
      </c>
      <c r="P2715" s="2">
        <v>0</v>
      </c>
      <c r="Q2715">
        <v>0</v>
      </c>
      <c r="R2715" s="2">
        <v>0</v>
      </c>
      <c r="S2715" s="2">
        <v>0</v>
      </c>
      <c r="T2715" t="s">
        <v>1125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</row>
    <row r="2716" spans="1:28" hidden="1" x14ac:dyDescent="0.25">
      <c r="A2716" t="s">
        <v>25</v>
      </c>
      <c r="B2716" t="s">
        <v>26</v>
      </c>
      <c r="C2716" t="s">
        <v>27</v>
      </c>
      <c r="D2716" s="9">
        <v>46039</v>
      </c>
      <c r="E2716" s="9">
        <v>46039</v>
      </c>
      <c r="F2716" s="2">
        <v>30</v>
      </c>
      <c r="G2716" s="3" t="s">
        <v>23</v>
      </c>
      <c r="H2716">
        <v>0</v>
      </c>
      <c r="I2716" s="2">
        <v>0</v>
      </c>
      <c r="J2716" s="2">
        <v>0</v>
      </c>
      <c r="K2716" s="2">
        <v>0</v>
      </c>
      <c r="L2716" s="2">
        <v>0</v>
      </c>
      <c r="M2716">
        <v>0</v>
      </c>
      <c r="N2716">
        <v>0</v>
      </c>
      <c r="O2716" s="2">
        <v>1</v>
      </c>
      <c r="P2716" s="2">
        <v>0</v>
      </c>
      <c r="Q2716">
        <v>1</v>
      </c>
      <c r="R2716" s="2">
        <v>1</v>
      </c>
      <c r="S2716" s="2">
        <v>0</v>
      </c>
      <c r="T2716" t="s">
        <v>1376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</row>
    <row r="2717" spans="1:28" hidden="1" x14ac:dyDescent="0.25">
      <c r="A2717" t="s">
        <v>29</v>
      </c>
      <c r="B2717" t="s">
        <v>30</v>
      </c>
      <c r="C2717" t="s">
        <v>31</v>
      </c>
      <c r="D2717" s="9">
        <v>46039</v>
      </c>
      <c r="E2717" s="9">
        <v>46039</v>
      </c>
      <c r="F2717" s="2">
        <v>20</v>
      </c>
      <c r="G2717" s="3" t="s">
        <v>23</v>
      </c>
      <c r="H2717">
        <v>0</v>
      </c>
      <c r="I2717" s="2">
        <v>0</v>
      </c>
      <c r="J2717" s="2">
        <v>0</v>
      </c>
      <c r="K2717" s="2">
        <v>0</v>
      </c>
      <c r="L2717" s="2">
        <v>0</v>
      </c>
      <c r="M2717">
        <v>0</v>
      </c>
      <c r="N2717">
        <v>0</v>
      </c>
      <c r="O2717" s="2">
        <v>1</v>
      </c>
      <c r="P2717" s="2">
        <v>0</v>
      </c>
      <c r="Q2717">
        <v>7</v>
      </c>
      <c r="R2717" s="2">
        <v>1</v>
      </c>
      <c r="S2717" s="2">
        <v>0</v>
      </c>
      <c r="T2717" t="s">
        <v>1377</v>
      </c>
      <c r="U2717" s="2">
        <f>5+6</f>
        <v>11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1</v>
      </c>
      <c r="AB2717" s="2">
        <v>0</v>
      </c>
    </row>
    <row r="2718" spans="1:28" ht="13.9" hidden="1" customHeight="1" x14ac:dyDescent="0.25">
      <c r="A2718" t="s">
        <v>37</v>
      </c>
      <c r="B2718" t="s">
        <v>1323</v>
      </c>
      <c r="C2718" t="s">
        <v>39</v>
      </c>
      <c r="D2718" s="9">
        <v>46039</v>
      </c>
      <c r="E2718" s="9">
        <v>46039</v>
      </c>
      <c r="F2718" s="2">
        <v>89</v>
      </c>
      <c r="G2718" s="3" t="s">
        <v>23</v>
      </c>
      <c r="H2718">
        <v>0</v>
      </c>
      <c r="I2718" s="2">
        <v>0</v>
      </c>
      <c r="J2718" s="2">
        <v>0</v>
      </c>
      <c r="K2718" s="2">
        <v>0</v>
      </c>
      <c r="L2718" s="2">
        <v>0</v>
      </c>
      <c r="M2718">
        <v>0</v>
      </c>
      <c r="N2718">
        <v>0</v>
      </c>
      <c r="O2718" s="2">
        <v>1</v>
      </c>
      <c r="P2718" s="2">
        <v>0</v>
      </c>
      <c r="Q2718">
        <v>1</v>
      </c>
      <c r="R2718" s="2">
        <v>1</v>
      </c>
      <c r="S2718" s="2">
        <v>0</v>
      </c>
      <c r="T2718" t="s">
        <v>1378</v>
      </c>
      <c r="U2718" s="2">
        <v>12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</row>
    <row r="2719" spans="1:28" hidden="1" x14ac:dyDescent="0.25">
      <c r="A2719" t="s">
        <v>568</v>
      </c>
      <c r="B2719" t="s">
        <v>1160</v>
      </c>
      <c r="C2719" t="s">
        <v>670</v>
      </c>
      <c r="D2719" s="9">
        <v>46039</v>
      </c>
      <c r="E2719" s="9">
        <v>46039</v>
      </c>
      <c r="F2719" s="2">
        <v>87</v>
      </c>
      <c r="G2719" s="3" t="s">
        <v>23</v>
      </c>
      <c r="H2719">
        <v>0</v>
      </c>
      <c r="I2719" s="2">
        <v>0</v>
      </c>
      <c r="J2719" s="2">
        <v>0</v>
      </c>
      <c r="K2719" s="2">
        <v>0</v>
      </c>
      <c r="L2719" s="2">
        <v>0</v>
      </c>
      <c r="M2719">
        <v>0</v>
      </c>
      <c r="N2719">
        <v>0</v>
      </c>
      <c r="O2719" s="2">
        <v>1</v>
      </c>
      <c r="P2719" s="2">
        <v>0</v>
      </c>
      <c r="Q2719">
        <v>1</v>
      </c>
      <c r="R2719" s="2">
        <v>1</v>
      </c>
      <c r="S2719" s="2">
        <v>0</v>
      </c>
      <c r="T2719" t="s">
        <v>1379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</row>
    <row r="2720" spans="1:28" hidden="1" x14ac:dyDescent="0.25">
      <c r="A2720" t="s">
        <v>193</v>
      </c>
      <c r="B2720" t="s">
        <v>563</v>
      </c>
      <c r="C2720" t="s">
        <v>670</v>
      </c>
      <c r="D2720" s="9">
        <v>46039</v>
      </c>
      <c r="E2720" s="9">
        <v>46039</v>
      </c>
      <c r="F2720" s="2">
        <v>87</v>
      </c>
      <c r="G2720" s="3" t="s">
        <v>23</v>
      </c>
      <c r="H2720">
        <v>0</v>
      </c>
      <c r="I2720" s="2">
        <v>0</v>
      </c>
      <c r="J2720" s="2">
        <v>0</v>
      </c>
      <c r="K2720" s="2">
        <v>0</v>
      </c>
      <c r="L2720" s="2">
        <v>0</v>
      </c>
      <c r="M2720">
        <v>0</v>
      </c>
      <c r="N2720">
        <v>0</v>
      </c>
      <c r="O2720" s="2">
        <v>1</v>
      </c>
      <c r="P2720" s="2">
        <v>0</v>
      </c>
      <c r="Q2720">
        <v>1</v>
      </c>
      <c r="R2720" s="2">
        <v>1</v>
      </c>
      <c r="S2720" s="2">
        <v>0</v>
      </c>
      <c r="T2720" t="s">
        <v>1379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</row>
    <row r="2721" spans="1:28" hidden="1" x14ac:dyDescent="0.25">
      <c r="A2721" t="s">
        <v>33</v>
      </c>
      <c r="B2721" t="s">
        <v>47</v>
      </c>
      <c r="C2721" t="s">
        <v>35</v>
      </c>
      <c r="D2721" s="9">
        <v>46039</v>
      </c>
      <c r="E2721" s="9">
        <v>46039</v>
      </c>
      <c r="F2721" s="2">
        <v>62</v>
      </c>
      <c r="G2721" s="3" t="s">
        <v>23</v>
      </c>
      <c r="H2721">
        <v>0</v>
      </c>
      <c r="I2721" s="2">
        <v>0</v>
      </c>
      <c r="J2721" s="2">
        <v>0</v>
      </c>
      <c r="K2721" s="2">
        <v>0</v>
      </c>
      <c r="L2721" s="2">
        <v>0</v>
      </c>
      <c r="M2721">
        <v>0</v>
      </c>
      <c r="N2721">
        <v>0</v>
      </c>
      <c r="O2721" s="2">
        <v>1</v>
      </c>
      <c r="P2721" s="2">
        <v>0</v>
      </c>
      <c r="Q2721">
        <v>1</v>
      </c>
      <c r="R2721" s="2">
        <v>1</v>
      </c>
      <c r="S2721" s="2">
        <v>0</v>
      </c>
      <c r="T2721" t="s">
        <v>1380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</row>
    <row r="2722" spans="1:28" hidden="1" x14ac:dyDescent="0.25">
      <c r="A2722" t="s">
        <v>730</v>
      </c>
      <c r="B2722" t="s">
        <v>47</v>
      </c>
      <c r="C2722" t="s">
        <v>35</v>
      </c>
      <c r="D2722" s="9">
        <v>46039</v>
      </c>
      <c r="E2722" s="9">
        <v>46039</v>
      </c>
      <c r="F2722" s="2">
        <v>62</v>
      </c>
      <c r="G2722" s="3" t="s">
        <v>23</v>
      </c>
      <c r="H2722">
        <v>0</v>
      </c>
      <c r="I2722" s="2">
        <v>0</v>
      </c>
      <c r="J2722" s="2">
        <v>0</v>
      </c>
      <c r="K2722" s="2">
        <v>0</v>
      </c>
      <c r="L2722" s="2">
        <v>0</v>
      </c>
      <c r="M2722">
        <v>0</v>
      </c>
      <c r="N2722">
        <v>0</v>
      </c>
      <c r="O2722" s="2">
        <v>1</v>
      </c>
      <c r="P2722" s="2">
        <v>0</v>
      </c>
      <c r="Q2722">
        <v>1</v>
      </c>
      <c r="R2722" s="2">
        <v>1</v>
      </c>
      <c r="S2722" s="2">
        <v>0</v>
      </c>
      <c r="T2722" t="s">
        <v>1380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</row>
    <row r="2723" spans="1:28" hidden="1" x14ac:dyDescent="0.25">
      <c r="A2723" t="s">
        <v>56</v>
      </c>
      <c r="B2723" t="s">
        <v>21</v>
      </c>
      <c r="C2723" t="s">
        <v>64</v>
      </c>
      <c r="D2723" s="9">
        <v>46039</v>
      </c>
      <c r="E2723" s="9">
        <v>46039</v>
      </c>
      <c r="F2723" s="2">
        <v>44</v>
      </c>
      <c r="G2723" s="3" t="s">
        <v>23</v>
      </c>
      <c r="H2723">
        <v>0</v>
      </c>
      <c r="I2723" s="2">
        <v>0</v>
      </c>
      <c r="J2723" s="2">
        <v>0</v>
      </c>
      <c r="K2723" s="2">
        <v>0</v>
      </c>
      <c r="L2723" s="2">
        <v>0</v>
      </c>
      <c r="M2723">
        <v>0</v>
      </c>
      <c r="N2723">
        <v>0</v>
      </c>
      <c r="O2723" s="2">
        <v>1</v>
      </c>
      <c r="P2723" s="2">
        <v>0</v>
      </c>
      <c r="Q2723">
        <v>1</v>
      </c>
      <c r="R2723" s="2">
        <v>1</v>
      </c>
      <c r="S2723" s="2">
        <v>0</v>
      </c>
      <c r="T2723" t="s">
        <v>1381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</row>
    <row r="2724" spans="1:28" hidden="1" x14ac:dyDescent="0.25">
      <c r="A2724" t="s">
        <v>53</v>
      </c>
      <c r="B2724" t="s">
        <v>38</v>
      </c>
      <c r="C2724" t="s">
        <v>35</v>
      </c>
      <c r="D2724" s="9">
        <v>46039</v>
      </c>
      <c r="E2724" s="9">
        <v>46039</v>
      </c>
      <c r="F2724" s="2">
        <v>21</v>
      </c>
      <c r="G2724" s="3" t="s">
        <v>378</v>
      </c>
      <c r="H2724">
        <v>0</v>
      </c>
      <c r="I2724" s="2">
        <v>0</v>
      </c>
      <c r="J2724" s="2">
        <v>0</v>
      </c>
      <c r="K2724" s="2">
        <v>0</v>
      </c>
      <c r="L2724" s="2">
        <v>0</v>
      </c>
      <c r="M2724">
        <v>0</v>
      </c>
      <c r="N2724">
        <v>0</v>
      </c>
      <c r="O2724" s="2">
        <v>0</v>
      </c>
      <c r="P2724" s="2">
        <v>0</v>
      </c>
      <c r="Q2724">
        <v>0</v>
      </c>
      <c r="R2724" s="2">
        <v>0</v>
      </c>
      <c r="S2724" s="2">
        <v>0</v>
      </c>
      <c r="T2724" t="s">
        <v>1125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</row>
    <row r="2725" spans="1:28" hidden="1" x14ac:dyDescent="0.25">
      <c r="A2725" t="s">
        <v>20</v>
      </c>
      <c r="B2725" t="s">
        <v>47</v>
      </c>
      <c r="C2725" t="s">
        <v>35</v>
      </c>
      <c r="D2725" s="9">
        <v>46039</v>
      </c>
      <c r="E2725" s="9">
        <v>46039</v>
      </c>
      <c r="F2725" s="2">
        <v>21</v>
      </c>
      <c r="G2725" s="3" t="s">
        <v>378</v>
      </c>
      <c r="H2725">
        <v>0</v>
      </c>
      <c r="I2725" s="2">
        <v>0</v>
      </c>
      <c r="J2725" s="2">
        <v>0</v>
      </c>
      <c r="K2725" s="2">
        <v>0</v>
      </c>
      <c r="L2725" s="2">
        <v>0</v>
      </c>
      <c r="M2725">
        <v>0</v>
      </c>
      <c r="N2725">
        <v>0</v>
      </c>
      <c r="O2725" s="2">
        <v>0</v>
      </c>
      <c r="P2725" s="2">
        <v>0</v>
      </c>
      <c r="Q2725">
        <v>0</v>
      </c>
      <c r="R2725" s="2">
        <v>0</v>
      </c>
      <c r="S2725" s="2">
        <v>0</v>
      </c>
      <c r="T2725" t="s">
        <v>1125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</row>
    <row r="2726" spans="1:28" hidden="1" x14ac:dyDescent="0.25">
      <c r="A2726" t="s">
        <v>63</v>
      </c>
      <c r="B2726" t="s">
        <v>284</v>
      </c>
      <c r="C2726" t="s">
        <v>35</v>
      </c>
      <c r="D2726" s="9">
        <v>46039</v>
      </c>
      <c r="E2726" s="9">
        <v>46039</v>
      </c>
      <c r="F2726" s="2">
        <v>21</v>
      </c>
      <c r="G2726" s="3" t="s">
        <v>378</v>
      </c>
      <c r="H2726">
        <v>0</v>
      </c>
      <c r="I2726" s="2">
        <v>0</v>
      </c>
      <c r="J2726" s="2">
        <v>0</v>
      </c>
      <c r="K2726" s="2">
        <v>0</v>
      </c>
      <c r="L2726" s="2">
        <v>0</v>
      </c>
      <c r="M2726">
        <v>0</v>
      </c>
      <c r="N2726">
        <v>0</v>
      </c>
      <c r="O2726" s="2">
        <v>0</v>
      </c>
      <c r="P2726" s="2">
        <v>0</v>
      </c>
      <c r="Q2726">
        <v>0</v>
      </c>
      <c r="R2726" s="2">
        <v>0</v>
      </c>
      <c r="S2726" s="2">
        <v>0</v>
      </c>
      <c r="T2726" t="s">
        <v>1125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</row>
    <row r="2727" spans="1:28" hidden="1" x14ac:dyDescent="0.25">
      <c r="A2727" t="s">
        <v>47</v>
      </c>
      <c r="B2727" t="s">
        <v>57</v>
      </c>
      <c r="C2727" t="s">
        <v>35</v>
      </c>
      <c r="D2727" s="9">
        <v>46039</v>
      </c>
      <c r="E2727" s="9">
        <v>46039</v>
      </c>
      <c r="F2727" s="2">
        <v>21</v>
      </c>
      <c r="G2727" s="3" t="s">
        <v>129</v>
      </c>
      <c r="H2727">
        <v>0</v>
      </c>
      <c r="I2727" s="2">
        <v>0</v>
      </c>
      <c r="J2727" s="2">
        <v>0</v>
      </c>
      <c r="K2727" s="2">
        <v>0</v>
      </c>
      <c r="L2727" s="2">
        <v>0</v>
      </c>
      <c r="M2727">
        <v>0</v>
      </c>
      <c r="N2727">
        <v>0</v>
      </c>
      <c r="O2727" s="2">
        <v>0</v>
      </c>
      <c r="P2727" s="2">
        <v>0</v>
      </c>
      <c r="Q2727">
        <v>0</v>
      </c>
      <c r="R2727" s="2">
        <v>0</v>
      </c>
      <c r="S2727" s="2">
        <v>0</v>
      </c>
      <c r="T2727" t="s">
        <v>1125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</row>
    <row r="2728" spans="1:28" hidden="1" x14ac:dyDescent="0.25">
      <c r="A2728" t="s">
        <v>47</v>
      </c>
      <c r="B2728" t="s">
        <v>34</v>
      </c>
      <c r="C2728" t="s">
        <v>35</v>
      </c>
      <c r="D2728" s="9">
        <v>46039</v>
      </c>
      <c r="E2728" s="9">
        <v>46039</v>
      </c>
      <c r="F2728" s="2">
        <v>21</v>
      </c>
      <c r="G2728" s="3" t="s">
        <v>129</v>
      </c>
      <c r="H2728">
        <v>0</v>
      </c>
      <c r="I2728" s="2">
        <v>0</v>
      </c>
      <c r="J2728" s="2">
        <v>0</v>
      </c>
      <c r="K2728" s="2">
        <v>0</v>
      </c>
      <c r="L2728" s="2">
        <v>0</v>
      </c>
      <c r="M2728">
        <v>0</v>
      </c>
      <c r="N2728">
        <v>0</v>
      </c>
      <c r="O2728" s="2">
        <v>0</v>
      </c>
      <c r="P2728" s="2">
        <v>0</v>
      </c>
      <c r="Q2728">
        <v>0</v>
      </c>
      <c r="R2728" s="2">
        <v>0</v>
      </c>
      <c r="S2728" s="2">
        <v>0</v>
      </c>
      <c r="T2728" t="s">
        <v>1125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</row>
    <row r="2729" spans="1:28" hidden="1" x14ac:dyDescent="0.25">
      <c r="A2729" t="s">
        <v>25</v>
      </c>
      <c r="B2729" t="s">
        <v>26</v>
      </c>
      <c r="C2729" t="s">
        <v>64</v>
      </c>
      <c r="D2729" s="9">
        <v>46040</v>
      </c>
      <c r="E2729" s="9">
        <v>46040</v>
      </c>
      <c r="F2729" s="2">
        <v>54</v>
      </c>
      <c r="G2729" s="3" t="s">
        <v>23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>
        <v>0</v>
      </c>
      <c r="N2729">
        <v>0</v>
      </c>
      <c r="O2729" s="2">
        <v>0</v>
      </c>
      <c r="P2729" s="2">
        <v>1</v>
      </c>
      <c r="Q2729">
        <f>2+2</f>
        <v>4</v>
      </c>
      <c r="R2729" s="2">
        <v>0</v>
      </c>
      <c r="S2729" s="2">
        <v>1</v>
      </c>
      <c r="T2729" t="s">
        <v>1382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</row>
    <row r="2730" spans="1:28" hidden="1" x14ac:dyDescent="0.25">
      <c r="A2730" t="s">
        <v>29</v>
      </c>
      <c r="B2730" t="s">
        <v>30</v>
      </c>
      <c r="C2730" t="s">
        <v>64</v>
      </c>
      <c r="D2730" s="9">
        <v>46040</v>
      </c>
      <c r="E2730" s="9">
        <v>46040</v>
      </c>
      <c r="F2730" s="2">
        <v>54</v>
      </c>
      <c r="G2730" s="3" t="s">
        <v>23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>
        <v>0</v>
      </c>
      <c r="N2730">
        <v>0</v>
      </c>
      <c r="O2730" s="2">
        <v>0</v>
      </c>
      <c r="P2730" s="2">
        <v>1</v>
      </c>
      <c r="Q2730">
        <v>6</v>
      </c>
      <c r="R2730" s="2">
        <v>0</v>
      </c>
      <c r="S2730" s="2">
        <v>1</v>
      </c>
      <c r="T2730" t="s">
        <v>1382</v>
      </c>
      <c r="U2730" s="2">
        <f>5+4</f>
        <v>9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</row>
    <row r="2731" spans="1:28" hidden="1" x14ac:dyDescent="0.25">
      <c r="A2731" t="s">
        <v>37</v>
      </c>
      <c r="B2731" t="s">
        <v>1323</v>
      </c>
      <c r="C2731" t="s">
        <v>64</v>
      </c>
      <c r="D2731" s="9">
        <v>46040</v>
      </c>
      <c r="E2731" s="9">
        <v>46040</v>
      </c>
      <c r="F2731" s="2">
        <v>54</v>
      </c>
      <c r="G2731" s="3" t="s">
        <v>23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>
        <v>0</v>
      </c>
      <c r="N2731">
        <v>0</v>
      </c>
      <c r="O2731" s="2">
        <v>0</v>
      </c>
      <c r="P2731" s="2">
        <v>1</v>
      </c>
      <c r="Q2731">
        <v>2</v>
      </c>
      <c r="R2731" s="2">
        <v>0</v>
      </c>
      <c r="S2731" s="2">
        <v>1</v>
      </c>
      <c r="T2731" t="s">
        <v>1382</v>
      </c>
      <c r="U2731" s="2">
        <v>16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</row>
    <row r="2732" spans="1:28" hidden="1" x14ac:dyDescent="0.25">
      <c r="A2732" t="s">
        <v>568</v>
      </c>
      <c r="B2732" t="s">
        <v>1160</v>
      </c>
      <c r="C2732" t="s">
        <v>670</v>
      </c>
      <c r="D2732" s="9">
        <v>46040</v>
      </c>
      <c r="E2732" s="9">
        <v>46040</v>
      </c>
      <c r="F2732" s="2">
        <v>49</v>
      </c>
      <c r="G2732" s="3" t="s">
        <v>23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>
        <v>0</v>
      </c>
      <c r="N2732">
        <v>0</v>
      </c>
      <c r="O2732" s="2">
        <v>0</v>
      </c>
      <c r="P2732" s="2">
        <v>1</v>
      </c>
      <c r="Q2732">
        <v>1</v>
      </c>
      <c r="R2732" s="2">
        <v>0</v>
      </c>
      <c r="S2732" s="2">
        <v>1</v>
      </c>
      <c r="T2732" t="s">
        <v>1383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</row>
    <row r="2733" spans="1:28" hidden="1" x14ac:dyDescent="0.25">
      <c r="A2733" t="s">
        <v>193</v>
      </c>
      <c r="B2733" t="s">
        <v>563</v>
      </c>
      <c r="C2733" t="s">
        <v>64</v>
      </c>
      <c r="D2733" s="9">
        <v>46040</v>
      </c>
      <c r="E2733" s="9">
        <v>46040</v>
      </c>
      <c r="F2733" s="2">
        <v>54</v>
      </c>
      <c r="G2733" s="3" t="s">
        <v>23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>
        <v>0</v>
      </c>
      <c r="N2733">
        <v>0</v>
      </c>
      <c r="O2733" s="2">
        <v>0</v>
      </c>
      <c r="P2733" s="2">
        <v>1</v>
      </c>
      <c r="Q2733">
        <v>1</v>
      </c>
      <c r="R2733" s="2">
        <v>0</v>
      </c>
      <c r="S2733" s="2">
        <v>1</v>
      </c>
      <c r="T2733" t="s">
        <v>1382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</row>
    <row r="2734" spans="1:28" hidden="1" x14ac:dyDescent="0.25">
      <c r="A2734" t="s">
        <v>33</v>
      </c>
      <c r="B2734" t="s">
        <v>47</v>
      </c>
      <c r="C2734" t="s">
        <v>35</v>
      </c>
      <c r="D2734" s="9">
        <v>46040</v>
      </c>
      <c r="E2734" s="9">
        <v>46040</v>
      </c>
      <c r="F2734" s="2">
        <v>96</v>
      </c>
      <c r="G2734" s="3" t="s">
        <v>23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>
        <v>0</v>
      </c>
      <c r="N2734">
        <v>0</v>
      </c>
      <c r="O2734" s="2">
        <v>0</v>
      </c>
      <c r="P2734" s="2">
        <v>1</v>
      </c>
      <c r="Q2734">
        <v>2</v>
      </c>
      <c r="R2734" s="2">
        <v>0</v>
      </c>
      <c r="S2734" s="2">
        <v>1</v>
      </c>
      <c r="T2734" t="s">
        <v>1384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</row>
    <row r="2735" spans="1:28" hidden="1" x14ac:dyDescent="0.25">
      <c r="A2735" t="s">
        <v>730</v>
      </c>
      <c r="B2735" t="s">
        <v>47</v>
      </c>
      <c r="C2735" t="s">
        <v>35</v>
      </c>
      <c r="D2735" s="9">
        <v>46040</v>
      </c>
      <c r="E2735" s="9">
        <v>46040</v>
      </c>
      <c r="F2735" s="2">
        <v>96</v>
      </c>
      <c r="G2735" s="3" t="s">
        <v>23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>
        <v>0</v>
      </c>
      <c r="N2735">
        <v>0</v>
      </c>
      <c r="O2735" s="2">
        <v>0</v>
      </c>
      <c r="P2735" s="2">
        <v>1</v>
      </c>
      <c r="Q2735">
        <v>2</v>
      </c>
      <c r="R2735" s="2">
        <v>0</v>
      </c>
      <c r="S2735" s="2">
        <v>1</v>
      </c>
      <c r="T2735" t="s">
        <v>1384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</row>
    <row r="2736" spans="1:28" hidden="1" x14ac:dyDescent="0.25">
      <c r="A2736" t="s">
        <v>56</v>
      </c>
      <c r="B2736" t="s">
        <v>21</v>
      </c>
      <c r="C2736" t="s">
        <v>64</v>
      </c>
      <c r="D2736" s="9">
        <v>46040</v>
      </c>
      <c r="E2736" s="9">
        <v>46040</v>
      </c>
      <c r="F2736" s="2">
        <v>54</v>
      </c>
      <c r="G2736" s="3" t="s">
        <v>23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>
        <v>0</v>
      </c>
      <c r="N2736">
        <v>0</v>
      </c>
      <c r="O2736" s="2">
        <v>0</v>
      </c>
      <c r="P2736" s="2">
        <v>1</v>
      </c>
      <c r="Q2736">
        <v>1</v>
      </c>
      <c r="R2736" s="2">
        <v>0</v>
      </c>
      <c r="S2736" s="2">
        <v>1</v>
      </c>
      <c r="T2736" t="s">
        <v>1382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</row>
    <row r="2737" spans="1:28" hidden="1" x14ac:dyDescent="0.25">
      <c r="A2737" t="s">
        <v>53</v>
      </c>
      <c r="B2737" t="s">
        <v>38</v>
      </c>
      <c r="C2737" t="s">
        <v>35</v>
      </c>
      <c r="D2737" s="9">
        <v>46040</v>
      </c>
      <c r="E2737" s="9">
        <v>46040</v>
      </c>
      <c r="F2737" s="2">
        <v>21</v>
      </c>
      <c r="G2737" s="3" t="s">
        <v>378</v>
      </c>
      <c r="H2737">
        <v>0</v>
      </c>
      <c r="I2737" s="2">
        <v>0</v>
      </c>
      <c r="J2737" s="2">
        <v>0</v>
      </c>
      <c r="K2737" s="2">
        <v>0</v>
      </c>
      <c r="L2737" s="2">
        <v>0</v>
      </c>
      <c r="M2737">
        <v>0</v>
      </c>
      <c r="N2737">
        <v>0</v>
      </c>
      <c r="O2737" s="2">
        <v>0</v>
      </c>
      <c r="P2737" s="2">
        <v>0</v>
      </c>
      <c r="Q2737">
        <v>0</v>
      </c>
      <c r="R2737" s="2">
        <v>0</v>
      </c>
      <c r="S2737" s="2">
        <v>0</v>
      </c>
      <c r="T2737" t="s">
        <v>1125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</row>
    <row r="2738" spans="1:28" hidden="1" x14ac:dyDescent="0.25">
      <c r="A2738" t="s">
        <v>20</v>
      </c>
      <c r="B2738" t="s">
        <v>47</v>
      </c>
      <c r="C2738" t="s">
        <v>35</v>
      </c>
      <c r="D2738" s="9">
        <v>46040</v>
      </c>
      <c r="E2738" s="9">
        <v>46040</v>
      </c>
      <c r="F2738" s="2">
        <v>21</v>
      </c>
      <c r="G2738" s="3" t="s">
        <v>378</v>
      </c>
      <c r="H2738">
        <v>0</v>
      </c>
      <c r="I2738" s="2">
        <v>0</v>
      </c>
      <c r="J2738" s="2">
        <v>0</v>
      </c>
      <c r="K2738" s="2">
        <v>0</v>
      </c>
      <c r="L2738" s="2">
        <v>0</v>
      </c>
      <c r="M2738">
        <v>0</v>
      </c>
      <c r="N2738">
        <v>0</v>
      </c>
      <c r="O2738" s="2">
        <v>0</v>
      </c>
      <c r="P2738" s="2">
        <v>0</v>
      </c>
      <c r="Q2738">
        <v>0</v>
      </c>
      <c r="R2738" s="2">
        <v>0</v>
      </c>
      <c r="S2738" s="2">
        <v>0</v>
      </c>
      <c r="T2738" t="s">
        <v>1125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</row>
    <row r="2739" spans="1:28" hidden="1" x14ac:dyDescent="0.25">
      <c r="A2739" t="s">
        <v>63</v>
      </c>
      <c r="B2739" t="s">
        <v>284</v>
      </c>
      <c r="C2739" t="s">
        <v>35</v>
      </c>
      <c r="D2739" s="9">
        <v>46040</v>
      </c>
      <c r="E2739" s="9">
        <v>46040</v>
      </c>
      <c r="F2739" s="2">
        <v>21</v>
      </c>
      <c r="G2739" s="3" t="s">
        <v>378</v>
      </c>
      <c r="H2739">
        <v>0</v>
      </c>
      <c r="I2739" s="2">
        <v>0</v>
      </c>
      <c r="J2739" s="2">
        <v>0</v>
      </c>
      <c r="K2739" s="2">
        <v>0</v>
      </c>
      <c r="L2739" s="2">
        <v>0</v>
      </c>
      <c r="M2739">
        <v>0</v>
      </c>
      <c r="N2739">
        <v>0</v>
      </c>
      <c r="O2739" s="2">
        <v>0</v>
      </c>
      <c r="P2739" s="2">
        <v>0</v>
      </c>
      <c r="Q2739">
        <v>0</v>
      </c>
      <c r="R2739" s="2">
        <v>0</v>
      </c>
      <c r="S2739" s="2">
        <v>0</v>
      </c>
      <c r="T2739" t="s">
        <v>1125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</row>
    <row r="2740" spans="1:28" hidden="1" x14ac:dyDescent="0.25">
      <c r="A2740" t="s">
        <v>47</v>
      </c>
      <c r="B2740" t="s">
        <v>57</v>
      </c>
      <c r="C2740" t="s">
        <v>35</v>
      </c>
      <c r="D2740" s="9">
        <v>46040</v>
      </c>
      <c r="E2740" s="9">
        <v>46040</v>
      </c>
      <c r="F2740" s="2">
        <v>21</v>
      </c>
      <c r="G2740" s="3" t="s">
        <v>129</v>
      </c>
      <c r="H2740">
        <v>0</v>
      </c>
      <c r="I2740" s="2">
        <v>0</v>
      </c>
      <c r="J2740" s="2">
        <v>0</v>
      </c>
      <c r="K2740" s="2">
        <v>0</v>
      </c>
      <c r="L2740" s="2">
        <v>0</v>
      </c>
      <c r="M2740">
        <v>0</v>
      </c>
      <c r="N2740">
        <v>0</v>
      </c>
      <c r="O2740" s="2">
        <v>0</v>
      </c>
      <c r="P2740" s="2">
        <v>0</v>
      </c>
      <c r="Q2740">
        <v>0</v>
      </c>
      <c r="R2740" s="2">
        <v>0</v>
      </c>
      <c r="S2740" s="2">
        <v>0</v>
      </c>
      <c r="T2740" t="s">
        <v>1125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</row>
    <row r="2741" spans="1:28" hidden="1" x14ac:dyDescent="0.25">
      <c r="A2741" t="s">
        <v>47</v>
      </c>
      <c r="B2741" t="s">
        <v>34</v>
      </c>
      <c r="C2741" t="s">
        <v>35</v>
      </c>
      <c r="D2741" s="9">
        <v>46040</v>
      </c>
      <c r="E2741" s="9">
        <v>46040</v>
      </c>
      <c r="F2741" s="2">
        <v>21</v>
      </c>
      <c r="G2741" s="3" t="s">
        <v>129</v>
      </c>
      <c r="H2741">
        <v>0</v>
      </c>
      <c r="I2741" s="2">
        <v>0</v>
      </c>
      <c r="J2741" s="2">
        <v>0</v>
      </c>
      <c r="K2741" s="2">
        <v>0</v>
      </c>
      <c r="L2741" s="2">
        <v>0</v>
      </c>
      <c r="M2741">
        <v>0</v>
      </c>
      <c r="N2741">
        <v>0</v>
      </c>
      <c r="O2741" s="2">
        <v>0</v>
      </c>
      <c r="P2741" s="2">
        <v>0</v>
      </c>
      <c r="Q2741">
        <v>0</v>
      </c>
      <c r="R2741" s="2">
        <v>0</v>
      </c>
      <c r="S2741" s="2">
        <v>0</v>
      </c>
      <c r="T2741" t="s">
        <v>1125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</row>
    <row r="2742" spans="1:28" hidden="1" x14ac:dyDescent="0.25">
      <c r="A2742" t="s">
        <v>25</v>
      </c>
      <c r="B2742" t="s">
        <v>1323</v>
      </c>
      <c r="C2742" t="s">
        <v>27</v>
      </c>
      <c r="D2742" s="1">
        <v>46041</v>
      </c>
      <c r="E2742" s="1">
        <v>46041</v>
      </c>
      <c r="F2742" s="2">
        <v>29</v>
      </c>
      <c r="G2742" s="3" t="s">
        <v>23</v>
      </c>
      <c r="H2742">
        <v>9</v>
      </c>
      <c r="I2742" s="2">
        <v>0</v>
      </c>
      <c r="J2742" s="2">
        <v>0</v>
      </c>
      <c r="K2742" s="2">
        <v>0</v>
      </c>
      <c r="L2742" s="2">
        <v>0</v>
      </c>
      <c r="M2742">
        <v>1</v>
      </c>
      <c r="N2742">
        <v>1</v>
      </c>
      <c r="O2742" s="2">
        <v>0</v>
      </c>
      <c r="P2742" s="2">
        <v>0</v>
      </c>
      <c r="Q2742">
        <v>0</v>
      </c>
      <c r="R2742" s="2">
        <v>0</v>
      </c>
      <c r="S2742" s="2">
        <v>0</v>
      </c>
      <c r="T2742" t="s">
        <v>1385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</row>
    <row r="2743" spans="1:28" hidden="1" x14ac:dyDescent="0.25">
      <c r="A2743" t="s">
        <v>56</v>
      </c>
      <c r="B2743" t="s">
        <v>21</v>
      </c>
      <c r="C2743" t="s">
        <v>64</v>
      </c>
      <c r="D2743" s="1">
        <v>46041</v>
      </c>
      <c r="E2743" s="1">
        <v>46041</v>
      </c>
      <c r="F2743" s="2">
        <v>23</v>
      </c>
      <c r="G2743" s="3" t="s">
        <v>23</v>
      </c>
      <c r="H2743">
        <v>4</v>
      </c>
      <c r="I2743" s="2">
        <v>0</v>
      </c>
      <c r="J2743" s="2">
        <v>0</v>
      </c>
      <c r="K2743" s="2">
        <v>0</v>
      </c>
      <c r="L2743" s="2">
        <v>0</v>
      </c>
      <c r="M2743">
        <v>0</v>
      </c>
      <c r="N2743">
        <v>0</v>
      </c>
      <c r="O2743" s="2">
        <v>0</v>
      </c>
      <c r="P2743" s="2">
        <v>0</v>
      </c>
      <c r="Q2743">
        <v>0</v>
      </c>
      <c r="R2743" s="2">
        <v>0</v>
      </c>
      <c r="S2743" s="2">
        <v>0</v>
      </c>
      <c r="T2743" t="s">
        <v>1386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</row>
    <row r="2744" spans="1:28" hidden="1" x14ac:dyDescent="0.25">
      <c r="A2744" t="s">
        <v>53</v>
      </c>
      <c r="B2744" t="s">
        <v>38</v>
      </c>
      <c r="C2744" t="s">
        <v>31</v>
      </c>
      <c r="D2744" s="1">
        <v>46041</v>
      </c>
      <c r="E2744" s="1">
        <v>46041</v>
      </c>
      <c r="F2744" s="2">
        <v>47</v>
      </c>
      <c r="G2744" s="3" t="s">
        <v>23</v>
      </c>
      <c r="H2744">
        <v>7</v>
      </c>
      <c r="I2744" s="2">
        <v>0</v>
      </c>
      <c r="J2744" s="2">
        <v>0</v>
      </c>
      <c r="K2744" s="2">
        <v>0</v>
      </c>
      <c r="L2744" s="2">
        <v>0</v>
      </c>
      <c r="M2744">
        <v>0</v>
      </c>
      <c r="N2744">
        <v>0</v>
      </c>
      <c r="O2744" s="2">
        <v>0</v>
      </c>
      <c r="P2744" s="2">
        <v>0</v>
      </c>
      <c r="Q2744">
        <v>0</v>
      </c>
      <c r="R2744" s="2">
        <v>0</v>
      </c>
      <c r="S2744" s="2">
        <v>0</v>
      </c>
      <c r="T2744" t="s">
        <v>1387</v>
      </c>
      <c r="U2744" s="2">
        <v>0</v>
      </c>
      <c r="V2744" s="2">
        <v>10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</row>
    <row r="2745" spans="1:28" hidden="1" x14ac:dyDescent="0.25">
      <c r="A2745" t="s">
        <v>568</v>
      </c>
      <c r="B2745" t="s">
        <v>1160</v>
      </c>
      <c r="C2745" t="s">
        <v>670</v>
      </c>
      <c r="D2745" s="1">
        <v>46041</v>
      </c>
      <c r="E2745" s="1">
        <v>46041</v>
      </c>
      <c r="F2745" s="2">
        <v>189</v>
      </c>
      <c r="G2745" s="3" t="s">
        <v>23</v>
      </c>
      <c r="H2745">
        <v>0</v>
      </c>
      <c r="I2745" s="2">
        <v>0</v>
      </c>
      <c r="J2745" s="2">
        <v>0</v>
      </c>
      <c r="K2745" s="2">
        <v>0</v>
      </c>
      <c r="L2745" s="2">
        <v>0</v>
      </c>
      <c r="M2745">
        <v>0</v>
      </c>
      <c r="N2745">
        <v>0</v>
      </c>
      <c r="O2745" s="2">
        <v>0</v>
      </c>
      <c r="P2745" s="2">
        <v>0</v>
      </c>
      <c r="Q2745">
        <v>0</v>
      </c>
      <c r="R2745" s="2">
        <v>0</v>
      </c>
      <c r="S2745" s="2">
        <v>0</v>
      </c>
      <c r="T2745" t="s">
        <v>1388</v>
      </c>
      <c r="U2745" s="2">
        <v>0</v>
      </c>
      <c r="V2745" s="2">
        <v>20</v>
      </c>
      <c r="W2745" s="2">
        <v>2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</row>
    <row r="2746" spans="1:28" hidden="1" x14ac:dyDescent="0.25">
      <c r="A2746" t="s">
        <v>37</v>
      </c>
      <c r="B2746" t="s">
        <v>26</v>
      </c>
      <c r="C2746" t="s">
        <v>39</v>
      </c>
      <c r="D2746" s="1">
        <v>46041</v>
      </c>
      <c r="E2746" s="1">
        <v>46041</v>
      </c>
      <c r="F2746" s="2">
        <v>15</v>
      </c>
      <c r="G2746" s="3" t="s">
        <v>23</v>
      </c>
      <c r="H2746">
        <v>0</v>
      </c>
      <c r="I2746" s="2">
        <v>0</v>
      </c>
      <c r="J2746" s="2">
        <v>0</v>
      </c>
      <c r="K2746" s="2">
        <v>0</v>
      </c>
      <c r="L2746" s="2">
        <v>0</v>
      </c>
      <c r="M2746">
        <v>0</v>
      </c>
      <c r="N2746">
        <v>0</v>
      </c>
      <c r="O2746" s="2">
        <v>0</v>
      </c>
      <c r="P2746" s="2">
        <v>0</v>
      </c>
      <c r="Q2746">
        <v>0</v>
      </c>
      <c r="R2746" s="2">
        <v>0</v>
      </c>
      <c r="S2746" s="2">
        <v>0</v>
      </c>
      <c r="T2746" t="s">
        <v>1389</v>
      </c>
      <c r="U2746" s="2">
        <v>0</v>
      </c>
      <c r="V2746" s="2">
        <v>21</v>
      </c>
      <c r="W2746" s="2">
        <v>1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</row>
    <row r="2747" spans="1:28" hidden="1" x14ac:dyDescent="0.25">
      <c r="A2747" t="s">
        <v>29</v>
      </c>
      <c r="B2747" t="s">
        <v>30</v>
      </c>
      <c r="C2747" t="s">
        <v>31</v>
      </c>
      <c r="D2747" s="1">
        <v>46041</v>
      </c>
      <c r="E2747" s="1">
        <v>46041</v>
      </c>
      <c r="F2747" s="2">
        <v>47</v>
      </c>
      <c r="G2747" s="3" t="s">
        <v>23</v>
      </c>
      <c r="H2747">
        <v>0</v>
      </c>
      <c r="I2747" s="2">
        <v>0</v>
      </c>
      <c r="J2747" s="2">
        <v>0</v>
      </c>
      <c r="K2747" s="2">
        <v>0</v>
      </c>
      <c r="L2747" s="2">
        <v>0</v>
      </c>
      <c r="M2747">
        <v>0</v>
      </c>
      <c r="N2747">
        <v>0</v>
      </c>
      <c r="O2747" s="2">
        <v>0</v>
      </c>
      <c r="P2747" s="2">
        <v>0</v>
      </c>
      <c r="Q2747">
        <v>0</v>
      </c>
      <c r="R2747" s="2">
        <v>0</v>
      </c>
      <c r="S2747" s="2">
        <v>0</v>
      </c>
      <c r="T2747" t="s">
        <v>1387</v>
      </c>
      <c r="U2747" s="2">
        <v>0</v>
      </c>
      <c r="V2747" s="2">
        <v>19</v>
      </c>
      <c r="W2747" s="2">
        <v>1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</row>
    <row r="2748" spans="1:28" hidden="1" x14ac:dyDescent="0.25">
      <c r="A2748" t="s">
        <v>33</v>
      </c>
      <c r="B2748" t="s">
        <v>47</v>
      </c>
      <c r="C2748" t="s">
        <v>35</v>
      </c>
      <c r="D2748" s="1">
        <v>46041</v>
      </c>
      <c r="E2748" s="1">
        <v>46041</v>
      </c>
      <c r="F2748" s="2">
        <v>48</v>
      </c>
      <c r="G2748" s="3" t="s">
        <v>23</v>
      </c>
      <c r="H2748">
        <v>0</v>
      </c>
      <c r="I2748" s="2">
        <v>0</v>
      </c>
      <c r="J2748" s="2">
        <v>0</v>
      </c>
      <c r="K2748" s="2">
        <v>0</v>
      </c>
      <c r="L2748" s="2">
        <v>0</v>
      </c>
      <c r="M2748">
        <v>0</v>
      </c>
      <c r="N2748">
        <v>0</v>
      </c>
      <c r="O2748" s="2">
        <v>0</v>
      </c>
      <c r="P2748" s="2">
        <v>0</v>
      </c>
      <c r="Q2748">
        <v>0</v>
      </c>
      <c r="R2748" s="2">
        <v>0</v>
      </c>
      <c r="S2748" s="2">
        <v>0</v>
      </c>
      <c r="T2748" t="s">
        <v>1390</v>
      </c>
      <c r="U2748" s="2">
        <v>0</v>
      </c>
      <c r="V2748" s="2">
        <v>14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</row>
    <row r="2749" spans="1:28" hidden="1" x14ac:dyDescent="0.25">
      <c r="A2749" t="s">
        <v>730</v>
      </c>
      <c r="B2749" t="s">
        <v>47</v>
      </c>
      <c r="C2749" t="s">
        <v>35</v>
      </c>
      <c r="D2749" s="1">
        <v>46041</v>
      </c>
      <c r="E2749" s="1">
        <v>46041</v>
      </c>
      <c r="F2749" s="2">
        <v>48</v>
      </c>
      <c r="G2749" s="3" t="s">
        <v>23</v>
      </c>
      <c r="H2749">
        <v>0</v>
      </c>
      <c r="I2749" s="2">
        <v>0</v>
      </c>
      <c r="J2749" s="2">
        <v>0</v>
      </c>
      <c r="K2749" s="2">
        <v>0</v>
      </c>
      <c r="L2749" s="2">
        <v>0</v>
      </c>
      <c r="M2749">
        <v>0</v>
      </c>
      <c r="N2749">
        <v>0</v>
      </c>
      <c r="O2749" s="2">
        <v>0</v>
      </c>
      <c r="P2749" s="2">
        <v>0</v>
      </c>
      <c r="Q2749">
        <v>0</v>
      </c>
      <c r="R2749" s="2">
        <v>0</v>
      </c>
      <c r="S2749" s="2">
        <v>0</v>
      </c>
      <c r="T2749" t="s">
        <v>1390</v>
      </c>
      <c r="U2749" s="2">
        <v>0</v>
      </c>
      <c r="V2749" s="2">
        <v>14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</row>
    <row r="2750" spans="1:28" hidden="1" x14ac:dyDescent="0.25">
      <c r="A2750" t="s">
        <v>63</v>
      </c>
      <c r="B2750" t="s">
        <v>284</v>
      </c>
      <c r="C2750" t="s">
        <v>35</v>
      </c>
      <c r="D2750" s="1">
        <v>46041</v>
      </c>
      <c r="E2750" s="1">
        <v>46041</v>
      </c>
      <c r="F2750" s="2">
        <v>21</v>
      </c>
      <c r="G2750" s="3" t="s">
        <v>48</v>
      </c>
      <c r="H2750">
        <v>0</v>
      </c>
      <c r="I2750" s="2">
        <v>0</v>
      </c>
      <c r="J2750" s="2">
        <v>0</v>
      </c>
      <c r="K2750" s="2">
        <v>0</v>
      </c>
      <c r="L2750" s="2">
        <v>0</v>
      </c>
      <c r="M2750">
        <v>0</v>
      </c>
      <c r="N2750">
        <v>0</v>
      </c>
      <c r="O2750" s="2">
        <v>0</v>
      </c>
      <c r="P2750" s="2">
        <v>0</v>
      </c>
      <c r="Q2750">
        <v>0</v>
      </c>
      <c r="R2750" s="2">
        <v>0</v>
      </c>
      <c r="S2750" s="2">
        <v>0</v>
      </c>
      <c r="T2750" t="s">
        <v>1125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</row>
    <row r="2751" spans="1:28" hidden="1" x14ac:dyDescent="0.25">
      <c r="A2751" t="s">
        <v>20</v>
      </c>
      <c r="B2751" t="s">
        <v>47</v>
      </c>
      <c r="C2751" t="s">
        <v>35</v>
      </c>
      <c r="D2751" s="1">
        <v>46041</v>
      </c>
      <c r="E2751" s="1">
        <v>46041</v>
      </c>
      <c r="F2751" s="2">
        <v>21</v>
      </c>
      <c r="G2751" s="3" t="s">
        <v>48</v>
      </c>
      <c r="H2751">
        <v>0</v>
      </c>
      <c r="I2751" s="2">
        <v>0</v>
      </c>
      <c r="J2751" s="2">
        <v>0</v>
      </c>
      <c r="K2751" s="2">
        <v>0</v>
      </c>
      <c r="L2751" s="2">
        <v>0</v>
      </c>
      <c r="M2751">
        <v>0</v>
      </c>
      <c r="N2751">
        <v>0</v>
      </c>
      <c r="O2751" s="2">
        <v>0</v>
      </c>
      <c r="P2751" s="2">
        <v>0</v>
      </c>
      <c r="Q2751">
        <v>0</v>
      </c>
      <c r="R2751" s="2">
        <v>0</v>
      </c>
      <c r="S2751" s="2">
        <v>0</v>
      </c>
      <c r="T2751" t="s">
        <v>1125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</row>
    <row r="2752" spans="1:28" hidden="1" x14ac:dyDescent="0.25">
      <c r="A2752" t="s">
        <v>47</v>
      </c>
      <c r="B2752" t="s">
        <v>57</v>
      </c>
      <c r="C2752" t="s">
        <v>35</v>
      </c>
      <c r="D2752" s="1">
        <v>46041</v>
      </c>
      <c r="E2752" s="1">
        <v>46041</v>
      </c>
      <c r="F2752" s="2">
        <v>21</v>
      </c>
      <c r="G2752" s="3" t="s">
        <v>129</v>
      </c>
      <c r="H2752">
        <v>0</v>
      </c>
      <c r="I2752" s="2">
        <v>0</v>
      </c>
      <c r="J2752" s="2">
        <v>0</v>
      </c>
      <c r="K2752" s="2">
        <v>0</v>
      </c>
      <c r="L2752" s="2">
        <v>0</v>
      </c>
      <c r="M2752">
        <v>0</v>
      </c>
      <c r="N2752">
        <v>0</v>
      </c>
      <c r="O2752" s="2">
        <v>0</v>
      </c>
      <c r="P2752" s="2">
        <v>0</v>
      </c>
      <c r="Q2752">
        <v>0</v>
      </c>
      <c r="R2752" s="2">
        <v>0</v>
      </c>
      <c r="S2752" s="2">
        <v>0</v>
      </c>
      <c r="T2752" t="s">
        <v>1125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</row>
    <row r="2753" spans="1:28" hidden="1" x14ac:dyDescent="0.25">
      <c r="A2753" t="s">
        <v>47</v>
      </c>
      <c r="B2753" t="s">
        <v>34</v>
      </c>
      <c r="C2753" t="s">
        <v>35</v>
      </c>
      <c r="D2753" s="1">
        <v>46041</v>
      </c>
      <c r="E2753" s="1">
        <v>46041</v>
      </c>
      <c r="F2753" s="2">
        <v>21</v>
      </c>
      <c r="G2753" s="3" t="s">
        <v>129</v>
      </c>
      <c r="H2753">
        <v>0</v>
      </c>
      <c r="I2753" s="2">
        <v>0</v>
      </c>
      <c r="J2753" s="2">
        <v>0</v>
      </c>
      <c r="K2753" s="2">
        <v>0</v>
      </c>
      <c r="L2753" s="2">
        <v>0</v>
      </c>
      <c r="M2753">
        <v>0</v>
      </c>
      <c r="N2753">
        <v>0</v>
      </c>
      <c r="O2753" s="2">
        <v>0</v>
      </c>
      <c r="P2753" s="2">
        <v>0</v>
      </c>
      <c r="Q2753">
        <v>0</v>
      </c>
      <c r="R2753" s="2">
        <v>0</v>
      </c>
      <c r="S2753" s="2">
        <v>0</v>
      </c>
      <c r="T2753" t="s">
        <v>1125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</row>
    <row r="2754" spans="1:28" hidden="1" x14ac:dyDescent="0.25">
      <c r="A2754" t="s">
        <v>53</v>
      </c>
      <c r="B2754" t="s">
        <v>38</v>
      </c>
      <c r="C2754" t="s">
        <v>64</v>
      </c>
      <c r="D2754" s="1">
        <v>46042</v>
      </c>
      <c r="E2754" s="1">
        <v>46042</v>
      </c>
      <c r="F2754" s="2">
        <v>27</v>
      </c>
      <c r="G2754" s="3" t="s">
        <v>23</v>
      </c>
      <c r="H2754">
        <v>36</v>
      </c>
      <c r="I2754" s="2">
        <v>0</v>
      </c>
      <c r="J2754" s="2">
        <v>0</v>
      </c>
      <c r="K2754" s="2">
        <v>0</v>
      </c>
      <c r="L2754" s="2">
        <v>1</v>
      </c>
      <c r="M2754">
        <v>0</v>
      </c>
      <c r="N2754">
        <v>0</v>
      </c>
      <c r="O2754" s="2">
        <v>0</v>
      </c>
      <c r="P2754" s="2">
        <v>0</v>
      </c>
      <c r="Q2754">
        <v>0</v>
      </c>
      <c r="R2754" s="2">
        <v>0</v>
      </c>
      <c r="S2754" s="2">
        <v>0</v>
      </c>
      <c r="T2754" t="s">
        <v>1391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</row>
    <row r="2755" spans="1:28" hidden="1" x14ac:dyDescent="0.25">
      <c r="A2755" t="s">
        <v>20</v>
      </c>
      <c r="B2755" t="s">
        <v>21</v>
      </c>
      <c r="C2755" t="s">
        <v>64</v>
      </c>
      <c r="D2755" s="1">
        <v>46042</v>
      </c>
      <c r="E2755" s="1">
        <v>46042</v>
      </c>
      <c r="F2755" s="2">
        <v>27</v>
      </c>
      <c r="G2755" s="3" t="s">
        <v>23</v>
      </c>
      <c r="H2755">
        <v>25</v>
      </c>
      <c r="I2755" s="2">
        <v>0</v>
      </c>
      <c r="J2755" s="2">
        <v>0</v>
      </c>
      <c r="K2755" s="2">
        <v>1</v>
      </c>
      <c r="L2755" s="2">
        <v>0</v>
      </c>
      <c r="M2755">
        <v>1</v>
      </c>
      <c r="N2755">
        <v>0</v>
      </c>
      <c r="O2755" s="2">
        <v>0</v>
      </c>
      <c r="P2755" s="2">
        <v>0</v>
      </c>
      <c r="Q2755">
        <v>0</v>
      </c>
      <c r="R2755" s="2">
        <v>0</v>
      </c>
      <c r="S2755" s="2">
        <v>0</v>
      </c>
      <c r="T2755" t="s">
        <v>1391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</row>
    <row r="2756" spans="1:28" hidden="1" x14ac:dyDescent="0.25">
      <c r="A2756" t="s">
        <v>56</v>
      </c>
      <c r="B2756" t="s">
        <v>47</v>
      </c>
      <c r="C2756" t="s">
        <v>64</v>
      </c>
      <c r="D2756" s="1">
        <v>46042</v>
      </c>
      <c r="E2756" s="1">
        <v>46042</v>
      </c>
      <c r="F2756" s="2">
        <v>27</v>
      </c>
      <c r="G2756" s="3" t="s">
        <v>23</v>
      </c>
      <c r="H2756">
        <v>36</v>
      </c>
      <c r="I2756" s="2">
        <v>0</v>
      </c>
      <c r="J2756" s="2">
        <v>0</v>
      </c>
      <c r="K2756" s="2">
        <v>1</v>
      </c>
      <c r="L2756" s="2">
        <v>0</v>
      </c>
      <c r="M2756">
        <v>0</v>
      </c>
      <c r="N2756">
        <v>0</v>
      </c>
      <c r="O2756" s="2">
        <v>0</v>
      </c>
      <c r="P2756" s="2">
        <v>0</v>
      </c>
      <c r="Q2756">
        <v>4</v>
      </c>
      <c r="R2756" s="2">
        <v>0</v>
      </c>
      <c r="S2756" s="2">
        <v>0</v>
      </c>
      <c r="T2756" t="s">
        <v>1391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</row>
    <row r="2757" spans="1:28" hidden="1" x14ac:dyDescent="0.25">
      <c r="A2757" t="s">
        <v>47</v>
      </c>
      <c r="B2757" t="s">
        <v>34</v>
      </c>
      <c r="C2757" t="s">
        <v>64</v>
      </c>
      <c r="D2757" s="1">
        <v>46042</v>
      </c>
      <c r="E2757" s="1">
        <v>46042</v>
      </c>
      <c r="F2757" s="2">
        <v>27</v>
      </c>
      <c r="G2757" s="3" t="s">
        <v>23</v>
      </c>
      <c r="H2757">
        <v>36</v>
      </c>
      <c r="I2757" s="2">
        <v>0</v>
      </c>
      <c r="J2757" s="2">
        <v>0</v>
      </c>
      <c r="K2757" s="2">
        <v>1</v>
      </c>
      <c r="L2757" s="2">
        <v>0</v>
      </c>
      <c r="M2757">
        <v>0</v>
      </c>
      <c r="N2757">
        <v>0</v>
      </c>
      <c r="O2757" s="2">
        <v>0</v>
      </c>
      <c r="P2757" s="2">
        <v>0</v>
      </c>
      <c r="Q2757">
        <v>0</v>
      </c>
      <c r="R2757" s="2">
        <v>0</v>
      </c>
      <c r="S2757" s="2">
        <v>0</v>
      </c>
      <c r="T2757" t="s">
        <v>1391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</row>
    <row r="2758" spans="1:28" hidden="1" x14ac:dyDescent="0.25">
      <c r="A2758" t="s">
        <v>25</v>
      </c>
      <c r="B2758" t="s">
        <v>26</v>
      </c>
      <c r="C2758" t="s">
        <v>27</v>
      </c>
      <c r="D2758" s="1">
        <v>46042</v>
      </c>
      <c r="E2758" s="1">
        <v>46042</v>
      </c>
      <c r="F2758" s="2">
        <v>35</v>
      </c>
      <c r="G2758" s="3" t="s">
        <v>23</v>
      </c>
      <c r="H2758">
        <v>28</v>
      </c>
      <c r="I2758" s="2">
        <v>0</v>
      </c>
      <c r="J2758" s="2">
        <v>0</v>
      </c>
      <c r="K2758" s="2">
        <v>1</v>
      </c>
      <c r="L2758" s="2">
        <v>0</v>
      </c>
      <c r="M2758">
        <v>0</v>
      </c>
      <c r="N2758">
        <v>0</v>
      </c>
      <c r="O2758" s="2">
        <v>0</v>
      </c>
      <c r="P2758" s="2">
        <v>0</v>
      </c>
      <c r="Q2758">
        <v>1</v>
      </c>
      <c r="R2758" s="2">
        <v>0</v>
      </c>
      <c r="S2758" s="2">
        <v>0</v>
      </c>
      <c r="T2758" t="s">
        <v>1392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</row>
    <row r="2759" spans="1:28" hidden="1" x14ac:dyDescent="0.25">
      <c r="A2759" t="s">
        <v>33</v>
      </c>
      <c r="B2759" t="s">
        <v>47</v>
      </c>
      <c r="C2759" t="s">
        <v>35</v>
      </c>
      <c r="D2759" s="1">
        <v>46042</v>
      </c>
      <c r="E2759" s="1">
        <v>46042</v>
      </c>
      <c r="F2759" s="2">
        <v>29</v>
      </c>
      <c r="G2759" s="3" t="s">
        <v>23</v>
      </c>
      <c r="H2759">
        <v>32</v>
      </c>
      <c r="I2759" s="2">
        <v>0</v>
      </c>
      <c r="J2759" s="2">
        <v>0</v>
      </c>
      <c r="K2759" s="2">
        <v>1</v>
      </c>
      <c r="L2759" s="2">
        <v>0</v>
      </c>
      <c r="M2759">
        <v>0</v>
      </c>
      <c r="N2759">
        <v>0</v>
      </c>
      <c r="O2759" s="2">
        <v>0</v>
      </c>
      <c r="P2759" s="2">
        <v>0</v>
      </c>
      <c r="Q2759">
        <v>4</v>
      </c>
      <c r="R2759" s="2">
        <v>0</v>
      </c>
      <c r="S2759" s="2">
        <v>0</v>
      </c>
      <c r="T2759" t="s">
        <v>1393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</row>
    <row r="2760" spans="1:28" hidden="1" x14ac:dyDescent="0.25">
      <c r="A2760" t="s">
        <v>33</v>
      </c>
      <c r="B2760" t="s">
        <v>47</v>
      </c>
      <c r="C2760" t="s">
        <v>35</v>
      </c>
      <c r="D2760" s="1">
        <v>46043</v>
      </c>
      <c r="E2760" s="1">
        <v>46043</v>
      </c>
      <c r="F2760" s="2">
        <v>29</v>
      </c>
      <c r="G2760" s="3" t="s">
        <v>23</v>
      </c>
      <c r="H2760">
        <v>0</v>
      </c>
      <c r="I2760" s="2">
        <v>0</v>
      </c>
      <c r="J2760" s="2">
        <v>0</v>
      </c>
      <c r="K2760" s="2">
        <v>0</v>
      </c>
      <c r="L2760" s="2">
        <v>0</v>
      </c>
      <c r="M2760">
        <v>0</v>
      </c>
      <c r="N2760">
        <v>0</v>
      </c>
      <c r="O2760" s="2">
        <v>0</v>
      </c>
      <c r="P2760" s="2">
        <v>0</v>
      </c>
      <c r="Q2760">
        <v>1</v>
      </c>
      <c r="R2760" s="2">
        <v>0</v>
      </c>
      <c r="S2760" s="2">
        <v>0</v>
      </c>
      <c r="T2760" t="s">
        <v>1393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</row>
    <row r="2761" spans="1:28" hidden="1" x14ac:dyDescent="0.25">
      <c r="A2761" t="s">
        <v>47</v>
      </c>
      <c r="B2761" t="s">
        <v>284</v>
      </c>
      <c r="C2761" t="s">
        <v>35</v>
      </c>
      <c r="D2761" s="1">
        <v>46042</v>
      </c>
      <c r="E2761" s="1">
        <v>46042</v>
      </c>
      <c r="F2761" s="2">
        <v>29</v>
      </c>
      <c r="G2761" s="3" t="s">
        <v>23</v>
      </c>
      <c r="H2761">
        <v>32</v>
      </c>
      <c r="I2761" s="2">
        <v>0</v>
      </c>
      <c r="J2761" s="2">
        <v>0</v>
      </c>
      <c r="K2761" s="2">
        <v>1</v>
      </c>
      <c r="L2761" s="2">
        <v>0</v>
      </c>
      <c r="M2761">
        <v>0</v>
      </c>
      <c r="N2761">
        <v>0</v>
      </c>
      <c r="O2761" s="2">
        <v>0</v>
      </c>
      <c r="P2761" s="2">
        <v>0</v>
      </c>
      <c r="Q2761">
        <v>0</v>
      </c>
      <c r="R2761" s="2">
        <v>0</v>
      </c>
      <c r="S2761" s="2">
        <v>0</v>
      </c>
      <c r="T2761" t="s">
        <v>1393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</row>
    <row r="2762" spans="1:28" hidden="1" x14ac:dyDescent="0.25">
      <c r="A2762" t="s">
        <v>29</v>
      </c>
      <c r="B2762" t="s">
        <v>30</v>
      </c>
      <c r="C2762" t="s">
        <v>31</v>
      </c>
      <c r="D2762" s="1">
        <v>46042</v>
      </c>
      <c r="E2762" s="1">
        <v>46042</v>
      </c>
      <c r="F2762" s="2">
        <v>15</v>
      </c>
      <c r="G2762" s="3" t="s">
        <v>23</v>
      </c>
      <c r="H2762">
        <v>24</v>
      </c>
      <c r="I2762" s="2">
        <v>0</v>
      </c>
      <c r="J2762" s="2">
        <v>0</v>
      </c>
      <c r="K2762" s="2">
        <v>1</v>
      </c>
      <c r="L2762" s="2">
        <v>0</v>
      </c>
      <c r="M2762">
        <v>0</v>
      </c>
      <c r="N2762">
        <v>0</v>
      </c>
      <c r="O2762" s="2">
        <v>0</v>
      </c>
      <c r="P2762" s="2">
        <v>0</v>
      </c>
      <c r="Q2762">
        <v>0</v>
      </c>
      <c r="R2762" s="2">
        <v>0</v>
      </c>
      <c r="S2762" s="2">
        <v>0</v>
      </c>
      <c r="T2762" t="s">
        <v>1394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</row>
    <row r="2763" spans="1:28" hidden="1" x14ac:dyDescent="0.25">
      <c r="A2763" t="s">
        <v>37</v>
      </c>
      <c r="B2763" t="s">
        <v>47</v>
      </c>
      <c r="C2763" t="s">
        <v>35</v>
      </c>
      <c r="D2763" s="1">
        <v>46042</v>
      </c>
      <c r="E2763" s="1">
        <v>46042</v>
      </c>
      <c r="F2763" s="2">
        <v>21</v>
      </c>
      <c r="G2763" s="3" t="s">
        <v>23</v>
      </c>
      <c r="H2763">
        <v>0</v>
      </c>
      <c r="I2763" s="2">
        <v>0</v>
      </c>
      <c r="J2763" s="2">
        <v>0</v>
      </c>
      <c r="K2763" s="2">
        <v>0</v>
      </c>
      <c r="L2763" s="2">
        <v>0</v>
      </c>
      <c r="M2763">
        <v>0</v>
      </c>
      <c r="N2763">
        <v>0</v>
      </c>
      <c r="O2763" s="2">
        <v>0</v>
      </c>
      <c r="P2763" s="2">
        <v>0</v>
      </c>
      <c r="Q2763">
        <v>1</v>
      </c>
      <c r="R2763" s="2">
        <v>0</v>
      </c>
      <c r="S2763" s="2">
        <v>0</v>
      </c>
      <c r="T2763" t="s">
        <v>1125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</row>
    <row r="2764" spans="1:28" hidden="1" x14ac:dyDescent="0.25">
      <c r="A2764" t="s">
        <v>63</v>
      </c>
      <c r="B2764" t="s">
        <v>47</v>
      </c>
      <c r="C2764" t="s">
        <v>35</v>
      </c>
      <c r="D2764" s="1">
        <v>46042</v>
      </c>
      <c r="E2764" s="1">
        <v>46042</v>
      </c>
      <c r="F2764" s="2">
        <v>21</v>
      </c>
      <c r="G2764" s="3" t="s">
        <v>48</v>
      </c>
      <c r="H2764">
        <v>0</v>
      </c>
      <c r="I2764" s="2">
        <v>0</v>
      </c>
      <c r="J2764" s="2">
        <v>0</v>
      </c>
      <c r="K2764" s="2">
        <v>0</v>
      </c>
      <c r="L2764" s="2">
        <v>0</v>
      </c>
      <c r="M2764">
        <v>0</v>
      </c>
      <c r="N2764">
        <v>0</v>
      </c>
      <c r="O2764" s="2">
        <v>0</v>
      </c>
      <c r="P2764" s="2">
        <v>0</v>
      </c>
      <c r="Q2764">
        <v>0</v>
      </c>
      <c r="R2764" s="2">
        <v>0</v>
      </c>
      <c r="S2764" s="2">
        <v>0</v>
      </c>
      <c r="T2764" t="s">
        <v>1125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</row>
    <row r="2765" spans="1:28" hidden="1" x14ac:dyDescent="0.25">
      <c r="A2765" t="s">
        <v>730</v>
      </c>
      <c r="B2765" t="s">
        <v>1160</v>
      </c>
      <c r="C2765" t="s">
        <v>35</v>
      </c>
      <c r="D2765" s="1">
        <v>46042</v>
      </c>
      <c r="E2765" s="1">
        <v>46042</v>
      </c>
      <c r="F2765" s="2">
        <v>21</v>
      </c>
      <c r="G2765" s="3" t="s">
        <v>572</v>
      </c>
      <c r="H2765">
        <v>0</v>
      </c>
      <c r="I2765" s="2">
        <v>0</v>
      </c>
      <c r="J2765" s="2">
        <v>0</v>
      </c>
      <c r="K2765" s="2">
        <v>0</v>
      </c>
      <c r="L2765" s="2">
        <v>0</v>
      </c>
      <c r="M2765">
        <v>0</v>
      </c>
      <c r="N2765">
        <v>0</v>
      </c>
      <c r="O2765" s="2">
        <v>0</v>
      </c>
      <c r="P2765" s="2">
        <v>0</v>
      </c>
      <c r="Q2765">
        <v>0</v>
      </c>
      <c r="R2765" s="2">
        <v>0</v>
      </c>
      <c r="S2765" s="2">
        <v>0</v>
      </c>
      <c r="T2765" t="s">
        <v>1125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</row>
    <row r="2766" spans="1:28" hidden="1" x14ac:dyDescent="0.25">
      <c r="A2766" t="s">
        <v>47</v>
      </c>
      <c r="B2766" t="s">
        <v>1323</v>
      </c>
      <c r="C2766" t="s">
        <v>35</v>
      </c>
      <c r="D2766" s="1">
        <v>46042</v>
      </c>
      <c r="E2766" s="1">
        <v>46042</v>
      </c>
      <c r="F2766" s="2">
        <v>21</v>
      </c>
      <c r="G2766" s="3" t="s">
        <v>572</v>
      </c>
      <c r="H2766">
        <v>0</v>
      </c>
      <c r="I2766" s="2">
        <v>0</v>
      </c>
      <c r="J2766" s="2">
        <v>0</v>
      </c>
      <c r="K2766" s="2">
        <v>0</v>
      </c>
      <c r="L2766" s="2">
        <v>0</v>
      </c>
      <c r="M2766">
        <v>0</v>
      </c>
      <c r="N2766">
        <v>0</v>
      </c>
      <c r="O2766" s="2">
        <v>0</v>
      </c>
      <c r="P2766" s="2">
        <v>0</v>
      </c>
      <c r="Q2766">
        <v>0</v>
      </c>
      <c r="R2766" s="2">
        <v>0</v>
      </c>
      <c r="S2766" s="2">
        <v>0</v>
      </c>
      <c r="T2766" t="s">
        <v>1125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</row>
    <row r="2767" spans="1:28" hidden="1" x14ac:dyDescent="0.25">
      <c r="A2767" t="s">
        <v>47</v>
      </c>
      <c r="B2767" t="s">
        <v>57</v>
      </c>
      <c r="C2767" t="s">
        <v>35</v>
      </c>
      <c r="D2767" s="1">
        <v>46042</v>
      </c>
      <c r="E2767" s="1">
        <v>46042</v>
      </c>
      <c r="F2767" s="2">
        <v>21</v>
      </c>
      <c r="G2767" s="3" t="s">
        <v>572</v>
      </c>
      <c r="H2767">
        <v>0</v>
      </c>
      <c r="I2767" s="2">
        <v>0</v>
      </c>
      <c r="J2767" s="2">
        <v>0</v>
      </c>
      <c r="K2767" s="2">
        <v>0</v>
      </c>
      <c r="L2767" s="2">
        <v>0</v>
      </c>
      <c r="M2767">
        <v>0</v>
      </c>
      <c r="N2767">
        <v>0</v>
      </c>
      <c r="O2767" s="2">
        <v>0</v>
      </c>
      <c r="P2767" s="2">
        <v>0</v>
      </c>
      <c r="Q2767">
        <v>0</v>
      </c>
      <c r="R2767" s="2">
        <v>0</v>
      </c>
      <c r="S2767" s="2">
        <v>0</v>
      </c>
      <c r="T2767" t="s">
        <v>1125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</row>
    <row r="2768" spans="1:28" hidden="1" x14ac:dyDescent="0.25">
      <c r="A2768" t="s">
        <v>37</v>
      </c>
      <c r="B2768" t="s">
        <v>57</v>
      </c>
      <c r="C2768" t="s">
        <v>39</v>
      </c>
      <c r="D2768" s="1">
        <v>46043</v>
      </c>
      <c r="E2768" s="1">
        <v>46043</v>
      </c>
      <c r="F2768" s="2">
        <v>17</v>
      </c>
      <c r="G2768" s="3" t="s">
        <v>23</v>
      </c>
      <c r="H2768">
        <v>33</v>
      </c>
      <c r="I2768" s="2">
        <v>0</v>
      </c>
      <c r="J2768" s="2">
        <v>0</v>
      </c>
      <c r="K2768" s="2">
        <v>1</v>
      </c>
      <c r="L2768" s="2">
        <v>0</v>
      </c>
      <c r="M2768">
        <v>1</v>
      </c>
      <c r="N2768">
        <v>0</v>
      </c>
      <c r="O2768" s="2">
        <v>0</v>
      </c>
      <c r="P2768" s="2">
        <v>0</v>
      </c>
      <c r="Q2768">
        <v>0</v>
      </c>
      <c r="R2768" s="2">
        <v>0</v>
      </c>
      <c r="S2768" s="2">
        <v>0</v>
      </c>
      <c r="T2768" t="s">
        <v>1395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</row>
    <row r="2769" spans="1:28" hidden="1" x14ac:dyDescent="0.25">
      <c r="A2769" t="s">
        <v>20</v>
      </c>
      <c r="B2769" t="s">
        <v>1323</v>
      </c>
      <c r="C2769" t="s">
        <v>22</v>
      </c>
      <c r="D2769" s="1">
        <v>46043</v>
      </c>
      <c r="E2769" s="1">
        <v>46043</v>
      </c>
      <c r="F2769" s="13">
        <v>5073</v>
      </c>
      <c r="G2769" s="3" t="s">
        <v>23</v>
      </c>
      <c r="H2769">
        <f>8+3+8+3+1+1+2</f>
        <v>26</v>
      </c>
      <c r="I2769" s="2">
        <v>0</v>
      </c>
      <c r="J2769" s="2">
        <v>1</v>
      </c>
      <c r="K2769" s="2">
        <v>0</v>
      </c>
      <c r="L2769" s="2">
        <v>1</v>
      </c>
      <c r="M2769">
        <v>1</v>
      </c>
      <c r="N2769">
        <v>0</v>
      </c>
      <c r="O2769" s="2">
        <v>0</v>
      </c>
      <c r="P2769" s="2">
        <v>0</v>
      </c>
      <c r="Q2769">
        <v>0</v>
      </c>
      <c r="R2769" s="2">
        <v>0</v>
      </c>
      <c r="S2769" s="2">
        <v>0</v>
      </c>
      <c r="T2769" t="s">
        <v>1396</v>
      </c>
      <c r="U2769" s="2">
        <v>0</v>
      </c>
      <c r="V2769" s="2">
        <v>2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</row>
    <row r="2770" spans="1:28" hidden="1" x14ac:dyDescent="0.25">
      <c r="A2770" t="s">
        <v>56</v>
      </c>
      <c r="B2770" t="s">
        <v>47</v>
      </c>
      <c r="C2770" t="s">
        <v>64</v>
      </c>
      <c r="D2770" s="1">
        <v>46043</v>
      </c>
      <c r="E2770" s="1">
        <v>46043</v>
      </c>
      <c r="F2770" s="2">
        <v>22</v>
      </c>
      <c r="G2770" s="3" t="s">
        <v>23</v>
      </c>
      <c r="H2770">
        <v>42</v>
      </c>
      <c r="I2770" s="2">
        <v>0</v>
      </c>
      <c r="J2770" s="2">
        <v>0</v>
      </c>
      <c r="K2770" s="2">
        <v>1</v>
      </c>
      <c r="L2770" s="2">
        <v>0</v>
      </c>
      <c r="M2770">
        <v>0</v>
      </c>
      <c r="N2770">
        <v>0</v>
      </c>
      <c r="O2770" s="2">
        <v>0</v>
      </c>
      <c r="P2770" s="2">
        <v>0</v>
      </c>
      <c r="Q2770">
        <v>2</v>
      </c>
      <c r="R2770" s="2">
        <v>0</v>
      </c>
      <c r="S2770" s="2">
        <v>0</v>
      </c>
      <c r="T2770" t="s">
        <v>1397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</row>
    <row r="2771" spans="1:28" hidden="1" x14ac:dyDescent="0.25">
      <c r="A2771" t="s">
        <v>47</v>
      </c>
      <c r="B2771" t="s">
        <v>34</v>
      </c>
      <c r="C2771" t="s">
        <v>64</v>
      </c>
      <c r="D2771" s="1">
        <v>46043</v>
      </c>
      <c r="E2771" s="1">
        <v>46043</v>
      </c>
      <c r="F2771" s="2">
        <v>22</v>
      </c>
      <c r="G2771" s="3" t="s">
        <v>23</v>
      </c>
      <c r="H2771">
        <v>44</v>
      </c>
      <c r="I2771" s="2">
        <v>0</v>
      </c>
      <c r="J2771" s="2">
        <v>0</v>
      </c>
      <c r="K2771" s="2">
        <v>1</v>
      </c>
      <c r="L2771" s="2">
        <v>0</v>
      </c>
      <c r="M2771">
        <v>1</v>
      </c>
      <c r="N2771">
        <v>0</v>
      </c>
      <c r="O2771" s="2">
        <v>0</v>
      </c>
      <c r="P2771" s="2">
        <v>0</v>
      </c>
      <c r="Q2771">
        <v>0</v>
      </c>
      <c r="R2771" s="2">
        <v>0</v>
      </c>
      <c r="S2771" s="2">
        <v>0</v>
      </c>
      <c r="T2771" t="s">
        <v>1397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</row>
    <row r="2772" spans="1:28" hidden="1" x14ac:dyDescent="0.25">
      <c r="A2772" t="s">
        <v>568</v>
      </c>
      <c r="B2772" t="s">
        <v>47</v>
      </c>
      <c r="C2772" t="s">
        <v>670</v>
      </c>
      <c r="D2772" s="1">
        <v>46042</v>
      </c>
      <c r="E2772" s="1">
        <v>46042</v>
      </c>
      <c r="F2772" s="2">
        <v>55</v>
      </c>
      <c r="G2772" s="3" t="s">
        <v>48</v>
      </c>
      <c r="H2772">
        <v>0</v>
      </c>
      <c r="I2772" s="2">
        <v>0</v>
      </c>
      <c r="J2772" s="2">
        <v>0</v>
      </c>
      <c r="K2772" s="2">
        <v>0</v>
      </c>
      <c r="L2772" s="2">
        <v>0</v>
      </c>
      <c r="M2772">
        <v>0</v>
      </c>
      <c r="N2772">
        <v>0</v>
      </c>
      <c r="O2772" s="2">
        <v>0</v>
      </c>
      <c r="P2772" s="2">
        <v>0</v>
      </c>
      <c r="Q2772">
        <v>0</v>
      </c>
      <c r="R2772" s="2">
        <v>0</v>
      </c>
      <c r="S2772" s="2">
        <v>0</v>
      </c>
      <c r="T2772" t="s">
        <v>1398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</row>
    <row r="2773" spans="1:28" hidden="1" x14ac:dyDescent="0.25">
      <c r="A2773" t="s">
        <v>568</v>
      </c>
      <c r="B2773" t="s">
        <v>47</v>
      </c>
      <c r="C2773" t="s">
        <v>670</v>
      </c>
      <c r="D2773" s="1">
        <v>46043</v>
      </c>
      <c r="E2773" s="1">
        <v>46043</v>
      </c>
      <c r="F2773" s="2">
        <v>55</v>
      </c>
      <c r="G2773" s="3" t="s">
        <v>23</v>
      </c>
      <c r="H2773">
        <v>40</v>
      </c>
      <c r="I2773" s="2">
        <v>0</v>
      </c>
      <c r="J2773" s="2">
        <v>0</v>
      </c>
      <c r="K2773" s="2">
        <v>1</v>
      </c>
      <c r="L2773" s="2">
        <v>0</v>
      </c>
      <c r="M2773">
        <v>0</v>
      </c>
      <c r="N2773">
        <v>0</v>
      </c>
      <c r="O2773" s="2">
        <v>0</v>
      </c>
      <c r="P2773" s="2">
        <v>0</v>
      </c>
      <c r="Q2773">
        <v>1</v>
      </c>
      <c r="R2773" s="2">
        <v>0</v>
      </c>
      <c r="S2773" s="2">
        <v>0</v>
      </c>
      <c r="T2773" t="s">
        <v>1398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</row>
    <row r="2774" spans="1:28" hidden="1" x14ac:dyDescent="0.25">
      <c r="A2774" t="s">
        <v>47</v>
      </c>
      <c r="B2774" t="s">
        <v>1160</v>
      </c>
      <c r="C2774" t="s">
        <v>670</v>
      </c>
      <c r="D2774" s="1">
        <v>46043</v>
      </c>
      <c r="E2774" s="1">
        <v>46043</v>
      </c>
      <c r="F2774" s="2">
        <v>55</v>
      </c>
      <c r="G2774" s="3" t="s">
        <v>23</v>
      </c>
      <c r="H2774">
        <v>40</v>
      </c>
      <c r="I2774" s="2">
        <v>0</v>
      </c>
      <c r="J2774" s="2">
        <v>1</v>
      </c>
      <c r="K2774" s="2">
        <v>1</v>
      </c>
      <c r="L2774" s="2">
        <v>0</v>
      </c>
      <c r="M2774">
        <v>0</v>
      </c>
      <c r="N2774">
        <v>0</v>
      </c>
      <c r="O2774" s="2">
        <v>0</v>
      </c>
      <c r="P2774" s="2">
        <v>0</v>
      </c>
      <c r="Q2774">
        <v>1</v>
      </c>
      <c r="R2774" s="2">
        <v>0</v>
      </c>
      <c r="S2774" s="2">
        <v>0</v>
      </c>
      <c r="T2774" t="s">
        <v>1398</v>
      </c>
      <c r="U2774" s="2">
        <v>0</v>
      </c>
      <c r="V2774" s="2">
        <v>2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</row>
    <row r="2775" spans="1:28" hidden="1" x14ac:dyDescent="0.25">
      <c r="A2775" t="s">
        <v>63</v>
      </c>
      <c r="B2775" t="s">
        <v>284</v>
      </c>
      <c r="C2775" t="s">
        <v>102</v>
      </c>
      <c r="D2775" s="1">
        <v>46043</v>
      </c>
      <c r="E2775" s="1">
        <v>46043</v>
      </c>
      <c r="F2775" s="2">
        <v>20</v>
      </c>
      <c r="G2775" s="3" t="s">
        <v>23</v>
      </c>
      <c r="H2775">
        <v>28</v>
      </c>
      <c r="I2775" s="2">
        <v>0</v>
      </c>
      <c r="J2775" s="2">
        <v>0</v>
      </c>
      <c r="K2775" s="2">
        <v>1</v>
      </c>
      <c r="L2775" s="2">
        <v>0</v>
      </c>
      <c r="M2775">
        <v>0</v>
      </c>
      <c r="N2775">
        <v>1</v>
      </c>
      <c r="O2775" s="2">
        <v>0</v>
      </c>
      <c r="P2775" s="2">
        <v>0</v>
      </c>
      <c r="Q2775">
        <v>0</v>
      </c>
      <c r="R2775" s="2">
        <v>0</v>
      </c>
      <c r="S2775" s="2">
        <v>0</v>
      </c>
      <c r="T2775" t="s">
        <v>1399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</row>
    <row r="2776" spans="1:28" hidden="1" x14ac:dyDescent="0.25">
      <c r="A2776" t="s">
        <v>25</v>
      </c>
      <c r="B2776" t="s">
        <v>1323</v>
      </c>
      <c r="C2776" t="s">
        <v>35</v>
      </c>
      <c r="D2776" s="1">
        <v>46043</v>
      </c>
      <c r="E2776" s="1">
        <v>46043</v>
      </c>
      <c r="F2776" s="2">
        <v>21</v>
      </c>
      <c r="G2776" s="3" t="s">
        <v>23</v>
      </c>
      <c r="H2776">
        <v>0</v>
      </c>
      <c r="I2776" s="2">
        <v>0</v>
      </c>
      <c r="J2776" s="2">
        <v>0</v>
      </c>
      <c r="K2776" s="2">
        <v>0</v>
      </c>
      <c r="L2776" s="2">
        <v>0</v>
      </c>
      <c r="M2776">
        <v>0</v>
      </c>
      <c r="N2776">
        <v>0</v>
      </c>
      <c r="O2776" s="2">
        <v>0</v>
      </c>
      <c r="P2776" s="2">
        <v>0</v>
      </c>
      <c r="Q2776">
        <v>1</v>
      </c>
      <c r="R2776" s="2">
        <v>0</v>
      </c>
      <c r="S2776" s="2">
        <v>0</v>
      </c>
      <c r="T2776" t="s">
        <v>1125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</row>
    <row r="2777" spans="1:28" hidden="1" x14ac:dyDescent="0.25">
      <c r="A2777" t="s">
        <v>730</v>
      </c>
      <c r="B2777" t="s">
        <v>26</v>
      </c>
      <c r="C2777" t="s">
        <v>35</v>
      </c>
      <c r="D2777" s="1">
        <v>46043</v>
      </c>
      <c r="E2777" s="1">
        <v>46043</v>
      </c>
      <c r="F2777" s="2">
        <v>21</v>
      </c>
      <c r="G2777" s="3" t="s">
        <v>572</v>
      </c>
      <c r="H2777">
        <v>0</v>
      </c>
      <c r="I2777" s="2">
        <v>0</v>
      </c>
      <c r="J2777" s="2">
        <v>0</v>
      </c>
      <c r="K2777" s="2">
        <v>0</v>
      </c>
      <c r="L2777" s="2">
        <v>0</v>
      </c>
      <c r="M2777">
        <v>0</v>
      </c>
      <c r="N2777">
        <v>0</v>
      </c>
      <c r="O2777" s="2">
        <v>0</v>
      </c>
      <c r="P2777" s="2">
        <v>0</v>
      </c>
      <c r="Q2777">
        <v>0</v>
      </c>
      <c r="R2777" s="2">
        <v>0</v>
      </c>
      <c r="S2777" s="2">
        <v>0</v>
      </c>
      <c r="T2777" t="s">
        <v>1125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</row>
    <row r="2778" spans="1:28" hidden="1" x14ac:dyDescent="0.25">
      <c r="A2778" t="s">
        <v>53</v>
      </c>
      <c r="B2778" t="s">
        <v>38</v>
      </c>
      <c r="C2778" t="s">
        <v>35</v>
      </c>
      <c r="D2778" s="1">
        <v>46043</v>
      </c>
      <c r="E2778" s="1">
        <v>46043</v>
      </c>
      <c r="F2778" s="2">
        <v>21</v>
      </c>
      <c r="G2778" s="3" t="s">
        <v>48</v>
      </c>
      <c r="H2778">
        <v>0</v>
      </c>
      <c r="I2778" s="2">
        <v>0</v>
      </c>
      <c r="J2778" s="2">
        <v>0</v>
      </c>
      <c r="K2778" s="2">
        <v>0</v>
      </c>
      <c r="L2778" s="2">
        <v>0</v>
      </c>
      <c r="M2778">
        <v>0</v>
      </c>
      <c r="N2778">
        <v>0</v>
      </c>
      <c r="O2778" s="2">
        <v>0</v>
      </c>
      <c r="P2778" s="2">
        <v>0</v>
      </c>
      <c r="Q2778">
        <v>0</v>
      </c>
      <c r="R2778" s="2">
        <v>0</v>
      </c>
      <c r="S2778" s="2">
        <v>0</v>
      </c>
      <c r="T2778" t="s">
        <v>1125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</row>
    <row r="2779" spans="1:28" hidden="1" x14ac:dyDescent="0.25">
      <c r="A2779" t="s">
        <v>29</v>
      </c>
      <c r="B2779" t="s">
        <v>30</v>
      </c>
      <c r="C2779" t="s">
        <v>35</v>
      </c>
      <c r="D2779" s="1">
        <v>46043</v>
      </c>
      <c r="E2779" s="1">
        <v>46043</v>
      </c>
      <c r="F2779" s="2">
        <v>21</v>
      </c>
      <c r="G2779" s="3" t="s">
        <v>48</v>
      </c>
      <c r="H2779">
        <v>0</v>
      </c>
      <c r="I2779" s="2">
        <v>0</v>
      </c>
      <c r="J2779" s="2">
        <v>0</v>
      </c>
      <c r="K2779" s="2">
        <v>0</v>
      </c>
      <c r="L2779" s="2">
        <v>0</v>
      </c>
      <c r="M2779">
        <v>0</v>
      </c>
      <c r="N2779">
        <v>0</v>
      </c>
      <c r="O2779" s="2">
        <v>0</v>
      </c>
      <c r="P2779" s="2">
        <v>0</v>
      </c>
      <c r="Q2779">
        <v>0</v>
      </c>
      <c r="R2779" s="2">
        <v>0</v>
      </c>
      <c r="S2779" s="2">
        <v>0</v>
      </c>
      <c r="T2779" t="s">
        <v>1125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</row>
    <row r="2780" spans="1:28" hidden="1" x14ac:dyDescent="0.25">
      <c r="A2780" t="s">
        <v>47</v>
      </c>
      <c r="B2780" t="s">
        <v>21</v>
      </c>
      <c r="C2780" t="s">
        <v>35</v>
      </c>
      <c r="D2780" s="1">
        <v>46043</v>
      </c>
      <c r="E2780" s="1">
        <v>46043</v>
      </c>
      <c r="F2780" s="2">
        <v>21</v>
      </c>
      <c r="G2780" s="3" t="s">
        <v>48</v>
      </c>
      <c r="H2780">
        <v>0</v>
      </c>
      <c r="I2780" s="2">
        <v>0</v>
      </c>
      <c r="J2780" s="2">
        <v>0</v>
      </c>
      <c r="K2780" s="2">
        <v>0</v>
      </c>
      <c r="L2780" s="2">
        <v>0</v>
      </c>
      <c r="M2780">
        <v>0</v>
      </c>
      <c r="N2780">
        <v>0</v>
      </c>
      <c r="O2780" s="2">
        <v>0</v>
      </c>
      <c r="P2780" s="2">
        <v>0</v>
      </c>
      <c r="Q2780">
        <v>0</v>
      </c>
      <c r="R2780" s="2">
        <v>0</v>
      </c>
      <c r="S2780" s="2">
        <v>0</v>
      </c>
      <c r="T2780" t="s">
        <v>1125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</row>
    <row r="2781" spans="1:28" ht="15.75" hidden="1" customHeight="1" x14ac:dyDescent="0.25">
      <c r="A2781" t="s">
        <v>53</v>
      </c>
      <c r="B2781" t="s">
        <v>38</v>
      </c>
      <c r="C2781" t="s">
        <v>54</v>
      </c>
      <c r="D2781" s="1">
        <v>46044</v>
      </c>
      <c r="E2781" s="1">
        <v>46044</v>
      </c>
      <c r="F2781" s="2">
        <v>51</v>
      </c>
      <c r="G2781" s="3" t="s">
        <v>23</v>
      </c>
      <c r="H2781">
        <v>22</v>
      </c>
      <c r="I2781" s="2">
        <v>0</v>
      </c>
      <c r="J2781" s="2">
        <v>0</v>
      </c>
      <c r="K2781" s="2">
        <v>0</v>
      </c>
      <c r="L2781" s="2">
        <v>1</v>
      </c>
      <c r="M2781">
        <v>0</v>
      </c>
      <c r="N2781">
        <v>0</v>
      </c>
      <c r="O2781" s="2">
        <v>0</v>
      </c>
      <c r="P2781" s="2">
        <v>0</v>
      </c>
      <c r="Q2781">
        <v>0</v>
      </c>
      <c r="R2781" s="2">
        <v>0</v>
      </c>
      <c r="S2781" s="2">
        <v>0</v>
      </c>
      <c r="T2781" t="s">
        <v>1400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</row>
    <row r="2782" spans="1:28" hidden="1" x14ac:dyDescent="0.25">
      <c r="A2782" t="s">
        <v>20</v>
      </c>
      <c r="B2782" t="s">
        <v>21</v>
      </c>
      <c r="C2782" t="s">
        <v>22</v>
      </c>
      <c r="D2782" s="1">
        <v>46044</v>
      </c>
      <c r="E2782" s="1">
        <v>46044</v>
      </c>
      <c r="F2782" s="2">
        <v>69</v>
      </c>
      <c r="G2782" s="3" t="s">
        <v>23</v>
      </c>
      <c r="H2782">
        <v>32</v>
      </c>
      <c r="I2782" s="2">
        <v>0</v>
      </c>
      <c r="J2782" s="2">
        <v>0</v>
      </c>
      <c r="K2782" s="2">
        <v>1</v>
      </c>
      <c r="L2782" s="2">
        <v>0</v>
      </c>
      <c r="M2782">
        <v>0</v>
      </c>
      <c r="N2782">
        <v>0</v>
      </c>
      <c r="O2782" s="2">
        <v>0</v>
      </c>
      <c r="P2782" s="2">
        <v>0</v>
      </c>
      <c r="Q2782">
        <v>2</v>
      </c>
      <c r="R2782" s="2">
        <v>0</v>
      </c>
      <c r="S2782" s="2">
        <v>0</v>
      </c>
      <c r="T2782" t="s">
        <v>1401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</row>
    <row r="2783" spans="1:28" hidden="1" x14ac:dyDescent="0.25">
      <c r="A2783" t="s">
        <v>37</v>
      </c>
      <c r="B2783" t="s">
        <v>57</v>
      </c>
      <c r="C2783" t="s">
        <v>39</v>
      </c>
      <c r="D2783" s="1">
        <v>46044</v>
      </c>
      <c r="E2783" s="1">
        <v>46044</v>
      </c>
      <c r="F2783" s="2">
        <v>14</v>
      </c>
      <c r="G2783" s="3" t="s">
        <v>23</v>
      </c>
      <c r="H2783">
        <v>36</v>
      </c>
      <c r="I2783" s="2">
        <v>0</v>
      </c>
      <c r="J2783" s="2">
        <v>0</v>
      </c>
      <c r="K2783" s="2">
        <v>1</v>
      </c>
      <c r="L2783" s="2">
        <v>0</v>
      </c>
      <c r="M2783">
        <v>0</v>
      </c>
      <c r="N2783">
        <v>0</v>
      </c>
      <c r="O2783" s="2">
        <v>0</v>
      </c>
      <c r="P2783" s="2">
        <v>0</v>
      </c>
      <c r="Q2783">
        <v>0</v>
      </c>
      <c r="R2783" s="2">
        <v>0</v>
      </c>
      <c r="S2783" s="2">
        <v>0</v>
      </c>
      <c r="T2783" t="s">
        <v>1402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</row>
    <row r="2784" spans="1:28" hidden="1" x14ac:dyDescent="0.25">
      <c r="A2784" t="s">
        <v>568</v>
      </c>
      <c r="B2784" t="s">
        <v>1160</v>
      </c>
      <c r="C2784" t="s">
        <v>670</v>
      </c>
      <c r="D2784" s="1">
        <v>46044</v>
      </c>
      <c r="E2784" s="1">
        <v>46044</v>
      </c>
      <c r="F2784" s="2">
        <v>55</v>
      </c>
      <c r="G2784" s="3" t="s">
        <v>23</v>
      </c>
      <c r="H2784">
        <v>40</v>
      </c>
      <c r="I2784" s="2">
        <v>0</v>
      </c>
      <c r="J2784" s="2">
        <v>0</v>
      </c>
      <c r="K2784" s="2">
        <v>1</v>
      </c>
      <c r="L2784" s="2">
        <v>0</v>
      </c>
      <c r="M2784">
        <v>0</v>
      </c>
      <c r="N2784">
        <v>0</v>
      </c>
      <c r="O2784" s="2">
        <v>0</v>
      </c>
      <c r="P2784" s="2">
        <v>0</v>
      </c>
      <c r="Q2784">
        <v>0</v>
      </c>
      <c r="R2784" s="2">
        <v>0</v>
      </c>
      <c r="S2784" s="2">
        <v>0</v>
      </c>
      <c r="T2784" t="s">
        <v>1403</v>
      </c>
      <c r="U2784" s="2">
        <v>0</v>
      </c>
      <c r="V2784" s="2">
        <v>6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</row>
    <row r="2785" spans="1:28" hidden="1" x14ac:dyDescent="0.25">
      <c r="A2785" t="s">
        <v>47</v>
      </c>
      <c r="B2785" t="s">
        <v>1237</v>
      </c>
      <c r="C2785" t="s">
        <v>670</v>
      </c>
      <c r="D2785" s="1">
        <v>46044</v>
      </c>
      <c r="E2785" s="1">
        <v>46044</v>
      </c>
      <c r="F2785" s="2">
        <v>55</v>
      </c>
      <c r="G2785" s="3" t="s">
        <v>23</v>
      </c>
      <c r="H2785">
        <v>0</v>
      </c>
      <c r="I2785" s="2">
        <v>0</v>
      </c>
      <c r="J2785" s="2">
        <v>0</v>
      </c>
      <c r="K2785" s="2">
        <v>1</v>
      </c>
      <c r="L2785" s="2">
        <v>0</v>
      </c>
      <c r="M2785">
        <v>0</v>
      </c>
      <c r="N2785">
        <v>0</v>
      </c>
      <c r="O2785" s="2">
        <v>0</v>
      </c>
      <c r="P2785" s="2">
        <v>0</v>
      </c>
      <c r="Q2785">
        <v>0</v>
      </c>
      <c r="R2785" s="2">
        <v>0</v>
      </c>
      <c r="S2785" s="2">
        <v>0</v>
      </c>
      <c r="T2785" t="s">
        <v>1403</v>
      </c>
      <c r="U2785" s="2">
        <v>0</v>
      </c>
      <c r="V2785" s="2">
        <v>6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</row>
    <row r="2786" spans="1:28" hidden="1" x14ac:dyDescent="0.25">
      <c r="A2786" t="s">
        <v>63</v>
      </c>
      <c r="B2786" t="s">
        <v>1323</v>
      </c>
      <c r="C2786" t="s">
        <v>102</v>
      </c>
      <c r="D2786" s="1">
        <v>46044</v>
      </c>
      <c r="E2786" s="1">
        <v>46044</v>
      </c>
      <c r="F2786" s="2">
        <v>19</v>
      </c>
      <c r="G2786" s="3" t="s">
        <v>23</v>
      </c>
      <c r="H2786">
        <v>24</v>
      </c>
      <c r="I2786" s="2">
        <v>0</v>
      </c>
      <c r="J2786" s="2">
        <v>0</v>
      </c>
      <c r="K2786" s="2">
        <v>1</v>
      </c>
      <c r="L2786" s="2">
        <v>0</v>
      </c>
      <c r="M2786">
        <v>0</v>
      </c>
      <c r="N2786">
        <v>0</v>
      </c>
      <c r="O2786" s="2">
        <v>0</v>
      </c>
      <c r="P2786" s="2">
        <v>0</v>
      </c>
      <c r="Q2786">
        <v>0</v>
      </c>
      <c r="R2786" s="2">
        <v>0</v>
      </c>
      <c r="S2786" s="2">
        <v>0</v>
      </c>
      <c r="T2786" t="s">
        <v>1404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</row>
    <row r="2787" spans="1:28" hidden="1" x14ac:dyDescent="0.25">
      <c r="A2787" t="s">
        <v>29</v>
      </c>
      <c r="B2787" t="s">
        <v>30</v>
      </c>
      <c r="C2787" t="s">
        <v>31</v>
      </c>
      <c r="D2787" s="1">
        <v>46044</v>
      </c>
      <c r="E2787" s="1">
        <v>46044</v>
      </c>
      <c r="F2787" s="2">
        <v>18</v>
      </c>
      <c r="G2787" s="3" t="s">
        <v>23</v>
      </c>
      <c r="H2787">
        <v>20</v>
      </c>
      <c r="I2787" s="2">
        <v>0</v>
      </c>
      <c r="J2787" s="2">
        <v>0</v>
      </c>
      <c r="K2787" s="2">
        <v>1</v>
      </c>
      <c r="L2787" s="2">
        <v>0</v>
      </c>
      <c r="M2787">
        <v>0</v>
      </c>
      <c r="N2787">
        <v>0</v>
      </c>
      <c r="O2787" s="2">
        <v>0</v>
      </c>
      <c r="P2787" s="2">
        <v>0</v>
      </c>
      <c r="Q2787">
        <v>0</v>
      </c>
      <c r="R2787" s="2">
        <v>0</v>
      </c>
      <c r="S2787" s="2">
        <v>0</v>
      </c>
      <c r="T2787" t="s">
        <v>1405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</row>
    <row r="2788" spans="1:28" hidden="1" x14ac:dyDescent="0.25">
      <c r="A2788" t="s">
        <v>47</v>
      </c>
      <c r="B2788" t="s">
        <v>30</v>
      </c>
      <c r="C2788" t="s">
        <v>31</v>
      </c>
      <c r="D2788" s="1">
        <v>46044</v>
      </c>
      <c r="E2788" s="1">
        <v>46044</v>
      </c>
      <c r="F2788" s="2">
        <v>18</v>
      </c>
      <c r="G2788" s="3" t="s">
        <v>23</v>
      </c>
      <c r="H2788">
        <v>24</v>
      </c>
      <c r="I2788" s="2">
        <v>0</v>
      </c>
      <c r="J2788" s="2">
        <v>0</v>
      </c>
      <c r="K2788" s="2">
        <v>1</v>
      </c>
      <c r="L2788" s="2">
        <v>0</v>
      </c>
      <c r="M2788">
        <v>0</v>
      </c>
      <c r="N2788">
        <v>0</v>
      </c>
      <c r="O2788" s="2">
        <v>0</v>
      </c>
      <c r="P2788" s="2">
        <v>0</v>
      </c>
      <c r="Q2788">
        <v>0</v>
      </c>
      <c r="R2788" s="2">
        <v>0</v>
      </c>
      <c r="S2788" s="2">
        <v>0</v>
      </c>
      <c r="T2788" t="s">
        <v>1405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</row>
    <row r="2789" spans="1:28" hidden="1" x14ac:dyDescent="0.25">
      <c r="A2789" t="s">
        <v>33</v>
      </c>
      <c r="B2789" t="s">
        <v>34</v>
      </c>
      <c r="C2789" t="s">
        <v>35</v>
      </c>
      <c r="D2789" s="1">
        <v>46044</v>
      </c>
      <c r="E2789" s="1">
        <v>46044</v>
      </c>
      <c r="F2789" s="2">
        <v>19</v>
      </c>
      <c r="G2789" s="3" t="s">
        <v>23</v>
      </c>
      <c r="H2789">
        <v>6</v>
      </c>
      <c r="I2789" s="2">
        <v>0</v>
      </c>
      <c r="J2789" s="2">
        <v>0</v>
      </c>
      <c r="K2789" s="2">
        <v>0</v>
      </c>
      <c r="L2789" s="2">
        <v>0</v>
      </c>
      <c r="M2789">
        <v>0</v>
      </c>
      <c r="N2789">
        <v>0</v>
      </c>
      <c r="O2789" s="2">
        <v>0</v>
      </c>
      <c r="P2789" s="2">
        <v>0</v>
      </c>
      <c r="Q2789">
        <v>0</v>
      </c>
      <c r="R2789" s="2">
        <v>0</v>
      </c>
      <c r="S2789" s="2">
        <v>0</v>
      </c>
      <c r="T2789" t="s">
        <v>1406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</row>
    <row r="2790" spans="1:28" hidden="1" x14ac:dyDescent="0.25">
      <c r="A2790" t="s">
        <v>25</v>
      </c>
      <c r="B2790" t="s">
        <v>26</v>
      </c>
      <c r="C2790" t="s">
        <v>35</v>
      </c>
      <c r="D2790" s="1">
        <v>46044</v>
      </c>
      <c r="E2790" s="1">
        <v>46044</v>
      </c>
      <c r="F2790" s="2">
        <v>21</v>
      </c>
      <c r="G2790" s="3" t="s">
        <v>572</v>
      </c>
      <c r="H2790">
        <v>0</v>
      </c>
      <c r="I2790" s="2">
        <v>0</v>
      </c>
      <c r="J2790" s="2">
        <v>0</v>
      </c>
      <c r="K2790" s="2">
        <v>0</v>
      </c>
      <c r="L2790" s="2">
        <v>0</v>
      </c>
      <c r="M2790">
        <v>0</v>
      </c>
      <c r="N2790">
        <v>0</v>
      </c>
      <c r="O2790" s="2">
        <v>0</v>
      </c>
      <c r="P2790" s="2">
        <v>0</v>
      </c>
      <c r="Q2790">
        <v>0</v>
      </c>
      <c r="R2790" s="2">
        <v>0</v>
      </c>
      <c r="S2790" s="2">
        <v>0</v>
      </c>
      <c r="T2790" t="s">
        <v>1125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</row>
    <row r="2791" spans="1:28" hidden="1" x14ac:dyDescent="0.25">
      <c r="A2791" t="s">
        <v>730</v>
      </c>
      <c r="B2791" t="s">
        <v>47</v>
      </c>
      <c r="C2791" t="s">
        <v>35</v>
      </c>
      <c r="D2791" s="1">
        <v>46044</v>
      </c>
      <c r="E2791" s="1">
        <v>46044</v>
      </c>
      <c r="F2791" s="2">
        <v>21</v>
      </c>
      <c r="G2791" s="3" t="s">
        <v>572</v>
      </c>
      <c r="H2791">
        <v>0</v>
      </c>
      <c r="I2791" s="2">
        <v>0</v>
      </c>
      <c r="J2791" s="2">
        <v>0</v>
      </c>
      <c r="K2791" s="2">
        <v>0</v>
      </c>
      <c r="L2791" s="2">
        <v>0</v>
      </c>
      <c r="M2791">
        <v>0</v>
      </c>
      <c r="N2791">
        <v>0</v>
      </c>
      <c r="O2791" s="2">
        <v>0</v>
      </c>
      <c r="P2791" s="2">
        <v>0</v>
      </c>
      <c r="Q2791">
        <v>0</v>
      </c>
      <c r="R2791" s="2">
        <v>0</v>
      </c>
      <c r="S2791" s="2">
        <v>0</v>
      </c>
      <c r="T2791" t="s">
        <v>1125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</row>
    <row r="2792" spans="1:28" hidden="1" x14ac:dyDescent="0.25">
      <c r="A2792" t="s">
        <v>56</v>
      </c>
      <c r="B2792" t="s">
        <v>284</v>
      </c>
      <c r="C2792" t="s">
        <v>35</v>
      </c>
      <c r="D2792" s="1">
        <v>46044</v>
      </c>
      <c r="E2792" s="1">
        <v>46044</v>
      </c>
      <c r="F2792" s="2">
        <v>21</v>
      </c>
      <c r="G2792" s="3" t="s">
        <v>48</v>
      </c>
      <c r="H2792">
        <v>0</v>
      </c>
      <c r="I2792" s="2">
        <v>0</v>
      </c>
      <c r="J2792" s="2">
        <v>0</v>
      </c>
      <c r="K2792" s="2">
        <v>0</v>
      </c>
      <c r="L2792" s="2">
        <v>0</v>
      </c>
      <c r="M2792">
        <v>0</v>
      </c>
      <c r="N2792">
        <v>0</v>
      </c>
      <c r="O2792" s="2">
        <v>0</v>
      </c>
      <c r="P2792" s="2">
        <v>0</v>
      </c>
      <c r="Q2792">
        <v>0</v>
      </c>
      <c r="R2792" s="2">
        <v>0</v>
      </c>
      <c r="S2792" s="2">
        <v>0</v>
      </c>
      <c r="T2792" t="s">
        <v>1125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</row>
    <row r="2793" spans="1:28" hidden="1" x14ac:dyDescent="0.25">
      <c r="A2793" t="s">
        <v>47</v>
      </c>
      <c r="B2793" t="s">
        <v>52</v>
      </c>
      <c r="C2793" t="s">
        <v>35</v>
      </c>
      <c r="D2793" s="1">
        <v>46044</v>
      </c>
      <c r="E2793" s="1">
        <v>46044</v>
      </c>
      <c r="F2793" s="2">
        <v>21</v>
      </c>
      <c r="G2793" s="3" t="s">
        <v>409</v>
      </c>
      <c r="H2793">
        <v>0</v>
      </c>
      <c r="I2793" s="2">
        <v>0</v>
      </c>
      <c r="J2793" s="2">
        <v>0</v>
      </c>
      <c r="K2793" s="2">
        <v>0</v>
      </c>
      <c r="L2793" s="2">
        <v>0</v>
      </c>
      <c r="M2793">
        <v>0</v>
      </c>
      <c r="N2793">
        <v>0</v>
      </c>
      <c r="O2793" s="2">
        <v>0</v>
      </c>
      <c r="P2793" s="2">
        <v>0</v>
      </c>
      <c r="Q2793">
        <v>0</v>
      </c>
      <c r="R2793" s="2">
        <v>0</v>
      </c>
      <c r="S2793" s="2">
        <v>0</v>
      </c>
      <c r="T2793" t="s">
        <v>1125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</row>
    <row r="2794" spans="1:28" hidden="1" x14ac:dyDescent="0.25">
      <c r="A2794" t="s">
        <v>53</v>
      </c>
      <c r="B2794" t="s">
        <v>38</v>
      </c>
      <c r="C2794" t="s">
        <v>54</v>
      </c>
      <c r="D2794" s="1">
        <v>46045</v>
      </c>
      <c r="E2794" s="1">
        <v>46045</v>
      </c>
      <c r="F2794" s="2">
        <v>79</v>
      </c>
      <c r="G2794" s="3" t="s">
        <v>23</v>
      </c>
      <c r="H2794">
        <f>9+4+9+4</f>
        <v>26</v>
      </c>
      <c r="I2794" s="2">
        <v>0</v>
      </c>
      <c r="J2794" s="2">
        <v>0</v>
      </c>
      <c r="K2794" s="2">
        <v>0</v>
      </c>
      <c r="L2794" s="2">
        <v>1</v>
      </c>
      <c r="M2794">
        <v>1</v>
      </c>
      <c r="N2794">
        <v>0</v>
      </c>
      <c r="O2794" s="2">
        <v>0</v>
      </c>
      <c r="P2794" s="2">
        <v>0</v>
      </c>
      <c r="Q2794">
        <v>0</v>
      </c>
      <c r="R2794" s="2">
        <v>0</v>
      </c>
      <c r="S2794" s="2">
        <v>0</v>
      </c>
      <c r="T2794" t="s">
        <v>1407</v>
      </c>
      <c r="U2794" s="2">
        <v>0</v>
      </c>
      <c r="V2794" s="2">
        <f>20+2</f>
        <v>22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</row>
    <row r="2795" spans="1:28" hidden="1" x14ac:dyDescent="0.25">
      <c r="A2795" t="s">
        <v>730</v>
      </c>
      <c r="B2795" t="s">
        <v>47</v>
      </c>
      <c r="C2795" t="s">
        <v>1370</v>
      </c>
      <c r="D2795" s="1">
        <v>46045</v>
      </c>
      <c r="E2795" s="1">
        <v>46045</v>
      </c>
      <c r="F2795" s="2">
        <v>27</v>
      </c>
      <c r="G2795" s="3" t="s">
        <v>23</v>
      </c>
      <c r="H2795">
        <v>16</v>
      </c>
      <c r="I2795" s="2">
        <v>0</v>
      </c>
      <c r="J2795" s="2">
        <v>0</v>
      </c>
      <c r="K2795" s="2">
        <v>1</v>
      </c>
      <c r="L2795" s="2">
        <v>0</v>
      </c>
      <c r="M2795">
        <v>0</v>
      </c>
      <c r="N2795">
        <v>0</v>
      </c>
      <c r="O2795" s="2">
        <v>0</v>
      </c>
      <c r="P2795" s="2">
        <v>0</v>
      </c>
      <c r="Q2795">
        <v>0</v>
      </c>
      <c r="R2795" s="2">
        <v>0</v>
      </c>
      <c r="S2795" s="2">
        <v>0</v>
      </c>
      <c r="T2795" t="s">
        <v>1408</v>
      </c>
      <c r="U2795" s="2">
        <f>16+21</f>
        <v>37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</row>
    <row r="2796" spans="1:28" hidden="1" x14ac:dyDescent="0.25">
      <c r="A2796" t="s">
        <v>47</v>
      </c>
      <c r="B2796" t="s">
        <v>21</v>
      </c>
      <c r="C2796" t="s">
        <v>1370</v>
      </c>
      <c r="D2796" s="1">
        <v>46045</v>
      </c>
      <c r="E2796" s="1">
        <v>46045</v>
      </c>
      <c r="F2796" s="2">
        <v>27</v>
      </c>
      <c r="G2796" s="3" t="s">
        <v>23</v>
      </c>
      <c r="H2796">
        <f>16+1+1</f>
        <v>18</v>
      </c>
      <c r="I2796" s="2">
        <v>0</v>
      </c>
      <c r="J2796" s="2">
        <v>0</v>
      </c>
      <c r="K2796" s="2">
        <v>1</v>
      </c>
      <c r="L2796" s="2">
        <v>0</v>
      </c>
      <c r="M2796">
        <v>0</v>
      </c>
      <c r="N2796">
        <v>0</v>
      </c>
      <c r="O2796" s="2">
        <v>0</v>
      </c>
      <c r="P2796" s="2">
        <v>0</v>
      </c>
      <c r="Q2796">
        <v>0</v>
      </c>
      <c r="R2796" s="2">
        <v>0</v>
      </c>
      <c r="S2796" s="2">
        <v>0</v>
      </c>
      <c r="T2796" t="s">
        <v>1408</v>
      </c>
      <c r="U2796" s="2">
        <v>0</v>
      </c>
      <c r="V2796" s="2">
        <f>12+22</f>
        <v>34</v>
      </c>
      <c r="W2796" s="2">
        <v>5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</row>
    <row r="2797" spans="1:28" ht="14.25" hidden="1" customHeight="1" x14ac:dyDescent="0.25">
      <c r="A2797" t="s">
        <v>33</v>
      </c>
      <c r="B2797" t="s">
        <v>47</v>
      </c>
      <c r="C2797" t="s">
        <v>35</v>
      </c>
      <c r="D2797" s="1">
        <v>46045</v>
      </c>
      <c r="E2797" s="1">
        <v>46045</v>
      </c>
      <c r="F2797" s="2">
        <v>31</v>
      </c>
      <c r="G2797" s="3" t="s">
        <v>23</v>
      </c>
      <c r="H2797">
        <f>20+20</f>
        <v>40</v>
      </c>
      <c r="I2797" s="2">
        <v>0</v>
      </c>
      <c r="J2797" s="2">
        <v>0</v>
      </c>
      <c r="K2797" s="2">
        <v>1</v>
      </c>
      <c r="L2797" s="2">
        <v>0</v>
      </c>
      <c r="M2797">
        <v>0</v>
      </c>
      <c r="N2797">
        <v>0</v>
      </c>
      <c r="O2797" s="2">
        <v>0</v>
      </c>
      <c r="P2797" s="2">
        <v>0</v>
      </c>
      <c r="Q2797">
        <v>0</v>
      </c>
      <c r="R2797" s="2">
        <v>0</v>
      </c>
      <c r="S2797" s="2">
        <v>0</v>
      </c>
      <c r="T2797" t="s">
        <v>1409</v>
      </c>
      <c r="U2797" s="2">
        <f>16+21</f>
        <v>37</v>
      </c>
      <c r="V2797" s="2">
        <f>18+2</f>
        <v>20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</row>
    <row r="2798" spans="1:28" ht="14.25" hidden="1" customHeight="1" x14ac:dyDescent="0.25">
      <c r="A2798" t="s">
        <v>47</v>
      </c>
      <c r="B2798" t="s">
        <v>34</v>
      </c>
      <c r="C2798" t="s">
        <v>35</v>
      </c>
      <c r="D2798" s="1">
        <v>46045</v>
      </c>
      <c r="E2798" s="1">
        <v>46045</v>
      </c>
      <c r="F2798" s="2">
        <v>31</v>
      </c>
      <c r="G2798" s="3" t="s">
        <v>23</v>
      </c>
      <c r="H2798">
        <f>20+20</f>
        <v>40</v>
      </c>
      <c r="I2798" s="2">
        <v>0</v>
      </c>
      <c r="J2798" s="2">
        <v>0</v>
      </c>
      <c r="K2798" s="2">
        <v>1</v>
      </c>
      <c r="L2798" s="2">
        <v>0</v>
      </c>
      <c r="M2798">
        <v>0</v>
      </c>
      <c r="N2798">
        <v>0</v>
      </c>
      <c r="O2798" s="2">
        <v>0</v>
      </c>
      <c r="P2798" s="2">
        <v>0</v>
      </c>
      <c r="Q2798">
        <v>0</v>
      </c>
      <c r="R2798" s="2">
        <v>0</v>
      </c>
      <c r="S2798" s="2">
        <v>0</v>
      </c>
      <c r="T2798" t="s">
        <v>1409</v>
      </c>
      <c r="U2798" s="2">
        <v>0</v>
      </c>
      <c r="V2798" s="2">
        <f>18+2</f>
        <v>20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</row>
    <row r="2799" spans="1:28" hidden="1" x14ac:dyDescent="0.25">
      <c r="A2799" t="s">
        <v>568</v>
      </c>
      <c r="B2799" t="s">
        <v>1160</v>
      </c>
      <c r="C2799" t="s">
        <v>670</v>
      </c>
      <c r="D2799" s="1">
        <v>46045</v>
      </c>
      <c r="E2799" s="1">
        <v>46045</v>
      </c>
      <c r="F2799" s="2">
        <v>95</v>
      </c>
      <c r="G2799" s="3" t="s">
        <v>23</v>
      </c>
      <c r="H2799">
        <f>14+14</f>
        <v>28</v>
      </c>
      <c r="I2799" s="2">
        <v>0</v>
      </c>
      <c r="J2799" s="2">
        <v>0</v>
      </c>
      <c r="K2799" s="2">
        <v>1</v>
      </c>
      <c r="L2799" s="2">
        <v>0</v>
      </c>
      <c r="M2799">
        <v>1</v>
      </c>
      <c r="N2799">
        <v>0</v>
      </c>
      <c r="O2799" s="2">
        <v>0</v>
      </c>
      <c r="P2799" s="2">
        <v>0</v>
      </c>
      <c r="Q2799">
        <v>0</v>
      </c>
      <c r="R2799" s="2">
        <v>0</v>
      </c>
      <c r="S2799" s="2">
        <v>0</v>
      </c>
      <c r="T2799" t="s">
        <v>1410</v>
      </c>
      <c r="U2799" s="2">
        <v>0</v>
      </c>
      <c r="V2799" s="2">
        <v>22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</row>
    <row r="2800" spans="1:28" hidden="1" x14ac:dyDescent="0.25">
      <c r="A2800" t="s">
        <v>63</v>
      </c>
      <c r="B2800" t="s">
        <v>284</v>
      </c>
      <c r="C2800" t="s">
        <v>102</v>
      </c>
      <c r="D2800" s="1">
        <v>46045</v>
      </c>
      <c r="E2800" s="1">
        <v>46045</v>
      </c>
      <c r="F2800" s="13">
        <v>2409</v>
      </c>
      <c r="G2800" s="3" t="s">
        <v>23</v>
      </c>
      <c r="H2800">
        <f>12+4+12+4+1+1</f>
        <v>34</v>
      </c>
      <c r="I2800" s="2">
        <v>0</v>
      </c>
      <c r="J2800" s="2">
        <v>1</v>
      </c>
      <c r="K2800" s="2">
        <v>1</v>
      </c>
      <c r="L2800" s="2">
        <v>0</v>
      </c>
      <c r="M2800">
        <v>0</v>
      </c>
      <c r="N2800">
        <v>0</v>
      </c>
      <c r="O2800" s="2">
        <v>0</v>
      </c>
      <c r="P2800" s="2">
        <v>0</v>
      </c>
      <c r="Q2800">
        <v>1</v>
      </c>
      <c r="R2800" s="2">
        <v>0</v>
      </c>
      <c r="S2800" s="2">
        <v>0</v>
      </c>
      <c r="T2800" t="s">
        <v>1411</v>
      </c>
      <c r="U2800" s="2">
        <v>0</v>
      </c>
      <c r="V2800" s="2">
        <f>12+22</f>
        <v>34</v>
      </c>
      <c r="W2800" s="2">
        <v>5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</row>
    <row r="2801" spans="1:28" hidden="1" x14ac:dyDescent="0.25">
      <c r="A2801" t="s">
        <v>29</v>
      </c>
      <c r="B2801" t="s">
        <v>30</v>
      </c>
      <c r="C2801" t="s">
        <v>102</v>
      </c>
      <c r="D2801" s="1">
        <v>46045</v>
      </c>
      <c r="E2801" s="1">
        <v>46045</v>
      </c>
      <c r="F2801" s="13">
        <v>2409</v>
      </c>
      <c r="G2801" s="3" t="s">
        <v>23</v>
      </c>
      <c r="H2801">
        <f>6+2+6+2</f>
        <v>16</v>
      </c>
      <c r="I2801" s="2">
        <v>0</v>
      </c>
      <c r="J2801" s="2">
        <v>1</v>
      </c>
      <c r="K2801" s="2">
        <v>1</v>
      </c>
      <c r="L2801" s="2">
        <v>0</v>
      </c>
      <c r="M2801">
        <v>0</v>
      </c>
      <c r="N2801">
        <v>0</v>
      </c>
      <c r="O2801" s="2">
        <v>0</v>
      </c>
      <c r="P2801" s="2">
        <v>0</v>
      </c>
      <c r="Q2801">
        <v>0</v>
      </c>
      <c r="R2801" s="2">
        <v>0</v>
      </c>
      <c r="S2801" s="2">
        <v>0</v>
      </c>
      <c r="T2801" t="s">
        <v>1411</v>
      </c>
      <c r="U2801" s="2">
        <v>0</v>
      </c>
      <c r="V2801" s="2">
        <f>20+2+17</f>
        <v>39</v>
      </c>
      <c r="W2801" s="2">
        <v>5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</row>
    <row r="2802" spans="1:28" hidden="1" x14ac:dyDescent="0.25">
      <c r="A2802" t="s">
        <v>25</v>
      </c>
      <c r="B2802" t="s">
        <v>26</v>
      </c>
      <c r="C2802" t="s">
        <v>27</v>
      </c>
      <c r="D2802" s="1">
        <v>46045</v>
      </c>
      <c r="E2802" s="1">
        <v>46045</v>
      </c>
      <c r="F2802" s="2">
        <v>21</v>
      </c>
      <c r="G2802" s="3" t="s">
        <v>23</v>
      </c>
      <c r="H2802">
        <v>0</v>
      </c>
      <c r="I2802" s="2">
        <v>0</v>
      </c>
      <c r="J2802" s="2">
        <v>0</v>
      </c>
      <c r="K2802" s="2">
        <v>0</v>
      </c>
      <c r="L2802" s="2">
        <v>0</v>
      </c>
      <c r="M2802">
        <v>1</v>
      </c>
      <c r="N2802">
        <v>0</v>
      </c>
      <c r="O2802" s="2">
        <v>0</v>
      </c>
      <c r="P2802" s="2">
        <v>0</v>
      </c>
      <c r="Q2802">
        <v>0</v>
      </c>
      <c r="R2802" s="2">
        <v>0</v>
      </c>
      <c r="S2802" s="2">
        <v>0</v>
      </c>
      <c r="T2802" t="s">
        <v>1412</v>
      </c>
      <c r="U2802" s="2">
        <v>0</v>
      </c>
      <c r="V2802" s="2">
        <v>0</v>
      </c>
      <c r="W2802" s="2">
        <f>22+16</f>
        <v>38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</row>
    <row r="2803" spans="1:28" hidden="1" x14ac:dyDescent="0.25">
      <c r="A2803" t="s">
        <v>56</v>
      </c>
      <c r="B2803" t="s">
        <v>57</v>
      </c>
      <c r="C2803" t="s">
        <v>64</v>
      </c>
      <c r="D2803" s="1">
        <v>46045</v>
      </c>
      <c r="E2803" s="1">
        <v>46045</v>
      </c>
      <c r="F2803" s="2">
        <v>35</v>
      </c>
      <c r="G2803" s="3" t="s">
        <v>23</v>
      </c>
      <c r="H2803">
        <v>0</v>
      </c>
      <c r="I2803" s="2">
        <v>0</v>
      </c>
      <c r="J2803" s="2">
        <v>0</v>
      </c>
      <c r="K2803" s="2">
        <v>0</v>
      </c>
      <c r="L2803" s="2">
        <v>0</v>
      </c>
      <c r="M2803">
        <v>1</v>
      </c>
      <c r="N2803">
        <v>0</v>
      </c>
      <c r="O2803" s="2">
        <v>0</v>
      </c>
      <c r="P2803" s="2">
        <v>0</v>
      </c>
      <c r="Q2803">
        <v>0</v>
      </c>
      <c r="R2803" s="2">
        <v>0</v>
      </c>
      <c r="S2803" s="2">
        <v>0</v>
      </c>
      <c r="T2803" t="s">
        <v>1413</v>
      </c>
      <c r="U2803" s="2">
        <v>0</v>
      </c>
      <c r="V2803" s="2">
        <v>22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</row>
    <row r="2804" spans="1:28" hidden="1" x14ac:dyDescent="0.25">
      <c r="A2804" t="s">
        <v>37</v>
      </c>
      <c r="B2804" t="s">
        <v>1323</v>
      </c>
      <c r="C2804" t="s">
        <v>35</v>
      </c>
      <c r="D2804" s="1">
        <v>46045</v>
      </c>
      <c r="E2804" s="1">
        <v>46045</v>
      </c>
      <c r="F2804" s="2">
        <v>21</v>
      </c>
      <c r="G2804" s="3" t="s">
        <v>48</v>
      </c>
      <c r="H2804">
        <v>0</v>
      </c>
      <c r="I2804" s="2">
        <v>0</v>
      </c>
      <c r="J2804" s="2">
        <v>0</v>
      </c>
      <c r="K2804" s="2">
        <v>0</v>
      </c>
      <c r="L2804" s="2">
        <v>0</v>
      </c>
      <c r="M2804">
        <v>0</v>
      </c>
      <c r="N2804">
        <v>0</v>
      </c>
      <c r="O2804" s="2">
        <v>0</v>
      </c>
      <c r="P2804" s="2">
        <v>0</v>
      </c>
      <c r="Q2804">
        <v>0</v>
      </c>
      <c r="R2804" s="2">
        <v>0</v>
      </c>
      <c r="S2804" s="2">
        <v>0</v>
      </c>
      <c r="T2804" t="s">
        <v>1125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</row>
    <row r="2805" spans="1:28" hidden="1" x14ac:dyDescent="0.25">
      <c r="A2805" t="s">
        <v>20</v>
      </c>
      <c r="B2805" t="s">
        <v>47</v>
      </c>
      <c r="C2805" t="s">
        <v>35</v>
      </c>
      <c r="D2805" s="1">
        <v>46045</v>
      </c>
      <c r="E2805" s="1">
        <v>46045</v>
      </c>
      <c r="F2805" s="2">
        <v>21</v>
      </c>
      <c r="G2805" s="3" t="s">
        <v>48</v>
      </c>
      <c r="H2805">
        <v>0</v>
      </c>
      <c r="I2805" s="2">
        <v>0</v>
      </c>
      <c r="J2805" s="2">
        <v>0</v>
      </c>
      <c r="K2805" s="2">
        <v>0</v>
      </c>
      <c r="L2805" s="2">
        <v>0</v>
      </c>
      <c r="M2805">
        <v>0</v>
      </c>
      <c r="N2805">
        <v>0</v>
      </c>
      <c r="O2805" s="2">
        <v>0</v>
      </c>
      <c r="P2805" s="2">
        <v>0</v>
      </c>
      <c r="Q2805">
        <v>0</v>
      </c>
      <c r="R2805" s="2">
        <v>0</v>
      </c>
      <c r="S2805" s="2">
        <v>0</v>
      </c>
      <c r="T2805" t="s">
        <v>1125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</row>
    <row r="2806" spans="1:28" hidden="1" x14ac:dyDescent="0.25">
      <c r="A2806" t="s">
        <v>47</v>
      </c>
      <c r="B2806" t="s">
        <v>52</v>
      </c>
      <c r="C2806" t="s">
        <v>35</v>
      </c>
      <c r="D2806" s="1">
        <v>46045</v>
      </c>
      <c r="E2806" s="1">
        <v>46045</v>
      </c>
      <c r="F2806" s="2">
        <v>21</v>
      </c>
      <c r="G2806" s="3" t="s">
        <v>409</v>
      </c>
      <c r="H2806">
        <v>0</v>
      </c>
      <c r="I2806" s="2">
        <v>0</v>
      </c>
      <c r="J2806" s="2">
        <v>0</v>
      </c>
      <c r="K2806" s="2">
        <v>0</v>
      </c>
      <c r="L2806" s="2">
        <v>0</v>
      </c>
      <c r="M2806">
        <v>0</v>
      </c>
      <c r="N2806">
        <v>0</v>
      </c>
      <c r="O2806" s="2">
        <v>0</v>
      </c>
      <c r="P2806" s="2">
        <v>0</v>
      </c>
      <c r="Q2806">
        <v>0</v>
      </c>
      <c r="R2806" s="2">
        <v>0</v>
      </c>
      <c r="S2806" s="2">
        <v>0</v>
      </c>
      <c r="T2806" t="s">
        <v>1125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</row>
    <row r="2807" spans="1:28" hidden="1" x14ac:dyDescent="0.25">
      <c r="A2807" t="s">
        <v>53</v>
      </c>
      <c r="B2807" t="s">
        <v>38</v>
      </c>
      <c r="C2807" t="s">
        <v>54</v>
      </c>
      <c r="D2807" s="1">
        <v>46045</v>
      </c>
      <c r="E2807" s="1">
        <v>46045</v>
      </c>
      <c r="F2807" s="2">
        <v>79</v>
      </c>
      <c r="G2807" s="3" t="s">
        <v>23</v>
      </c>
      <c r="H2807">
        <f>9+4+9+4</f>
        <v>26</v>
      </c>
      <c r="I2807" s="2">
        <v>0</v>
      </c>
      <c r="J2807" s="2">
        <v>0</v>
      </c>
      <c r="K2807" s="2">
        <v>0</v>
      </c>
      <c r="L2807" s="2">
        <v>1</v>
      </c>
      <c r="M2807">
        <v>1</v>
      </c>
      <c r="N2807">
        <v>0</v>
      </c>
      <c r="O2807" s="2">
        <v>0</v>
      </c>
      <c r="P2807" s="2">
        <v>0</v>
      </c>
      <c r="Q2807">
        <v>0</v>
      </c>
      <c r="R2807" s="2">
        <v>0</v>
      </c>
      <c r="S2807" s="2">
        <v>0</v>
      </c>
      <c r="T2807" t="s">
        <v>1407</v>
      </c>
      <c r="U2807" s="2">
        <v>0</v>
      </c>
      <c r="V2807" s="2">
        <f>20+2</f>
        <v>22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</row>
    <row r="2808" spans="1:28" hidden="1" x14ac:dyDescent="0.25">
      <c r="A2808" t="s">
        <v>730</v>
      </c>
      <c r="B2808" t="s">
        <v>47</v>
      </c>
      <c r="C2808" t="s">
        <v>1370</v>
      </c>
      <c r="D2808" s="1">
        <v>46045</v>
      </c>
      <c r="E2808" s="1">
        <v>46045</v>
      </c>
      <c r="F2808" s="2">
        <v>27</v>
      </c>
      <c r="G2808" s="3" t="s">
        <v>23</v>
      </c>
      <c r="H2808">
        <v>16</v>
      </c>
      <c r="I2808" s="2">
        <v>0</v>
      </c>
      <c r="J2808" s="2">
        <v>0</v>
      </c>
      <c r="K2808" s="2">
        <v>1</v>
      </c>
      <c r="L2808" s="2">
        <v>0</v>
      </c>
      <c r="M2808">
        <v>0</v>
      </c>
      <c r="N2808">
        <v>0</v>
      </c>
      <c r="O2808" s="2">
        <v>0</v>
      </c>
      <c r="P2808" s="2">
        <v>0</v>
      </c>
      <c r="Q2808">
        <v>0</v>
      </c>
      <c r="R2808" s="2">
        <v>0</v>
      </c>
      <c r="S2808" s="2">
        <v>0</v>
      </c>
      <c r="T2808" t="s">
        <v>1408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</row>
    <row r="2809" spans="1:28" hidden="1" x14ac:dyDescent="0.25">
      <c r="A2809" t="s">
        <v>47</v>
      </c>
      <c r="B2809" t="s">
        <v>21</v>
      </c>
      <c r="C2809" t="s">
        <v>1370</v>
      </c>
      <c r="D2809" s="1">
        <v>46045</v>
      </c>
      <c r="E2809" s="1">
        <v>46045</v>
      </c>
      <c r="F2809" s="2">
        <v>27</v>
      </c>
      <c r="G2809" s="3" t="s">
        <v>23</v>
      </c>
      <c r="H2809">
        <f>16+1+1</f>
        <v>18</v>
      </c>
      <c r="I2809" s="2">
        <v>0</v>
      </c>
      <c r="J2809" s="2">
        <v>0</v>
      </c>
      <c r="K2809" s="2">
        <v>1</v>
      </c>
      <c r="L2809" s="2">
        <v>0</v>
      </c>
      <c r="M2809">
        <v>0</v>
      </c>
      <c r="N2809">
        <v>0</v>
      </c>
      <c r="O2809" s="2">
        <v>0</v>
      </c>
      <c r="P2809" s="2">
        <v>0</v>
      </c>
      <c r="Q2809">
        <v>0</v>
      </c>
      <c r="R2809" s="2">
        <v>0</v>
      </c>
      <c r="S2809" s="2">
        <v>0</v>
      </c>
      <c r="T2809" t="s">
        <v>1408</v>
      </c>
      <c r="U2809" s="2">
        <v>0</v>
      </c>
      <c r="V2809" s="2">
        <f>12+22</f>
        <v>34</v>
      </c>
      <c r="W2809" s="2">
        <v>5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</row>
    <row r="2810" spans="1:28" ht="14.25" hidden="1" customHeight="1" x14ac:dyDescent="0.25">
      <c r="A2810" t="s">
        <v>33</v>
      </c>
      <c r="B2810" t="s">
        <v>34</v>
      </c>
      <c r="C2810" t="s">
        <v>35</v>
      </c>
      <c r="D2810" s="1">
        <v>46045</v>
      </c>
      <c r="E2810" s="1">
        <v>46045</v>
      </c>
      <c r="F2810" s="2">
        <v>31</v>
      </c>
      <c r="G2810" s="3" t="s">
        <v>23</v>
      </c>
      <c r="H2810">
        <f>20+20</f>
        <v>40</v>
      </c>
      <c r="I2810" s="2">
        <v>0</v>
      </c>
      <c r="J2810" s="2">
        <v>0</v>
      </c>
      <c r="K2810" s="2">
        <v>1</v>
      </c>
      <c r="L2810" s="2">
        <v>0</v>
      </c>
      <c r="M2810">
        <v>0</v>
      </c>
      <c r="N2810">
        <v>0</v>
      </c>
      <c r="O2810" s="2">
        <v>0</v>
      </c>
      <c r="P2810" s="2">
        <v>0</v>
      </c>
      <c r="Q2810">
        <v>0</v>
      </c>
      <c r="R2810" s="2">
        <v>0</v>
      </c>
      <c r="S2810" s="2">
        <v>0</v>
      </c>
      <c r="T2810" t="s">
        <v>1409</v>
      </c>
      <c r="U2810" s="2">
        <v>0</v>
      </c>
      <c r="V2810" s="2">
        <f>18+2</f>
        <v>20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</row>
    <row r="2811" spans="1:28" hidden="1" x14ac:dyDescent="0.25">
      <c r="A2811" t="s">
        <v>568</v>
      </c>
      <c r="B2811" t="s">
        <v>1160</v>
      </c>
      <c r="C2811" t="s">
        <v>670</v>
      </c>
      <c r="D2811" s="1">
        <v>46045</v>
      </c>
      <c r="E2811" s="1">
        <v>46045</v>
      </c>
      <c r="F2811" s="2">
        <v>95</v>
      </c>
      <c r="G2811" s="3" t="s">
        <v>23</v>
      </c>
      <c r="H2811">
        <f>14+14</f>
        <v>28</v>
      </c>
      <c r="I2811" s="2">
        <v>0</v>
      </c>
      <c r="J2811" s="2">
        <v>0</v>
      </c>
      <c r="K2811" s="2">
        <v>1</v>
      </c>
      <c r="L2811" s="2">
        <v>0</v>
      </c>
      <c r="M2811">
        <v>1</v>
      </c>
      <c r="N2811">
        <v>0</v>
      </c>
      <c r="O2811" s="2">
        <v>0</v>
      </c>
      <c r="P2811" s="2">
        <v>0</v>
      </c>
      <c r="Q2811">
        <v>0</v>
      </c>
      <c r="R2811" s="2">
        <v>0</v>
      </c>
      <c r="S2811" s="2">
        <v>0</v>
      </c>
      <c r="T2811" t="s">
        <v>1410</v>
      </c>
      <c r="U2811" s="2">
        <v>0</v>
      </c>
      <c r="V2811" s="2">
        <v>22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</row>
    <row r="2812" spans="1:28" hidden="1" x14ac:dyDescent="0.25">
      <c r="A2812" t="s">
        <v>63</v>
      </c>
      <c r="B2812" t="s">
        <v>284</v>
      </c>
      <c r="C2812" t="s">
        <v>102</v>
      </c>
      <c r="D2812" s="1">
        <v>46045</v>
      </c>
      <c r="E2812" s="1">
        <v>46045</v>
      </c>
      <c r="F2812" s="13">
        <v>2409</v>
      </c>
      <c r="G2812" s="3" t="s">
        <v>23</v>
      </c>
      <c r="H2812">
        <f>12+4+12+4+1+1</f>
        <v>34</v>
      </c>
      <c r="I2812" s="2">
        <v>0</v>
      </c>
      <c r="J2812" s="2">
        <v>1</v>
      </c>
      <c r="K2812" s="2">
        <v>1</v>
      </c>
      <c r="L2812" s="2">
        <v>0</v>
      </c>
      <c r="M2812">
        <v>0</v>
      </c>
      <c r="N2812">
        <v>0</v>
      </c>
      <c r="O2812" s="2">
        <v>0</v>
      </c>
      <c r="P2812" s="2">
        <v>0</v>
      </c>
      <c r="Q2812">
        <v>1</v>
      </c>
      <c r="R2812" s="2">
        <v>0</v>
      </c>
      <c r="S2812" s="2">
        <v>0</v>
      </c>
      <c r="T2812" t="s">
        <v>1411</v>
      </c>
      <c r="U2812" s="2">
        <v>0</v>
      </c>
      <c r="V2812" s="2">
        <f>12+22</f>
        <v>34</v>
      </c>
      <c r="W2812" s="2">
        <v>5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</row>
    <row r="2813" spans="1:28" hidden="1" x14ac:dyDescent="0.25">
      <c r="A2813" t="s">
        <v>29</v>
      </c>
      <c r="B2813" t="s">
        <v>30</v>
      </c>
      <c r="C2813" t="s">
        <v>102</v>
      </c>
      <c r="D2813" s="1">
        <v>46045</v>
      </c>
      <c r="E2813" s="1">
        <v>46045</v>
      </c>
      <c r="F2813" s="13">
        <v>2409</v>
      </c>
      <c r="G2813" s="3" t="s">
        <v>23</v>
      </c>
      <c r="H2813">
        <f>6+2+6+2</f>
        <v>16</v>
      </c>
      <c r="I2813" s="2">
        <v>0</v>
      </c>
      <c r="J2813" s="2">
        <v>1</v>
      </c>
      <c r="K2813" s="2">
        <v>1</v>
      </c>
      <c r="L2813" s="2">
        <v>0</v>
      </c>
      <c r="M2813">
        <v>0</v>
      </c>
      <c r="N2813">
        <v>0</v>
      </c>
      <c r="O2813" s="2">
        <v>0</v>
      </c>
      <c r="P2813" s="2">
        <v>0</v>
      </c>
      <c r="Q2813">
        <v>0</v>
      </c>
      <c r="R2813" s="2">
        <v>0</v>
      </c>
      <c r="S2813" s="2">
        <v>0</v>
      </c>
      <c r="T2813" t="s">
        <v>1411</v>
      </c>
      <c r="U2813" s="2">
        <v>0</v>
      </c>
      <c r="V2813" s="2">
        <f>20+2+17</f>
        <v>39</v>
      </c>
      <c r="W2813" s="2">
        <v>5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</row>
    <row r="2814" spans="1:28" hidden="1" x14ac:dyDescent="0.25">
      <c r="A2814" t="s">
        <v>25</v>
      </c>
      <c r="B2814" t="s">
        <v>26</v>
      </c>
      <c r="C2814" t="s">
        <v>27</v>
      </c>
      <c r="D2814" s="1">
        <v>46045</v>
      </c>
      <c r="E2814" s="1">
        <v>46045</v>
      </c>
      <c r="F2814" s="2">
        <v>21</v>
      </c>
      <c r="G2814" s="3" t="s">
        <v>23</v>
      </c>
      <c r="H2814">
        <v>0</v>
      </c>
      <c r="I2814" s="2">
        <v>0</v>
      </c>
      <c r="J2814" s="2">
        <v>0</v>
      </c>
      <c r="K2814" s="2">
        <v>0</v>
      </c>
      <c r="L2814" s="2">
        <v>0</v>
      </c>
      <c r="M2814">
        <v>1</v>
      </c>
      <c r="N2814">
        <v>0</v>
      </c>
      <c r="O2814" s="2">
        <v>0</v>
      </c>
      <c r="P2814" s="2">
        <v>0</v>
      </c>
      <c r="Q2814">
        <v>0</v>
      </c>
      <c r="R2814" s="2">
        <v>0</v>
      </c>
      <c r="S2814" s="2">
        <v>0</v>
      </c>
      <c r="T2814" t="s">
        <v>1412</v>
      </c>
      <c r="U2814" s="2">
        <v>0</v>
      </c>
      <c r="V2814" s="2">
        <v>0</v>
      </c>
      <c r="W2814" s="2">
        <f>22+16</f>
        <v>38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</row>
    <row r="2815" spans="1:28" hidden="1" x14ac:dyDescent="0.25">
      <c r="A2815" t="s">
        <v>56</v>
      </c>
      <c r="B2815" t="s">
        <v>57</v>
      </c>
      <c r="C2815" t="s">
        <v>64</v>
      </c>
      <c r="D2815" s="1">
        <v>46045</v>
      </c>
      <c r="E2815" s="1">
        <v>46045</v>
      </c>
      <c r="F2815" s="2">
        <v>35</v>
      </c>
      <c r="G2815" s="3" t="s">
        <v>23</v>
      </c>
      <c r="H2815">
        <v>0</v>
      </c>
      <c r="I2815" s="2">
        <v>0</v>
      </c>
      <c r="J2815" s="2">
        <v>0</v>
      </c>
      <c r="K2815" s="2">
        <v>0</v>
      </c>
      <c r="L2815" s="2">
        <v>0</v>
      </c>
      <c r="M2815">
        <v>1</v>
      </c>
      <c r="N2815">
        <v>0</v>
      </c>
      <c r="O2815" s="2">
        <v>0</v>
      </c>
      <c r="P2815" s="2">
        <v>0</v>
      </c>
      <c r="Q2815">
        <v>0</v>
      </c>
      <c r="R2815" s="2">
        <v>0</v>
      </c>
      <c r="S2815" s="2">
        <v>0</v>
      </c>
      <c r="T2815" t="s">
        <v>1413</v>
      </c>
      <c r="U2815" s="2">
        <v>0</v>
      </c>
      <c r="V2815" s="2">
        <v>22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</row>
    <row r="2816" spans="1:28" hidden="1" x14ac:dyDescent="0.25">
      <c r="A2816" t="s">
        <v>37</v>
      </c>
      <c r="B2816" t="s">
        <v>1323</v>
      </c>
      <c r="C2816" t="s">
        <v>35</v>
      </c>
      <c r="D2816" s="1">
        <v>46045</v>
      </c>
      <c r="E2816" s="1">
        <v>46045</v>
      </c>
      <c r="F2816" s="2">
        <v>21</v>
      </c>
      <c r="G2816" s="3" t="s">
        <v>48</v>
      </c>
      <c r="H2816">
        <v>0</v>
      </c>
      <c r="I2816" s="2">
        <v>0</v>
      </c>
      <c r="J2816" s="2">
        <v>0</v>
      </c>
      <c r="K2816" s="2">
        <v>0</v>
      </c>
      <c r="L2816" s="2">
        <v>0</v>
      </c>
      <c r="M2816">
        <v>0</v>
      </c>
      <c r="N2816">
        <v>0</v>
      </c>
      <c r="O2816" s="2">
        <v>0</v>
      </c>
      <c r="P2816" s="2">
        <v>0</v>
      </c>
      <c r="Q2816">
        <v>0</v>
      </c>
      <c r="R2816" s="2">
        <v>0</v>
      </c>
      <c r="S2816" s="2">
        <v>0</v>
      </c>
      <c r="T2816" t="s">
        <v>1125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</row>
    <row r="2817" spans="1:28" hidden="1" x14ac:dyDescent="0.25">
      <c r="A2817" t="s">
        <v>20</v>
      </c>
      <c r="B2817" t="s">
        <v>47</v>
      </c>
      <c r="C2817" t="s">
        <v>35</v>
      </c>
      <c r="D2817" s="1">
        <v>46045</v>
      </c>
      <c r="E2817" s="1">
        <v>46045</v>
      </c>
      <c r="F2817" s="2">
        <v>21</v>
      </c>
      <c r="G2817" s="3" t="s">
        <v>48</v>
      </c>
      <c r="H2817">
        <v>0</v>
      </c>
      <c r="I2817" s="2">
        <v>0</v>
      </c>
      <c r="J2817" s="2">
        <v>0</v>
      </c>
      <c r="K2817" s="2">
        <v>0</v>
      </c>
      <c r="L2817" s="2">
        <v>0</v>
      </c>
      <c r="M2817">
        <v>0</v>
      </c>
      <c r="N2817">
        <v>0</v>
      </c>
      <c r="O2817" s="2">
        <v>0</v>
      </c>
      <c r="P2817" s="2">
        <v>0</v>
      </c>
      <c r="Q2817">
        <v>0</v>
      </c>
      <c r="R2817" s="2">
        <v>0</v>
      </c>
      <c r="S2817" s="2">
        <v>0</v>
      </c>
      <c r="T2817" t="s">
        <v>1125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</row>
    <row r="2818" spans="1:28" hidden="1" x14ac:dyDescent="0.25">
      <c r="A2818" t="s">
        <v>47</v>
      </c>
      <c r="B2818" t="s">
        <v>52</v>
      </c>
      <c r="C2818" t="s">
        <v>35</v>
      </c>
      <c r="D2818" s="1">
        <v>46045</v>
      </c>
      <c r="E2818" s="1">
        <v>46045</v>
      </c>
      <c r="F2818" s="2">
        <v>21</v>
      </c>
      <c r="G2818" s="3" t="s">
        <v>409</v>
      </c>
      <c r="H2818">
        <v>0</v>
      </c>
      <c r="I2818" s="2">
        <v>0</v>
      </c>
      <c r="J2818" s="2">
        <v>0</v>
      </c>
      <c r="K2818" s="2">
        <v>0</v>
      </c>
      <c r="L2818" s="2">
        <v>0</v>
      </c>
      <c r="M2818">
        <v>0</v>
      </c>
      <c r="N2818">
        <v>0</v>
      </c>
      <c r="O2818" s="2">
        <v>0</v>
      </c>
      <c r="P2818" s="2">
        <v>0</v>
      </c>
      <c r="Q2818">
        <v>0</v>
      </c>
      <c r="R2818" s="2">
        <v>0</v>
      </c>
      <c r="S2818" s="2">
        <v>0</v>
      </c>
      <c r="T2818" t="s">
        <v>1125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</row>
    <row r="2819" spans="1:28" hidden="1" x14ac:dyDescent="0.25">
      <c r="A2819" t="s">
        <v>53</v>
      </c>
      <c r="B2819" t="s">
        <v>38</v>
      </c>
      <c r="C2819" t="s">
        <v>195</v>
      </c>
      <c r="D2819" s="9">
        <v>46046</v>
      </c>
      <c r="E2819" s="9">
        <v>46046</v>
      </c>
      <c r="F2819" s="2">
        <v>174</v>
      </c>
      <c r="G2819" s="3" t="s">
        <v>23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>
        <v>0</v>
      </c>
      <c r="N2819">
        <v>0</v>
      </c>
      <c r="O2819" s="2">
        <v>1</v>
      </c>
      <c r="P2819" s="2">
        <v>0</v>
      </c>
      <c r="Q2819">
        <v>3</v>
      </c>
      <c r="R2819" s="2">
        <v>1</v>
      </c>
      <c r="S2819" s="2">
        <v>0</v>
      </c>
      <c r="T2819" t="s">
        <v>1414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</row>
    <row r="2820" spans="1:28" hidden="1" x14ac:dyDescent="0.25">
      <c r="A2820" t="s">
        <v>20</v>
      </c>
      <c r="B2820" t="s">
        <v>21</v>
      </c>
      <c r="C2820" t="s">
        <v>1370</v>
      </c>
      <c r="D2820" s="9">
        <v>46046</v>
      </c>
      <c r="E2820" s="9">
        <v>46046</v>
      </c>
      <c r="F2820" s="2">
        <v>35</v>
      </c>
      <c r="G2820" s="3" t="s">
        <v>23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>
        <v>0</v>
      </c>
      <c r="N2820">
        <v>0</v>
      </c>
      <c r="O2820" s="2">
        <v>1</v>
      </c>
      <c r="P2820" s="2">
        <v>0</v>
      </c>
      <c r="Q2820">
        <v>6</v>
      </c>
      <c r="R2820" s="2">
        <v>1</v>
      </c>
      <c r="S2820" s="2">
        <v>0</v>
      </c>
      <c r="T2820" t="s">
        <v>1415</v>
      </c>
      <c r="U2820" s="2">
        <v>23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1</v>
      </c>
      <c r="AB2820" s="2">
        <v>0</v>
      </c>
    </row>
    <row r="2821" spans="1:28" hidden="1" x14ac:dyDescent="0.25">
      <c r="A2821" t="s">
        <v>193</v>
      </c>
      <c r="B2821" t="s">
        <v>1237</v>
      </c>
      <c r="C2821" t="s">
        <v>195</v>
      </c>
      <c r="D2821" s="9">
        <v>46046</v>
      </c>
      <c r="E2821" s="9">
        <v>46046</v>
      </c>
      <c r="F2821" s="2">
        <v>174</v>
      </c>
      <c r="G2821" s="3" t="s">
        <v>23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>
        <v>0</v>
      </c>
      <c r="N2821">
        <v>0</v>
      </c>
      <c r="O2821" s="2">
        <v>1</v>
      </c>
      <c r="P2821" s="2">
        <v>0</v>
      </c>
      <c r="Q2821">
        <v>0</v>
      </c>
      <c r="R2821" s="2">
        <v>1</v>
      </c>
      <c r="S2821" s="2">
        <v>0</v>
      </c>
      <c r="T2821" t="s">
        <v>1414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</row>
    <row r="2822" spans="1:28" hidden="1" x14ac:dyDescent="0.25">
      <c r="A2822" t="s">
        <v>568</v>
      </c>
      <c r="B2822" t="s">
        <v>1323</v>
      </c>
      <c r="C2822" t="s">
        <v>670</v>
      </c>
      <c r="D2822" s="9">
        <v>46046</v>
      </c>
      <c r="E2822" s="9">
        <v>46046</v>
      </c>
      <c r="F2822" s="2">
        <v>97</v>
      </c>
      <c r="G2822" s="3" t="s">
        <v>23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>
        <v>0</v>
      </c>
      <c r="N2822">
        <v>0</v>
      </c>
      <c r="O2822" s="2">
        <v>1</v>
      </c>
      <c r="P2822" s="2">
        <v>0</v>
      </c>
      <c r="Q2822">
        <v>0</v>
      </c>
      <c r="R2822" s="2">
        <v>1</v>
      </c>
      <c r="S2822" s="2">
        <v>0</v>
      </c>
      <c r="T2822" t="s">
        <v>1416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</row>
    <row r="2823" spans="1:28" hidden="1" x14ac:dyDescent="0.25">
      <c r="A2823" t="s">
        <v>63</v>
      </c>
      <c r="B2823" t="s">
        <v>284</v>
      </c>
      <c r="C2823" t="s">
        <v>102</v>
      </c>
      <c r="D2823" s="9">
        <v>46046</v>
      </c>
      <c r="E2823" s="9">
        <v>46046</v>
      </c>
      <c r="F2823" s="2">
        <v>26</v>
      </c>
      <c r="G2823" s="3" t="s">
        <v>23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>
        <v>0</v>
      </c>
      <c r="N2823">
        <v>0</v>
      </c>
      <c r="O2823" s="2">
        <v>1</v>
      </c>
      <c r="P2823" s="2">
        <v>0</v>
      </c>
      <c r="Q2823">
        <v>0</v>
      </c>
      <c r="R2823" s="2">
        <v>1</v>
      </c>
      <c r="S2823" s="2">
        <v>0</v>
      </c>
      <c r="T2823" t="s">
        <v>1417</v>
      </c>
      <c r="U2823" s="2">
        <v>14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</row>
    <row r="2824" spans="1:28" hidden="1" x14ac:dyDescent="0.25">
      <c r="A2824" t="s">
        <v>29</v>
      </c>
      <c r="B2824" t="s">
        <v>30</v>
      </c>
      <c r="C2824" t="s">
        <v>31</v>
      </c>
      <c r="D2824" s="9">
        <v>46046</v>
      </c>
      <c r="E2824" s="9">
        <v>46046</v>
      </c>
      <c r="F2824" s="2">
        <v>25</v>
      </c>
      <c r="G2824" s="3" t="s">
        <v>23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>
        <v>0</v>
      </c>
      <c r="N2824">
        <v>0</v>
      </c>
      <c r="O2824" s="2">
        <v>1</v>
      </c>
      <c r="P2824" s="2">
        <v>0</v>
      </c>
      <c r="Q2824">
        <v>0</v>
      </c>
      <c r="R2824" s="2">
        <v>1</v>
      </c>
      <c r="S2824" s="2">
        <v>0</v>
      </c>
      <c r="T2824" t="s">
        <v>1418</v>
      </c>
      <c r="U2824" s="2">
        <v>18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</row>
    <row r="2825" spans="1:28" hidden="1" x14ac:dyDescent="0.25">
      <c r="A2825" t="s">
        <v>37</v>
      </c>
      <c r="B2825" t="s">
        <v>1160</v>
      </c>
      <c r="C2825" t="s">
        <v>35</v>
      </c>
      <c r="D2825" s="9">
        <v>46046</v>
      </c>
      <c r="E2825" s="9">
        <v>46046</v>
      </c>
      <c r="F2825" s="2">
        <v>21</v>
      </c>
      <c r="G2825" s="3" t="s">
        <v>378</v>
      </c>
      <c r="H2825">
        <v>0</v>
      </c>
      <c r="I2825" s="2">
        <v>0</v>
      </c>
      <c r="J2825" s="2">
        <v>0</v>
      </c>
      <c r="K2825" s="2">
        <v>0</v>
      </c>
      <c r="L2825" s="2">
        <v>0</v>
      </c>
      <c r="M2825">
        <v>0</v>
      </c>
      <c r="N2825">
        <v>0</v>
      </c>
      <c r="O2825" s="2">
        <v>0</v>
      </c>
      <c r="P2825" s="2">
        <v>0</v>
      </c>
      <c r="Q2825">
        <v>0</v>
      </c>
      <c r="R2825" s="2">
        <v>0</v>
      </c>
      <c r="S2825" s="2">
        <v>0</v>
      </c>
      <c r="T2825" t="s">
        <v>1125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</row>
    <row r="2826" spans="1:28" hidden="1" x14ac:dyDescent="0.25">
      <c r="A2826" t="s">
        <v>25</v>
      </c>
      <c r="B2826" t="s">
        <v>26</v>
      </c>
      <c r="C2826" t="s">
        <v>35</v>
      </c>
      <c r="D2826" s="9">
        <v>46046</v>
      </c>
      <c r="E2826" s="9">
        <v>46046</v>
      </c>
      <c r="F2826" s="2">
        <v>21</v>
      </c>
      <c r="G2826" s="3" t="s">
        <v>378</v>
      </c>
      <c r="H2826">
        <v>0</v>
      </c>
      <c r="I2826" s="2">
        <v>0</v>
      </c>
      <c r="J2826" s="2">
        <v>0</v>
      </c>
      <c r="K2826" s="2">
        <v>0</v>
      </c>
      <c r="L2826" s="2">
        <v>0</v>
      </c>
      <c r="M2826">
        <v>0</v>
      </c>
      <c r="N2826">
        <v>0</v>
      </c>
      <c r="O2826" s="2">
        <v>0</v>
      </c>
      <c r="P2826" s="2">
        <v>0</v>
      </c>
      <c r="Q2826">
        <v>0</v>
      </c>
      <c r="R2826" s="2">
        <v>0</v>
      </c>
      <c r="S2826" s="2">
        <v>0</v>
      </c>
      <c r="T2826" t="s">
        <v>1125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</row>
    <row r="2827" spans="1:28" hidden="1" x14ac:dyDescent="0.25">
      <c r="A2827" t="s">
        <v>33</v>
      </c>
      <c r="B2827" t="s">
        <v>34</v>
      </c>
      <c r="C2827" t="s">
        <v>35</v>
      </c>
      <c r="D2827" s="9">
        <v>46046</v>
      </c>
      <c r="E2827" s="9">
        <v>46046</v>
      </c>
      <c r="F2827" s="2">
        <v>21</v>
      </c>
      <c r="G2827" s="3" t="s">
        <v>378</v>
      </c>
      <c r="H2827">
        <v>0</v>
      </c>
      <c r="I2827" s="2">
        <v>0</v>
      </c>
      <c r="J2827" s="2">
        <v>0</v>
      </c>
      <c r="K2827" s="2">
        <v>0</v>
      </c>
      <c r="L2827" s="2">
        <v>0</v>
      </c>
      <c r="M2827">
        <v>0</v>
      </c>
      <c r="N2827">
        <v>0</v>
      </c>
      <c r="O2827" s="2">
        <v>0</v>
      </c>
      <c r="P2827" s="2">
        <v>0</v>
      </c>
      <c r="Q2827">
        <v>0</v>
      </c>
      <c r="R2827" s="2">
        <v>0</v>
      </c>
      <c r="S2827" s="2">
        <v>0</v>
      </c>
      <c r="T2827" t="s">
        <v>1125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</row>
    <row r="2828" spans="1:28" hidden="1" x14ac:dyDescent="0.25">
      <c r="A2828" t="s">
        <v>56</v>
      </c>
      <c r="B2828" t="s">
        <v>57</v>
      </c>
      <c r="C2828" t="s">
        <v>35</v>
      </c>
      <c r="D2828" s="9">
        <v>46046</v>
      </c>
      <c r="E2828" s="9">
        <v>46046</v>
      </c>
      <c r="F2828" s="2">
        <v>21</v>
      </c>
      <c r="G2828" s="3" t="s">
        <v>378</v>
      </c>
      <c r="H2828">
        <v>0</v>
      </c>
      <c r="I2828" s="2">
        <v>0</v>
      </c>
      <c r="J2828" s="2">
        <v>0</v>
      </c>
      <c r="K2828" s="2">
        <v>0</v>
      </c>
      <c r="L2828" s="2">
        <v>0</v>
      </c>
      <c r="M2828">
        <v>0</v>
      </c>
      <c r="N2828">
        <v>0</v>
      </c>
      <c r="O2828" s="2">
        <v>0</v>
      </c>
      <c r="P2828" s="2">
        <v>0</v>
      </c>
      <c r="Q2828">
        <v>0</v>
      </c>
      <c r="R2828" s="2">
        <v>0</v>
      </c>
      <c r="S2828" s="2">
        <v>0</v>
      </c>
      <c r="T2828" t="s">
        <v>1125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</row>
    <row r="2829" spans="1:28" hidden="1" x14ac:dyDescent="0.25">
      <c r="A2829" t="s">
        <v>730</v>
      </c>
      <c r="B2829" t="s">
        <v>47</v>
      </c>
      <c r="C2829" t="s">
        <v>35</v>
      </c>
      <c r="D2829" s="9">
        <v>46046</v>
      </c>
      <c r="E2829" s="9">
        <v>46046</v>
      </c>
      <c r="F2829" s="2">
        <v>21</v>
      </c>
      <c r="G2829" s="3" t="s">
        <v>378</v>
      </c>
      <c r="H2829">
        <v>0</v>
      </c>
      <c r="I2829" s="2">
        <v>0</v>
      </c>
      <c r="J2829" s="2">
        <v>0</v>
      </c>
      <c r="K2829" s="2">
        <v>0</v>
      </c>
      <c r="L2829" s="2">
        <v>0</v>
      </c>
      <c r="M2829">
        <v>0</v>
      </c>
      <c r="N2829">
        <v>0</v>
      </c>
      <c r="O2829" s="2">
        <v>0</v>
      </c>
      <c r="P2829" s="2">
        <v>0</v>
      </c>
      <c r="Q2829">
        <v>0</v>
      </c>
      <c r="R2829" s="2">
        <v>0</v>
      </c>
      <c r="S2829" s="2">
        <v>0</v>
      </c>
      <c r="T2829" t="s">
        <v>1125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</row>
    <row r="2830" spans="1:28" hidden="1" x14ac:dyDescent="0.25">
      <c r="A2830" t="s">
        <v>47</v>
      </c>
      <c r="B2830" t="s">
        <v>52</v>
      </c>
      <c r="C2830" t="s">
        <v>35</v>
      </c>
      <c r="D2830" s="9">
        <v>46046</v>
      </c>
      <c r="E2830" s="9">
        <v>46046</v>
      </c>
      <c r="F2830" s="2">
        <v>21</v>
      </c>
      <c r="G2830" s="3" t="s">
        <v>378</v>
      </c>
      <c r="H2830">
        <v>0</v>
      </c>
      <c r="I2830" s="2">
        <v>0</v>
      </c>
      <c r="J2830" s="2">
        <v>0</v>
      </c>
      <c r="K2830" s="2">
        <v>0</v>
      </c>
      <c r="L2830" s="2">
        <v>0</v>
      </c>
      <c r="M2830">
        <v>0</v>
      </c>
      <c r="N2830">
        <v>0</v>
      </c>
      <c r="O2830" s="2">
        <v>0</v>
      </c>
      <c r="P2830" s="2">
        <v>0</v>
      </c>
      <c r="Q2830">
        <v>0</v>
      </c>
      <c r="R2830" s="2">
        <v>0</v>
      </c>
      <c r="S2830" s="2">
        <v>0</v>
      </c>
      <c r="T2830" t="s">
        <v>1125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</row>
    <row r="2831" spans="1:28" hidden="1" x14ac:dyDescent="0.25">
      <c r="A2831" t="s">
        <v>53</v>
      </c>
      <c r="B2831" t="s">
        <v>38</v>
      </c>
      <c r="C2831" t="s">
        <v>1370</v>
      </c>
      <c r="D2831" s="9">
        <v>46047</v>
      </c>
      <c r="E2831" s="9">
        <v>46047</v>
      </c>
      <c r="F2831" s="2">
        <v>40</v>
      </c>
      <c r="G2831" s="3" t="s">
        <v>23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>
        <v>1</v>
      </c>
      <c r="N2831">
        <v>0</v>
      </c>
      <c r="O2831" s="2">
        <v>0</v>
      </c>
      <c r="P2831" s="2">
        <v>1</v>
      </c>
      <c r="Q2831">
        <v>7</v>
      </c>
      <c r="R2831" s="2">
        <v>0</v>
      </c>
      <c r="S2831" s="2">
        <v>1</v>
      </c>
      <c r="T2831" t="s">
        <v>1419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1</v>
      </c>
    </row>
    <row r="2832" spans="1:28" hidden="1" x14ac:dyDescent="0.25">
      <c r="A2832" t="s">
        <v>20</v>
      </c>
      <c r="B2832" t="s">
        <v>21</v>
      </c>
      <c r="C2832" t="s">
        <v>1370</v>
      </c>
      <c r="D2832" s="9">
        <v>46047</v>
      </c>
      <c r="E2832" s="9">
        <v>46047</v>
      </c>
      <c r="F2832" s="2">
        <v>40</v>
      </c>
      <c r="G2832" s="3" t="s">
        <v>23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>
        <v>1</v>
      </c>
      <c r="N2832">
        <v>0</v>
      </c>
      <c r="O2832" s="2">
        <v>0</v>
      </c>
      <c r="P2832" s="2">
        <v>1</v>
      </c>
      <c r="Q2832">
        <v>1</v>
      </c>
      <c r="R2832" s="2">
        <v>0</v>
      </c>
      <c r="S2832" s="2">
        <v>1</v>
      </c>
      <c r="T2832" t="s">
        <v>1419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</row>
    <row r="2833" spans="1:28" hidden="1" x14ac:dyDescent="0.25">
      <c r="A2833" t="s">
        <v>193</v>
      </c>
      <c r="B2833" t="s">
        <v>1237</v>
      </c>
      <c r="C2833" t="s">
        <v>1370</v>
      </c>
      <c r="D2833" s="9">
        <v>46047</v>
      </c>
      <c r="E2833" s="9">
        <v>46047</v>
      </c>
      <c r="F2833" s="2">
        <v>40</v>
      </c>
      <c r="G2833" s="3" t="s">
        <v>23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>
        <v>1</v>
      </c>
      <c r="N2833">
        <v>0</v>
      </c>
      <c r="O2833" s="2">
        <v>0</v>
      </c>
      <c r="P2833" s="2">
        <v>1</v>
      </c>
      <c r="Q2833">
        <v>1</v>
      </c>
      <c r="R2833" s="2">
        <v>0</v>
      </c>
      <c r="S2833" s="2">
        <v>1</v>
      </c>
      <c r="T2833" t="s">
        <v>1419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</row>
    <row r="2834" spans="1:28" hidden="1" x14ac:dyDescent="0.25">
      <c r="A2834" t="s">
        <v>568</v>
      </c>
      <c r="B2834" t="s">
        <v>1323</v>
      </c>
      <c r="C2834" t="s">
        <v>1370</v>
      </c>
      <c r="D2834" s="9">
        <v>46047</v>
      </c>
      <c r="E2834" s="9">
        <v>46047</v>
      </c>
      <c r="F2834" s="2">
        <v>40</v>
      </c>
      <c r="G2834" s="3" t="s">
        <v>23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>
        <v>1</v>
      </c>
      <c r="N2834">
        <v>0</v>
      </c>
      <c r="O2834" s="2">
        <v>0</v>
      </c>
      <c r="P2834" s="2">
        <v>1</v>
      </c>
      <c r="Q2834">
        <v>1</v>
      </c>
      <c r="R2834" s="2">
        <v>0</v>
      </c>
      <c r="S2834" s="2">
        <v>1</v>
      </c>
      <c r="T2834" t="s">
        <v>1419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</row>
    <row r="2835" spans="1:28" hidden="1" x14ac:dyDescent="0.25">
      <c r="A2835" t="s">
        <v>63</v>
      </c>
      <c r="B2835" t="s">
        <v>284</v>
      </c>
      <c r="C2835" t="s">
        <v>102</v>
      </c>
      <c r="D2835" s="9">
        <v>46047</v>
      </c>
      <c r="E2835" s="9">
        <v>46047</v>
      </c>
      <c r="F2835" s="2">
        <v>25</v>
      </c>
      <c r="G2835" s="3" t="s">
        <v>23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>
        <v>1</v>
      </c>
      <c r="N2835">
        <v>0</v>
      </c>
      <c r="O2835" s="2">
        <v>0</v>
      </c>
      <c r="P2835" s="2">
        <v>1</v>
      </c>
      <c r="Q2835">
        <v>2</v>
      </c>
      <c r="R2835" s="2">
        <v>0</v>
      </c>
      <c r="S2835" s="2">
        <v>1</v>
      </c>
      <c r="T2835" t="s">
        <v>1420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</row>
    <row r="2836" spans="1:28" hidden="1" x14ac:dyDescent="0.25">
      <c r="A2836" t="s">
        <v>29</v>
      </c>
      <c r="B2836" t="s">
        <v>30</v>
      </c>
      <c r="C2836" t="s">
        <v>102</v>
      </c>
      <c r="D2836" s="9">
        <v>46047</v>
      </c>
      <c r="E2836" s="9">
        <v>46047</v>
      </c>
      <c r="F2836" s="2">
        <v>25</v>
      </c>
      <c r="G2836" s="3" t="s">
        <v>23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>
        <v>1</v>
      </c>
      <c r="N2836">
        <v>0</v>
      </c>
      <c r="O2836" s="2">
        <v>0</v>
      </c>
      <c r="P2836" s="2">
        <v>1</v>
      </c>
      <c r="Q2836">
        <v>2</v>
      </c>
      <c r="R2836" s="2">
        <v>0</v>
      </c>
      <c r="S2836" s="2">
        <v>1</v>
      </c>
      <c r="T2836" t="s">
        <v>1420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</row>
    <row r="2837" spans="1:28" hidden="1" x14ac:dyDescent="0.25">
      <c r="A2837" t="s">
        <v>37</v>
      </c>
      <c r="B2837" t="s">
        <v>1160</v>
      </c>
      <c r="C2837" t="s">
        <v>35</v>
      </c>
      <c r="D2837" s="9">
        <v>46047</v>
      </c>
      <c r="E2837" s="9">
        <v>46047</v>
      </c>
      <c r="F2837" s="2">
        <v>21</v>
      </c>
      <c r="G2837" s="3" t="s">
        <v>378</v>
      </c>
      <c r="H2837">
        <v>0</v>
      </c>
      <c r="I2837" s="2">
        <v>0</v>
      </c>
      <c r="J2837" s="2">
        <v>0</v>
      </c>
      <c r="K2837" s="2">
        <v>0</v>
      </c>
      <c r="L2837" s="2">
        <v>0</v>
      </c>
      <c r="M2837">
        <v>0</v>
      </c>
      <c r="N2837">
        <v>0</v>
      </c>
      <c r="O2837" s="2">
        <v>0</v>
      </c>
      <c r="P2837" s="2">
        <v>0</v>
      </c>
      <c r="Q2837">
        <v>0</v>
      </c>
      <c r="R2837" s="2">
        <v>0</v>
      </c>
      <c r="S2837" s="2">
        <v>0</v>
      </c>
      <c r="T2837" t="s">
        <v>1125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 hidden="1" x14ac:dyDescent="0.25">
      <c r="A2838" t="s">
        <v>25</v>
      </c>
      <c r="B2838" t="s">
        <v>26</v>
      </c>
      <c r="C2838" t="s">
        <v>35</v>
      </c>
      <c r="D2838" s="9">
        <v>46047</v>
      </c>
      <c r="E2838" s="9">
        <v>46047</v>
      </c>
      <c r="F2838" s="2">
        <v>21</v>
      </c>
      <c r="G2838" s="3" t="s">
        <v>378</v>
      </c>
      <c r="H2838">
        <v>0</v>
      </c>
      <c r="I2838" s="2">
        <v>0</v>
      </c>
      <c r="J2838" s="2">
        <v>0</v>
      </c>
      <c r="K2838" s="2">
        <v>0</v>
      </c>
      <c r="L2838" s="2">
        <v>0</v>
      </c>
      <c r="M2838">
        <v>0</v>
      </c>
      <c r="N2838">
        <v>0</v>
      </c>
      <c r="O2838" s="2">
        <v>0</v>
      </c>
      <c r="P2838" s="2">
        <v>0</v>
      </c>
      <c r="Q2838">
        <v>0</v>
      </c>
      <c r="R2838" s="2">
        <v>0</v>
      </c>
      <c r="S2838" s="2">
        <v>0</v>
      </c>
      <c r="T2838" t="s">
        <v>1125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hidden="1" x14ac:dyDescent="0.25">
      <c r="A2839" t="s">
        <v>33</v>
      </c>
      <c r="B2839" t="s">
        <v>34</v>
      </c>
      <c r="C2839" t="s">
        <v>35</v>
      </c>
      <c r="D2839" s="9">
        <v>46047</v>
      </c>
      <c r="E2839" s="9">
        <v>46047</v>
      </c>
      <c r="F2839" s="2">
        <v>21</v>
      </c>
      <c r="G2839" s="3" t="s">
        <v>378</v>
      </c>
      <c r="H2839">
        <v>0</v>
      </c>
      <c r="I2839" s="2">
        <v>0</v>
      </c>
      <c r="J2839" s="2">
        <v>0</v>
      </c>
      <c r="K2839" s="2">
        <v>0</v>
      </c>
      <c r="L2839" s="2">
        <v>0</v>
      </c>
      <c r="M2839">
        <v>0</v>
      </c>
      <c r="N2839">
        <v>0</v>
      </c>
      <c r="O2839" s="2">
        <v>0</v>
      </c>
      <c r="P2839" s="2">
        <v>0</v>
      </c>
      <c r="Q2839">
        <v>0</v>
      </c>
      <c r="R2839" s="2">
        <v>0</v>
      </c>
      <c r="S2839" s="2">
        <v>0</v>
      </c>
      <c r="T2839" t="s">
        <v>1125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hidden="1" x14ac:dyDescent="0.25">
      <c r="A2840" t="s">
        <v>56</v>
      </c>
      <c r="B2840" t="s">
        <v>57</v>
      </c>
      <c r="C2840" t="s">
        <v>35</v>
      </c>
      <c r="D2840" s="9">
        <v>46047</v>
      </c>
      <c r="E2840" s="9">
        <v>46047</v>
      </c>
      <c r="F2840" s="2">
        <v>21</v>
      </c>
      <c r="G2840" s="3" t="s">
        <v>378</v>
      </c>
      <c r="H2840">
        <v>0</v>
      </c>
      <c r="I2840" s="2">
        <v>0</v>
      </c>
      <c r="J2840" s="2">
        <v>0</v>
      </c>
      <c r="K2840" s="2">
        <v>0</v>
      </c>
      <c r="L2840" s="2">
        <v>0</v>
      </c>
      <c r="M2840">
        <v>0</v>
      </c>
      <c r="N2840">
        <v>0</v>
      </c>
      <c r="O2840" s="2">
        <v>0</v>
      </c>
      <c r="P2840" s="2">
        <v>0</v>
      </c>
      <c r="Q2840">
        <v>0</v>
      </c>
      <c r="R2840" s="2">
        <v>0</v>
      </c>
      <c r="S2840" s="2">
        <v>0</v>
      </c>
      <c r="T2840" t="s">
        <v>1125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hidden="1" x14ac:dyDescent="0.25">
      <c r="A2841" t="s">
        <v>730</v>
      </c>
      <c r="B2841" t="s">
        <v>47</v>
      </c>
      <c r="C2841" t="s">
        <v>35</v>
      </c>
      <c r="D2841" s="9">
        <v>46047</v>
      </c>
      <c r="E2841" s="9">
        <v>46047</v>
      </c>
      <c r="F2841" s="2">
        <v>21</v>
      </c>
      <c r="G2841" s="3" t="s">
        <v>378</v>
      </c>
      <c r="H2841">
        <v>0</v>
      </c>
      <c r="I2841" s="2">
        <v>0</v>
      </c>
      <c r="J2841" s="2">
        <v>0</v>
      </c>
      <c r="K2841" s="2">
        <v>0</v>
      </c>
      <c r="L2841" s="2">
        <v>0</v>
      </c>
      <c r="M2841">
        <v>0</v>
      </c>
      <c r="N2841">
        <v>0</v>
      </c>
      <c r="O2841" s="2">
        <v>0</v>
      </c>
      <c r="P2841" s="2">
        <v>0</v>
      </c>
      <c r="Q2841">
        <v>0</v>
      </c>
      <c r="R2841" s="2">
        <v>0</v>
      </c>
      <c r="S2841" s="2">
        <v>0</v>
      </c>
      <c r="T2841" t="s">
        <v>1125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hidden="1" x14ac:dyDescent="0.25">
      <c r="A2842" t="s">
        <v>47</v>
      </c>
      <c r="B2842" t="s">
        <v>52</v>
      </c>
      <c r="C2842" t="s">
        <v>35</v>
      </c>
      <c r="D2842" s="9">
        <v>46047</v>
      </c>
      <c r="E2842" s="9">
        <v>46047</v>
      </c>
      <c r="F2842" s="2">
        <v>21</v>
      </c>
      <c r="G2842" s="3" t="s">
        <v>378</v>
      </c>
      <c r="H2842">
        <v>0</v>
      </c>
      <c r="I2842" s="2">
        <v>0</v>
      </c>
      <c r="J2842" s="2">
        <v>0</v>
      </c>
      <c r="K2842" s="2">
        <v>0</v>
      </c>
      <c r="L2842" s="2">
        <v>0</v>
      </c>
      <c r="M2842">
        <v>0</v>
      </c>
      <c r="N2842">
        <v>0</v>
      </c>
      <c r="O2842" s="2">
        <v>0</v>
      </c>
      <c r="P2842" s="2">
        <v>0</v>
      </c>
      <c r="Q2842">
        <v>0</v>
      </c>
      <c r="R2842" s="2">
        <v>0</v>
      </c>
      <c r="S2842" s="2">
        <v>0</v>
      </c>
      <c r="T2842" t="s">
        <v>1125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ht="14.25" hidden="1" customHeight="1" x14ac:dyDescent="0.25">
      <c r="A2843" t="s">
        <v>20</v>
      </c>
      <c r="B2843" t="s">
        <v>21</v>
      </c>
      <c r="C2843" t="s">
        <v>1370</v>
      </c>
      <c r="D2843" s="1">
        <v>46048</v>
      </c>
      <c r="E2843" s="1">
        <v>46048</v>
      </c>
      <c r="F2843" s="2">
        <v>55</v>
      </c>
      <c r="G2843" s="3" t="s">
        <v>23</v>
      </c>
      <c r="H2843">
        <v>5</v>
      </c>
      <c r="I2843" s="2">
        <v>0</v>
      </c>
      <c r="J2843" s="2">
        <v>0</v>
      </c>
      <c r="K2843" s="2">
        <v>0</v>
      </c>
      <c r="L2843" s="2">
        <v>0</v>
      </c>
      <c r="M2843">
        <v>1</v>
      </c>
      <c r="N2843">
        <v>0</v>
      </c>
      <c r="O2843" s="2">
        <v>0</v>
      </c>
      <c r="P2843" s="2">
        <v>0</v>
      </c>
      <c r="Q2843">
        <v>0</v>
      </c>
      <c r="R2843" s="2">
        <v>0</v>
      </c>
      <c r="S2843" s="2">
        <v>0</v>
      </c>
      <c r="T2843" t="s">
        <v>1421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</row>
    <row r="2844" spans="1:28" hidden="1" x14ac:dyDescent="0.25">
      <c r="A2844" t="s">
        <v>25</v>
      </c>
      <c r="B2844" t="s">
        <v>26</v>
      </c>
      <c r="C2844" t="s">
        <v>27</v>
      </c>
      <c r="D2844" s="1">
        <v>46048</v>
      </c>
      <c r="E2844" s="1">
        <v>46048</v>
      </c>
      <c r="F2844" s="2">
        <v>19</v>
      </c>
      <c r="G2844" s="3" t="s">
        <v>23</v>
      </c>
      <c r="H2844">
        <v>12</v>
      </c>
      <c r="I2844" s="2">
        <v>0</v>
      </c>
      <c r="J2844" s="2">
        <v>0</v>
      </c>
      <c r="K2844" s="2">
        <v>0</v>
      </c>
      <c r="L2844" s="2">
        <v>0</v>
      </c>
      <c r="M2844">
        <v>0</v>
      </c>
      <c r="N2844">
        <v>0</v>
      </c>
      <c r="O2844" s="2">
        <v>0</v>
      </c>
      <c r="P2844" s="2">
        <v>0</v>
      </c>
      <c r="Q2844">
        <v>0</v>
      </c>
      <c r="R2844" s="2">
        <v>0</v>
      </c>
      <c r="S2844" s="2">
        <v>0</v>
      </c>
      <c r="T2844" t="s">
        <v>1422</v>
      </c>
      <c r="U2844" s="2">
        <v>0</v>
      </c>
      <c r="V2844" s="2">
        <v>3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</row>
    <row r="2845" spans="1:28" hidden="1" x14ac:dyDescent="0.25">
      <c r="A2845" t="s">
        <v>37</v>
      </c>
      <c r="B2845" t="s">
        <v>57</v>
      </c>
      <c r="C2845" t="s">
        <v>39</v>
      </c>
      <c r="D2845" s="1">
        <v>46048</v>
      </c>
      <c r="E2845" s="1">
        <v>46048</v>
      </c>
      <c r="F2845" s="2">
        <v>15</v>
      </c>
      <c r="G2845" s="3" t="s">
        <v>23</v>
      </c>
      <c r="H2845">
        <v>11</v>
      </c>
      <c r="I2845" s="2">
        <v>0</v>
      </c>
      <c r="J2845" s="2">
        <v>0</v>
      </c>
      <c r="K2845" s="2">
        <v>0</v>
      </c>
      <c r="L2845" s="2">
        <v>0</v>
      </c>
      <c r="M2845">
        <v>0</v>
      </c>
      <c r="N2845">
        <v>0</v>
      </c>
      <c r="O2845" s="2">
        <v>0</v>
      </c>
      <c r="P2845" s="2">
        <v>0</v>
      </c>
      <c r="Q2845">
        <v>0</v>
      </c>
      <c r="R2845" s="2">
        <v>0</v>
      </c>
      <c r="S2845" s="2">
        <v>0</v>
      </c>
      <c r="T2845" t="s">
        <v>1423</v>
      </c>
      <c r="U2845" s="2">
        <v>0</v>
      </c>
      <c r="V2845" s="2">
        <v>6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</row>
    <row r="2846" spans="1:28" hidden="1" x14ac:dyDescent="0.25">
      <c r="A2846" t="s">
        <v>29</v>
      </c>
      <c r="B2846" t="s">
        <v>30</v>
      </c>
      <c r="C2846" t="s">
        <v>39</v>
      </c>
      <c r="D2846" s="1">
        <v>46048</v>
      </c>
      <c r="E2846" s="1">
        <v>46048</v>
      </c>
      <c r="F2846" s="2">
        <v>15</v>
      </c>
      <c r="G2846" s="3" t="s">
        <v>23</v>
      </c>
      <c r="H2846">
        <v>13</v>
      </c>
      <c r="I2846" s="2">
        <v>0</v>
      </c>
      <c r="J2846" s="2">
        <v>0</v>
      </c>
      <c r="K2846" s="2">
        <v>0</v>
      </c>
      <c r="L2846" s="2">
        <v>0</v>
      </c>
      <c r="M2846">
        <v>0</v>
      </c>
      <c r="N2846">
        <v>0</v>
      </c>
      <c r="O2846" s="2">
        <v>0</v>
      </c>
      <c r="P2846" s="2">
        <v>0</v>
      </c>
      <c r="Q2846">
        <v>0</v>
      </c>
      <c r="R2846" s="2">
        <v>0</v>
      </c>
      <c r="S2846" s="2">
        <v>0</v>
      </c>
      <c r="T2846" t="s">
        <v>1423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</row>
    <row r="2847" spans="1:28" hidden="1" x14ac:dyDescent="0.25">
      <c r="A2847" t="s">
        <v>63</v>
      </c>
      <c r="B2847" t="s">
        <v>47</v>
      </c>
      <c r="C2847" t="s">
        <v>102</v>
      </c>
      <c r="D2847" s="1">
        <v>46048</v>
      </c>
      <c r="E2847" s="1">
        <v>46048</v>
      </c>
      <c r="F2847" s="2">
        <v>23</v>
      </c>
      <c r="G2847" s="3" t="s">
        <v>23</v>
      </c>
      <c r="H2847">
        <v>0</v>
      </c>
      <c r="I2847" s="2">
        <v>0</v>
      </c>
      <c r="J2847" s="2">
        <v>0</v>
      </c>
      <c r="K2847" s="2">
        <v>0</v>
      </c>
      <c r="L2847" s="2">
        <v>0</v>
      </c>
      <c r="M2847">
        <v>0</v>
      </c>
      <c r="N2847">
        <v>0</v>
      </c>
      <c r="O2847" s="2">
        <v>0</v>
      </c>
      <c r="P2847" s="2">
        <v>0</v>
      </c>
      <c r="Q2847">
        <v>3</v>
      </c>
      <c r="R2847" s="2">
        <v>0</v>
      </c>
      <c r="S2847" s="2">
        <v>0</v>
      </c>
      <c r="T2847" t="s">
        <v>1424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</row>
    <row r="2848" spans="1:28" ht="14.25" hidden="1" customHeight="1" x14ac:dyDescent="0.25">
      <c r="A2848" t="s">
        <v>33</v>
      </c>
      <c r="B2848" t="s">
        <v>47</v>
      </c>
      <c r="C2848" t="s">
        <v>35</v>
      </c>
      <c r="D2848" s="1">
        <v>46048</v>
      </c>
      <c r="E2848" s="1">
        <v>46048</v>
      </c>
      <c r="F2848" s="2">
        <v>32</v>
      </c>
      <c r="G2848" s="3" t="s">
        <v>23</v>
      </c>
      <c r="H2848">
        <v>0</v>
      </c>
      <c r="I2848" s="2">
        <v>0</v>
      </c>
      <c r="J2848" s="2">
        <v>0</v>
      </c>
      <c r="K2848" s="2">
        <v>0</v>
      </c>
      <c r="L2848" s="2">
        <v>0</v>
      </c>
      <c r="M2848">
        <v>0</v>
      </c>
      <c r="N2848">
        <v>0</v>
      </c>
      <c r="O2848" s="2">
        <v>0</v>
      </c>
      <c r="P2848" s="2">
        <v>0</v>
      </c>
      <c r="Q2848">
        <v>1</v>
      </c>
      <c r="R2848" s="2">
        <v>0</v>
      </c>
      <c r="S2848" s="2">
        <v>0</v>
      </c>
      <c r="T2848" t="s">
        <v>1425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</row>
    <row r="2849" spans="1:28" ht="14.25" hidden="1" customHeight="1" x14ac:dyDescent="0.25">
      <c r="A2849" t="s">
        <v>53</v>
      </c>
      <c r="B2849" t="s">
        <v>47</v>
      </c>
      <c r="C2849" t="s">
        <v>35</v>
      </c>
      <c r="D2849" s="1">
        <v>46048</v>
      </c>
      <c r="E2849" s="1">
        <v>46048</v>
      </c>
      <c r="F2849" s="2">
        <v>32</v>
      </c>
      <c r="G2849" s="3" t="s">
        <v>23</v>
      </c>
      <c r="H2849">
        <v>0</v>
      </c>
      <c r="I2849" s="2">
        <v>0</v>
      </c>
      <c r="J2849" s="2">
        <v>0</v>
      </c>
      <c r="K2849" s="2">
        <v>0</v>
      </c>
      <c r="L2849" s="2">
        <v>0</v>
      </c>
      <c r="M2849">
        <v>0</v>
      </c>
      <c r="N2849">
        <v>0</v>
      </c>
      <c r="O2849" s="2">
        <v>0</v>
      </c>
      <c r="P2849" s="2">
        <v>0</v>
      </c>
      <c r="Q2849">
        <v>1</v>
      </c>
      <c r="R2849" s="2">
        <v>0</v>
      </c>
      <c r="S2849" s="2">
        <v>0</v>
      </c>
      <c r="T2849" t="s">
        <v>1425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</row>
    <row r="2850" spans="1:28" hidden="1" x14ac:dyDescent="0.25">
      <c r="A2850" t="s">
        <v>47</v>
      </c>
      <c r="B2850" t="s">
        <v>284</v>
      </c>
      <c r="C2850" t="s">
        <v>102</v>
      </c>
      <c r="D2850" s="1">
        <v>46048</v>
      </c>
      <c r="E2850" s="1">
        <v>46048</v>
      </c>
      <c r="F2850" s="2">
        <v>23</v>
      </c>
      <c r="G2850" s="3" t="s">
        <v>572</v>
      </c>
      <c r="H2850">
        <v>0</v>
      </c>
      <c r="I2850" s="2">
        <v>0</v>
      </c>
      <c r="J2850" s="2">
        <v>0</v>
      </c>
      <c r="K2850" s="2">
        <v>0</v>
      </c>
      <c r="L2850" s="2">
        <v>0</v>
      </c>
      <c r="M2850">
        <v>0</v>
      </c>
      <c r="N2850">
        <v>0</v>
      </c>
      <c r="O2850" s="2">
        <v>0</v>
      </c>
      <c r="P2850" s="2">
        <v>0</v>
      </c>
      <c r="Q2850">
        <v>0</v>
      </c>
      <c r="R2850" s="2">
        <v>0</v>
      </c>
      <c r="S2850" s="2">
        <v>0</v>
      </c>
      <c r="T2850" t="s">
        <v>1424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</row>
    <row r="2851" spans="1:28" hidden="1" x14ac:dyDescent="0.25">
      <c r="A2851" t="s">
        <v>47</v>
      </c>
      <c r="B2851" t="s">
        <v>38</v>
      </c>
      <c r="C2851" t="s">
        <v>102</v>
      </c>
      <c r="D2851" s="1">
        <v>46048</v>
      </c>
      <c r="E2851" s="1">
        <v>46048</v>
      </c>
      <c r="F2851" s="2">
        <v>23</v>
      </c>
      <c r="G2851" s="3" t="s">
        <v>572</v>
      </c>
      <c r="H2851">
        <v>0</v>
      </c>
      <c r="I2851" s="2">
        <v>0</v>
      </c>
      <c r="J2851" s="2">
        <v>0</v>
      </c>
      <c r="K2851" s="2">
        <v>0</v>
      </c>
      <c r="L2851" s="2">
        <v>0</v>
      </c>
      <c r="M2851">
        <v>0</v>
      </c>
      <c r="N2851">
        <v>0</v>
      </c>
      <c r="O2851" s="2">
        <v>0</v>
      </c>
      <c r="P2851" s="2">
        <v>0</v>
      </c>
      <c r="Q2851">
        <v>0</v>
      </c>
      <c r="R2851" s="2">
        <v>0</v>
      </c>
      <c r="S2851" s="2">
        <v>0</v>
      </c>
      <c r="T2851" t="s">
        <v>1424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</row>
    <row r="2852" spans="1:28" hidden="1" x14ac:dyDescent="0.25">
      <c r="A2852" t="s">
        <v>47</v>
      </c>
      <c r="B2852" t="s">
        <v>1323</v>
      </c>
      <c r="C2852" t="s">
        <v>102</v>
      </c>
      <c r="D2852" s="1">
        <v>46048</v>
      </c>
      <c r="E2852" s="1">
        <v>46048</v>
      </c>
      <c r="F2852" s="2">
        <v>23</v>
      </c>
      <c r="G2852" s="3" t="s">
        <v>572</v>
      </c>
      <c r="H2852">
        <v>0</v>
      </c>
      <c r="I2852" s="2">
        <v>0</v>
      </c>
      <c r="J2852" s="2">
        <v>0</v>
      </c>
      <c r="K2852" s="2">
        <v>0</v>
      </c>
      <c r="L2852" s="2">
        <v>0</v>
      </c>
      <c r="M2852">
        <v>0</v>
      </c>
      <c r="N2852">
        <v>0</v>
      </c>
      <c r="O2852" s="2">
        <v>0</v>
      </c>
      <c r="P2852" s="2">
        <v>0</v>
      </c>
      <c r="Q2852">
        <v>0</v>
      </c>
      <c r="R2852" s="2">
        <v>0</v>
      </c>
      <c r="S2852" s="2">
        <v>0</v>
      </c>
      <c r="T2852" t="s">
        <v>1424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</row>
    <row r="2853" spans="1:28" hidden="1" x14ac:dyDescent="0.25">
      <c r="A2853" t="s">
        <v>47</v>
      </c>
      <c r="B2853" t="s">
        <v>34</v>
      </c>
      <c r="C2853" t="s">
        <v>102</v>
      </c>
      <c r="D2853" s="1">
        <v>46048</v>
      </c>
      <c r="E2853" s="1">
        <v>46048</v>
      </c>
      <c r="F2853" s="2">
        <v>23</v>
      </c>
      <c r="G2853" s="3" t="s">
        <v>572</v>
      </c>
      <c r="H2853">
        <v>0</v>
      </c>
      <c r="I2853" s="2">
        <v>0</v>
      </c>
      <c r="J2853" s="2">
        <v>0</v>
      </c>
      <c r="K2853" s="2">
        <v>0</v>
      </c>
      <c r="L2853" s="2">
        <v>0</v>
      </c>
      <c r="M2853">
        <v>0</v>
      </c>
      <c r="N2853">
        <v>0</v>
      </c>
      <c r="O2853" s="2">
        <v>0</v>
      </c>
      <c r="P2853" s="2">
        <v>0</v>
      </c>
      <c r="Q2853">
        <v>0</v>
      </c>
      <c r="R2853" s="2">
        <v>0</v>
      </c>
      <c r="S2853" s="2">
        <v>0</v>
      </c>
      <c r="T2853" t="s">
        <v>1424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</row>
    <row r="2854" spans="1:28" hidden="1" x14ac:dyDescent="0.25">
      <c r="A2854" t="s">
        <v>568</v>
      </c>
      <c r="B2854" t="s">
        <v>1160</v>
      </c>
      <c r="C2854" t="s">
        <v>102</v>
      </c>
      <c r="D2854" s="1">
        <v>46048</v>
      </c>
      <c r="E2854" s="1">
        <v>46048</v>
      </c>
      <c r="F2854" s="2">
        <v>23</v>
      </c>
      <c r="G2854" s="3" t="s">
        <v>572</v>
      </c>
      <c r="H2854">
        <v>0</v>
      </c>
      <c r="I2854" s="2">
        <v>0</v>
      </c>
      <c r="J2854" s="2">
        <v>0</v>
      </c>
      <c r="K2854" s="2">
        <v>0</v>
      </c>
      <c r="L2854" s="2">
        <v>0</v>
      </c>
      <c r="M2854">
        <v>0</v>
      </c>
      <c r="N2854">
        <v>0</v>
      </c>
      <c r="O2854" s="2">
        <v>0</v>
      </c>
      <c r="P2854" s="2">
        <v>0</v>
      </c>
      <c r="Q2854">
        <v>0</v>
      </c>
      <c r="R2854" s="2">
        <v>0</v>
      </c>
      <c r="S2854" s="2">
        <v>0</v>
      </c>
      <c r="T2854" t="s">
        <v>1424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</row>
    <row r="2855" spans="1:28" hidden="1" x14ac:dyDescent="0.25">
      <c r="A2855" t="s">
        <v>56</v>
      </c>
      <c r="B2855" t="s">
        <v>47</v>
      </c>
      <c r="C2855" t="s">
        <v>35</v>
      </c>
      <c r="D2855" s="1">
        <v>46048</v>
      </c>
      <c r="E2855" s="1">
        <v>46048</v>
      </c>
      <c r="F2855" s="2">
        <v>21</v>
      </c>
      <c r="G2855" s="3" t="s">
        <v>129</v>
      </c>
      <c r="H2855">
        <v>0</v>
      </c>
      <c r="I2855" s="2">
        <v>0</v>
      </c>
      <c r="J2855" s="2">
        <v>0</v>
      </c>
      <c r="K2855" s="2">
        <v>0</v>
      </c>
      <c r="L2855" s="2">
        <v>0</v>
      </c>
      <c r="M2855">
        <v>0</v>
      </c>
      <c r="N2855">
        <v>0</v>
      </c>
      <c r="O2855" s="2">
        <v>0</v>
      </c>
      <c r="P2855" s="2">
        <v>0</v>
      </c>
      <c r="Q2855">
        <v>0</v>
      </c>
      <c r="R2855" s="2">
        <v>0</v>
      </c>
      <c r="S2855" s="2">
        <v>0</v>
      </c>
      <c r="T2855" t="s">
        <v>1125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</row>
    <row r="2856" spans="1:28" hidden="1" x14ac:dyDescent="0.25">
      <c r="A2856" t="s">
        <v>730</v>
      </c>
      <c r="B2856" t="s">
        <v>47</v>
      </c>
      <c r="C2856" t="s">
        <v>35</v>
      </c>
      <c r="D2856" s="1">
        <v>46048</v>
      </c>
      <c r="E2856" s="1">
        <v>46048</v>
      </c>
      <c r="F2856" s="2">
        <v>21</v>
      </c>
      <c r="G2856" s="3" t="s">
        <v>409</v>
      </c>
      <c r="H2856">
        <v>0</v>
      </c>
      <c r="I2856" s="2">
        <v>0</v>
      </c>
      <c r="J2856" s="2">
        <v>0</v>
      </c>
      <c r="K2856" s="2">
        <v>0</v>
      </c>
      <c r="L2856" s="2">
        <v>0</v>
      </c>
      <c r="M2856">
        <v>0</v>
      </c>
      <c r="N2856">
        <v>0</v>
      </c>
      <c r="O2856" s="2">
        <v>0</v>
      </c>
      <c r="P2856" s="2">
        <v>0</v>
      </c>
      <c r="Q2856">
        <v>0</v>
      </c>
      <c r="R2856" s="2">
        <v>0</v>
      </c>
      <c r="S2856" s="2">
        <v>0</v>
      </c>
      <c r="T2856" t="s">
        <v>1125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</row>
    <row r="2857" spans="1:28" hidden="1" x14ac:dyDescent="0.25">
      <c r="A2857" t="s">
        <v>47</v>
      </c>
      <c r="B2857" t="s">
        <v>52</v>
      </c>
      <c r="C2857" t="s">
        <v>35</v>
      </c>
      <c r="D2857" s="1">
        <v>46048</v>
      </c>
      <c r="E2857" s="1">
        <v>46048</v>
      </c>
      <c r="F2857" s="2">
        <v>21</v>
      </c>
      <c r="G2857" s="3" t="s">
        <v>409</v>
      </c>
      <c r="H2857">
        <v>0</v>
      </c>
      <c r="I2857" s="2">
        <v>0</v>
      </c>
      <c r="J2857" s="2">
        <v>0</v>
      </c>
      <c r="K2857" s="2">
        <v>0</v>
      </c>
      <c r="L2857" s="2">
        <v>0</v>
      </c>
      <c r="M2857">
        <v>0</v>
      </c>
      <c r="N2857">
        <v>0</v>
      </c>
      <c r="O2857" s="2">
        <v>0</v>
      </c>
      <c r="P2857" s="2">
        <v>0</v>
      </c>
      <c r="Q2857">
        <v>0</v>
      </c>
      <c r="R2857" s="2">
        <v>0</v>
      </c>
      <c r="S2857" s="2">
        <v>0</v>
      </c>
      <c r="T2857" t="s">
        <v>1125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</row>
    <row r="2858" spans="1:28" hidden="1" x14ac:dyDescent="0.25">
      <c r="A2858" t="s">
        <v>20</v>
      </c>
      <c r="B2858" t="s">
        <v>21</v>
      </c>
      <c r="C2858" t="s">
        <v>22</v>
      </c>
      <c r="D2858" s="1">
        <v>46049</v>
      </c>
      <c r="E2858" s="1">
        <v>46049</v>
      </c>
      <c r="F2858" s="2">
        <v>34</v>
      </c>
      <c r="G2858" s="3" t="s">
        <v>23</v>
      </c>
      <c r="H2858">
        <f>7+3+7+3+1+1+2+1+1+1+1+1</f>
        <v>29</v>
      </c>
      <c r="I2858" s="2">
        <v>0</v>
      </c>
      <c r="J2858" s="2">
        <v>0</v>
      </c>
      <c r="K2858" s="2">
        <v>0</v>
      </c>
      <c r="L2858" s="2">
        <v>1</v>
      </c>
      <c r="M2858">
        <v>1</v>
      </c>
      <c r="N2858">
        <v>0</v>
      </c>
      <c r="O2858" s="2">
        <v>0</v>
      </c>
      <c r="P2858" s="2">
        <v>0</v>
      </c>
      <c r="Q2858">
        <v>0</v>
      </c>
      <c r="R2858" s="2">
        <v>0</v>
      </c>
      <c r="S2858" s="2">
        <v>0</v>
      </c>
      <c r="T2858" t="s">
        <v>1426</v>
      </c>
      <c r="U2858" s="2">
        <v>0</v>
      </c>
      <c r="V2858" s="2">
        <f>6+0</f>
        <v>6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</row>
    <row r="2859" spans="1:28" hidden="1" x14ac:dyDescent="0.25">
      <c r="A2859" t="s">
        <v>33</v>
      </c>
      <c r="B2859" t="s">
        <v>34</v>
      </c>
      <c r="C2859" t="s">
        <v>35</v>
      </c>
      <c r="D2859" s="1">
        <v>46049</v>
      </c>
      <c r="E2859" s="1">
        <v>46049</v>
      </c>
      <c r="F2859" s="2">
        <v>45</v>
      </c>
      <c r="G2859" s="3" t="s">
        <v>23</v>
      </c>
      <c r="H2859">
        <f>8+8</f>
        <v>16</v>
      </c>
      <c r="I2859" s="2">
        <v>0</v>
      </c>
      <c r="J2859" s="2">
        <v>0</v>
      </c>
      <c r="K2859" s="2">
        <v>1</v>
      </c>
      <c r="L2859" s="2">
        <v>0</v>
      </c>
      <c r="M2859">
        <v>0</v>
      </c>
      <c r="N2859">
        <v>0</v>
      </c>
      <c r="O2859" s="2">
        <v>0</v>
      </c>
      <c r="P2859" s="2">
        <v>0</v>
      </c>
      <c r="Q2859">
        <v>0</v>
      </c>
      <c r="R2859" s="2">
        <v>0</v>
      </c>
      <c r="S2859" s="2">
        <v>0</v>
      </c>
      <c r="T2859" t="s">
        <v>1427</v>
      </c>
      <c r="U2859" s="2">
        <v>0</v>
      </c>
      <c r="V2859" s="2">
        <f>20+2</f>
        <v>22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</row>
    <row r="2860" spans="1:28" hidden="1" x14ac:dyDescent="0.25">
      <c r="A2860" t="s">
        <v>29</v>
      </c>
      <c r="B2860" t="s">
        <v>30</v>
      </c>
      <c r="C2860" t="s">
        <v>31</v>
      </c>
      <c r="D2860" s="1">
        <v>46049</v>
      </c>
      <c r="E2860" s="1">
        <v>46049</v>
      </c>
      <c r="F2860" s="2">
        <v>19</v>
      </c>
      <c r="G2860" s="3" t="s">
        <v>23</v>
      </c>
      <c r="H2860">
        <f>18+18</f>
        <v>36</v>
      </c>
      <c r="I2860" s="2">
        <v>0</v>
      </c>
      <c r="J2860" s="2">
        <v>0</v>
      </c>
      <c r="K2860" s="2">
        <v>1</v>
      </c>
      <c r="L2860" s="2">
        <v>0</v>
      </c>
      <c r="M2860">
        <v>0</v>
      </c>
      <c r="N2860">
        <v>0</v>
      </c>
      <c r="O2860" s="2">
        <v>0</v>
      </c>
      <c r="P2860" s="2">
        <v>0</v>
      </c>
      <c r="Q2860">
        <v>0</v>
      </c>
      <c r="R2860" s="2">
        <v>0</v>
      </c>
      <c r="S2860" s="2">
        <v>0</v>
      </c>
      <c r="T2860" t="s">
        <v>1428</v>
      </c>
      <c r="U2860" s="2">
        <v>0</v>
      </c>
      <c r="V2860" s="2">
        <f>10+10</f>
        <v>20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</row>
    <row r="2861" spans="1:28" hidden="1" x14ac:dyDescent="0.25">
      <c r="A2861" t="s">
        <v>37</v>
      </c>
      <c r="B2861" t="s">
        <v>57</v>
      </c>
      <c r="C2861" t="s">
        <v>31</v>
      </c>
      <c r="D2861" s="1">
        <v>46049</v>
      </c>
      <c r="E2861" s="1">
        <v>46049</v>
      </c>
      <c r="F2861" s="2">
        <v>19</v>
      </c>
      <c r="G2861" s="3" t="s">
        <v>23</v>
      </c>
      <c r="H2861">
        <f>14+14</f>
        <v>28</v>
      </c>
      <c r="I2861" s="2">
        <v>0</v>
      </c>
      <c r="J2861" s="2">
        <v>0</v>
      </c>
      <c r="K2861" s="2">
        <v>1</v>
      </c>
      <c r="L2861" s="2">
        <v>0</v>
      </c>
      <c r="M2861">
        <v>0</v>
      </c>
      <c r="N2861">
        <v>0</v>
      </c>
      <c r="O2861" s="2">
        <v>0</v>
      </c>
      <c r="P2861" s="2">
        <v>0</v>
      </c>
      <c r="Q2861">
        <v>0</v>
      </c>
      <c r="R2861" s="2">
        <v>0</v>
      </c>
      <c r="S2861" s="2">
        <v>0</v>
      </c>
      <c r="T2861" t="s">
        <v>1428</v>
      </c>
      <c r="U2861" s="2">
        <v>0</v>
      </c>
      <c r="V2861" s="2">
        <f>20+2+10</f>
        <v>32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</row>
    <row r="2862" spans="1:28" hidden="1" x14ac:dyDescent="0.25">
      <c r="A2862" t="s">
        <v>63</v>
      </c>
      <c r="B2862" t="s">
        <v>284</v>
      </c>
      <c r="C2862" t="s">
        <v>102</v>
      </c>
      <c r="D2862" s="1">
        <v>46049</v>
      </c>
      <c r="E2862" s="1">
        <v>46049</v>
      </c>
      <c r="F2862" s="2">
        <v>38</v>
      </c>
      <c r="G2862" s="3" t="s">
        <v>23</v>
      </c>
      <c r="H2862">
        <f>12+4+12+4</f>
        <v>32</v>
      </c>
      <c r="I2862" s="2">
        <v>0</v>
      </c>
      <c r="J2862" s="2">
        <v>0</v>
      </c>
      <c r="K2862" s="2">
        <v>1</v>
      </c>
      <c r="L2862" s="2">
        <v>0</v>
      </c>
      <c r="M2862">
        <v>0</v>
      </c>
      <c r="N2862">
        <v>0</v>
      </c>
      <c r="O2862" s="2">
        <v>0</v>
      </c>
      <c r="P2862" s="2">
        <v>0</v>
      </c>
      <c r="Q2862">
        <v>2</v>
      </c>
      <c r="R2862" s="2">
        <v>0</v>
      </c>
      <c r="S2862" s="2">
        <v>0</v>
      </c>
      <c r="T2862" t="s">
        <v>1429</v>
      </c>
      <c r="U2862" s="2">
        <v>0</v>
      </c>
      <c r="V2862" s="2">
        <v>40</v>
      </c>
      <c r="W2862" s="2">
        <v>2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</row>
    <row r="2863" spans="1:28" hidden="1" x14ac:dyDescent="0.25">
      <c r="A2863" t="s">
        <v>47</v>
      </c>
      <c r="B2863" t="s">
        <v>1323</v>
      </c>
      <c r="C2863" t="s">
        <v>102</v>
      </c>
      <c r="D2863" s="1">
        <v>46049</v>
      </c>
      <c r="E2863" s="1">
        <v>46049</v>
      </c>
      <c r="F2863" s="2">
        <v>38</v>
      </c>
      <c r="G2863" s="3" t="s">
        <v>23</v>
      </c>
      <c r="H2863">
        <f>12+4+12+4</f>
        <v>32</v>
      </c>
      <c r="I2863" s="2">
        <v>0</v>
      </c>
      <c r="J2863" s="2">
        <v>0</v>
      </c>
      <c r="K2863" s="2">
        <v>1</v>
      </c>
      <c r="L2863" s="2">
        <v>0</v>
      </c>
      <c r="M2863">
        <v>0</v>
      </c>
      <c r="N2863">
        <v>0</v>
      </c>
      <c r="O2863" s="2">
        <v>0</v>
      </c>
      <c r="P2863" s="2">
        <v>0</v>
      </c>
      <c r="Q2863">
        <v>2</v>
      </c>
      <c r="R2863" s="2">
        <v>0</v>
      </c>
      <c r="S2863" s="2">
        <v>0</v>
      </c>
      <c r="T2863" t="s">
        <v>1429</v>
      </c>
      <c r="U2863" s="2">
        <v>0</v>
      </c>
      <c r="V2863" s="2">
        <v>40</v>
      </c>
      <c r="W2863" s="2">
        <v>2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</row>
    <row r="2864" spans="1:28" hidden="1" x14ac:dyDescent="0.25">
      <c r="A2864" t="s">
        <v>568</v>
      </c>
      <c r="B2864" t="s">
        <v>1160</v>
      </c>
      <c r="C2864" t="s">
        <v>102</v>
      </c>
      <c r="D2864" s="1">
        <v>46049</v>
      </c>
      <c r="E2864" s="1">
        <v>46049</v>
      </c>
      <c r="F2864" s="2">
        <v>38</v>
      </c>
      <c r="G2864" s="3" t="s">
        <v>23</v>
      </c>
      <c r="H2864">
        <f>8+4+8+4+1+2+2</f>
        <v>29</v>
      </c>
      <c r="I2864" s="2">
        <v>0</v>
      </c>
      <c r="J2864" s="2">
        <v>0</v>
      </c>
      <c r="K2864" s="2">
        <v>1</v>
      </c>
      <c r="L2864" s="2">
        <v>0</v>
      </c>
      <c r="M2864">
        <v>0</v>
      </c>
      <c r="N2864">
        <v>0</v>
      </c>
      <c r="O2864" s="2">
        <v>0</v>
      </c>
      <c r="P2864" s="2">
        <v>0</v>
      </c>
      <c r="Q2864">
        <v>2</v>
      </c>
      <c r="R2864" s="2">
        <v>0</v>
      </c>
      <c r="S2864" s="2">
        <v>0</v>
      </c>
      <c r="T2864" t="s">
        <v>1429</v>
      </c>
      <c r="U2864" s="2">
        <v>0</v>
      </c>
      <c r="V2864" s="2">
        <v>1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</row>
    <row r="2865" spans="1:28" hidden="1" x14ac:dyDescent="0.25">
      <c r="A2865" t="s">
        <v>25</v>
      </c>
      <c r="B2865" t="s">
        <v>26</v>
      </c>
      <c r="C2865" t="s">
        <v>102</v>
      </c>
      <c r="D2865" s="1">
        <v>46049</v>
      </c>
      <c r="E2865" s="1">
        <v>46049</v>
      </c>
      <c r="F2865" s="2">
        <v>23</v>
      </c>
      <c r="G2865" s="3" t="s">
        <v>48</v>
      </c>
      <c r="H2865">
        <v>0</v>
      </c>
      <c r="I2865" s="2">
        <v>0</v>
      </c>
      <c r="J2865" s="2">
        <v>0</v>
      </c>
      <c r="K2865" s="2">
        <v>0</v>
      </c>
      <c r="L2865" s="2">
        <v>0</v>
      </c>
      <c r="M2865">
        <v>0</v>
      </c>
      <c r="N2865">
        <v>0</v>
      </c>
      <c r="O2865" s="2">
        <v>0</v>
      </c>
      <c r="P2865" s="2">
        <v>0</v>
      </c>
      <c r="Q2865">
        <v>0</v>
      </c>
      <c r="R2865" s="2">
        <v>0</v>
      </c>
      <c r="S2865" s="2">
        <v>0</v>
      </c>
      <c r="T2865" t="s">
        <v>1424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</row>
    <row r="2866" spans="1:28" hidden="1" x14ac:dyDescent="0.25">
      <c r="A2866" t="s">
        <v>53</v>
      </c>
      <c r="B2866" t="s">
        <v>38</v>
      </c>
      <c r="C2866" t="s">
        <v>102</v>
      </c>
      <c r="D2866" s="1">
        <v>46049</v>
      </c>
      <c r="E2866" s="1">
        <v>46049</v>
      </c>
      <c r="F2866" s="2">
        <v>23</v>
      </c>
      <c r="G2866" s="3" t="s">
        <v>48</v>
      </c>
      <c r="H2866">
        <v>0</v>
      </c>
      <c r="I2866" s="2">
        <v>0</v>
      </c>
      <c r="J2866" s="2">
        <v>0</v>
      </c>
      <c r="K2866" s="2">
        <v>0</v>
      </c>
      <c r="L2866" s="2">
        <v>0</v>
      </c>
      <c r="M2866">
        <v>0</v>
      </c>
      <c r="N2866">
        <v>0</v>
      </c>
      <c r="O2866" s="2">
        <v>0</v>
      </c>
      <c r="P2866" s="2">
        <v>0</v>
      </c>
      <c r="Q2866">
        <v>0</v>
      </c>
      <c r="R2866" s="2">
        <v>0</v>
      </c>
      <c r="S2866" s="2">
        <v>0</v>
      </c>
      <c r="T2866" t="s">
        <v>1424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</row>
    <row r="2867" spans="1:28" hidden="1" x14ac:dyDescent="0.25">
      <c r="A2867" t="s">
        <v>56</v>
      </c>
      <c r="B2867" t="s">
        <v>47</v>
      </c>
      <c r="C2867" t="s">
        <v>35</v>
      </c>
      <c r="D2867" s="1">
        <v>46049</v>
      </c>
      <c r="E2867" s="1">
        <v>46049</v>
      </c>
      <c r="F2867" s="2">
        <v>21</v>
      </c>
      <c r="G2867" s="3" t="s">
        <v>129</v>
      </c>
      <c r="H2867">
        <v>0</v>
      </c>
      <c r="I2867" s="2">
        <v>0</v>
      </c>
      <c r="J2867" s="2">
        <v>0</v>
      </c>
      <c r="K2867" s="2">
        <v>0</v>
      </c>
      <c r="L2867" s="2">
        <v>0</v>
      </c>
      <c r="M2867">
        <v>0</v>
      </c>
      <c r="N2867">
        <v>0</v>
      </c>
      <c r="O2867" s="2">
        <v>0</v>
      </c>
      <c r="P2867" s="2">
        <v>0</v>
      </c>
      <c r="Q2867">
        <v>0</v>
      </c>
      <c r="R2867" s="2">
        <v>0</v>
      </c>
      <c r="S2867" s="2">
        <v>0</v>
      </c>
      <c r="T2867" t="s">
        <v>1125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</row>
    <row r="2868" spans="1:28" hidden="1" x14ac:dyDescent="0.25">
      <c r="A2868" t="s">
        <v>730</v>
      </c>
      <c r="B2868" t="s">
        <v>47</v>
      </c>
      <c r="C2868" t="s">
        <v>35</v>
      </c>
      <c r="D2868" s="1">
        <v>46049</v>
      </c>
      <c r="E2868" s="1">
        <v>46049</v>
      </c>
      <c r="F2868" s="2">
        <v>21</v>
      </c>
      <c r="G2868" s="3" t="s">
        <v>409</v>
      </c>
      <c r="H2868">
        <v>0</v>
      </c>
      <c r="I2868" s="2">
        <v>0</v>
      </c>
      <c r="J2868" s="2">
        <v>0</v>
      </c>
      <c r="K2868" s="2">
        <v>0</v>
      </c>
      <c r="L2868" s="2">
        <v>0</v>
      </c>
      <c r="M2868">
        <v>0</v>
      </c>
      <c r="N2868">
        <v>0</v>
      </c>
      <c r="O2868" s="2">
        <v>0</v>
      </c>
      <c r="P2868" s="2">
        <v>0</v>
      </c>
      <c r="Q2868">
        <v>0</v>
      </c>
      <c r="R2868" s="2">
        <v>0</v>
      </c>
      <c r="S2868" s="2">
        <v>0</v>
      </c>
      <c r="T2868" t="s">
        <v>1125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</row>
    <row r="2869" spans="1:28" hidden="1" x14ac:dyDescent="0.25">
      <c r="A2869" t="s">
        <v>47</v>
      </c>
      <c r="B2869" t="s">
        <v>52</v>
      </c>
      <c r="C2869" t="s">
        <v>35</v>
      </c>
      <c r="D2869" s="1">
        <v>46049</v>
      </c>
      <c r="E2869" s="1">
        <v>46049</v>
      </c>
      <c r="F2869" s="2">
        <v>21</v>
      </c>
      <c r="G2869" s="3" t="s">
        <v>409</v>
      </c>
      <c r="H2869">
        <v>0</v>
      </c>
      <c r="I2869" s="2">
        <v>0</v>
      </c>
      <c r="J2869" s="2">
        <v>0</v>
      </c>
      <c r="K2869" s="2">
        <v>0</v>
      </c>
      <c r="L2869" s="2">
        <v>0</v>
      </c>
      <c r="M2869">
        <v>0</v>
      </c>
      <c r="N2869">
        <v>0</v>
      </c>
      <c r="O2869" s="2">
        <v>0</v>
      </c>
      <c r="P2869" s="2">
        <v>0</v>
      </c>
      <c r="Q2869">
        <v>0</v>
      </c>
      <c r="R2869" s="2">
        <v>0</v>
      </c>
      <c r="S2869" s="2">
        <v>0</v>
      </c>
      <c r="T2869" t="s">
        <v>1125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</row>
    <row r="2870" spans="1:28" hidden="1" x14ac:dyDescent="0.25">
      <c r="A2870" t="s">
        <v>20</v>
      </c>
      <c r="B2870" t="s">
        <v>21</v>
      </c>
      <c r="C2870" t="s">
        <v>22</v>
      </c>
      <c r="D2870" s="1">
        <v>46050</v>
      </c>
      <c r="E2870" s="1">
        <v>46050</v>
      </c>
      <c r="F2870" s="2">
        <v>66</v>
      </c>
      <c r="G2870" s="3" t="s">
        <v>23</v>
      </c>
      <c r="H2870">
        <v>42</v>
      </c>
      <c r="I2870" s="2">
        <v>0</v>
      </c>
      <c r="J2870" s="2">
        <v>0</v>
      </c>
      <c r="K2870" s="2">
        <v>1</v>
      </c>
      <c r="L2870" s="2">
        <v>0</v>
      </c>
      <c r="M2870">
        <v>0</v>
      </c>
      <c r="N2870">
        <v>0</v>
      </c>
      <c r="O2870" s="2">
        <v>0</v>
      </c>
      <c r="P2870" s="2">
        <v>0</v>
      </c>
      <c r="Q2870">
        <v>0</v>
      </c>
      <c r="R2870" s="2">
        <v>0</v>
      </c>
      <c r="S2870" s="2">
        <v>0</v>
      </c>
      <c r="T2870" t="s">
        <v>1430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</row>
    <row r="2871" spans="1:28" hidden="1" x14ac:dyDescent="0.25">
      <c r="A2871" t="s">
        <v>1431</v>
      </c>
      <c r="B2871" t="s">
        <v>47</v>
      </c>
      <c r="C2871" t="s">
        <v>22</v>
      </c>
      <c r="D2871" s="1">
        <v>46050</v>
      </c>
      <c r="E2871" s="1">
        <v>46050</v>
      </c>
      <c r="F2871" s="2">
        <v>66</v>
      </c>
      <c r="G2871" s="3" t="s">
        <v>23</v>
      </c>
      <c r="H2871">
        <v>42</v>
      </c>
      <c r="I2871" s="2">
        <v>0</v>
      </c>
      <c r="J2871" s="2">
        <v>0</v>
      </c>
      <c r="K2871" s="2">
        <v>1</v>
      </c>
      <c r="L2871" s="2">
        <v>0</v>
      </c>
      <c r="M2871">
        <v>0</v>
      </c>
      <c r="N2871">
        <v>0</v>
      </c>
      <c r="O2871" s="2">
        <v>0</v>
      </c>
      <c r="P2871" s="2">
        <v>0</v>
      </c>
      <c r="Q2871">
        <v>0</v>
      </c>
      <c r="R2871" s="2">
        <v>0</v>
      </c>
      <c r="S2871" s="2">
        <v>0</v>
      </c>
      <c r="T2871" t="s">
        <v>1430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</row>
    <row r="2872" spans="1:28" hidden="1" x14ac:dyDescent="0.25">
      <c r="A2872" t="s">
        <v>33</v>
      </c>
      <c r="B2872" t="s">
        <v>34</v>
      </c>
      <c r="C2872" t="s">
        <v>35</v>
      </c>
      <c r="D2872" s="1">
        <v>46050</v>
      </c>
      <c r="E2872" s="1">
        <v>46050</v>
      </c>
      <c r="F2872" s="2">
        <v>47</v>
      </c>
      <c r="G2872" s="3" t="s">
        <v>23</v>
      </c>
      <c r="H2872">
        <v>35</v>
      </c>
      <c r="I2872" s="2">
        <v>0</v>
      </c>
      <c r="J2872" s="2">
        <v>0</v>
      </c>
      <c r="K2872" s="2">
        <v>0</v>
      </c>
      <c r="L2872" s="2">
        <v>1</v>
      </c>
      <c r="M2872">
        <v>0</v>
      </c>
      <c r="N2872">
        <v>0</v>
      </c>
      <c r="O2872" s="2">
        <v>0</v>
      </c>
      <c r="P2872" s="2">
        <v>0</v>
      </c>
      <c r="Q2872">
        <v>1</v>
      </c>
      <c r="R2872" s="2">
        <v>0</v>
      </c>
      <c r="S2872" s="2">
        <v>0</v>
      </c>
      <c r="T2872" t="s">
        <v>1432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</row>
    <row r="2873" spans="1:28" hidden="1" x14ac:dyDescent="0.25">
      <c r="A2873" t="s">
        <v>25</v>
      </c>
      <c r="B2873" t="s">
        <v>26</v>
      </c>
      <c r="C2873" t="s">
        <v>27</v>
      </c>
      <c r="D2873" s="1">
        <v>46050</v>
      </c>
      <c r="E2873" s="1">
        <v>46050</v>
      </c>
      <c r="F2873" s="2">
        <v>24</v>
      </c>
      <c r="G2873" s="3" t="s">
        <v>23</v>
      </c>
      <c r="H2873">
        <v>54</v>
      </c>
      <c r="I2873" s="2">
        <v>0</v>
      </c>
      <c r="J2873" s="2">
        <v>0</v>
      </c>
      <c r="K2873" s="2">
        <v>1</v>
      </c>
      <c r="L2873" s="2">
        <v>0</v>
      </c>
      <c r="M2873">
        <v>1</v>
      </c>
      <c r="N2873">
        <v>0</v>
      </c>
      <c r="O2873" s="2">
        <v>0</v>
      </c>
      <c r="P2873" s="2">
        <v>0</v>
      </c>
      <c r="Q2873">
        <v>0</v>
      </c>
      <c r="R2873" s="2">
        <v>0</v>
      </c>
      <c r="S2873" s="2">
        <v>0</v>
      </c>
      <c r="T2873" t="s">
        <v>1433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</row>
    <row r="2874" spans="1:28" hidden="1" x14ac:dyDescent="0.25">
      <c r="A2874" t="s">
        <v>29</v>
      </c>
      <c r="B2874" t="s">
        <v>30</v>
      </c>
      <c r="C2874" t="s">
        <v>27</v>
      </c>
      <c r="D2874" s="1">
        <v>46050</v>
      </c>
      <c r="E2874" s="1">
        <v>46050</v>
      </c>
      <c r="F2874" s="2">
        <v>24</v>
      </c>
      <c r="G2874" s="3" t="s">
        <v>23</v>
      </c>
      <c r="H2874">
        <v>40</v>
      </c>
      <c r="I2874" s="2">
        <v>0</v>
      </c>
      <c r="J2874" s="2">
        <v>0</v>
      </c>
      <c r="K2874" s="2">
        <v>1</v>
      </c>
      <c r="L2874" s="2">
        <v>0</v>
      </c>
      <c r="M2874">
        <v>0</v>
      </c>
      <c r="N2874">
        <v>0</v>
      </c>
      <c r="O2874" s="2">
        <v>0</v>
      </c>
      <c r="P2874" s="2">
        <v>0</v>
      </c>
      <c r="Q2874">
        <v>1</v>
      </c>
      <c r="R2874" s="2">
        <v>0</v>
      </c>
      <c r="S2874" s="2">
        <v>0</v>
      </c>
      <c r="T2874" t="s">
        <v>1433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</row>
    <row r="2875" spans="1:28" hidden="1" x14ac:dyDescent="0.25">
      <c r="A2875" t="s">
        <v>53</v>
      </c>
      <c r="B2875" t="s">
        <v>38</v>
      </c>
      <c r="C2875" t="s">
        <v>27</v>
      </c>
      <c r="D2875" s="1">
        <v>46050</v>
      </c>
      <c r="E2875" s="1">
        <v>46050</v>
      </c>
      <c r="F2875" s="2">
        <v>24</v>
      </c>
      <c r="G2875" s="3" t="s">
        <v>23</v>
      </c>
      <c r="H2875">
        <v>30</v>
      </c>
      <c r="I2875" s="2">
        <v>0</v>
      </c>
      <c r="J2875" s="2">
        <v>0</v>
      </c>
      <c r="K2875" s="2">
        <v>1</v>
      </c>
      <c r="L2875" s="2">
        <v>0</v>
      </c>
      <c r="M2875">
        <v>0</v>
      </c>
      <c r="N2875">
        <v>0</v>
      </c>
      <c r="O2875" s="2">
        <v>0</v>
      </c>
      <c r="P2875" s="2">
        <v>0</v>
      </c>
      <c r="Q2875">
        <v>0</v>
      </c>
      <c r="R2875" s="2">
        <v>0</v>
      </c>
      <c r="S2875" s="2">
        <v>0</v>
      </c>
      <c r="T2875" t="s">
        <v>1433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</row>
    <row r="2876" spans="1:28" hidden="1" x14ac:dyDescent="0.25">
      <c r="A2876" t="s">
        <v>47</v>
      </c>
      <c r="B2876" t="s">
        <v>1323</v>
      </c>
      <c r="C2876" t="s">
        <v>102</v>
      </c>
      <c r="D2876" s="1">
        <v>46050</v>
      </c>
      <c r="E2876" s="1">
        <v>46050</v>
      </c>
      <c r="F2876" s="2">
        <v>23</v>
      </c>
      <c r="G2876" s="3" t="s">
        <v>572</v>
      </c>
      <c r="H2876">
        <v>0</v>
      </c>
      <c r="I2876" s="2">
        <v>0</v>
      </c>
      <c r="J2876" s="2">
        <v>0</v>
      </c>
      <c r="K2876" s="2">
        <v>0</v>
      </c>
      <c r="L2876" s="2">
        <v>0</v>
      </c>
      <c r="M2876">
        <v>0</v>
      </c>
      <c r="N2876">
        <v>0</v>
      </c>
      <c r="O2876" s="2">
        <v>0</v>
      </c>
      <c r="P2876" s="2">
        <v>0</v>
      </c>
      <c r="Q2876">
        <v>0</v>
      </c>
      <c r="R2876" s="2">
        <v>0</v>
      </c>
      <c r="S2876" s="2">
        <v>0</v>
      </c>
      <c r="T2876" t="s">
        <v>1424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</row>
    <row r="2877" spans="1:28" hidden="1" x14ac:dyDescent="0.25">
      <c r="A2877" t="s">
        <v>37</v>
      </c>
      <c r="B2877" t="s">
        <v>57</v>
      </c>
      <c r="C2877" t="s">
        <v>102</v>
      </c>
      <c r="D2877" s="1">
        <v>46050</v>
      </c>
      <c r="E2877" s="1">
        <v>46050</v>
      </c>
      <c r="F2877" s="2">
        <v>23</v>
      </c>
      <c r="G2877" s="3" t="s">
        <v>48</v>
      </c>
      <c r="H2877">
        <v>0</v>
      </c>
      <c r="I2877" s="2">
        <v>0</v>
      </c>
      <c r="J2877" s="2">
        <v>0</v>
      </c>
      <c r="K2877" s="2">
        <v>0</v>
      </c>
      <c r="L2877" s="2">
        <v>0</v>
      </c>
      <c r="M2877">
        <v>0</v>
      </c>
      <c r="N2877">
        <v>0</v>
      </c>
      <c r="O2877" s="2">
        <v>0</v>
      </c>
      <c r="P2877" s="2">
        <v>0</v>
      </c>
      <c r="Q2877">
        <v>0</v>
      </c>
      <c r="R2877" s="2">
        <v>0</v>
      </c>
      <c r="S2877" s="2">
        <v>0</v>
      </c>
      <c r="T2877" t="s">
        <v>1424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</row>
    <row r="2878" spans="1:28" hidden="1" x14ac:dyDescent="0.25">
      <c r="A2878" t="s">
        <v>63</v>
      </c>
      <c r="B2878" t="s">
        <v>284</v>
      </c>
      <c r="C2878" t="s">
        <v>102</v>
      </c>
      <c r="D2878" s="1">
        <v>46050</v>
      </c>
      <c r="E2878" s="1">
        <v>46050</v>
      </c>
      <c r="F2878" s="2">
        <v>23</v>
      </c>
      <c r="G2878" s="3" t="s">
        <v>48</v>
      </c>
      <c r="H2878">
        <v>0</v>
      </c>
      <c r="I2878" s="2">
        <v>0</v>
      </c>
      <c r="J2878" s="2">
        <v>0</v>
      </c>
      <c r="K2878" s="2">
        <v>0</v>
      </c>
      <c r="L2878" s="2">
        <v>0</v>
      </c>
      <c r="M2878">
        <v>0</v>
      </c>
      <c r="N2878">
        <v>0</v>
      </c>
      <c r="O2878" s="2">
        <v>0</v>
      </c>
      <c r="P2878" s="2">
        <v>0</v>
      </c>
      <c r="Q2878">
        <v>0</v>
      </c>
      <c r="R2878" s="2">
        <v>0</v>
      </c>
      <c r="S2878" s="2">
        <v>0</v>
      </c>
      <c r="T2878" t="s">
        <v>1424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</row>
    <row r="2879" spans="1:28" hidden="1" x14ac:dyDescent="0.25">
      <c r="A2879" t="s">
        <v>47</v>
      </c>
      <c r="B2879" t="s">
        <v>1160</v>
      </c>
      <c r="C2879" t="s">
        <v>102</v>
      </c>
      <c r="D2879" s="1">
        <v>46050</v>
      </c>
      <c r="E2879" s="1">
        <v>46050</v>
      </c>
      <c r="F2879" s="2">
        <v>23</v>
      </c>
      <c r="G2879" s="3" t="s">
        <v>48</v>
      </c>
      <c r="H2879">
        <v>0</v>
      </c>
      <c r="I2879" s="2">
        <v>0</v>
      </c>
      <c r="J2879" s="2">
        <v>0</v>
      </c>
      <c r="K2879" s="2">
        <v>0</v>
      </c>
      <c r="L2879" s="2">
        <v>0</v>
      </c>
      <c r="M2879">
        <v>0</v>
      </c>
      <c r="N2879">
        <v>0</v>
      </c>
      <c r="O2879" s="2">
        <v>0</v>
      </c>
      <c r="P2879" s="2">
        <v>0</v>
      </c>
      <c r="Q2879">
        <v>0</v>
      </c>
      <c r="R2879" s="2">
        <v>0</v>
      </c>
      <c r="S2879" s="2">
        <v>0</v>
      </c>
      <c r="T2879" t="s">
        <v>1424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</row>
    <row r="2880" spans="1:28" hidden="1" x14ac:dyDescent="0.25">
      <c r="A2880" t="s">
        <v>56</v>
      </c>
      <c r="B2880" t="s">
        <v>47</v>
      </c>
      <c r="C2880" t="s">
        <v>35</v>
      </c>
      <c r="D2880" s="1">
        <v>46050</v>
      </c>
      <c r="E2880" s="1">
        <v>46050</v>
      </c>
      <c r="F2880" s="2">
        <v>21</v>
      </c>
      <c r="G2880" s="3" t="s">
        <v>129</v>
      </c>
      <c r="H2880">
        <v>0</v>
      </c>
      <c r="I2880" s="2">
        <v>0</v>
      </c>
      <c r="J2880" s="2">
        <v>0</v>
      </c>
      <c r="K2880" s="2">
        <v>0</v>
      </c>
      <c r="L2880" s="2">
        <v>0</v>
      </c>
      <c r="M2880">
        <v>0</v>
      </c>
      <c r="N2880">
        <v>0</v>
      </c>
      <c r="O2880" s="2">
        <v>0</v>
      </c>
      <c r="P2880" s="2">
        <v>0</v>
      </c>
      <c r="Q2880">
        <v>0</v>
      </c>
      <c r="R2880" s="2">
        <v>0</v>
      </c>
      <c r="S2880" s="2">
        <v>0</v>
      </c>
      <c r="T2880" t="s">
        <v>1125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</row>
    <row r="2881" spans="1:28" hidden="1" x14ac:dyDescent="0.25">
      <c r="A2881" t="s">
        <v>730</v>
      </c>
      <c r="B2881" t="s">
        <v>47</v>
      </c>
      <c r="C2881" t="s">
        <v>35</v>
      </c>
      <c r="D2881" s="1">
        <v>46050</v>
      </c>
      <c r="E2881" s="1">
        <v>46050</v>
      </c>
      <c r="F2881" s="2">
        <v>21</v>
      </c>
      <c r="G2881" s="3" t="s">
        <v>409</v>
      </c>
      <c r="H2881">
        <v>0</v>
      </c>
      <c r="I2881" s="2">
        <v>0</v>
      </c>
      <c r="J2881" s="2">
        <v>0</v>
      </c>
      <c r="K2881" s="2">
        <v>0</v>
      </c>
      <c r="L2881" s="2">
        <v>0</v>
      </c>
      <c r="M2881">
        <v>0</v>
      </c>
      <c r="N2881">
        <v>0</v>
      </c>
      <c r="O2881" s="2">
        <v>0</v>
      </c>
      <c r="P2881" s="2">
        <v>0</v>
      </c>
      <c r="Q2881">
        <v>0</v>
      </c>
      <c r="R2881" s="2">
        <v>0</v>
      </c>
      <c r="S2881" s="2">
        <v>0</v>
      </c>
      <c r="T2881" t="s">
        <v>1125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</row>
    <row r="2882" spans="1:28" hidden="1" x14ac:dyDescent="0.25">
      <c r="A2882" t="s">
        <v>568</v>
      </c>
      <c r="B2882" t="s">
        <v>47</v>
      </c>
      <c r="C2882" t="s">
        <v>35</v>
      </c>
      <c r="D2882" s="1">
        <v>46050</v>
      </c>
      <c r="E2882" s="1">
        <v>46050</v>
      </c>
      <c r="F2882" s="2">
        <v>21</v>
      </c>
      <c r="G2882" s="3" t="s">
        <v>409</v>
      </c>
      <c r="H2882">
        <v>0</v>
      </c>
      <c r="I2882" s="2">
        <v>0</v>
      </c>
      <c r="J2882" s="2">
        <v>0</v>
      </c>
      <c r="K2882" s="2">
        <v>0</v>
      </c>
      <c r="L2882" s="2">
        <v>0</v>
      </c>
      <c r="M2882">
        <v>0</v>
      </c>
      <c r="N2882">
        <v>0</v>
      </c>
      <c r="O2882" s="2">
        <v>0</v>
      </c>
      <c r="P2882" s="2">
        <v>0</v>
      </c>
      <c r="Q2882">
        <v>0</v>
      </c>
      <c r="R2882" s="2">
        <v>0</v>
      </c>
      <c r="S2882" s="2">
        <v>0</v>
      </c>
      <c r="T2882" t="s">
        <v>1125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</row>
    <row r="2883" spans="1:28" hidden="1" x14ac:dyDescent="0.25">
      <c r="A2883" t="s">
        <v>47</v>
      </c>
      <c r="B2883" t="s">
        <v>52</v>
      </c>
      <c r="C2883" t="s">
        <v>35</v>
      </c>
      <c r="D2883" s="1">
        <v>46050</v>
      </c>
      <c r="E2883" s="1">
        <v>46050</v>
      </c>
      <c r="F2883" s="2">
        <v>21</v>
      </c>
      <c r="G2883" s="3" t="s">
        <v>409</v>
      </c>
      <c r="H2883">
        <v>0</v>
      </c>
      <c r="I2883" s="2">
        <v>0</v>
      </c>
      <c r="J2883" s="2">
        <v>0</v>
      </c>
      <c r="K2883" s="2">
        <v>0</v>
      </c>
      <c r="L2883" s="2">
        <v>0</v>
      </c>
      <c r="M2883">
        <v>0</v>
      </c>
      <c r="N2883">
        <v>0</v>
      </c>
      <c r="O2883" s="2">
        <v>0</v>
      </c>
      <c r="P2883" s="2">
        <v>0</v>
      </c>
      <c r="Q2883">
        <v>0</v>
      </c>
      <c r="R2883" s="2">
        <v>0</v>
      </c>
      <c r="S2883" s="2">
        <v>0</v>
      </c>
      <c r="T2883" t="s">
        <v>1125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</row>
    <row r="2884" spans="1:28" hidden="1" x14ac:dyDescent="0.25">
      <c r="A2884" t="s">
        <v>568</v>
      </c>
      <c r="B2884" t="s">
        <v>21</v>
      </c>
      <c r="C2884" t="s">
        <v>670</v>
      </c>
      <c r="D2884" s="1">
        <v>46051</v>
      </c>
      <c r="E2884" s="1">
        <v>46051</v>
      </c>
      <c r="F2884" s="2">
        <v>41</v>
      </c>
      <c r="G2884" s="3" t="s">
        <v>23</v>
      </c>
      <c r="H2884">
        <v>26</v>
      </c>
      <c r="I2884" s="2">
        <v>0</v>
      </c>
      <c r="J2884" s="2">
        <v>0</v>
      </c>
      <c r="K2884" s="2">
        <v>0</v>
      </c>
      <c r="L2884" s="2">
        <v>1</v>
      </c>
      <c r="M2884">
        <v>1</v>
      </c>
      <c r="N2884">
        <v>0</v>
      </c>
      <c r="O2884" s="2">
        <v>0</v>
      </c>
      <c r="P2884" s="2">
        <v>0</v>
      </c>
      <c r="Q2884">
        <v>0</v>
      </c>
      <c r="R2884" s="2">
        <v>0</v>
      </c>
      <c r="S2884" s="2">
        <v>0</v>
      </c>
      <c r="T2884" t="s">
        <v>1434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</row>
    <row r="2885" spans="1:28" hidden="1" x14ac:dyDescent="0.25">
      <c r="A2885" t="s">
        <v>33</v>
      </c>
      <c r="B2885" t="s">
        <v>34</v>
      </c>
      <c r="C2885" t="s">
        <v>35</v>
      </c>
      <c r="D2885" s="1">
        <v>46051</v>
      </c>
      <c r="E2885" s="1">
        <v>46051</v>
      </c>
      <c r="F2885" s="2">
        <v>34</v>
      </c>
      <c r="G2885" s="3" t="s">
        <v>23</v>
      </c>
      <c r="H2885">
        <v>32</v>
      </c>
      <c r="I2885" s="2">
        <v>0</v>
      </c>
      <c r="J2885" s="2">
        <v>0</v>
      </c>
      <c r="K2885" s="2">
        <v>1</v>
      </c>
      <c r="L2885" s="2">
        <v>0</v>
      </c>
      <c r="M2885">
        <v>0</v>
      </c>
      <c r="N2885">
        <v>0</v>
      </c>
      <c r="O2885" s="2">
        <v>0</v>
      </c>
      <c r="P2885" s="2">
        <v>0</v>
      </c>
      <c r="Q2885">
        <v>0</v>
      </c>
      <c r="R2885" s="2">
        <v>0</v>
      </c>
      <c r="S2885" s="2">
        <v>0</v>
      </c>
      <c r="T2885" t="s">
        <v>1435</v>
      </c>
      <c r="U2885" s="2">
        <v>0</v>
      </c>
      <c r="V2885" s="2">
        <v>19</v>
      </c>
      <c r="W2885" s="2">
        <v>1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</row>
    <row r="2886" spans="1:28" hidden="1" x14ac:dyDescent="0.25">
      <c r="A2886" t="s">
        <v>25</v>
      </c>
      <c r="B2886" t="s">
        <v>26</v>
      </c>
      <c r="C2886" t="s">
        <v>27</v>
      </c>
      <c r="D2886" s="1">
        <v>46051</v>
      </c>
      <c r="E2886" s="1">
        <v>46051</v>
      </c>
      <c r="F2886" s="2">
        <v>24</v>
      </c>
      <c r="G2886" s="3" t="s">
        <v>23</v>
      </c>
      <c r="H2886">
        <v>36</v>
      </c>
      <c r="I2886" s="2">
        <v>0</v>
      </c>
      <c r="J2886" s="2">
        <v>0</v>
      </c>
      <c r="K2886" s="2">
        <v>1</v>
      </c>
      <c r="L2886" s="2">
        <v>0</v>
      </c>
      <c r="M2886">
        <v>0</v>
      </c>
      <c r="N2886">
        <v>0</v>
      </c>
      <c r="O2886" s="2">
        <v>0</v>
      </c>
      <c r="P2886" s="2">
        <v>0</v>
      </c>
      <c r="Q2886">
        <v>0</v>
      </c>
      <c r="R2886" s="2">
        <v>0</v>
      </c>
      <c r="S2886" s="2">
        <v>0</v>
      </c>
      <c r="T2886" t="s">
        <v>1436</v>
      </c>
      <c r="U2886" s="2">
        <v>0</v>
      </c>
      <c r="V2886" s="2">
        <f>22+8</f>
        <v>30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</row>
    <row r="2887" spans="1:28" hidden="1" x14ac:dyDescent="0.25">
      <c r="A2887" t="s">
        <v>37</v>
      </c>
      <c r="B2887" t="s">
        <v>57</v>
      </c>
      <c r="C2887" t="s">
        <v>39</v>
      </c>
      <c r="D2887" s="1">
        <v>46051</v>
      </c>
      <c r="E2887" s="1">
        <v>46051</v>
      </c>
      <c r="F2887" s="2">
        <v>16</v>
      </c>
      <c r="G2887" s="3" t="s">
        <v>23</v>
      </c>
      <c r="H2887">
        <v>40</v>
      </c>
      <c r="I2887" s="2">
        <v>0</v>
      </c>
      <c r="J2887" s="2">
        <v>0</v>
      </c>
      <c r="K2887" s="2">
        <v>1</v>
      </c>
      <c r="L2887" s="2">
        <v>0</v>
      </c>
      <c r="M2887">
        <v>0</v>
      </c>
      <c r="N2887">
        <v>0</v>
      </c>
      <c r="O2887" s="2">
        <v>0</v>
      </c>
      <c r="P2887" s="2">
        <v>0</v>
      </c>
      <c r="Q2887">
        <v>0</v>
      </c>
      <c r="R2887" s="2">
        <v>0</v>
      </c>
      <c r="S2887" s="2">
        <v>0</v>
      </c>
      <c r="T2887" t="s">
        <v>1437</v>
      </c>
      <c r="U2887" s="2">
        <v>0</v>
      </c>
      <c r="V2887" s="2">
        <v>20</v>
      </c>
      <c r="W2887" s="2">
        <v>2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</row>
    <row r="2888" spans="1:28" hidden="1" x14ac:dyDescent="0.25">
      <c r="A2888" t="s">
        <v>63</v>
      </c>
      <c r="B2888" t="s">
        <v>284</v>
      </c>
      <c r="C2888" t="s">
        <v>102</v>
      </c>
      <c r="D2888" s="1">
        <v>46051</v>
      </c>
      <c r="E2888" s="1">
        <v>46051</v>
      </c>
      <c r="F2888" s="2">
        <v>18</v>
      </c>
      <c r="G2888" s="3" t="s">
        <v>23</v>
      </c>
      <c r="H2888">
        <v>20</v>
      </c>
      <c r="I2888" s="2">
        <v>0</v>
      </c>
      <c r="J2888" s="2">
        <v>0</v>
      </c>
      <c r="K2888" s="2">
        <v>1</v>
      </c>
      <c r="L2888" s="2">
        <v>0</v>
      </c>
      <c r="M2888">
        <v>0</v>
      </c>
      <c r="N2888">
        <v>0</v>
      </c>
      <c r="O2888" s="2">
        <v>0</v>
      </c>
      <c r="P2888" s="2">
        <v>0</v>
      </c>
      <c r="Q2888">
        <v>0</v>
      </c>
      <c r="R2888" s="2">
        <v>0</v>
      </c>
      <c r="S2888" s="2">
        <v>0</v>
      </c>
      <c r="T2888" t="s">
        <v>1438</v>
      </c>
      <c r="U2888" s="2">
        <v>0</v>
      </c>
      <c r="V2888" s="2">
        <v>24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</row>
    <row r="2889" spans="1:28" hidden="1" x14ac:dyDescent="0.25">
      <c r="A2889" t="s">
        <v>53</v>
      </c>
      <c r="B2889" t="s">
        <v>38</v>
      </c>
      <c r="C2889" t="s">
        <v>54</v>
      </c>
      <c r="D2889" s="1">
        <v>46051</v>
      </c>
      <c r="E2889" s="1">
        <v>46051</v>
      </c>
      <c r="F2889" s="2">
        <v>46</v>
      </c>
      <c r="G2889" s="3" t="s">
        <v>23</v>
      </c>
      <c r="H2889">
        <v>26</v>
      </c>
      <c r="I2889" s="2">
        <v>0</v>
      </c>
      <c r="J2889" s="2">
        <v>0</v>
      </c>
      <c r="K2889" s="2">
        <v>1</v>
      </c>
      <c r="L2889" s="2">
        <v>0</v>
      </c>
      <c r="M2889">
        <v>0</v>
      </c>
      <c r="N2889">
        <v>0</v>
      </c>
      <c r="O2889" s="2">
        <v>0</v>
      </c>
      <c r="P2889" s="2">
        <v>0</v>
      </c>
      <c r="Q2889">
        <v>0</v>
      </c>
      <c r="R2889" s="2">
        <v>0</v>
      </c>
      <c r="S2889" s="2">
        <v>0</v>
      </c>
      <c r="T2889" t="s">
        <v>1439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</row>
    <row r="2890" spans="1:28" hidden="1" x14ac:dyDescent="0.25">
      <c r="A2890" t="s">
        <v>29</v>
      </c>
      <c r="B2890" t="s">
        <v>30</v>
      </c>
      <c r="C2890" t="s">
        <v>35</v>
      </c>
      <c r="D2890" s="1">
        <v>46051</v>
      </c>
      <c r="E2890" s="1">
        <v>46051</v>
      </c>
      <c r="F2890" s="2">
        <v>21</v>
      </c>
      <c r="G2890" s="3" t="s">
        <v>23</v>
      </c>
      <c r="H2890">
        <v>2</v>
      </c>
      <c r="I2890" s="2">
        <v>0</v>
      </c>
      <c r="J2890" s="2">
        <v>0</v>
      </c>
      <c r="K2890" s="2">
        <v>0</v>
      </c>
      <c r="L2890" s="2">
        <v>0</v>
      </c>
      <c r="M2890">
        <v>0</v>
      </c>
      <c r="N2890">
        <v>0</v>
      </c>
      <c r="O2890" s="2">
        <v>0</v>
      </c>
      <c r="P2890" s="2">
        <v>0</v>
      </c>
      <c r="Q2890">
        <v>0</v>
      </c>
      <c r="R2890" s="2">
        <v>0</v>
      </c>
      <c r="S2890" s="2">
        <v>0</v>
      </c>
      <c r="T2890" t="s">
        <v>1125</v>
      </c>
      <c r="U2890" s="2">
        <v>0</v>
      </c>
      <c r="V2890" s="2">
        <f>12+5+1</f>
        <v>18</v>
      </c>
      <c r="W2890" s="2">
        <v>1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</row>
    <row r="2891" spans="1:28" hidden="1" x14ac:dyDescent="0.25">
      <c r="A2891" t="s">
        <v>1431</v>
      </c>
      <c r="B2891" t="s">
        <v>1160</v>
      </c>
      <c r="C2891" t="s">
        <v>35</v>
      </c>
      <c r="D2891" s="1">
        <v>46051</v>
      </c>
      <c r="E2891" s="1">
        <v>46051</v>
      </c>
      <c r="F2891" s="2">
        <v>21</v>
      </c>
      <c r="G2891" s="3" t="s">
        <v>23</v>
      </c>
      <c r="H2891">
        <v>2</v>
      </c>
      <c r="I2891" s="2">
        <v>0</v>
      </c>
      <c r="J2891" s="2">
        <v>0</v>
      </c>
      <c r="K2891" s="2">
        <v>0</v>
      </c>
      <c r="L2891" s="2">
        <v>0</v>
      </c>
      <c r="M2891">
        <v>0</v>
      </c>
      <c r="N2891">
        <v>0</v>
      </c>
      <c r="O2891" s="2">
        <v>0</v>
      </c>
      <c r="P2891" s="2">
        <v>0</v>
      </c>
      <c r="Q2891">
        <v>0</v>
      </c>
      <c r="R2891" s="2">
        <v>0</v>
      </c>
      <c r="S2891" s="2">
        <v>0</v>
      </c>
      <c r="T2891" t="s">
        <v>1125</v>
      </c>
      <c r="U2891" s="2">
        <v>0</v>
      </c>
      <c r="V2891" s="2">
        <f>12+0</f>
        <v>12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</row>
    <row r="2892" spans="1:28" hidden="1" x14ac:dyDescent="0.25">
      <c r="A2892" t="s">
        <v>20</v>
      </c>
      <c r="B2892" t="s">
        <v>47</v>
      </c>
      <c r="C2892" t="s">
        <v>102</v>
      </c>
      <c r="D2892" s="1">
        <v>46051</v>
      </c>
      <c r="E2892" s="1">
        <v>46051</v>
      </c>
      <c r="F2892" s="2">
        <v>23</v>
      </c>
      <c r="G2892" s="3" t="s">
        <v>48</v>
      </c>
      <c r="H2892">
        <v>0</v>
      </c>
      <c r="I2892" s="2">
        <v>0</v>
      </c>
      <c r="J2892" s="2">
        <v>0</v>
      </c>
      <c r="K2892" s="2">
        <v>0</v>
      </c>
      <c r="L2892" s="2">
        <v>0</v>
      </c>
      <c r="M2892">
        <v>0</v>
      </c>
      <c r="N2892">
        <v>0</v>
      </c>
      <c r="O2892" s="2">
        <v>0</v>
      </c>
      <c r="P2892" s="2">
        <v>0</v>
      </c>
      <c r="Q2892">
        <v>0</v>
      </c>
      <c r="R2892" s="2">
        <v>0</v>
      </c>
      <c r="S2892" s="2">
        <v>0</v>
      </c>
      <c r="T2892" t="s">
        <v>1424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</row>
    <row r="2893" spans="1:28" hidden="1" x14ac:dyDescent="0.25">
      <c r="A2893" t="s">
        <v>56</v>
      </c>
      <c r="B2893" t="s">
        <v>47</v>
      </c>
      <c r="C2893" t="s">
        <v>35</v>
      </c>
      <c r="D2893" s="1">
        <v>46051</v>
      </c>
      <c r="E2893" s="1">
        <v>46051</v>
      </c>
      <c r="F2893" s="2">
        <v>21</v>
      </c>
      <c r="G2893" s="3" t="s">
        <v>129</v>
      </c>
      <c r="H2893">
        <v>0</v>
      </c>
      <c r="I2893" s="2">
        <v>0</v>
      </c>
      <c r="J2893" s="2">
        <v>0</v>
      </c>
      <c r="K2893" s="2">
        <v>0</v>
      </c>
      <c r="L2893" s="2">
        <v>0</v>
      </c>
      <c r="M2893">
        <v>0</v>
      </c>
      <c r="N2893">
        <v>0</v>
      </c>
      <c r="O2893" s="2">
        <v>0</v>
      </c>
      <c r="P2893" s="2">
        <v>0</v>
      </c>
      <c r="Q2893">
        <v>0</v>
      </c>
      <c r="R2893" s="2">
        <v>0</v>
      </c>
      <c r="S2893" s="2">
        <v>0</v>
      </c>
      <c r="T2893" t="s">
        <v>1125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</row>
    <row r="2894" spans="1:28" hidden="1" x14ac:dyDescent="0.25">
      <c r="A2894" t="s">
        <v>47</v>
      </c>
      <c r="B2894" t="s">
        <v>1323</v>
      </c>
      <c r="C2894" t="s">
        <v>35</v>
      </c>
      <c r="D2894" s="1">
        <v>46051</v>
      </c>
      <c r="E2894" s="1">
        <v>46051</v>
      </c>
      <c r="F2894" s="2">
        <v>21</v>
      </c>
      <c r="G2894" s="3" t="s">
        <v>572</v>
      </c>
      <c r="H2894">
        <v>0</v>
      </c>
      <c r="I2894" s="2">
        <v>0</v>
      </c>
      <c r="J2894" s="2">
        <v>0</v>
      </c>
      <c r="K2894" s="2">
        <v>0</v>
      </c>
      <c r="L2894" s="2">
        <v>0</v>
      </c>
      <c r="M2894">
        <v>0</v>
      </c>
      <c r="N2894">
        <v>0</v>
      </c>
      <c r="O2894" s="2">
        <v>0</v>
      </c>
      <c r="P2894" s="2">
        <v>0</v>
      </c>
      <c r="Q2894">
        <v>0</v>
      </c>
      <c r="R2894" s="2">
        <v>0</v>
      </c>
      <c r="S2894" s="2">
        <v>0</v>
      </c>
      <c r="T2894" t="s">
        <v>1125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</row>
    <row r="2895" spans="1:28" hidden="1" x14ac:dyDescent="0.25">
      <c r="A2895" t="s">
        <v>730</v>
      </c>
      <c r="B2895" t="s">
        <v>47</v>
      </c>
      <c r="C2895" t="s">
        <v>35</v>
      </c>
      <c r="D2895" s="1">
        <v>46051</v>
      </c>
      <c r="E2895" s="1">
        <v>46051</v>
      </c>
      <c r="F2895" s="2">
        <v>21</v>
      </c>
      <c r="G2895" s="3" t="s">
        <v>409</v>
      </c>
      <c r="H2895">
        <v>0</v>
      </c>
      <c r="I2895" s="2">
        <v>0</v>
      </c>
      <c r="J2895" s="2">
        <v>0</v>
      </c>
      <c r="K2895" s="2">
        <v>0</v>
      </c>
      <c r="L2895" s="2">
        <v>0</v>
      </c>
      <c r="M2895">
        <v>0</v>
      </c>
      <c r="N2895">
        <v>0</v>
      </c>
      <c r="O2895" s="2">
        <v>0</v>
      </c>
      <c r="P2895" s="2">
        <v>0</v>
      </c>
      <c r="Q2895">
        <v>0</v>
      </c>
      <c r="R2895" s="2">
        <v>0</v>
      </c>
      <c r="S2895" s="2">
        <v>0</v>
      </c>
      <c r="T2895" t="s">
        <v>1125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</row>
    <row r="2896" spans="1:28" hidden="1" x14ac:dyDescent="0.25">
      <c r="A2896" t="s">
        <v>47</v>
      </c>
      <c r="B2896" t="s">
        <v>52</v>
      </c>
      <c r="C2896" t="s">
        <v>35</v>
      </c>
      <c r="D2896" s="1">
        <v>46051</v>
      </c>
      <c r="E2896" s="1">
        <v>46051</v>
      </c>
      <c r="F2896" s="2">
        <v>21</v>
      </c>
      <c r="G2896" s="3" t="s">
        <v>409</v>
      </c>
      <c r="H2896">
        <v>0</v>
      </c>
      <c r="I2896" s="2">
        <v>0</v>
      </c>
      <c r="J2896" s="2">
        <v>0</v>
      </c>
      <c r="K2896" s="2">
        <v>0</v>
      </c>
      <c r="L2896" s="2">
        <v>0</v>
      </c>
      <c r="M2896">
        <v>0</v>
      </c>
      <c r="N2896">
        <v>0</v>
      </c>
      <c r="O2896" s="2">
        <v>0</v>
      </c>
      <c r="P2896" s="2">
        <v>0</v>
      </c>
      <c r="Q2896">
        <v>0</v>
      </c>
      <c r="R2896" s="2">
        <v>0</v>
      </c>
      <c r="S2896" s="2">
        <v>0</v>
      </c>
      <c r="T2896" t="s">
        <v>1125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</row>
    <row r="2897" spans="1:28" hidden="1" x14ac:dyDescent="0.25">
      <c r="A2897" t="s">
        <v>20</v>
      </c>
      <c r="B2897" t="s">
        <v>21</v>
      </c>
      <c r="C2897" t="s">
        <v>22</v>
      </c>
      <c r="D2897" s="1">
        <v>46052</v>
      </c>
      <c r="E2897" s="1">
        <v>46052</v>
      </c>
      <c r="F2897" s="2">
        <v>21</v>
      </c>
      <c r="G2897" s="3" t="s">
        <v>23</v>
      </c>
      <c r="H2897">
        <v>26</v>
      </c>
      <c r="I2897" s="2">
        <v>0</v>
      </c>
      <c r="J2897" s="2">
        <v>0</v>
      </c>
      <c r="K2897" s="2">
        <v>0</v>
      </c>
      <c r="L2897" s="2">
        <v>1</v>
      </c>
      <c r="M2897">
        <v>0</v>
      </c>
      <c r="N2897">
        <v>0</v>
      </c>
      <c r="O2897" s="2">
        <v>0</v>
      </c>
      <c r="P2897" s="2">
        <v>0</v>
      </c>
      <c r="Q2897">
        <v>0</v>
      </c>
      <c r="R2897" s="2">
        <v>0</v>
      </c>
      <c r="S2897" s="2">
        <v>0</v>
      </c>
      <c r="T2897" t="s">
        <v>1440</v>
      </c>
      <c r="U2897" s="2">
        <v>0</v>
      </c>
      <c r="V2897" s="2">
        <v>32</v>
      </c>
      <c r="W2897" s="2">
        <v>3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</row>
    <row r="2898" spans="1:28" hidden="1" x14ac:dyDescent="0.25">
      <c r="A2898" t="s">
        <v>29</v>
      </c>
      <c r="B2898" t="s">
        <v>30</v>
      </c>
      <c r="C2898" t="s">
        <v>31</v>
      </c>
      <c r="D2898" s="1">
        <v>46052</v>
      </c>
      <c r="E2898" s="1">
        <v>46052</v>
      </c>
      <c r="F2898" s="2">
        <v>16</v>
      </c>
      <c r="G2898" s="3" t="s">
        <v>23</v>
      </c>
      <c r="H2898">
        <v>39</v>
      </c>
      <c r="I2898" s="2">
        <v>0</v>
      </c>
      <c r="J2898" s="2">
        <v>0</v>
      </c>
      <c r="K2898" s="2">
        <v>1</v>
      </c>
      <c r="L2898" s="2">
        <v>0</v>
      </c>
      <c r="M2898">
        <v>0</v>
      </c>
      <c r="N2898">
        <v>0</v>
      </c>
      <c r="O2898" s="2">
        <v>0</v>
      </c>
      <c r="P2898" s="2">
        <v>0</v>
      </c>
      <c r="Q2898">
        <v>0</v>
      </c>
      <c r="R2898" s="2">
        <v>0</v>
      </c>
      <c r="S2898" s="2">
        <v>0</v>
      </c>
      <c r="T2898" t="s">
        <v>1441</v>
      </c>
      <c r="U2898" s="2">
        <v>0</v>
      </c>
      <c r="V2898" s="2">
        <v>22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</row>
    <row r="2899" spans="1:28" hidden="1" x14ac:dyDescent="0.25">
      <c r="A2899" t="s">
        <v>25</v>
      </c>
      <c r="B2899" t="s">
        <v>26</v>
      </c>
      <c r="C2899" t="s">
        <v>27</v>
      </c>
      <c r="D2899" s="1">
        <v>46052</v>
      </c>
      <c r="E2899" s="1">
        <v>46052</v>
      </c>
      <c r="F2899" s="2">
        <v>29</v>
      </c>
      <c r="G2899" s="3" t="s">
        <v>23</v>
      </c>
      <c r="H2899">
        <f>18+18</f>
        <v>36</v>
      </c>
      <c r="I2899" s="2">
        <v>0</v>
      </c>
      <c r="J2899" s="2">
        <v>0</v>
      </c>
      <c r="K2899" s="2">
        <v>1</v>
      </c>
      <c r="L2899" s="2">
        <v>0</v>
      </c>
      <c r="M2899">
        <v>0</v>
      </c>
      <c r="N2899">
        <v>0</v>
      </c>
      <c r="O2899" s="2">
        <v>0</v>
      </c>
      <c r="P2899" s="2">
        <v>0</v>
      </c>
      <c r="Q2899">
        <v>0</v>
      </c>
      <c r="R2899" s="2">
        <v>0</v>
      </c>
      <c r="S2899" s="2">
        <v>0</v>
      </c>
      <c r="T2899" t="s">
        <v>1442</v>
      </c>
      <c r="U2899" s="2">
        <v>0</v>
      </c>
      <c r="V2899" s="2">
        <f>30+22</f>
        <v>52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</row>
    <row r="2900" spans="1:28" hidden="1" x14ac:dyDescent="0.25">
      <c r="A2900" t="s">
        <v>37</v>
      </c>
      <c r="B2900" t="s">
        <v>57</v>
      </c>
      <c r="C2900" t="s">
        <v>39</v>
      </c>
      <c r="D2900" s="1">
        <v>46052</v>
      </c>
      <c r="E2900" s="1">
        <v>46052</v>
      </c>
      <c r="F2900" s="2">
        <v>20</v>
      </c>
      <c r="G2900" s="3" t="s">
        <v>23</v>
      </c>
      <c r="H2900">
        <v>28</v>
      </c>
      <c r="I2900" s="2">
        <v>0</v>
      </c>
      <c r="J2900" s="2">
        <v>0</v>
      </c>
      <c r="K2900" s="2">
        <v>1</v>
      </c>
      <c r="L2900" s="2">
        <v>0</v>
      </c>
      <c r="M2900">
        <v>0</v>
      </c>
      <c r="N2900">
        <v>0</v>
      </c>
      <c r="O2900" s="2">
        <v>0</v>
      </c>
      <c r="P2900" s="2">
        <v>0</v>
      </c>
      <c r="Q2900">
        <v>0</v>
      </c>
      <c r="R2900" s="2">
        <v>0</v>
      </c>
      <c r="S2900" s="2">
        <v>0</v>
      </c>
      <c r="T2900" t="s">
        <v>1443</v>
      </c>
      <c r="U2900" s="2">
        <v>0</v>
      </c>
      <c r="V2900" s="2">
        <f>15+4+14</f>
        <v>33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</row>
    <row r="2901" spans="1:28" hidden="1" x14ac:dyDescent="0.25">
      <c r="A2901" t="s">
        <v>63</v>
      </c>
      <c r="B2901" t="s">
        <v>284</v>
      </c>
      <c r="C2901" t="s">
        <v>102</v>
      </c>
      <c r="D2901" s="1">
        <v>46052</v>
      </c>
      <c r="E2901" s="1">
        <v>46052</v>
      </c>
      <c r="F2901" s="2">
        <v>16</v>
      </c>
      <c r="G2901" s="3" t="s">
        <v>23</v>
      </c>
      <c r="H2901">
        <f>12+4+12+4+10</f>
        <v>42</v>
      </c>
      <c r="I2901" s="2">
        <v>0</v>
      </c>
      <c r="J2901" s="2">
        <v>0</v>
      </c>
      <c r="K2901" s="2">
        <v>1</v>
      </c>
      <c r="L2901" s="2">
        <v>0</v>
      </c>
      <c r="M2901">
        <v>0</v>
      </c>
      <c r="N2901">
        <v>0</v>
      </c>
      <c r="O2901" s="2">
        <v>0</v>
      </c>
      <c r="P2901" s="2">
        <v>0</v>
      </c>
      <c r="Q2901">
        <v>0</v>
      </c>
      <c r="R2901" s="2">
        <v>0</v>
      </c>
      <c r="S2901" s="2">
        <v>0</v>
      </c>
      <c r="T2901" t="s">
        <v>1444</v>
      </c>
      <c r="U2901" s="2">
        <v>0</v>
      </c>
      <c r="V2901" s="2">
        <f>10+22</f>
        <v>32</v>
      </c>
      <c r="W2901" s="2">
        <v>4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</row>
    <row r="2902" spans="1:28" hidden="1" x14ac:dyDescent="0.25">
      <c r="A2902" t="s">
        <v>53</v>
      </c>
      <c r="B2902" t="s">
        <v>38</v>
      </c>
      <c r="C2902" t="s">
        <v>54</v>
      </c>
      <c r="D2902" s="1">
        <v>46052</v>
      </c>
      <c r="E2902" s="1">
        <v>46052</v>
      </c>
      <c r="F2902" s="2">
        <v>62</v>
      </c>
      <c r="G2902" s="3" t="s">
        <v>23</v>
      </c>
      <c r="H2902">
        <f>6+2+6+2</f>
        <v>16</v>
      </c>
      <c r="I2902" s="2">
        <v>0</v>
      </c>
      <c r="J2902" s="2">
        <v>0</v>
      </c>
      <c r="K2902" s="2">
        <v>1</v>
      </c>
      <c r="L2902" s="2">
        <v>0</v>
      </c>
      <c r="M2902">
        <v>0</v>
      </c>
      <c r="N2902">
        <v>0</v>
      </c>
      <c r="O2902" s="2">
        <v>0</v>
      </c>
      <c r="P2902" s="2">
        <v>0</v>
      </c>
      <c r="Q2902">
        <v>0</v>
      </c>
      <c r="R2902" s="2">
        <v>0</v>
      </c>
      <c r="S2902" s="2">
        <v>0</v>
      </c>
      <c r="T2902" t="s">
        <v>1445</v>
      </c>
      <c r="U2902" s="2">
        <v>0</v>
      </c>
      <c r="V2902" s="2">
        <f>4+3+2+5+10+10+4</f>
        <v>38</v>
      </c>
      <c r="W2902" s="2">
        <v>1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</row>
    <row r="2903" spans="1:28" hidden="1" x14ac:dyDescent="0.25">
      <c r="A2903" t="s">
        <v>568</v>
      </c>
      <c r="B2903" t="s">
        <v>1160</v>
      </c>
      <c r="C2903" t="s">
        <v>670</v>
      </c>
      <c r="D2903" s="1">
        <v>46052</v>
      </c>
      <c r="E2903" s="1">
        <v>46052</v>
      </c>
      <c r="F2903" s="2">
        <v>36</v>
      </c>
      <c r="G2903" s="3" t="s">
        <v>23</v>
      </c>
      <c r="H2903">
        <v>3</v>
      </c>
      <c r="I2903" s="2">
        <v>0</v>
      </c>
      <c r="J2903" s="2">
        <v>0</v>
      </c>
      <c r="K2903" s="2">
        <v>0</v>
      </c>
      <c r="L2903" s="2">
        <v>0</v>
      </c>
      <c r="M2903">
        <v>0</v>
      </c>
      <c r="N2903">
        <v>0</v>
      </c>
      <c r="O2903" s="2">
        <v>0</v>
      </c>
      <c r="P2903" s="2">
        <v>0</v>
      </c>
      <c r="Q2903">
        <v>0</v>
      </c>
      <c r="R2903" s="2">
        <v>0</v>
      </c>
      <c r="S2903" s="2">
        <v>0</v>
      </c>
      <c r="T2903" t="s">
        <v>1446</v>
      </c>
      <c r="U2903" s="2">
        <v>0</v>
      </c>
      <c r="V2903" s="2">
        <f>10+8</f>
        <v>18</v>
      </c>
      <c r="W2903" s="2">
        <v>8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</row>
    <row r="2904" spans="1:28" hidden="1" x14ac:dyDescent="0.25">
      <c r="A2904" t="s">
        <v>33</v>
      </c>
      <c r="B2904" t="s">
        <v>34</v>
      </c>
      <c r="C2904" t="s">
        <v>102</v>
      </c>
      <c r="D2904" s="1">
        <v>46052</v>
      </c>
      <c r="E2904" s="1">
        <v>46052</v>
      </c>
      <c r="F2904" s="2">
        <v>23</v>
      </c>
      <c r="G2904" s="3" t="s">
        <v>48</v>
      </c>
      <c r="H2904">
        <v>0</v>
      </c>
      <c r="I2904" s="2">
        <v>0</v>
      </c>
      <c r="J2904" s="2">
        <v>0</v>
      </c>
      <c r="K2904" s="2">
        <v>0</v>
      </c>
      <c r="L2904" s="2">
        <v>0</v>
      </c>
      <c r="M2904">
        <v>0</v>
      </c>
      <c r="N2904">
        <v>0</v>
      </c>
      <c r="O2904" s="2">
        <v>0</v>
      </c>
      <c r="P2904" s="2">
        <v>0</v>
      </c>
      <c r="Q2904">
        <v>0</v>
      </c>
      <c r="R2904" s="2">
        <v>0</v>
      </c>
      <c r="S2904" s="2">
        <v>0</v>
      </c>
      <c r="T2904" t="s">
        <v>1424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</row>
    <row r="2905" spans="1:28" hidden="1" x14ac:dyDescent="0.25">
      <c r="A2905" t="s">
        <v>56</v>
      </c>
      <c r="B2905" t="s">
        <v>47</v>
      </c>
      <c r="C2905" t="s">
        <v>35</v>
      </c>
      <c r="D2905" s="1">
        <v>46052</v>
      </c>
      <c r="E2905" s="1">
        <v>46052</v>
      </c>
      <c r="F2905" s="2">
        <v>21</v>
      </c>
      <c r="G2905" s="3" t="s">
        <v>129</v>
      </c>
      <c r="H2905">
        <v>0</v>
      </c>
      <c r="I2905" s="2">
        <v>0</v>
      </c>
      <c r="J2905" s="2">
        <v>0</v>
      </c>
      <c r="K2905" s="2">
        <v>0</v>
      </c>
      <c r="L2905" s="2">
        <v>0</v>
      </c>
      <c r="M2905">
        <v>0</v>
      </c>
      <c r="N2905">
        <v>0</v>
      </c>
      <c r="O2905" s="2">
        <v>0</v>
      </c>
      <c r="P2905" s="2">
        <v>0</v>
      </c>
      <c r="Q2905">
        <v>0</v>
      </c>
      <c r="R2905" s="2">
        <v>0</v>
      </c>
      <c r="S2905" s="2">
        <v>0</v>
      </c>
      <c r="T2905" t="s">
        <v>1125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</row>
    <row r="2906" spans="1:28" hidden="1" x14ac:dyDescent="0.25">
      <c r="A2906" t="s">
        <v>730</v>
      </c>
      <c r="B2906" t="s">
        <v>47</v>
      </c>
      <c r="C2906" t="s">
        <v>35</v>
      </c>
      <c r="D2906" s="1">
        <v>46052</v>
      </c>
      <c r="E2906" s="1">
        <v>46052</v>
      </c>
      <c r="F2906" s="2">
        <v>21</v>
      </c>
      <c r="G2906" s="3" t="s">
        <v>409</v>
      </c>
      <c r="H2906">
        <v>0</v>
      </c>
      <c r="I2906" s="2">
        <v>0</v>
      </c>
      <c r="J2906" s="2">
        <v>0</v>
      </c>
      <c r="K2906" s="2">
        <v>0</v>
      </c>
      <c r="L2906" s="2">
        <v>0</v>
      </c>
      <c r="M2906">
        <v>0</v>
      </c>
      <c r="N2906">
        <v>0</v>
      </c>
      <c r="O2906" s="2">
        <v>0</v>
      </c>
      <c r="P2906" s="2">
        <v>0</v>
      </c>
      <c r="Q2906">
        <v>0</v>
      </c>
      <c r="R2906" s="2">
        <v>0</v>
      </c>
      <c r="S2906" s="2">
        <v>0</v>
      </c>
      <c r="T2906" t="s">
        <v>1125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</row>
    <row r="2907" spans="1:28" hidden="1" x14ac:dyDescent="0.25">
      <c r="A2907" t="s">
        <v>1431</v>
      </c>
      <c r="B2907" t="s">
        <v>1323</v>
      </c>
      <c r="C2907" t="s">
        <v>35</v>
      </c>
      <c r="D2907" s="1">
        <v>46052</v>
      </c>
      <c r="E2907" s="1">
        <v>46052</v>
      </c>
      <c r="F2907" s="2">
        <v>21</v>
      </c>
      <c r="G2907" s="3" t="s">
        <v>409</v>
      </c>
      <c r="H2907">
        <v>0</v>
      </c>
      <c r="I2907" s="2">
        <v>0</v>
      </c>
      <c r="J2907" s="2">
        <v>0</v>
      </c>
      <c r="K2907" s="2">
        <v>0</v>
      </c>
      <c r="L2907" s="2">
        <v>0</v>
      </c>
      <c r="M2907">
        <v>0</v>
      </c>
      <c r="N2907">
        <v>0</v>
      </c>
      <c r="O2907" s="2">
        <v>0</v>
      </c>
      <c r="P2907" s="2">
        <v>0</v>
      </c>
      <c r="Q2907">
        <v>0</v>
      </c>
      <c r="R2907" s="2">
        <v>0</v>
      </c>
      <c r="S2907" s="2">
        <v>0</v>
      </c>
      <c r="T2907" t="s">
        <v>1125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</row>
    <row r="2908" spans="1:28" hidden="1" x14ac:dyDescent="0.25">
      <c r="A2908" t="s">
        <v>47</v>
      </c>
      <c r="B2908" t="s">
        <v>52</v>
      </c>
      <c r="C2908" t="s">
        <v>35</v>
      </c>
      <c r="D2908" s="1">
        <v>46052</v>
      </c>
      <c r="E2908" s="1">
        <v>46052</v>
      </c>
      <c r="F2908" s="2">
        <v>21</v>
      </c>
      <c r="G2908" s="3" t="s">
        <v>409</v>
      </c>
      <c r="H2908">
        <v>0</v>
      </c>
      <c r="I2908" s="2">
        <v>0</v>
      </c>
      <c r="J2908" s="2">
        <v>0</v>
      </c>
      <c r="K2908" s="2">
        <v>0</v>
      </c>
      <c r="L2908" s="2">
        <v>0</v>
      </c>
      <c r="M2908">
        <v>0</v>
      </c>
      <c r="N2908">
        <v>0</v>
      </c>
      <c r="O2908" s="2">
        <v>0</v>
      </c>
      <c r="P2908" s="2">
        <v>0</v>
      </c>
      <c r="Q2908">
        <v>0</v>
      </c>
      <c r="R2908" s="2">
        <v>0</v>
      </c>
      <c r="S2908" s="2">
        <v>0</v>
      </c>
      <c r="T2908" t="s">
        <v>1125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</row>
    <row r="2909" spans="1:28" hidden="1" x14ac:dyDescent="0.25">
      <c r="A2909" t="s">
        <v>20</v>
      </c>
      <c r="B2909" t="s">
        <v>1160</v>
      </c>
      <c r="C2909" t="s">
        <v>22</v>
      </c>
      <c r="D2909" s="9">
        <v>46053</v>
      </c>
      <c r="E2909" s="9">
        <v>46053</v>
      </c>
      <c r="F2909" s="2">
        <v>50</v>
      </c>
      <c r="G2909" s="3" t="s">
        <v>23</v>
      </c>
      <c r="H2909">
        <v>28</v>
      </c>
      <c r="I2909" s="2">
        <v>0</v>
      </c>
      <c r="J2909" s="2">
        <v>0</v>
      </c>
      <c r="K2909" s="2">
        <v>0</v>
      </c>
      <c r="L2909" s="2">
        <v>0</v>
      </c>
      <c r="M2909">
        <v>0</v>
      </c>
      <c r="N2909">
        <v>0</v>
      </c>
      <c r="O2909" s="2">
        <v>1</v>
      </c>
      <c r="P2909" s="2">
        <v>0</v>
      </c>
      <c r="Q2909">
        <v>4</v>
      </c>
      <c r="R2909" s="2">
        <v>1</v>
      </c>
      <c r="S2909" s="2">
        <v>0</v>
      </c>
      <c r="T2909" t="s">
        <v>1447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hidden="1" x14ac:dyDescent="0.25">
      <c r="A2910" t="s">
        <v>33</v>
      </c>
      <c r="B2910" t="s">
        <v>34</v>
      </c>
      <c r="C2910" t="s">
        <v>35</v>
      </c>
      <c r="D2910" s="9">
        <v>46053</v>
      </c>
      <c r="E2910" s="9">
        <v>46053</v>
      </c>
      <c r="F2910" s="2">
        <v>41</v>
      </c>
      <c r="G2910" s="3" t="s">
        <v>23</v>
      </c>
      <c r="H2910">
        <v>22</v>
      </c>
      <c r="I2910" s="2">
        <v>0</v>
      </c>
      <c r="J2910" s="2">
        <v>0</v>
      </c>
      <c r="K2910" s="2">
        <v>0</v>
      </c>
      <c r="L2910" s="2">
        <v>0</v>
      </c>
      <c r="M2910">
        <v>0</v>
      </c>
      <c r="N2910">
        <v>0</v>
      </c>
      <c r="O2910" s="2">
        <v>1</v>
      </c>
      <c r="P2910" s="2">
        <v>0</v>
      </c>
      <c r="Q2910">
        <v>7</v>
      </c>
      <c r="R2910" s="2">
        <v>1</v>
      </c>
      <c r="S2910" s="2">
        <v>0</v>
      </c>
      <c r="T2910" t="s">
        <v>1448</v>
      </c>
      <c r="U2910">
        <v>23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</row>
    <row r="2911" spans="1:28" hidden="1" x14ac:dyDescent="0.25">
      <c r="A2911" t="s">
        <v>25</v>
      </c>
      <c r="B2911" t="s">
        <v>26</v>
      </c>
      <c r="C2911" t="s">
        <v>27</v>
      </c>
      <c r="D2911" s="9">
        <v>46053</v>
      </c>
      <c r="E2911" s="9">
        <v>46053</v>
      </c>
      <c r="F2911" s="2">
        <v>23</v>
      </c>
      <c r="G2911" s="3" t="s">
        <v>23</v>
      </c>
      <c r="H2911">
        <v>0</v>
      </c>
      <c r="I2911" s="2">
        <v>0</v>
      </c>
      <c r="J2911" s="2">
        <v>0</v>
      </c>
      <c r="K2911" s="2">
        <v>0</v>
      </c>
      <c r="L2911" s="2">
        <v>0</v>
      </c>
      <c r="M2911">
        <v>0</v>
      </c>
      <c r="N2911">
        <v>0</v>
      </c>
      <c r="O2911" s="2">
        <v>1</v>
      </c>
      <c r="P2911" s="2">
        <v>0</v>
      </c>
      <c r="Q2911">
        <v>0</v>
      </c>
      <c r="R2911" s="2">
        <v>1</v>
      </c>
      <c r="S2911" s="2">
        <v>0</v>
      </c>
      <c r="T2911" t="s">
        <v>1449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 hidden="1" x14ac:dyDescent="0.25">
      <c r="A2912" t="s">
        <v>37</v>
      </c>
      <c r="B2912" t="s">
        <v>57</v>
      </c>
      <c r="C2912" t="s">
        <v>39</v>
      </c>
      <c r="D2912" s="9">
        <v>46053</v>
      </c>
      <c r="E2912" s="9">
        <v>46053</v>
      </c>
      <c r="F2912" s="2">
        <v>20</v>
      </c>
      <c r="G2912" s="3" t="s">
        <v>23</v>
      </c>
      <c r="H2912">
        <v>0</v>
      </c>
      <c r="I2912" s="2">
        <v>0</v>
      </c>
      <c r="J2912" s="2">
        <v>0</v>
      </c>
      <c r="K2912" s="2">
        <v>0</v>
      </c>
      <c r="L2912" s="2">
        <v>0</v>
      </c>
      <c r="M2912">
        <v>0</v>
      </c>
      <c r="N2912">
        <v>0</v>
      </c>
      <c r="O2912" s="2">
        <v>1</v>
      </c>
      <c r="P2912" s="2">
        <v>0</v>
      </c>
      <c r="Q2912">
        <v>0</v>
      </c>
      <c r="R2912" s="2">
        <v>1</v>
      </c>
      <c r="S2912" s="2">
        <v>0</v>
      </c>
      <c r="T2912" t="s">
        <v>1450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 hidden="1" x14ac:dyDescent="0.25">
      <c r="A2913" t="s">
        <v>63</v>
      </c>
      <c r="B2913" t="s">
        <v>284</v>
      </c>
      <c r="C2913" t="s">
        <v>102</v>
      </c>
      <c r="D2913" s="9">
        <v>46053</v>
      </c>
      <c r="E2913" s="9">
        <v>46053</v>
      </c>
      <c r="F2913" s="2">
        <v>40</v>
      </c>
      <c r="G2913" s="3" t="s">
        <v>23</v>
      </c>
      <c r="H2913">
        <v>16</v>
      </c>
      <c r="I2913" s="2">
        <v>0</v>
      </c>
      <c r="J2913" s="2">
        <v>0</v>
      </c>
      <c r="K2913" s="2">
        <v>0</v>
      </c>
      <c r="L2913" s="2">
        <v>0</v>
      </c>
      <c r="M2913">
        <v>0</v>
      </c>
      <c r="N2913">
        <v>0</v>
      </c>
      <c r="O2913" s="2">
        <v>1</v>
      </c>
      <c r="P2913" s="2">
        <v>0</v>
      </c>
      <c r="Q2913">
        <v>2</v>
      </c>
      <c r="R2913" s="2">
        <v>1</v>
      </c>
      <c r="S2913" s="2">
        <v>0</v>
      </c>
      <c r="T2913" t="s">
        <v>1451</v>
      </c>
      <c r="U2913">
        <v>14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hidden="1" x14ac:dyDescent="0.25">
      <c r="A2914" t="s">
        <v>53</v>
      </c>
      <c r="B2914" t="s">
        <v>38</v>
      </c>
      <c r="C2914" t="s">
        <v>54</v>
      </c>
      <c r="D2914" s="9">
        <v>46053</v>
      </c>
      <c r="E2914" s="9">
        <v>46053</v>
      </c>
      <c r="F2914" s="2">
        <v>59</v>
      </c>
      <c r="G2914" s="3" t="s">
        <v>23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>
        <v>0</v>
      </c>
      <c r="N2914">
        <v>0</v>
      </c>
      <c r="O2914" s="2">
        <v>1</v>
      </c>
      <c r="P2914" s="2">
        <v>0</v>
      </c>
      <c r="Q2914">
        <v>3</v>
      </c>
      <c r="R2914" s="2">
        <v>1</v>
      </c>
      <c r="S2914" s="2">
        <v>0</v>
      </c>
      <c r="T2914" t="s">
        <v>1452</v>
      </c>
      <c r="U2914">
        <v>18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 hidden="1" x14ac:dyDescent="0.25">
      <c r="A2915" t="s">
        <v>29</v>
      </c>
      <c r="B2915" t="s">
        <v>30</v>
      </c>
      <c r="C2915" t="s">
        <v>31</v>
      </c>
      <c r="D2915" s="9">
        <v>46053</v>
      </c>
      <c r="E2915" s="9">
        <v>46053</v>
      </c>
      <c r="F2915" s="2">
        <v>31</v>
      </c>
      <c r="G2915" s="3" t="s">
        <v>378</v>
      </c>
      <c r="H2915">
        <v>0</v>
      </c>
      <c r="I2915" s="2">
        <v>0</v>
      </c>
      <c r="J2915" s="2">
        <v>0</v>
      </c>
      <c r="K2915" s="2">
        <v>0</v>
      </c>
      <c r="L2915" s="2">
        <v>0</v>
      </c>
      <c r="M2915">
        <v>0</v>
      </c>
      <c r="N2915">
        <v>0</v>
      </c>
      <c r="O2915" s="2">
        <v>0</v>
      </c>
      <c r="P2915" s="2">
        <v>0</v>
      </c>
      <c r="Q2915">
        <v>0</v>
      </c>
      <c r="R2915" s="2">
        <v>0</v>
      </c>
      <c r="S2915" s="2">
        <v>0</v>
      </c>
      <c r="T2915" t="s">
        <v>1125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 hidden="1" x14ac:dyDescent="0.25">
      <c r="A2916" t="s">
        <v>1431</v>
      </c>
      <c r="B2916" t="s">
        <v>47</v>
      </c>
      <c r="C2916" t="s">
        <v>31</v>
      </c>
      <c r="D2916" s="9">
        <v>46053</v>
      </c>
      <c r="E2916" s="9">
        <v>46053</v>
      </c>
      <c r="F2916" s="2">
        <v>31</v>
      </c>
      <c r="G2916" s="3" t="s">
        <v>378</v>
      </c>
      <c r="H2916">
        <v>0</v>
      </c>
      <c r="I2916" s="2">
        <v>0</v>
      </c>
      <c r="J2916" s="2">
        <v>0</v>
      </c>
      <c r="K2916" s="2">
        <v>0</v>
      </c>
      <c r="L2916" s="2">
        <v>0</v>
      </c>
      <c r="M2916">
        <v>0</v>
      </c>
      <c r="N2916">
        <v>0</v>
      </c>
      <c r="O2916" s="2">
        <v>0</v>
      </c>
      <c r="P2916" s="2">
        <v>0</v>
      </c>
      <c r="Q2916">
        <v>0</v>
      </c>
      <c r="R2916" s="2">
        <v>0</v>
      </c>
      <c r="S2916" s="2">
        <v>0</v>
      </c>
      <c r="T2916" t="s">
        <v>1125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hidden="1" x14ac:dyDescent="0.25">
      <c r="A2917" t="s">
        <v>47</v>
      </c>
      <c r="B2917" t="s">
        <v>21</v>
      </c>
      <c r="C2917" t="s">
        <v>22</v>
      </c>
      <c r="D2917" s="9">
        <v>46053</v>
      </c>
      <c r="E2917" s="9">
        <v>46053</v>
      </c>
      <c r="F2917" s="2">
        <v>34</v>
      </c>
      <c r="G2917" s="3" t="s">
        <v>378</v>
      </c>
      <c r="H2917">
        <v>0</v>
      </c>
      <c r="I2917" s="2">
        <v>0</v>
      </c>
      <c r="J2917" s="2">
        <v>0</v>
      </c>
      <c r="K2917" s="2">
        <v>0</v>
      </c>
      <c r="L2917" s="2">
        <v>0</v>
      </c>
      <c r="M2917">
        <v>0</v>
      </c>
      <c r="N2917">
        <v>0</v>
      </c>
      <c r="O2917" s="2">
        <v>0</v>
      </c>
      <c r="P2917" s="2">
        <v>0</v>
      </c>
      <c r="Q2917">
        <v>0</v>
      </c>
      <c r="R2917" s="2">
        <v>0</v>
      </c>
      <c r="S2917" s="2">
        <v>0</v>
      </c>
      <c r="T2917" t="s">
        <v>1125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hidden="1" x14ac:dyDescent="0.25">
      <c r="A2918" t="s">
        <v>568</v>
      </c>
      <c r="B2918" t="s">
        <v>1323</v>
      </c>
      <c r="C2918" t="s">
        <v>102</v>
      </c>
      <c r="D2918" s="9">
        <v>46053</v>
      </c>
      <c r="E2918" s="9">
        <v>46053</v>
      </c>
      <c r="F2918" s="2">
        <v>37</v>
      </c>
      <c r="G2918" s="3" t="s">
        <v>378</v>
      </c>
      <c r="H2918">
        <v>0</v>
      </c>
      <c r="I2918" s="2">
        <v>0</v>
      </c>
      <c r="J2918" s="2">
        <v>0</v>
      </c>
      <c r="K2918" s="2">
        <v>0</v>
      </c>
      <c r="L2918" s="2">
        <v>0</v>
      </c>
      <c r="M2918">
        <v>0</v>
      </c>
      <c r="N2918">
        <v>0</v>
      </c>
      <c r="O2918" s="2">
        <v>0</v>
      </c>
      <c r="P2918" s="2">
        <v>0</v>
      </c>
      <c r="Q2918">
        <v>0</v>
      </c>
      <c r="R2918" s="2">
        <v>0</v>
      </c>
      <c r="S2918" s="2">
        <v>0</v>
      </c>
      <c r="T2918" t="s">
        <v>1125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hidden="1" x14ac:dyDescent="0.25">
      <c r="A2919" t="s">
        <v>56</v>
      </c>
      <c r="B2919" t="s">
        <v>47</v>
      </c>
      <c r="C2919" t="s">
        <v>35</v>
      </c>
      <c r="D2919" s="9">
        <v>46053</v>
      </c>
      <c r="E2919" s="9">
        <v>46053</v>
      </c>
      <c r="F2919" s="2">
        <v>21</v>
      </c>
      <c r="G2919" s="3" t="s">
        <v>129</v>
      </c>
      <c r="H2919">
        <v>0</v>
      </c>
      <c r="I2919" s="2">
        <v>0</v>
      </c>
      <c r="J2919" s="2">
        <v>0</v>
      </c>
      <c r="K2919" s="2">
        <v>0</v>
      </c>
      <c r="L2919" s="2">
        <v>0</v>
      </c>
      <c r="M2919">
        <v>0</v>
      </c>
      <c r="N2919">
        <v>0</v>
      </c>
      <c r="O2919" s="2">
        <v>0</v>
      </c>
      <c r="P2919" s="2">
        <v>0</v>
      </c>
      <c r="Q2919">
        <v>0</v>
      </c>
      <c r="R2919" s="2">
        <v>0</v>
      </c>
      <c r="S2919" s="2">
        <v>0</v>
      </c>
      <c r="T2919" t="s">
        <v>1125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hidden="1" x14ac:dyDescent="0.25">
      <c r="A2920" t="s">
        <v>730</v>
      </c>
      <c r="B2920" t="s">
        <v>47</v>
      </c>
      <c r="C2920" t="s">
        <v>35</v>
      </c>
      <c r="D2920" s="9">
        <v>46053</v>
      </c>
      <c r="E2920" s="9">
        <v>46053</v>
      </c>
      <c r="F2920" s="2">
        <v>21</v>
      </c>
      <c r="G2920" s="3" t="s">
        <v>409</v>
      </c>
      <c r="H2920">
        <v>0</v>
      </c>
      <c r="I2920" s="2">
        <v>0</v>
      </c>
      <c r="J2920" s="2">
        <v>0</v>
      </c>
      <c r="K2920" s="2">
        <v>0</v>
      </c>
      <c r="L2920" s="2">
        <v>0</v>
      </c>
      <c r="M2920">
        <v>0</v>
      </c>
      <c r="N2920">
        <v>0</v>
      </c>
      <c r="O2920" s="2">
        <v>0</v>
      </c>
      <c r="P2920" s="2">
        <v>0</v>
      </c>
      <c r="Q2920">
        <v>0</v>
      </c>
      <c r="R2920" s="2">
        <v>0</v>
      </c>
      <c r="S2920" s="2">
        <v>0</v>
      </c>
      <c r="T2920" t="s">
        <v>1125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hidden="1" x14ac:dyDescent="0.25">
      <c r="A2921" t="s">
        <v>47</v>
      </c>
      <c r="B2921" t="s">
        <v>52</v>
      </c>
      <c r="C2921" t="s">
        <v>35</v>
      </c>
      <c r="D2921" s="9">
        <v>46053</v>
      </c>
      <c r="E2921" s="9">
        <v>46053</v>
      </c>
      <c r="F2921" s="2">
        <v>21</v>
      </c>
      <c r="G2921" s="3" t="s">
        <v>378</v>
      </c>
      <c r="H2921">
        <v>0</v>
      </c>
      <c r="I2921" s="2">
        <v>0</v>
      </c>
      <c r="J2921" s="2">
        <v>0</v>
      </c>
      <c r="K2921" s="2">
        <v>0</v>
      </c>
      <c r="L2921" s="2">
        <v>0</v>
      </c>
      <c r="M2921">
        <v>0</v>
      </c>
      <c r="N2921">
        <v>0</v>
      </c>
      <c r="O2921" s="2">
        <v>0</v>
      </c>
      <c r="P2921" s="2">
        <v>0</v>
      </c>
      <c r="Q2921">
        <v>0</v>
      </c>
      <c r="R2921" s="2">
        <v>0</v>
      </c>
      <c r="S2921" s="2">
        <v>0</v>
      </c>
      <c r="T2921" t="s">
        <v>1125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hidden="1" x14ac:dyDescent="0.25">
      <c r="A2922" t="s">
        <v>20</v>
      </c>
      <c r="B2922" t="s">
        <v>1160</v>
      </c>
      <c r="C2922" t="s">
        <v>22</v>
      </c>
      <c r="D2922" s="9">
        <v>46054</v>
      </c>
      <c r="E2922" s="9">
        <v>46054</v>
      </c>
      <c r="F2922" s="2">
        <v>82</v>
      </c>
      <c r="G2922" s="3" t="s">
        <v>23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>
        <v>0</v>
      </c>
      <c r="N2922">
        <v>0</v>
      </c>
      <c r="O2922" s="2">
        <v>0</v>
      </c>
      <c r="P2922" s="2">
        <v>1</v>
      </c>
      <c r="Q2922">
        <v>9</v>
      </c>
      <c r="R2922" s="2">
        <v>0</v>
      </c>
      <c r="S2922" s="2">
        <v>1</v>
      </c>
      <c r="T2922" t="s">
        <v>1453</v>
      </c>
      <c r="U2922">
        <v>20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</row>
    <row r="2923" spans="1:28" hidden="1" x14ac:dyDescent="0.25">
      <c r="A2923" t="s">
        <v>33</v>
      </c>
      <c r="B2923" t="s">
        <v>34</v>
      </c>
      <c r="C2923" t="s">
        <v>35</v>
      </c>
      <c r="D2923" s="9">
        <v>46054</v>
      </c>
      <c r="E2923" s="9">
        <v>46054</v>
      </c>
      <c r="F2923" s="2">
        <v>40</v>
      </c>
      <c r="G2923" s="3" t="s">
        <v>23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>
        <v>0</v>
      </c>
      <c r="N2923">
        <v>0</v>
      </c>
      <c r="O2923" s="2">
        <v>0</v>
      </c>
      <c r="P2923" s="2">
        <v>1</v>
      </c>
      <c r="Q2923">
        <v>3</v>
      </c>
      <c r="R2923" s="2">
        <v>0</v>
      </c>
      <c r="S2923" s="2">
        <v>1</v>
      </c>
      <c r="T2923" t="s">
        <v>1454</v>
      </c>
      <c r="U2923">
        <v>16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 hidden="1" x14ac:dyDescent="0.25">
      <c r="A2924" t="s">
        <v>25</v>
      </c>
      <c r="B2924" t="s">
        <v>26</v>
      </c>
      <c r="C2924" t="s">
        <v>27</v>
      </c>
      <c r="D2924" s="9">
        <v>46054</v>
      </c>
      <c r="E2924" s="9">
        <v>46054</v>
      </c>
      <c r="F2924" s="2">
        <v>22</v>
      </c>
      <c r="G2924" s="3" t="s">
        <v>23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>
        <v>0</v>
      </c>
      <c r="N2924">
        <v>0</v>
      </c>
      <c r="O2924" s="2">
        <v>0</v>
      </c>
      <c r="P2924" s="2">
        <v>1</v>
      </c>
      <c r="Q2924">
        <v>3</v>
      </c>
      <c r="R2924" s="2">
        <v>0</v>
      </c>
      <c r="S2924" s="2">
        <v>1</v>
      </c>
      <c r="T2924" t="s">
        <v>1455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 hidden="1" x14ac:dyDescent="0.25">
      <c r="A2925" t="s">
        <v>37</v>
      </c>
      <c r="B2925" t="s">
        <v>57</v>
      </c>
      <c r="C2925" t="s">
        <v>39</v>
      </c>
      <c r="D2925" s="9">
        <v>46054</v>
      </c>
      <c r="E2925" s="9">
        <v>46054</v>
      </c>
      <c r="F2925" s="2">
        <v>102</v>
      </c>
      <c r="G2925" s="3" t="s">
        <v>23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>
        <v>0</v>
      </c>
      <c r="N2925">
        <v>0</v>
      </c>
      <c r="O2925" s="2">
        <v>0</v>
      </c>
      <c r="P2925" s="2">
        <v>1</v>
      </c>
      <c r="Q2925">
        <v>3</v>
      </c>
      <c r="R2925" s="2">
        <v>0</v>
      </c>
      <c r="S2925" s="2">
        <v>1</v>
      </c>
      <c r="T2925" t="s">
        <v>1456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 hidden="1" x14ac:dyDescent="0.25">
      <c r="A2926" t="s">
        <v>63</v>
      </c>
      <c r="B2926" t="s">
        <v>284</v>
      </c>
      <c r="C2926" t="s">
        <v>102</v>
      </c>
      <c r="D2926" s="9">
        <v>46054</v>
      </c>
      <c r="E2926" s="9">
        <v>46054</v>
      </c>
      <c r="F2926" s="2">
        <v>21</v>
      </c>
      <c r="G2926" s="3" t="s">
        <v>23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>
        <v>0</v>
      </c>
      <c r="N2926">
        <v>0</v>
      </c>
      <c r="O2926" s="2">
        <v>0</v>
      </c>
      <c r="P2926" s="2">
        <v>1</v>
      </c>
      <c r="Q2926">
        <v>3</v>
      </c>
      <c r="R2926" s="2">
        <v>0</v>
      </c>
      <c r="S2926" s="2">
        <v>1</v>
      </c>
      <c r="T2926" t="s">
        <v>1457</v>
      </c>
      <c r="U2926">
        <v>18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 hidden="1" x14ac:dyDescent="0.25">
      <c r="A2927" t="s">
        <v>53</v>
      </c>
      <c r="B2927" t="s">
        <v>38</v>
      </c>
      <c r="C2927" t="s">
        <v>54</v>
      </c>
      <c r="D2927" s="9">
        <v>46054</v>
      </c>
      <c r="E2927" s="9">
        <v>46054</v>
      </c>
      <c r="F2927" s="2">
        <v>59</v>
      </c>
      <c r="G2927" s="3" t="s">
        <v>23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>
        <v>0</v>
      </c>
      <c r="N2927">
        <v>0</v>
      </c>
      <c r="O2927" s="2">
        <v>0</v>
      </c>
      <c r="P2927" s="2">
        <v>1</v>
      </c>
      <c r="Q2927">
        <v>3</v>
      </c>
      <c r="R2927" s="2">
        <v>0</v>
      </c>
      <c r="S2927" s="2">
        <v>1</v>
      </c>
      <c r="T2927" t="s">
        <v>1452</v>
      </c>
      <c r="U2927">
        <v>15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 hidden="1" x14ac:dyDescent="0.25">
      <c r="A2928" t="s">
        <v>29</v>
      </c>
      <c r="B2928" t="s">
        <v>30</v>
      </c>
      <c r="C2928" t="s">
        <v>31</v>
      </c>
      <c r="D2928" s="9">
        <v>46054</v>
      </c>
      <c r="E2928" s="9">
        <v>46054</v>
      </c>
      <c r="F2928" s="2">
        <v>31</v>
      </c>
      <c r="G2928" s="3" t="s">
        <v>378</v>
      </c>
      <c r="H2928">
        <v>0</v>
      </c>
      <c r="I2928" s="2">
        <v>0</v>
      </c>
      <c r="J2928" s="2">
        <v>0</v>
      </c>
      <c r="K2928" s="2">
        <v>0</v>
      </c>
      <c r="L2928" s="2">
        <v>0</v>
      </c>
      <c r="M2928">
        <v>0</v>
      </c>
      <c r="N2928">
        <v>0</v>
      </c>
      <c r="O2928" s="2">
        <v>0</v>
      </c>
      <c r="P2928" s="2">
        <v>0</v>
      </c>
      <c r="Q2928">
        <v>0</v>
      </c>
      <c r="R2928" s="2">
        <v>0</v>
      </c>
      <c r="S2928" s="2">
        <v>0</v>
      </c>
      <c r="T2928" t="s">
        <v>1125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 hidden="1" x14ac:dyDescent="0.25">
      <c r="A2929" t="s">
        <v>1431</v>
      </c>
      <c r="B2929" t="s">
        <v>47</v>
      </c>
      <c r="C2929" t="s">
        <v>31</v>
      </c>
      <c r="D2929" s="9">
        <v>46054</v>
      </c>
      <c r="E2929" s="9">
        <v>46054</v>
      </c>
      <c r="F2929" s="2">
        <v>31</v>
      </c>
      <c r="G2929" s="3" t="s">
        <v>378</v>
      </c>
      <c r="H2929">
        <v>0</v>
      </c>
      <c r="I2929" s="2">
        <v>0</v>
      </c>
      <c r="J2929" s="2">
        <v>0</v>
      </c>
      <c r="K2929" s="2">
        <v>0</v>
      </c>
      <c r="L2929" s="2">
        <v>0</v>
      </c>
      <c r="M2929">
        <v>0</v>
      </c>
      <c r="N2929">
        <v>0</v>
      </c>
      <c r="O2929" s="2">
        <v>0</v>
      </c>
      <c r="P2929" s="2">
        <v>0</v>
      </c>
      <c r="Q2929">
        <v>0</v>
      </c>
      <c r="R2929" s="2">
        <v>0</v>
      </c>
      <c r="S2929" s="2">
        <v>0</v>
      </c>
      <c r="T2929" t="s">
        <v>1125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hidden="1" x14ac:dyDescent="0.25">
      <c r="A2930" t="s">
        <v>47</v>
      </c>
      <c r="B2930" t="s">
        <v>21</v>
      </c>
      <c r="C2930" t="s">
        <v>22</v>
      </c>
      <c r="D2930" s="9">
        <v>46054</v>
      </c>
      <c r="E2930" s="9">
        <v>46054</v>
      </c>
      <c r="F2930" s="2">
        <v>34</v>
      </c>
      <c r="G2930" s="3" t="s">
        <v>378</v>
      </c>
      <c r="H2930">
        <v>0</v>
      </c>
      <c r="I2930" s="2">
        <v>0</v>
      </c>
      <c r="J2930" s="2">
        <v>0</v>
      </c>
      <c r="K2930" s="2">
        <v>0</v>
      </c>
      <c r="L2930" s="2">
        <v>0</v>
      </c>
      <c r="M2930">
        <v>0</v>
      </c>
      <c r="N2930">
        <v>0</v>
      </c>
      <c r="O2930" s="2">
        <v>0</v>
      </c>
      <c r="P2930" s="2">
        <v>0</v>
      </c>
      <c r="Q2930">
        <v>0</v>
      </c>
      <c r="R2930" s="2">
        <v>0</v>
      </c>
      <c r="S2930" s="2">
        <v>0</v>
      </c>
      <c r="T2930" t="s">
        <v>1125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hidden="1" x14ac:dyDescent="0.25">
      <c r="A2931" t="s">
        <v>568</v>
      </c>
      <c r="B2931" t="s">
        <v>1323</v>
      </c>
      <c r="C2931" t="s">
        <v>102</v>
      </c>
      <c r="D2931" s="9">
        <v>46054</v>
      </c>
      <c r="E2931" s="9">
        <v>46054</v>
      </c>
      <c r="F2931" s="2">
        <v>37</v>
      </c>
      <c r="G2931" s="3" t="s">
        <v>378</v>
      </c>
      <c r="H2931">
        <v>0</v>
      </c>
      <c r="I2931" s="2">
        <v>0</v>
      </c>
      <c r="J2931" s="2">
        <v>0</v>
      </c>
      <c r="K2931" s="2">
        <v>0</v>
      </c>
      <c r="L2931" s="2">
        <v>0</v>
      </c>
      <c r="M2931">
        <v>0</v>
      </c>
      <c r="N2931">
        <v>0</v>
      </c>
      <c r="O2931" s="2">
        <v>0</v>
      </c>
      <c r="P2931" s="2">
        <v>0</v>
      </c>
      <c r="Q2931">
        <v>0</v>
      </c>
      <c r="R2931" s="2">
        <v>0</v>
      </c>
      <c r="S2931" s="2">
        <v>0</v>
      </c>
      <c r="T2931" t="s">
        <v>1125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hidden="1" x14ac:dyDescent="0.25">
      <c r="A2932" t="s">
        <v>56</v>
      </c>
      <c r="B2932" t="s">
        <v>47</v>
      </c>
      <c r="C2932" t="s">
        <v>35</v>
      </c>
      <c r="D2932" s="9">
        <v>46054</v>
      </c>
      <c r="E2932" s="9">
        <v>46054</v>
      </c>
      <c r="F2932" s="2">
        <v>21</v>
      </c>
      <c r="G2932" s="3" t="s">
        <v>129</v>
      </c>
      <c r="H2932">
        <v>0</v>
      </c>
      <c r="I2932" s="2">
        <v>0</v>
      </c>
      <c r="J2932" s="2">
        <v>0</v>
      </c>
      <c r="K2932" s="2">
        <v>0</v>
      </c>
      <c r="L2932" s="2">
        <v>0</v>
      </c>
      <c r="M2932">
        <v>0</v>
      </c>
      <c r="N2932">
        <v>0</v>
      </c>
      <c r="O2932" s="2">
        <v>0</v>
      </c>
      <c r="P2932" s="2">
        <v>0</v>
      </c>
      <c r="Q2932">
        <v>0</v>
      </c>
      <c r="R2932" s="2">
        <v>0</v>
      </c>
      <c r="S2932" s="2">
        <v>0</v>
      </c>
      <c r="T2932" t="s">
        <v>1125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 hidden="1" x14ac:dyDescent="0.25">
      <c r="A2933" t="s">
        <v>730</v>
      </c>
      <c r="B2933" t="s">
        <v>47</v>
      </c>
      <c r="C2933" t="s">
        <v>35</v>
      </c>
      <c r="D2933" s="9">
        <v>46054</v>
      </c>
      <c r="E2933" s="9">
        <v>46054</v>
      </c>
      <c r="F2933" s="2">
        <v>21</v>
      </c>
      <c r="G2933" s="3" t="s">
        <v>409</v>
      </c>
      <c r="H2933">
        <v>0</v>
      </c>
      <c r="I2933" s="2">
        <v>0</v>
      </c>
      <c r="J2933" s="2">
        <v>0</v>
      </c>
      <c r="K2933" s="2">
        <v>0</v>
      </c>
      <c r="L2933" s="2">
        <v>0</v>
      </c>
      <c r="M2933">
        <v>0</v>
      </c>
      <c r="N2933">
        <v>0</v>
      </c>
      <c r="O2933" s="2">
        <v>0</v>
      </c>
      <c r="P2933" s="2">
        <v>0</v>
      </c>
      <c r="Q2933">
        <v>0</v>
      </c>
      <c r="R2933" s="2">
        <v>0</v>
      </c>
      <c r="S2933" s="2">
        <v>0</v>
      </c>
      <c r="T2933" t="s">
        <v>1125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 hidden="1" x14ac:dyDescent="0.25">
      <c r="A2934" t="s">
        <v>47</v>
      </c>
      <c r="B2934" t="s">
        <v>52</v>
      </c>
      <c r="C2934" t="s">
        <v>35</v>
      </c>
      <c r="D2934" s="9">
        <v>46054</v>
      </c>
      <c r="E2934" s="9">
        <v>46054</v>
      </c>
      <c r="F2934" s="2">
        <v>21</v>
      </c>
      <c r="G2934" s="3" t="s">
        <v>378</v>
      </c>
      <c r="H2934">
        <v>0</v>
      </c>
      <c r="I2934" s="2">
        <v>0</v>
      </c>
      <c r="J2934" s="2">
        <v>0</v>
      </c>
      <c r="K2934" s="2">
        <v>0</v>
      </c>
      <c r="L2934" s="2">
        <v>0</v>
      </c>
      <c r="M2934">
        <v>0</v>
      </c>
      <c r="N2934">
        <v>0</v>
      </c>
      <c r="O2934" s="2">
        <v>0</v>
      </c>
      <c r="P2934" s="2">
        <v>0</v>
      </c>
      <c r="Q2934">
        <v>0</v>
      </c>
      <c r="R2934" s="2">
        <v>0</v>
      </c>
      <c r="S2934" s="2">
        <v>0</v>
      </c>
      <c r="T2934" t="s">
        <v>1125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 hidden="1" x14ac:dyDescent="0.25">
      <c r="A2935" t="s">
        <v>37</v>
      </c>
      <c r="B2935" t="s">
        <v>57</v>
      </c>
      <c r="C2935" t="s">
        <v>39</v>
      </c>
      <c r="D2935" s="1">
        <v>46055</v>
      </c>
      <c r="E2935" s="1">
        <v>46055</v>
      </c>
      <c r="F2935" s="2">
        <v>14</v>
      </c>
      <c r="G2935" s="3" t="s">
        <v>23</v>
      </c>
      <c r="H2935">
        <v>0</v>
      </c>
      <c r="I2935" s="2">
        <v>0</v>
      </c>
      <c r="J2935" s="2">
        <v>0</v>
      </c>
      <c r="K2935" s="2">
        <v>0</v>
      </c>
      <c r="L2935" s="2">
        <v>0</v>
      </c>
      <c r="M2935">
        <v>0</v>
      </c>
      <c r="N2935">
        <v>0</v>
      </c>
      <c r="O2935" s="2">
        <v>0</v>
      </c>
      <c r="P2935" s="2">
        <v>0</v>
      </c>
      <c r="Q2935">
        <v>0</v>
      </c>
      <c r="R2935" s="2">
        <v>0</v>
      </c>
      <c r="S2935" s="2">
        <v>0</v>
      </c>
      <c r="T2935" t="s">
        <v>1458</v>
      </c>
      <c r="U2935" s="2">
        <v>0</v>
      </c>
      <c r="V2935" s="2">
        <v>22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</row>
    <row r="2936" spans="1:28" hidden="1" x14ac:dyDescent="0.25">
      <c r="A2936" t="s">
        <v>25</v>
      </c>
      <c r="B2936" t="s">
        <v>26</v>
      </c>
      <c r="C2936" t="s">
        <v>27</v>
      </c>
      <c r="D2936" s="1">
        <v>46055</v>
      </c>
      <c r="E2936" s="1">
        <v>46055</v>
      </c>
      <c r="F2936" s="2">
        <v>28</v>
      </c>
      <c r="G2936" s="3" t="s">
        <v>23</v>
      </c>
      <c r="H2936">
        <v>0</v>
      </c>
      <c r="I2936" s="2">
        <v>0</v>
      </c>
      <c r="J2936" s="2">
        <v>0</v>
      </c>
      <c r="K2936" s="2">
        <v>0</v>
      </c>
      <c r="L2936" s="2">
        <v>0</v>
      </c>
      <c r="M2936">
        <v>0</v>
      </c>
      <c r="N2936">
        <v>0</v>
      </c>
      <c r="O2936" s="2">
        <v>0</v>
      </c>
      <c r="P2936" s="2">
        <v>0</v>
      </c>
      <c r="Q2936">
        <v>0</v>
      </c>
      <c r="R2936" s="2">
        <v>0</v>
      </c>
      <c r="S2936" s="2">
        <v>0</v>
      </c>
      <c r="T2936" t="s">
        <v>1459</v>
      </c>
      <c r="U2936" s="2">
        <v>0</v>
      </c>
      <c r="V2936" s="2">
        <v>22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</row>
    <row r="2937" spans="1:28" hidden="1" x14ac:dyDescent="0.25">
      <c r="A2937" t="s">
        <v>63</v>
      </c>
      <c r="B2937" t="s">
        <v>284</v>
      </c>
      <c r="C2937" t="s">
        <v>102</v>
      </c>
      <c r="D2937" s="1">
        <v>46055</v>
      </c>
      <c r="E2937" s="1">
        <v>46055</v>
      </c>
      <c r="F2937" s="2">
        <v>22</v>
      </c>
      <c r="G2937" s="3" t="s">
        <v>23</v>
      </c>
      <c r="H2937">
        <v>10</v>
      </c>
      <c r="I2937" s="2">
        <v>0</v>
      </c>
      <c r="J2937" s="2">
        <v>0</v>
      </c>
      <c r="K2937" s="2">
        <v>0</v>
      </c>
      <c r="L2937" s="2">
        <v>0</v>
      </c>
      <c r="M2937">
        <v>0</v>
      </c>
      <c r="N2937">
        <v>0</v>
      </c>
      <c r="O2937" s="2">
        <v>0</v>
      </c>
      <c r="P2937" s="2">
        <v>0</v>
      </c>
      <c r="Q2937">
        <v>0</v>
      </c>
      <c r="R2937" s="2">
        <v>0</v>
      </c>
      <c r="S2937" s="2">
        <v>0</v>
      </c>
      <c r="T2937" t="s">
        <v>1460</v>
      </c>
      <c r="U2937" s="2">
        <v>0</v>
      </c>
      <c r="V2937" s="2">
        <f>15+4</f>
        <v>19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</row>
    <row r="2938" spans="1:28" hidden="1" x14ac:dyDescent="0.25">
      <c r="A2938" t="s">
        <v>1431</v>
      </c>
      <c r="B2938" t="s">
        <v>1323</v>
      </c>
      <c r="C2938" t="s">
        <v>670</v>
      </c>
      <c r="D2938" s="1">
        <v>46055</v>
      </c>
      <c r="E2938" s="1">
        <v>46055</v>
      </c>
      <c r="F2938" s="2">
        <v>31</v>
      </c>
      <c r="G2938" s="3" t="s">
        <v>23</v>
      </c>
      <c r="H2938">
        <v>27</v>
      </c>
      <c r="I2938" s="2">
        <v>0</v>
      </c>
      <c r="J2938" s="2">
        <v>0</v>
      </c>
      <c r="K2938" s="2">
        <v>0</v>
      </c>
      <c r="L2938" s="2">
        <v>0</v>
      </c>
      <c r="M2938">
        <v>0</v>
      </c>
      <c r="N2938">
        <v>0</v>
      </c>
      <c r="O2938" s="2">
        <v>0</v>
      </c>
      <c r="P2938" s="2">
        <v>0</v>
      </c>
      <c r="Q2938">
        <v>0</v>
      </c>
      <c r="R2938" s="2">
        <v>0</v>
      </c>
      <c r="S2938" s="2">
        <v>0</v>
      </c>
      <c r="T2938" t="s">
        <v>1461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</row>
    <row r="2939" spans="1:28" hidden="1" x14ac:dyDescent="0.25">
      <c r="A2939" t="s">
        <v>33</v>
      </c>
      <c r="B2939" t="s">
        <v>34</v>
      </c>
      <c r="C2939" t="s">
        <v>35</v>
      </c>
      <c r="D2939" s="1">
        <v>46055</v>
      </c>
      <c r="E2939" s="1">
        <v>46055</v>
      </c>
      <c r="F2939" s="2">
        <v>33</v>
      </c>
      <c r="G2939" s="3" t="s">
        <v>23</v>
      </c>
      <c r="H2939">
        <v>5</v>
      </c>
      <c r="I2939" s="2">
        <v>0</v>
      </c>
      <c r="J2939" s="2">
        <v>0</v>
      </c>
      <c r="K2939" s="2">
        <v>0</v>
      </c>
      <c r="L2939" s="2">
        <v>0</v>
      </c>
      <c r="M2939">
        <v>0</v>
      </c>
      <c r="N2939">
        <v>0</v>
      </c>
      <c r="O2939" s="2">
        <v>0</v>
      </c>
      <c r="P2939" s="2">
        <v>0</v>
      </c>
      <c r="Q2939">
        <v>0</v>
      </c>
      <c r="R2939" s="2">
        <v>0</v>
      </c>
      <c r="S2939" s="2">
        <v>0</v>
      </c>
      <c r="T2939" t="s">
        <v>1462</v>
      </c>
      <c r="U2939" s="2">
        <v>0</v>
      </c>
      <c r="V2939" s="2">
        <v>4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</row>
    <row r="2940" spans="1:28" hidden="1" x14ac:dyDescent="0.25">
      <c r="A2940" t="s">
        <v>53</v>
      </c>
      <c r="B2940" t="s">
        <v>38</v>
      </c>
      <c r="C2940" t="s">
        <v>102</v>
      </c>
      <c r="D2940" s="1">
        <v>46055</v>
      </c>
      <c r="E2940" s="1">
        <v>46055</v>
      </c>
      <c r="F2940" s="2">
        <v>23</v>
      </c>
      <c r="G2940" s="3" t="s">
        <v>48</v>
      </c>
      <c r="H2940">
        <v>0</v>
      </c>
      <c r="I2940" s="2">
        <v>0</v>
      </c>
      <c r="J2940" s="2">
        <v>0</v>
      </c>
      <c r="K2940" s="2">
        <v>0</v>
      </c>
      <c r="L2940" s="2">
        <v>0</v>
      </c>
      <c r="M2940">
        <v>0</v>
      </c>
      <c r="N2940">
        <v>0</v>
      </c>
      <c r="O2940" s="2">
        <v>0</v>
      </c>
      <c r="P2940" s="2">
        <v>0</v>
      </c>
      <c r="Q2940">
        <v>0</v>
      </c>
      <c r="R2940" s="2">
        <v>0</v>
      </c>
      <c r="S2940" s="2">
        <v>0</v>
      </c>
      <c r="T2940" t="s">
        <v>1424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</row>
    <row r="2941" spans="1:28" hidden="1" x14ac:dyDescent="0.25">
      <c r="A2941" t="s">
        <v>568</v>
      </c>
      <c r="B2941" t="s">
        <v>1160</v>
      </c>
      <c r="C2941" t="s">
        <v>670</v>
      </c>
      <c r="D2941" s="1">
        <v>46055</v>
      </c>
      <c r="E2941" s="1">
        <v>46055</v>
      </c>
      <c r="F2941" s="2">
        <v>31</v>
      </c>
      <c r="G2941" s="3" t="s">
        <v>23</v>
      </c>
      <c r="H2941">
        <v>0</v>
      </c>
      <c r="I2941" s="2">
        <v>0</v>
      </c>
      <c r="J2941" s="2">
        <v>0</v>
      </c>
      <c r="K2941" s="2">
        <v>0</v>
      </c>
      <c r="L2941" s="2">
        <v>0</v>
      </c>
      <c r="M2941">
        <v>0</v>
      </c>
      <c r="N2941">
        <v>0</v>
      </c>
      <c r="O2941" s="2">
        <v>0</v>
      </c>
      <c r="P2941" s="2">
        <v>0</v>
      </c>
      <c r="Q2941">
        <v>0</v>
      </c>
      <c r="R2941" s="2">
        <v>0</v>
      </c>
      <c r="S2941" s="2">
        <v>0</v>
      </c>
      <c r="T2941" t="s">
        <v>1461</v>
      </c>
      <c r="U2941" s="2">
        <v>0</v>
      </c>
      <c r="V2941" s="2">
        <v>27</v>
      </c>
      <c r="W2941" s="2">
        <v>6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</row>
    <row r="2942" spans="1:28" hidden="1" x14ac:dyDescent="0.25">
      <c r="A2942" t="s">
        <v>47</v>
      </c>
      <c r="B2942" t="s">
        <v>30</v>
      </c>
      <c r="C2942" t="s">
        <v>670</v>
      </c>
      <c r="D2942" s="1">
        <v>46055</v>
      </c>
      <c r="E2942" s="1">
        <v>46055</v>
      </c>
      <c r="F2942" s="2">
        <v>31</v>
      </c>
      <c r="G2942" s="3" t="s">
        <v>23</v>
      </c>
      <c r="H2942">
        <v>0</v>
      </c>
      <c r="I2942" s="2">
        <v>0</v>
      </c>
      <c r="J2942" s="2">
        <v>0</v>
      </c>
      <c r="K2942" s="2">
        <v>0</v>
      </c>
      <c r="L2942" s="2">
        <v>0</v>
      </c>
      <c r="M2942">
        <v>0</v>
      </c>
      <c r="N2942">
        <v>0</v>
      </c>
      <c r="O2942" s="2">
        <v>0</v>
      </c>
      <c r="P2942" s="2">
        <v>0</v>
      </c>
      <c r="Q2942">
        <v>0</v>
      </c>
      <c r="R2942" s="2">
        <v>0</v>
      </c>
      <c r="S2942" s="2">
        <v>0</v>
      </c>
      <c r="T2942" t="s">
        <v>1461</v>
      </c>
      <c r="U2942" s="2">
        <v>0</v>
      </c>
      <c r="V2942" s="2">
        <v>27</v>
      </c>
      <c r="W2942" s="2">
        <v>6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</row>
    <row r="2943" spans="1:28" hidden="1" x14ac:dyDescent="0.25">
      <c r="A2943" t="s">
        <v>29</v>
      </c>
      <c r="B2943" t="s">
        <v>47</v>
      </c>
      <c r="C2943" t="s">
        <v>102</v>
      </c>
      <c r="D2943" s="1">
        <v>46055</v>
      </c>
      <c r="E2943" s="1">
        <v>46055</v>
      </c>
      <c r="F2943" s="2">
        <v>23</v>
      </c>
      <c r="G2943" s="3" t="s">
        <v>572</v>
      </c>
      <c r="H2943">
        <v>0</v>
      </c>
      <c r="I2943" s="2">
        <v>0</v>
      </c>
      <c r="J2943" s="2">
        <v>0</v>
      </c>
      <c r="K2943" s="2">
        <v>0</v>
      </c>
      <c r="L2943" s="2">
        <v>0</v>
      </c>
      <c r="M2943">
        <v>0</v>
      </c>
      <c r="N2943">
        <v>0</v>
      </c>
      <c r="O2943" s="2">
        <v>0</v>
      </c>
      <c r="P2943" s="2">
        <v>0</v>
      </c>
      <c r="Q2943">
        <v>0</v>
      </c>
      <c r="R2943" s="2">
        <v>0</v>
      </c>
      <c r="S2943" s="2">
        <v>0</v>
      </c>
      <c r="T2943" t="s">
        <v>1424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</row>
    <row r="2944" spans="1:28" hidden="1" x14ac:dyDescent="0.25">
      <c r="A2944" t="s">
        <v>20</v>
      </c>
      <c r="B2944" t="s">
        <v>21</v>
      </c>
      <c r="C2944" t="s">
        <v>102</v>
      </c>
      <c r="D2944" s="1">
        <v>46055</v>
      </c>
      <c r="E2944" s="1">
        <v>46055</v>
      </c>
      <c r="F2944" s="2">
        <v>23</v>
      </c>
      <c r="G2944" s="3" t="s">
        <v>572</v>
      </c>
      <c r="H2944">
        <v>0</v>
      </c>
      <c r="I2944" s="2">
        <v>0</v>
      </c>
      <c r="J2944" s="2">
        <v>0</v>
      </c>
      <c r="K2944" s="2">
        <v>0</v>
      </c>
      <c r="L2944" s="2">
        <v>0</v>
      </c>
      <c r="M2944">
        <v>0</v>
      </c>
      <c r="N2944">
        <v>0</v>
      </c>
      <c r="O2944" s="2">
        <v>0</v>
      </c>
      <c r="P2944" s="2">
        <v>0</v>
      </c>
      <c r="Q2944">
        <v>0</v>
      </c>
      <c r="R2944" s="2">
        <v>0</v>
      </c>
      <c r="S2944" s="2">
        <v>0</v>
      </c>
      <c r="T2944" t="s">
        <v>1424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</row>
    <row r="2945" spans="1:28" hidden="1" x14ac:dyDescent="0.25">
      <c r="A2945" t="s">
        <v>56</v>
      </c>
      <c r="B2945" t="s">
        <v>47</v>
      </c>
      <c r="C2945" t="s">
        <v>35</v>
      </c>
      <c r="D2945" s="1">
        <v>46055</v>
      </c>
      <c r="E2945" s="1">
        <v>46055</v>
      </c>
      <c r="F2945" s="2">
        <v>21</v>
      </c>
      <c r="G2945" s="3" t="s">
        <v>129</v>
      </c>
      <c r="H2945">
        <v>0</v>
      </c>
      <c r="I2945" s="2">
        <v>0</v>
      </c>
      <c r="J2945" s="2">
        <v>0</v>
      </c>
      <c r="K2945" s="2">
        <v>0</v>
      </c>
      <c r="L2945" s="2">
        <v>0</v>
      </c>
      <c r="M2945">
        <v>0</v>
      </c>
      <c r="N2945">
        <v>0</v>
      </c>
      <c r="O2945" s="2">
        <v>0</v>
      </c>
      <c r="P2945" s="2">
        <v>0</v>
      </c>
      <c r="Q2945">
        <v>0</v>
      </c>
      <c r="R2945" s="2">
        <v>0</v>
      </c>
      <c r="S2945" s="2">
        <v>0</v>
      </c>
      <c r="T2945" t="s">
        <v>1125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</row>
    <row r="2946" spans="1:28" hidden="1" x14ac:dyDescent="0.25">
      <c r="A2946" t="s">
        <v>730</v>
      </c>
      <c r="B2946" t="s">
        <v>47</v>
      </c>
      <c r="C2946" t="s">
        <v>35</v>
      </c>
      <c r="D2946" s="1">
        <v>46055</v>
      </c>
      <c r="E2946" s="1">
        <v>46055</v>
      </c>
      <c r="F2946" s="2">
        <v>21</v>
      </c>
      <c r="G2946" s="3" t="s">
        <v>409</v>
      </c>
      <c r="H2946">
        <v>0</v>
      </c>
      <c r="I2946" s="2">
        <v>0</v>
      </c>
      <c r="J2946" s="2">
        <v>0</v>
      </c>
      <c r="K2946" s="2">
        <v>0</v>
      </c>
      <c r="L2946" s="2">
        <v>0</v>
      </c>
      <c r="M2946">
        <v>0</v>
      </c>
      <c r="N2946">
        <v>0</v>
      </c>
      <c r="O2946" s="2">
        <v>0</v>
      </c>
      <c r="P2946" s="2">
        <v>0</v>
      </c>
      <c r="Q2946">
        <v>0</v>
      </c>
      <c r="R2946" s="2">
        <v>0</v>
      </c>
      <c r="S2946" s="2">
        <v>0</v>
      </c>
      <c r="T2946" t="s">
        <v>1125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</row>
    <row r="2947" spans="1:28" hidden="1" x14ac:dyDescent="0.25">
      <c r="A2947" t="s">
        <v>47</v>
      </c>
      <c r="B2947" t="s">
        <v>52</v>
      </c>
      <c r="C2947" t="s">
        <v>35</v>
      </c>
      <c r="D2947" s="1">
        <v>46055</v>
      </c>
      <c r="E2947" s="1">
        <v>46055</v>
      </c>
      <c r="F2947" s="2">
        <v>21</v>
      </c>
      <c r="G2947" s="3" t="s">
        <v>409</v>
      </c>
      <c r="H2947">
        <v>0</v>
      </c>
      <c r="I2947" s="2">
        <v>0</v>
      </c>
      <c r="J2947" s="2">
        <v>0</v>
      </c>
      <c r="K2947" s="2">
        <v>0</v>
      </c>
      <c r="L2947" s="2">
        <v>0</v>
      </c>
      <c r="M2947">
        <v>0</v>
      </c>
      <c r="N2947">
        <v>0</v>
      </c>
      <c r="O2947" s="2">
        <v>0</v>
      </c>
      <c r="P2947" s="2">
        <v>0</v>
      </c>
      <c r="Q2947">
        <v>0</v>
      </c>
      <c r="R2947" s="2">
        <v>0</v>
      </c>
      <c r="S2947" s="2">
        <v>0</v>
      </c>
      <c r="T2947" t="s">
        <v>1125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</row>
    <row r="2948" spans="1:28" hidden="1" x14ac:dyDescent="0.25">
      <c r="A2948" t="s">
        <v>25</v>
      </c>
      <c r="B2948" t="s">
        <v>26</v>
      </c>
      <c r="C2948" t="s">
        <v>27</v>
      </c>
      <c r="D2948" s="1">
        <v>46056</v>
      </c>
      <c r="E2948" s="1">
        <v>46056</v>
      </c>
      <c r="F2948" s="2">
        <v>23</v>
      </c>
      <c r="G2948" s="3" t="s">
        <v>23</v>
      </c>
      <c r="H2948">
        <v>20</v>
      </c>
      <c r="I2948" s="2">
        <v>0</v>
      </c>
      <c r="J2948" s="2">
        <v>0</v>
      </c>
      <c r="K2948" s="2">
        <v>0</v>
      </c>
      <c r="L2948" s="2">
        <v>1</v>
      </c>
      <c r="M2948">
        <v>0</v>
      </c>
      <c r="N2948">
        <v>0</v>
      </c>
      <c r="O2948" s="2">
        <v>0</v>
      </c>
      <c r="P2948" s="2">
        <v>0</v>
      </c>
      <c r="Q2948">
        <v>0</v>
      </c>
      <c r="R2948" s="2">
        <v>0</v>
      </c>
      <c r="S2948" s="2">
        <v>0</v>
      </c>
      <c r="T2948" t="s">
        <v>1463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</row>
    <row r="2949" spans="1:28" hidden="1" x14ac:dyDescent="0.25">
      <c r="A2949" t="s">
        <v>1431</v>
      </c>
      <c r="B2949" t="s">
        <v>1160</v>
      </c>
      <c r="C2949" t="s">
        <v>27</v>
      </c>
      <c r="D2949" s="1">
        <v>46056</v>
      </c>
      <c r="E2949" s="1">
        <v>46056</v>
      </c>
      <c r="F2949" s="2">
        <v>23</v>
      </c>
      <c r="G2949" s="3" t="s">
        <v>23</v>
      </c>
      <c r="H2949">
        <v>16</v>
      </c>
      <c r="I2949" s="2">
        <v>0</v>
      </c>
      <c r="J2949" s="2">
        <v>0</v>
      </c>
      <c r="K2949" s="2">
        <v>1</v>
      </c>
      <c r="L2949" s="2">
        <v>0</v>
      </c>
      <c r="M2949">
        <v>0</v>
      </c>
      <c r="N2949">
        <v>0</v>
      </c>
      <c r="O2949" s="2">
        <v>0</v>
      </c>
      <c r="P2949" s="2">
        <v>0</v>
      </c>
      <c r="Q2949">
        <v>0</v>
      </c>
      <c r="R2949" s="2">
        <v>0</v>
      </c>
      <c r="S2949" s="2">
        <v>0</v>
      </c>
      <c r="T2949" t="s">
        <v>1463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</row>
    <row r="2950" spans="1:28" hidden="1" x14ac:dyDescent="0.25">
      <c r="A2950" t="s">
        <v>20</v>
      </c>
      <c r="B2950" t="s">
        <v>21</v>
      </c>
      <c r="C2950" t="s">
        <v>22</v>
      </c>
      <c r="D2950" s="1">
        <v>46056</v>
      </c>
      <c r="E2950" s="1">
        <v>46056</v>
      </c>
      <c r="F2950" s="2">
        <v>47</v>
      </c>
      <c r="G2950" s="3" t="s">
        <v>23</v>
      </c>
      <c r="H2950">
        <v>45</v>
      </c>
      <c r="I2950" s="2">
        <v>0</v>
      </c>
      <c r="J2950" s="2">
        <v>0</v>
      </c>
      <c r="K2950" s="2">
        <v>1</v>
      </c>
      <c r="L2950" s="2">
        <v>0</v>
      </c>
      <c r="M2950">
        <v>1</v>
      </c>
      <c r="N2950">
        <v>0</v>
      </c>
      <c r="O2950" s="2">
        <v>0</v>
      </c>
      <c r="P2950" s="2">
        <v>0</v>
      </c>
      <c r="Q2950">
        <v>0</v>
      </c>
      <c r="R2950" s="2">
        <v>0</v>
      </c>
      <c r="S2950" s="2">
        <v>0</v>
      </c>
      <c r="T2950" t="s">
        <v>1464</v>
      </c>
      <c r="U2950" s="2">
        <v>0</v>
      </c>
      <c r="V2950" s="2">
        <v>0</v>
      </c>
      <c r="W2950" s="2">
        <v>1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</row>
    <row r="2951" spans="1:28" hidden="1" x14ac:dyDescent="0.25">
      <c r="A2951" t="s">
        <v>37</v>
      </c>
      <c r="B2951" t="s">
        <v>57</v>
      </c>
      <c r="C2951" t="s">
        <v>39</v>
      </c>
      <c r="D2951" s="1">
        <v>46056</v>
      </c>
      <c r="E2951" s="1">
        <v>46056</v>
      </c>
      <c r="F2951" s="2">
        <v>26</v>
      </c>
      <c r="G2951" s="3" t="s">
        <v>23</v>
      </c>
      <c r="H2951">
        <v>28</v>
      </c>
      <c r="I2951" s="2">
        <v>0</v>
      </c>
      <c r="J2951" s="2">
        <v>0</v>
      </c>
      <c r="K2951" s="2">
        <v>1</v>
      </c>
      <c r="L2951" s="2">
        <v>0</v>
      </c>
      <c r="M2951">
        <v>0</v>
      </c>
      <c r="N2951">
        <v>0</v>
      </c>
      <c r="O2951" s="2">
        <v>0</v>
      </c>
      <c r="P2951" s="2">
        <v>0</v>
      </c>
      <c r="Q2951">
        <v>0</v>
      </c>
      <c r="R2951" s="2">
        <v>0</v>
      </c>
      <c r="S2951" s="2">
        <v>0</v>
      </c>
      <c r="T2951" t="s">
        <v>1465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</row>
    <row r="2952" spans="1:28" hidden="1" x14ac:dyDescent="0.25">
      <c r="A2952" t="s">
        <v>63</v>
      </c>
      <c r="B2952" t="s">
        <v>284</v>
      </c>
      <c r="C2952" t="s">
        <v>102</v>
      </c>
      <c r="D2952" s="1">
        <v>46056</v>
      </c>
      <c r="E2952" s="1">
        <v>46056</v>
      </c>
      <c r="F2952" s="2">
        <v>32</v>
      </c>
      <c r="G2952" s="3" t="s">
        <v>23</v>
      </c>
      <c r="H2952">
        <v>35</v>
      </c>
      <c r="I2952" s="2">
        <v>0</v>
      </c>
      <c r="J2952" s="2">
        <v>0</v>
      </c>
      <c r="K2952" s="2">
        <v>1</v>
      </c>
      <c r="L2952" s="2">
        <v>0</v>
      </c>
      <c r="M2952">
        <v>1</v>
      </c>
      <c r="N2952">
        <v>0</v>
      </c>
      <c r="O2952" s="2">
        <v>0</v>
      </c>
      <c r="P2952" s="2">
        <v>0</v>
      </c>
      <c r="Q2952">
        <v>0</v>
      </c>
      <c r="R2952" s="2">
        <v>0</v>
      </c>
      <c r="S2952" s="2">
        <v>0</v>
      </c>
      <c r="T2952" t="s">
        <v>1466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</row>
    <row r="2953" spans="1:28" hidden="1" x14ac:dyDescent="0.25">
      <c r="A2953" t="s">
        <v>33</v>
      </c>
      <c r="B2953" t="s">
        <v>34</v>
      </c>
      <c r="C2953" t="s">
        <v>35</v>
      </c>
      <c r="D2953" s="1">
        <v>46056</v>
      </c>
      <c r="E2953" s="1">
        <v>46056</v>
      </c>
      <c r="F2953" s="2">
        <v>47</v>
      </c>
      <c r="G2953" s="3" t="s">
        <v>23</v>
      </c>
      <c r="H2953">
        <v>36</v>
      </c>
      <c r="I2953" s="2">
        <v>0</v>
      </c>
      <c r="J2953" s="2">
        <v>0</v>
      </c>
      <c r="K2953" s="2">
        <v>1</v>
      </c>
      <c r="L2953" s="2">
        <v>0</v>
      </c>
      <c r="M2953">
        <v>0</v>
      </c>
      <c r="N2953">
        <v>0</v>
      </c>
      <c r="O2953" s="2">
        <v>0</v>
      </c>
      <c r="P2953" s="2">
        <v>0</v>
      </c>
      <c r="Q2953">
        <v>0</v>
      </c>
      <c r="R2953" s="2">
        <v>0</v>
      </c>
      <c r="S2953" s="2">
        <v>0</v>
      </c>
      <c r="T2953" t="s">
        <v>1467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</row>
    <row r="2954" spans="1:28" hidden="1" x14ac:dyDescent="0.25">
      <c r="A2954" t="s">
        <v>53</v>
      </c>
      <c r="B2954" t="s">
        <v>38</v>
      </c>
      <c r="C2954" t="s">
        <v>102</v>
      </c>
      <c r="D2954" s="1">
        <v>46056</v>
      </c>
      <c r="E2954" s="1">
        <v>46056</v>
      </c>
      <c r="F2954" s="2">
        <v>23</v>
      </c>
      <c r="G2954" s="3" t="s">
        <v>48</v>
      </c>
      <c r="H2954">
        <v>0</v>
      </c>
      <c r="I2954" s="2">
        <v>0</v>
      </c>
      <c r="J2954" s="2">
        <v>0</v>
      </c>
      <c r="K2954" s="2">
        <v>0</v>
      </c>
      <c r="L2954" s="2">
        <v>0</v>
      </c>
      <c r="M2954">
        <v>0</v>
      </c>
      <c r="N2954">
        <v>0</v>
      </c>
      <c r="O2954" s="2">
        <v>0</v>
      </c>
      <c r="P2954" s="2">
        <v>0</v>
      </c>
      <c r="Q2954">
        <v>0</v>
      </c>
      <c r="R2954" s="2">
        <v>0</v>
      </c>
      <c r="S2954" s="2">
        <v>0</v>
      </c>
      <c r="T2954" t="s">
        <v>1424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</row>
    <row r="2955" spans="1:28" hidden="1" x14ac:dyDescent="0.25">
      <c r="A2955" t="s">
        <v>568</v>
      </c>
      <c r="B2955" t="s">
        <v>1323</v>
      </c>
      <c r="C2955" t="s">
        <v>102</v>
      </c>
      <c r="D2955" s="1">
        <v>46056</v>
      </c>
      <c r="E2955" s="1">
        <v>46056</v>
      </c>
      <c r="F2955" s="2">
        <v>23</v>
      </c>
      <c r="G2955" s="3" t="s">
        <v>48</v>
      </c>
      <c r="H2955">
        <v>0</v>
      </c>
      <c r="I2955" s="2">
        <v>0</v>
      </c>
      <c r="J2955" s="2">
        <v>0</v>
      </c>
      <c r="K2955" s="2">
        <v>0</v>
      </c>
      <c r="L2955" s="2">
        <v>0</v>
      </c>
      <c r="M2955">
        <v>0</v>
      </c>
      <c r="N2955">
        <v>0</v>
      </c>
      <c r="O2955" s="2">
        <v>0</v>
      </c>
      <c r="P2955" s="2">
        <v>0</v>
      </c>
      <c r="Q2955">
        <v>0</v>
      </c>
      <c r="R2955" s="2">
        <v>0</v>
      </c>
      <c r="S2955" s="2">
        <v>0</v>
      </c>
      <c r="T2955" t="s">
        <v>1424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</row>
    <row r="2956" spans="1:28" hidden="1" x14ac:dyDescent="0.25">
      <c r="A2956" t="s">
        <v>29</v>
      </c>
      <c r="B2956" t="s">
        <v>30</v>
      </c>
      <c r="C2956" t="s">
        <v>102</v>
      </c>
      <c r="D2956" s="1">
        <v>46056</v>
      </c>
      <c r="E2956" s="1">
        <v>46056</v>
      </c>
      <c r="F2956" s="2">
        <v>23</v>
      </c>
      <c r="G2956" s="3" t="s">
        <v>48</v>
      </c>
      <c r="H2956">
        <v>0</v>
      </c>
      <c r="I2956" s="2">
        <v>0</v>
      </c>
      <c r="J2956" s="2">
        <v>0</v>
      </c>
      <c r="K2956" s="2">
        <v>0</v>
      </c>
      <c r="L2956" s="2">
        <v>0</v>
      </c>
      <c r="M2956">
        <v>0</v>
      </c>
      <c r="N2956">
        <v>0</v>
      </c>
      <c r="O2956" s="2">
        <v>0</v>
      </c>
      <c r="P2956" s="2">
        <v>0</v>
      </c>
      <c r="Q2956">
        <v>0</v>
      </c>
      <c r="R2956" s="2">
        <v>0</v>
      </c>
      <c r="S2956" s="2">
        <v>0</v>
      </c>
      <c r="T2956" t="s">
        <v>1424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</row>
    <row r="2957" spans="1:28" hidden="1" x14ac:dyDescent="0.25">
      <c r="A2957" t="s">
        <v>56</v>
      </c>
      <c r="B2957" t="s">
        <v>47</v>
      </c>
      <c r="C2957" t="s">
        <v>35</v>
      </c>
      <c r="D2957" s="1">
        <v>46056</v>
      </c>
      <c r="E2957" s="1">
        <v>46056</v>
      </c>
      <c r="F2957" s="2">
        <v>21</v>
      </c>
      <c r="G2957" s="3" t="s">
        <v>129</v>
      </c>
      <c r="H2957">
        <v>0</v>
      </c>
      <c r="I2957" s="2">
        <v>0</v>
      </c>
      <c r="J2957" s="2">
        <v>0</v>
      </c>
      <c r="K2957" s="2">
        <v>0</v>
      </c>
      <c r="L2957" s="2">
        <v>0</v>
      </c>
      <c r="M2957">
        <v>0</v>
      </c>
      <c r="N2957">
        <v>0</v>
      </c>
      <c r="O2957" s="2">
        <v>0</v>
      </c>
      <c r="P2957" s="2">
        <v>0</v>
      </c>
      <c r="Q2957">
        <v>0</v>
      </c>
      <c r="R2957" s="2">
        <v>0</v>
      </c>
      <c r="S2957" s="2">
        <v>0</v>
      </c>
      <c r="T2957" t="s">
        <v>1125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</row>
    <row r="2958" spans="1:28" hidden="1" x14ac:dyDescent="0.25">
      <c r="A2958" t="s">
        <v>730</v>
      </c>
      <c r="B2958" t="s">
        <v>47</v>
      </c>
      <c r="C2958" t="s">
        <v>35</v>
      </c>
      <c r="D2958" s="1">
        <v>46056</v>
      </c>
      <c r="E2958" s="1">
        <v>46056</v>
      </c>
      <c r="F2958" s="2">
        <v>21</v>
      </c>
      <c r="G2958" s="3" t="s">
        <v>409</v>
      </c>
      <c r="H2958">
        <v>0</v>
      </c>
      <c r="I2958" s="2">
        <v>0</v>
      </c>
      <c r="J2958" s="2">
        <v>0</v>
      </c>
      <c r="K2958" s="2">
        <v>0</v>
      </c>
      <c r="L2958" s="2">
        <v>0</v>
      </c>
      <c r="M2958">
        <v>0</v>
      </c>
      <c r="N2958">
        <v>0</v>
      </c>
      <c r="O2958" s="2">
        <v>0</v>
      </c>
      <c r="P2958" s="2">
        <v>0</v>
      </c>
      <c r="Q2958">
        <v>0</v>
      </c>
      <c r="R2958" s="2">
        <v>0</v>
      </c>
      <c r="S2958" s="2">
        <v>0</v>
      </c>
      <c r="T2958" t="s">
        <v>1125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</row>
    <row r="2959" spans="1:28" hidden="1" x14ac:dyDescent="0.25">
      <c r="A2959" t="s">
        <v>47</v>
      </c>
      <c r="B2959" t="s">
        <v>52</v>
      </c>
      <c r="C2959" t="s">
        <v>35</v>
      </c>
      <c r="D2959" s="1">
        <v>46056</v>
      </c>
      <c r="E2959" s="1">
        <v>46056</v>
      </c>
      <c r="F2959" s="2">
        <v>21</v>
      </c>
      <c r="G2959" s="3" t="s">
        <v>409</v>
      </c>
      <c r="H2959">
        <v>0</v>
      </c>
      <c r="I2959" s="2">
        <v>0</v>
      </c>
      <c r="J2959" s="2">
        <v>0</v>
      </c>
      <c r="K2959" s="2">
        <v>0</v>
      </c>
      <c r="L2959" s="2">
        <v>0</v>
      </c>
      <c r="M2959">
        <v>0</v>
      </c>
      <c r="N2959">
        <v>0</v>
      </c>
      <c r="O2959" s="2">
        <v>0</v>
      </c>
      <c r="P2959" s="2">
        <v>0</v>
      </c>
      <c r="Q2959">
        <v>0</v>
      </c>
      <c r="R2959" s="2">
        <v>0</v>
      </c>
      <c r="S2959" s="2">
        <v>0</v>
      </c>
      <c r="T2959" t="s">
        <v>1125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</row>
    <row r="2960" spans="1:28" hidden="1" x14ac:dyDescent="0.25">
      <c r="A2960" t="s">
        <v>29</v>
      </c>
      <c r="B2960" t="s">
        <v>30</v>
      </c>
      <c r="C2960" t="s">
        <v>31</v>
      </c>
      <c r="D2960" s="1">
        <v>46057</v>
      </c>
      <c r="E2960" s="1">
        <v>46057</v>
      </c>
      <c r="F2960" s="2">
        <v>33</v>
      </c>
      <c r="G2960" s="3" t="s">
        <v>23</v>
      </c>
      <c r="H2960">
        <f>14+14+1+2+1+2+2+2+1+1</f>
        <v>40</v>
      </c>
      <c r="I2960" s="2">
        <v>0</v>
      </c>
      <c r="J2960" s="2">
        <v>0</v>
      </c>
      <c r="K2960" s="2">
        <v>1</v>
      </c>
      <c r="L2960" s="2">
        <v>0</v>
      </c>
      <c r="M2960">
        <v>0</v>
      </c>
      <c r="N2960">
        <v>0</v>
      </c>
      <c r="O2960" s="2">
        <v>0</v>
      </c>
      <c r="P2960" s="2">
        <v>0</v>
      </c>
      <c r="Q2960">
        <v>0</v>
      </c>
      <c r="R2960" s="2">
        <v>0</v>
      </c>
      <c r="S2960" s="2">
        <v>0</v>
      </c>
      <c r="T2960" t="s">
        <v>1468</v>
      </c>
      <c r="U2960" s="2">
        <v>0</v>
      </c>
      <c r="V2960" s="2">
        <v>5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</row>
    <row r="2961" spans="1:28" hidden="1" x14ac:dyDescent="0.25">
      <c r="A2961" t="s">
        <v>1431</v>
      </c>
      <c r="B2961" t="s">
        <v>1160</v>
      </c>
      <c r="C2961" t="s">
        <v>31</v>
      </c>
      <c r="D2961" s="1">
        <v>46057</v>
      </c>
      <c r="E2961" s="1">
        <v>46057</v>
      </c>
      <c r="F2961" s="2">
        <v>33</v>
      </c>
      <c r="G2961" s="3" t="s">
        <v>23</v>
      </c>
      <c r="H2961">
        <f>12+2+12+2</f>
        <v>28</v>
      </c>
      <c r="I2961" s="2">
        <v>0</v>
      </c>
      <c r="J2961" s="2">
        <v>0</v>
      </c>
      <c r="K2961" s="2">
        <v>0</v>
      </c>
      <c r="L2961" s="2">
        <v>1</v>
      </c>
      <c r="M2961">
        <v>0</v>
      </c>
      <c r="N2961">
        <v>0</v>
      </c>
      <c r="O2961" s="2">
        <v>0</v>
      </c>
      <c r="P2961" s="2">
        <v>0</v>
      </c>
      <c r="Q2961">
        <v>0</v>
      </c>
      <c r="R2961" s="2">
        <v>0</v>
      </c>
      <c r="S2961" s="2">
        <v>0</v>
      </c>
      <c r="T2961" t="s">
        <v>1468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</row>
    <row r="2962" spans="1:28" hidden="1" x14ac:dyDescent="0.25">
      <c r="A2962" t="s">
        <v>33</v>
      </c>
      <c r="B2962" t="s">
        <v>34</v>
      </c>
      <c r="C2962" t="s">
        <v>35</v>
      </c>
      <c r="D2962" s="1">
        <v>46057</v>
      </c>
      <c r="E2962" s="1">
        <v>46057</v>
      </c>
      <c r="F2962" s="2">
        <v>27</v>
      </c>
      <c r="G2962" s="3" t="s">
        <v>23</v>
      </c>
      <c r="H2962">
        <v>42</v>
      </c>
      <c r="I2962" s="2">
        <v>0</v>
      </c>
      <c r="J2962" s="2">
        <v>0</v>
      </c>
      <c r="K2962" s="2">
        <v>1</v>
      </c>
      <c r="L2962" s="2">
        <v>0</v>
      </c>
      <c r="M2962">
        <v>0</v>
      </c>
      <c r="N2962">
        <v>0</v>
      </c>
      <c r="O2962" s="2">
        <v>0</v>
      </c>
      <c r="P2962" s="2">
        <v>0</v>
      </c>
      <c r="Q2962">
        <v>0</v>
      </c>
      <c r="R2962" s="2">
        <v>0</v>
      </c>
      <c r="S2962" s="2">
        <v>0</v>
      </c>
      <c r="T2962" t="s">
        <v>1469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</row>
    <row r="2963" spans="1:28" hidden="1" x14ac:dyDescent="0.25">
      <c r="A2963" t="s">
        <v>53</v>
      </c>
      <c r="B2963" t="s">
        <v>38</v>
      </c>
      <c r="C2963" t="s">
        <v>35</v>
      </c>
      <c r="D2963" s="1">
        <v>46057</v>
      </c>
      <c r="E2963" s="1">
        <v>46057</v>
      </c>
      <c r="F2963" s="2">
        <v>27</v>
      </c>
      <c r="G2963" s="3" t="s">
        <v>23</v>
      </c>
      <c r="H2963">
        <v>47</v>
      </c>
      <c r="I2963" s="2">
        <v>0</v>
      </c>
      <c r="J2963" s="2">
        <v>0</v>
      </c>
      <c r="K2963" s="2">
        <v>1</v>
      </c>
      <c r="L2963" s="2">
        <v>0</v>
      </c>
      <c r="M2963">
        <v>0</v>
      </c>
      <c r="N2963">
        <v>0</v>
      </c>
      <c r="O2963" s="2">
        <v>0</v>
      </c>
      <c r="P2963" s="2">
        <v>0</v>
      </c>
      <c r="Q2963">
        <v>0</v>
      </c>
      <c r="R2963" s="2">
        <v>0</v>
      </c>
      <c r="S2963" s="2">
        <v>0</v>
      </c>
      <c r="T2963" t="s">
        <v>1469</v>
      </c>
      <c r="U2963" s="2">
        <v>0</v>
      </c>
      <c r="V2963" s="2">
        <v>0</v>
      </c>
      <c r="W2963" s="2">
        <v>1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</row>
    <row r="2964" spans="1:28" hidden="1" x14ac:dyDescent="0.25">
      <c r="A2964" t="s">
        <v>568</v>
      </c>
      <c r="B2964" t="s">
        <v>47</v>
      </c>
      <c r="C2964" t="s">
        <v>670</v>
      </c>
      <c r="D2964" s="1">
        <v>46057</v>
      </c>
      <c r="E2964" s="1">
        <v>46057</v>
      </c>
      <c r="F2964" s="2">
        <v>61</v>
      </c>
      <c r="G2964" s="3" t="s">
        <v>23</v>
      </c>
      <c r="H2964">
        <f>16+1+2+1+2+2+2+1+1</f>
        <v>28</v>
      </c>
      <c r="I2964" s="2">
        <v>0</v>
      </c>
      <c r="J2964" s="2">
        <v>0</v>
      </c>
      <c r="K2964" s="2">
        <v>1</v>
      </c>
      <c r="L2964" s="2">
        <v>0</v>
      </c>
      <c r="M2964">
        <v>0</v>
      </c>
      <c r="N2964">
        <v>0</v>
      </c>
      <c r="O2964" s="2">
        <v>0</v>
      </c>
      <c r="P2964" s="2">
        <v>0</v>
      </c>
      <c r="Q2964">
        <v>0</v>
      </c>
      <c r="R2964" s="2">
        <v>0</v>
      </c>
      <c r="S2964" s="2">
        <v>0</v>
      </c>
      <c r="T2964" t="s">
        <v>1470</v>
      </c>
      <c r="U2964" s="2">
        <v>0</v>
      </c>
      <c r="V2964" s="2">
        <v>5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</row>
    <row r="2965" spans="1:28" hidden="1" x14ac:dyDescent="0.25">
      <c r="A2965" t="s">
        <v>47</v>
      </c>
      <c r="B2965" t="s">
        <v>1323</v>
      </c>
      <c r="C2965" t="s">
        <v>670</v>
      </c>
      <c r="D2965" s="1">
        <v>46057</v>
      </c>
      <c r="E2965" s="1">
        <v>46057</v>
      </c>
      <c r="F2965" s="2">
        <v>61</v>
      </c>
      <c r="G2965" s="3" t="s">
        <v>23</v>
      </c>
      <c r="H2965">
        <v>16</v>
      </c>
      <c r="I2965" s="2">
        <v>0</v>
      </c>
      <c r="J2965" s="2">
        <v>0</v>
      </c>
      <c r="K2965" s="2">
        <v>1</v>
      </c>
      <c r="L2965" s="2">
        <v>0</v>
      </c>
      <c r="M2965">
        <v>0</v>
      </c>
      <c r="N2965">
        <v>0</v>
      </c>
      <c r="O2965" s="2">
        <v>0</v>
      </c>
      <c r="P2965" s="2">
        <v>0</v>
      </c>
      <c r="Q2965">
        <v>0</v>
      </c>
      <c r="R2965" s="2">
        <v>0</v>
      </c>
      <c r="S2965" s="2">
        <v>0</v>
      </c>
      <c r="T2965" t="s">
        <v>1470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</row>
    <row r="2966" spans="1:28" hidden="1" x14ac:dyDescent="0.25">
      <c r="A2966" t="s">
        <v>37</v>
      </c>
      <c r="B2966" t="s">
        <v>57</v>
      </c>
      <c r="C2966" t="s">
        <v>102</v>
      </c>
      <c r="D2966" s="1">
        <v>46057</v>
      </c>
      <c r="E2966" s="1">
        <v>46057</v>
      </c>
      <c r="F2966" s="2">
        <v>23</v>
      </c>
      <c r="G2966" s="3" t="s">
        <v>572</v>
      </c>
      <c r="H2966">
        <v>0</v>
      </c>
      <c r="I2966" s="2">
        <v>0</v>
      </c>
      <c r="J2966" s="2">
        <v>0</v>
      </c>
      <c r="K2966" s="2">
        <v>0</v>
      </c>
      <c r="L2966" s="2">
        <v>0</v>
      </c>
      <c r="M2966">
        <v>0</v>
      </c>
      <c r="N2966">
        <v>0</v>
      </c>
      <c r="O2966" s="2">
        <v>0</v>
      </c>
      <c r="P2966" s="2">
        <v>0</v>
      </c>
      <c r="Q2966">
        <v>0</v>
      </c>
      <c r="R2966" s="2">
        <v>0</v>
      </c>
      <c r="S2966" s="2">
        <v>0</v>
      </c>
      <c r="T2966" t="s">
        <v>1424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</row>
    <row r="2967" spans="1:28" hidden="1" x14ac:dyDescent="0.25">
      <c r="A2967" t="s">
        <v>25</v>
      </c>
      <c r="B2967" t="s">
        <v>26</v>
      </c>
      <c r="C2967" t="s">
        <v>102</v>
      </c>
      <c r="D2967" s="1">
        <v>46057</v>
      </c>
      <c r="E2967" s="1">
        <v>46057</v>
      </c>
      <c r="F2967" s="2">
        <v>23</v>
      </c>
      <c r="G2967" s="3" t="s">
        <v>572</v>
      </c>
      <c r="H2967">
        <v>0</v>
      </c>
      <c r="I2967" s="2">
        <v>0</v>
      </c>
      <c r="J2967" s="2">
        <v>0</v>
      </c>
      <c r="K2967" s="2">
        <v>0</v>
      </c>
      <c r="L2967" s="2">
        <v>0</v>
      </c>
      <c r="M2967">
        <v>0</v>
      </c>
      <c r="N2967">
        <v>0</v>
      </c>
      <c r="O2967" s="2">
        <v>0</v>
      </c>
      <c r="P2967" s="2">
        <v>0</v>
      </c>
      <c r="Q2967">
        <v>0</v>
      </c>
      <c r="R2967" s="2">
        <v>0</v>
      </c>
      <c r="S2967" s="2">
        <v>0</v>
      </c>
      <c r="T2967" t="s">
        <v>1424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</row>
    <row r="2968" spans="1:28" hidden="1" x14ac:dyDescent="0.25">
      <c r="A2968" t="s">
        <v>20</v>
      </c>
      <c r="B2968" t="s">
        <v>21</v>
      </c>
      <c r="C2968" t="s">
        <v>102</v>
      </c>
      <c r="D2968" s="1">
        <v>46057</v>
      </c>
      <c r="E2968" s="1">
        <v>46057</v>
      </c>
      <c r="F2968" s="2">
        <v>23</v>
      </c>
      <c r="G2968" s="3" t="s">
        <v>48</v>
      </c>
      <c r="H2968">
        <v>0</v>
      </c>
      <c r="I2968" s="2">
        <v>0</v>
      </c>
      <c r="J2968" s="2">
        <v>0</v>
      </c>
      <c r="K2968" s="2">
        <v>0</v>
      </c>
      <c r="L2968" s="2">
        <v>0</v>
      </c>
      <c r="M2968">
        <v>0</v>
      </c>
      <c r="N2968">
        <v>0</v>
      </c>
      <c r="O2968" s="2">
        <v>0</v>
      </c>
      <c r="P2968" s="2">
        <v>0</v>
      </c>
      <c r="Q2968">
        <v>0</v>
      </c>
      <c r="R2968" s="2">
        <v>0</v>
      </c>
      <c r="S2968" s="2">
        <v>0</v>
      </c>
      <c r="T2968" t="s">
        <v>1424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</row>
    <row r="2969" spans="1:28" hidden="1" x14ac:dyDescent="0.25">
      <c r="A2969" t="s">
        <v>63</v>
      </c>
      <c r="B2969" t="s">
        <v>284</v>
      </c>
      <c r="C2969" t="s">
        <v>102</v>
      </c>
      <c r="D2969" s="1">
        <v>46057</v>
      </c>
      <c r="E2969" s="1">
        <v>46057</v>
      </c>
      <c r="F2969" s="2">
        <v>23</v>
      </c>
      <c r="G2969" s="3" t="s">
        <v>48</v>
      </c>
      <c r="H2969">
        <v>0</v>
      </c>
      <c r="I2969" s="2">
        <v>0</v>
      </c>
      <c r="J2969" s="2">
        <v>0</v>
      </c>
      <c r="K2969" s="2">
        <v>0</v>
      </c>
      <c r="L2969" s="2">
        <v>0</v>
      </c>
      <c r="M2969">
        <v>0</v>
      </c>
      <c r="N2969">
        <v>0</v>
      </c>
      <c r="O2969" s="2">
        <v>0</v>
      </c>
      <c r="P2969" s="2">
        <v>0</v>
      </c>
      <c r="Q2969">
        <v>0</v>
      </c>
      <c r="R2969" s="2">
        <v>0</v>
      </c>
      <c r="S2969" s="2">
        <v>0</v>
      </c>
      <c r="T2969" t="s">
        <v>1424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</row>
    <row r="2970" spans="1:28" hidden="1" x14ac:dyDescent="0.25">
      <c r="A2970" t="s">
        <v>56</v>
      </c>
      <c r="B2970" t="s">
        <v>47</v>
      </c>
      <c r="C2970" t="s">
        <v>35</v>
      </c>
      <c r="D2970" s="1">
        <v>46057</v>
      </c>
      <c r="E2970" s="1">
        <v>46057</v>
      </c>
      <c r="F2970" s="2">
        <v>21</v>
      </c>
      <c r="G2970" s="3" t="s">
        <v>129</v>
      </c>
      <c r="H2970">
        <v>0</v>
      </c>
      <c r="I2970" s="2">
        <v>0</v>
      </c>
      <c r="J2970" s="2">
        <v>0</v>
      </c>
      <c r="K2970" s="2">
        <v>0</v>
      </c>
      <c r="L2970" s="2">
        <v>0</v>
      </c>
      <c r="M2970">
        <v>0</v>
      </c>
      <c r="N2970">
        <v>0</v>
      </c>
      <c r="O2970" s="2">
        <v>0</v>
      </c>
      <c r="P2970" s="2">
        <v>0</v>
      </c>
      <c r="Q2970">
        <v>0</v>
      </c>
      <c r="R2970" s="2">
        <v>0</v>
      </c>
      <c r="S2970" s="2">
        <v>0</v>
      </c>
      <c r="T2970" t="s">
        <v>1125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</row>
    <row r="2971" spans="1:28" hidden="1" x14ac:dyDescent="0.25">
      <c r="A2971" t="s">
        <v>730</v>
      </c>
      <c r="B2971" t="s">
        <v>47</v>
      </c>
      <c r="C2971" t="s">
        <v>35</v>
      </c>
      <c r="D2971" s="1">
        <v>46057</v>
      </c>
      <c r="E2971" s="1">
        <v>46057</v>
      </c>
      <c r="F2971" s="2">
        <v>21</v>
      </c>
      <c r="G2971" s="3" t="s">
        <v>409</v>
      </c>
      <c r="H2971">
        <v>0</v>
      </c>
      <c r="I2971" s="2">
        <v>0</v>
      </c>
      <c r="J2971" s="2">
        <v>0</v>
      </c>
      <c r="K2971" s="2">
        <v>0</v>
      </c>
      <c r="L2971" s="2">
        <v>0</v>
      </c>
      <c r="M2971">
        <v>0</v>
      </c>
      <c r="N2971">
        <v>0</v>
      </c>
      <c r="O2971" s="2">
        <v>0</v>
      </c>
      <c r="P2971" s="2">
        <v>0</v>
      </c>
      <c r="Q2971">
        <v>0</v>
      </c>
      <c r="R2971" s="2">
        <v>0</v>
      </c>
      <c r="S2971" s="2">
        <v>0</v>
      </c>
      <c r="T2971" t="s">
        <v>1125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</row>
    <row r="2972" spans="1:28" hidden="1" x14ac:dyDescent="0.25">
      <c r="A2972" t="s">
        <v>47</v>
      </c>
      <c r="B2972" t="s">
        <v>52</v>
      </c>
      <c r="C2972" t="s">
        <v>35</v>
      </c>
      <c r="D2972" s="1">
        <v>46057</v>
      </c>
      <c r="E2972" s="1">
        <v>46057</v>
      </c>
      <c r="F2972" s="2">
        <v>21</v>
      </c>
      <c r="G2972" s="3" t="s">
        <v>409</v>
      </c>
      <c r="H2972">
        <v>0</v>
      </c>
      <c r="I2972" s="2">
        <v>0</v>
      </c>
      <c r="J2972" s="2">
        <v>0</v>
      </c>
      <c r="K2972" s="2">
        <v>0</v>
      </c>
      <c r="L2972" s="2">
        <v>0</v>
      </c>
      <c r="M2972">
        <v>0</v>
      </c>
      <c r="N2972">
        <v>0</v>
      </c>
      <c r="O2972" s="2">
        <v>0</v>
      </c>
      <c r="P2972" s="2">
        <v>0</v>
      </c>
      <c r="Q2972">
        <v>0</v>
      </c>
      <c r="R2972" s="2">
        <v>0</v>
      </c>
      <c r="S2972" s="2">
        <v>0</v>
      </c>
      <c r="T2972" t="s">
        <v>1125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</row>
    <row r="2973" spans="1:28" hidden="1" x14ac:dyDescent="0.25">
      <c r="A2973" t="s">
        <v>29</v>
      </c>
      <c r="B2973" t="s">
        <v>30</v>
      </c>
      <c r="C2973" t="s">
        <v>31</v>
      </c>
      <c r="D2973" s="1">
        <v>46058</v>
      </c>
      <c r="E2973" s="1">
        <v>46058</v>
      </c>
      <c r="F2973" s="2">
        <v>19</v>
      </c>
      <c r="G2973" s="3" t="s">
        <v>23</v>
      </c>
      <c r="H2973">
        <f>7+4+7+4+1+1</f>
        <v>24</v>
      </c>
      <c r="I2973" s="2">
        <v>0</v>
      </c>
      <c r="J2973" s="2">
        <v>1</v>
      </c>
      <c r="K2973" s="2">
        <v>0</v>
      </c>
      <c r="L2973" s="2">
        <v>1</v>
      </c>
      <c r="M2973">
        <v>0</v>
      </c>
      <c r="N2973">
        <v>0</v>
      </c>
      <c r="O2973" s="2">
        <v>0</v>
      </c>
      <c r="P2973" s="2">
        <v>0</v>
      </c>
      <c r="Q2973">
        <v>0</v>
      </c>
      <c r="R2973" s="2">
        <v>0</v>
      </c>
      <c r="S2973" s="2">
        <v>0</v>
      </c>
      <c r="T2973" t="s">
        <v>1471</v>
      </c>
      <c r="U2973" s="2">
        <v>0</v>
      </c>
      <c r="V2973" s="2">
        <f>22+22</f>
        <v>44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</row>
    <row r="2974" spans="1:28" hidden="1" x14ac:dyDescent="0.25">
      <c r="A2974" t="s">
        <v>25</v>
      </c>
      <c r="B2974" t="s">
        <v>26</v>
      </c>
      <c r="C2974" t="s">
        <v>27</v>
      </c>
      <c r="D2974" s="1">
        <v>46058</v>
      </c>
      <c r="E2974" s="1">
        <v>46058</v>
      </c>
      <c r="F2974" s="2">
        <v>41</v>
      </c>
      <c r="G2974" s="3" t="s">
        <v>23</v>
      </c>
      <c r="H2974">
        <f>16+16+2+1</f>
        <v>35</v>
      </c>
      <c r="I2974" s="2">
        <v>0</v>
      </c>
      <c r="J2974" s="2">
        <v>1</v>
      </c>
      <c r="K2974" s="2">
        <v>1</v>
      </c>
      <c r="L2974" s="2">
        <v>0</v>
      </c>
      <c r="M2974">
        <v>0</v>
      </c>
      <c r="N2974">
        <v>0</v>
      </c>
      <c r="O2974" s="2">
        <v>0</v>
      </c>
      <c r="P2974" s="2">
        <v>0</v>
      </c>
      <c r="Q2974">
        <v>0</v>
      </c>
      <c r="R2974" s="2">
        <v>0</v>
      </c>
      <c r="S2974" s="2">
        <v>0</v>
      </c>
      <c r="T2974" t="s">
        <v>1472</v>
      </c>
      <c r="U2974" s="2">
        <v>0</v>
      </c>
      <c r="V2974" s="2">
        <f>22+22</f>
        <v>44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</row>
    <row r="2975" spans="1:28" hidden="1" x14ac:dyDescent="0.25">
      <c r="A2975" t="s">
        <v>20</v>
      </c>
      <c r="B2975" t="s">
        <v>21</v>
      </c>
      <c r="C2975" t="s">
        <v>22</v>
      </c>
      <c r="D2975" s="1">
        <v>46058</v>
      </c>
      <c r="E2975" s="1">
        <v>46058</v>
      </c>
      <c r="F2975" s="2">
        <v>36</v>
      </c>
      <c r="G2975" s="3" t="s">
        <v>23</v>
      </c>
      <c r="H2975">
        <f>18+18+1</f>
        <v>37</v>
      </c>
      <c r="I2975" s="2">
        <v>0</v>
      </c>
      <c r="J2975" s="2">
        <v>1</v>
      </c>
      <c r="K2975" s="2">
        <v>1</v>
      </c>
      <c r="L2975" s="2">
        <v>0</v>
      </c>
      <c r="M2975">
        <v>0</v>
      </c>
      <c r="N2975">
        <v>0</v>
      </c>
      <c r="O2975" s="2">
        <v>0</v>
      </c>
      <c r="P2975" s="2">
        <v>0</v>
      </c>
      <c r="Q2975">
        <v>0</v>
      </c>
      <c r="R2975" s="2">
        <v>0</v>
      </c>
      <c r="S2975" s="2">
        <v>0</v>
      </c>
      <c r="T2975" t="s">
        <v>1473</v>
      </c>
      <c r="U2975" s="2">
        <v>0</v>
      </c>
      <c r="V2975" s="2">
        <f>22+18+4+16</f>
        <v>60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</row>
    <row r="2976" spans="1:28" hidden="1" x14ac:dyDescent="0.25">
      <c r="A2976" t="s">
        <v>53</v>
      </c>
      <c r="B2976" t="s">
        <v>38</v>
      </c>
      <c r="C2976" t="s">
        <v>54</v>
      </c>
      <c r="D2976" s="1">
        <v>46058</v>
      </c>
      <c r="E2976" s="1">
        <v>46058</v>
      </c>
      <c r="F2976" s="2">
        <v>62</v>
      </c>
      <c r="G2976" s="3" t="s">
        <v>23</v>
      </c>
      <c r="H2976">
        <f>20+20</f>
        <v>40</v>
      </c>
      <c r="I2976" s="2">
        <v>0</v>
      </c>
      <c r="J2976" s="2">
        <v>1</v>
      </c>
      <c r="K2976" s="2">
        <v>1</v>
      </c>
      <c r="L2976" s="2">
        <v>0</v>
      </c>
      <c r="M2976">
        <v>0</v>
      </c>
      <c r="N2976">
        <v>0</v>
      </c>
      <c r="O2976" s="2">
        <v>0</v>
      </c>
      <c r="P2976" s="2">
        <v>0</v>
      </c>
      <c r="Q2976">
        <v>0</v>
      </c>
      <c r="R2976" s="2">
        <v>0</v>
      </c>
      <c r="S2976" s="2">
        <v>0</v>
      </c>
      <c r="T2976" t="s">
        <v>1474</v>
      </c>
      <c r="U2976" s="2">
        <v>0</v>
      </c>
      <c r="V2976" s="2">
        <f>20+20</f>
        <v>40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</row>
    <row r="2977" spans="1:28" hidden="1" x14ac:dyDescent="0.25">
      <c r="A2977" t="s">
        <v>63</v>
      </c>
      <c r="B2977" t="s">
        <v>284</v>
      </c>
      <c r="C2977" t="s">
        <v>102</v>
      </c>
      <c r="D2977" s="1">
        <v>46058</v>
      </c>
      <c r="E2977" s="1">
        <v>46058</v>
      </c>
      <c r="F2977" s="2">
        <v>14</v>
      </c>
      <c r="G2977" s="3" t="s">
        <v>23</v>
      </c>
      <c r="H2977">
        <f>6+4+6+4</f>
        <v>20</v>
      </c>
      <c r="I2977" s="2">
        <v>0</v>
      </c>
      <c r="J2977" s="2">
        <v>0</v>
      </c>
      <c r="K2977" s="2">
        <v>1</v>
      </c>
      <c r="L2977" s="2">
        <v>0</v>
      </c>
      <c r="M2977">
        <v>0</v>
      </c>
      <c r="N2977">
        <v>0</v>
      </c>
      <c r="O2977" s="2">
        <v>0</v>
      </c>
      <c r="P2977" s="2">
        <v>0</v>
      </c>
      <c r="Q2977">
        <v>0</v>
      </c>
      <c r="R2977" s="2">
        <v>0</v>
      </c>
      <c r="S2977" s="2">
        <v>0</v>
      </c>
      <c r="T2977" t="s">
        <v>1475</v>
      </c>
      <c r="U2977" s="2">
        <v>0</v>
      </c>
      <c r="V2977" s="2">
        <v>22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</row>
    <row r="2978" spans="1:28" hidden="1" x14ac:dyDescent="0.25">
      <c r="A2978" t="s">
        <v>568</v>
      </c>
      <c r="B2978" t="s">
        <v>1323</v>
      </c>
      <c r="C2978" t="s">
        <v>670</v>
      </c>
      <c r="D2978" s="1">
        <v>46058</v>
      </c>
      <c r="E2978" s="1">
        <v>46058</v>
      </c>
      <c r="F2978" s="2">
        <v>131</v>
      </c>
      <c r="G2978" s="3" t="s">
        <v>23</v>
      </c>
      <c r="H2978">
        <f>6+4+6+4+1+1+1</f>
        <v>23</v>
      </c>
      <c r="I2978" s="2">
        <v>0</v>
      </c>
      <c r="J2978" s="2">
        <v>0</v>
      </c>
      <c r="K2978" s="2">
        <v>1</v>
      </c>
      <c r="L2978" s="2">
        <v>0</v>
      </c>
      <c r="M2978">
        <v>0</v>
      </c>
      <c r="N2978">
        <v>0</v>
      </c>
      <c r="O2978" s="2">
        <v>0</v>
      </c>
      <c r="P2978" s="2">
        <v>0</v>
      </c>
      <c r="Q2978">
        <v>0</v>
      </c>
      <c r="R2978" s="2">
        <v>0</v>
      </c>
      <c r="S2978" s="2">
        <v>0</v>
      </c>
      <c r="T2978" t="s">
        <v>1476</v>
      </c>
      <c r="U2978" s="2">
        <v>0</v>
      </c>
      <c r="V2978" s="2">
        <v>20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</row>
    <row r="2979" spans="1:28" hidden="1" x14ac:dyDescent="0.25">
      <c r="A2979" t="s">
        <v>33</v>
      </c>
      <c r="B2979" t="s">
        <v>34</v>
      </c>
      <c r="C2979" t="s">
        <v>35</v>
      </c>
      <c r="D2979" s="1">
        <v>46058</v>
      </c>
      <c r="E2979" s="1">
        <v>46058</v>
      </c>
      <c r="F2979" s="2">
        <v>54</v>
      </c>
      <c r="G2979" s="3" t="s">
        <v>23</v>
      </c>
      <c r="H2979">
        <v>0</v>
      </c>
      <c r="I2979" s="2">
        <v>0</v>
      </c>
      <c r="J2979" s="2">
        <v>0</v>
      </c>
      <c r="K2979" s="2">
        <v>0</v>
      </c>
      <c r="L2979" s="2">
        <v>0</v>
      </c>
      <c r="M2979">
        <v>0</v>
      </c>
      <c r="N2979">
        <v>0</v>
      </c>
      <c r="O2979" s="2">
        <v>0</v>
      </c>
      <c r="P2979" s="2">
        <v>0</v>
      </c>
      <c r="Q2979">
        <v>0</v>
      </c>
      <c r="R2979" s="2">
        <v>0</v>
      </c>
      <c r="S2979" s="2">
        <v>0</v>
      </c>
      <c r="T2979" t="s">
        <v>1477</v>
      </c>
      <c r="U2979" s="2">
        <v>0</v>
      </c>
      <c r="V2979" s="2">
        <f>14+5</f>
        <v>19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</row>
    <row r="2980" spans="1:28" hidden="1" x14ac:dyDescent="0.25">
      <c r="A2980" t="s">
        <v>37</v>
      </c>
      <c r="B2980" t="s">
        <v>57</v>
      </c>
      <c r="C2980" t="s">
        <v>39</v>
      </c>
      <c r="D2980" s="1">
        <v>46058</v>
      </c>
      <c r="E2980" s="1">
        <v>46058</v>
      </c>
      <c r="F2980" s="2">
        <v>181</v>
      </c>
      <c r="G2980" s="3" t="s">
        <v>23</v>
      </c>
      <c r="H2980">
        <v>2</v>
      </c>
      <c r="I2980" s="2">
        <v>0</v>
      </c>
      <c r="J2980" s="2">
        <v>0</v>
      </c>
      <c r="K2980" s="2">
        <v>0</v>
      </c>
      <c r="L2980" s="2">
        <v>0</v>
      </c>
      <c r="M2980">
        <v>0</v>
      </c>
      <c r="N2980">
        <v>0</v>
      </c>
      <c r="O2980" s="2">
        <v>0</v>
      </c>
      <c r="P2980" s="2">
        <v>0</v>
      </c>
      <c r="Q2980">
        <v>0</v>
      </c>
      <c r="R2980" s="2">
        <v>0</v>
      </c>
      <c r="S2980" s="2">
        <v>0</v>
      </c>
      <c r="T2980" t="s">
        <v>1478</v>
      </c>
      <c r="U2980" s="2">
        <v>0</v>
      </c>
      <c r="V2980" s="2">
        <f>22+22</f>
        <v>44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</row>
    <row r="2981" spans="1:28" hidden="1" x14ac:dyDescent="0.25">
      <c r="A2981" t="s">
        <v>1431</v>
      </c>
      <c r="B2981" t="s">
        <v>1160</v>
      </c>
      <c r="C2981" t="s">
        <v>102</v>
      </c>
      <c r="D2981" s="1">
        <v>46058</v>
      </c>
      <c r="E2981" s="1">
        <v>46058</v>
      </c>
      <c r="F2981" s="2">
        <v>23</v>
      </c>
      <c r="G2981" s="3" t="s">
        <v>48</v>
      </c>
      <c r="H2981">
        <v>0</v>
      </c>
      <c r="I2981" s="2">
        <v>0</v>
      </c>
      <c r="J2981" s="2">
        <v>0</v>
      </c>
      <c r="K2981" s="2">
        <v>0</v>
      </c>
      <c r="L2981" s="2">
        <v>0</v>
      </c>
      <c r="M2981">
        <v>0</v>
      </c>
      <c r="N2981">
        <v>0</v>
      </c>
      <c r="O2981" s="2">
        <v>0</v>
      </c>
      <c r="P2981" s="2">
        <v>0</v>
      </c>
      <c r="Q2981">
        <v>0</v>
      </c>
      <c r="R2981" s="2">
        <v>0</v>
      </c>
      <c r="S2981" s="2">
        <v>0</v>
      </c>
      <c r="T2981" t="s">
        <v>1424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</row>
    <row r="2982" spans="1:28" hidden="1" x14ac:dyDescent="0.25">
      <c r="A2982" t="s">
        <v>56</v>
      </c>
      <c r="B2982" t="s">
        <v>47</v>
      </c>
      <c r="C2982" t="s">
        <v>35</v>
      </c>
      <c r="D2982" s="1">
        <v>46058</v>
      </c>
      <c r="E2982" s="1">
        <v>46058</v>
      </c>
      <c r="F2982" s="2">
        <v>21</v>
      </c>
      <c r="G2982" s="3" t="s">
        <v>129</v>
      </c>
      <c r="H2982">
        <v>0</v>
      </c>
      <c r="I2982" s="2">
        <v>0</v>
      </c>
      <c r="J2982" s="2">
        <v>0</v>
      </c>
      <c r="K2982" s="2">
        <v>0</v>
      </c>
      <c r="L2982" s="2">
        <v>0</v>
      </c>
      <c r="M2982">
        <v>0</v>
      </c>
      <c r="N2982">
        <v>0</v>
      </c>
      <c r="O2982" s="2">
        <v>0</v>
      </c>
      <c r="P2982" s="2">
        <v>0</v>
      </c>
      <c r="Q2982">
        <v>0</v>
      </c>
      <c r="R2982" s="2">
        <v>0</v>
      </c>
      <c r="S2982" s="2">
        <v>0</v>
      </c>
      <c r="T2982" t="s">
        <v>1125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</row>
    <row r="2983" spans="1:28" hidden="1" x14ac:dyDescent="0.25">
      <c r="A2983" t="s">
        <v>730</v>
      </c>
      <c r="B2983" t="s">
        <v>47</v>
      </c>
      <c r="C2983" t="s">
        <v>35</v>
      </c>
      <c r="D2983" s="1">
        <v>46058</v>
      </c>
      <c r="E2983" s="1">
        <v>46058</v>
      </c>
      <c r="F2983" s="2">
        <v>21</v>
      </c>
      <c r="G2983" s="3" t="s">
        <v>409</v>
      </c>
      <c r="H2983">
        <v>0</v>
      </c>
      <c r="I2983" s="2">
        <v>0</v>
      </c>
      <c r="J2983" s="2">
        <v>0</v>
      </c>
      <c r="K2983" s="2">
        <v>0</v>
      </c>
      <c r="L2983" s="2">
        <v>0</v>
      </c>
      <c r="M2983">
        <v>0</v>
      </c>
      <c r="N2983">
        <v>0</v>
      </c>
      <c r="O2983" s="2">
        <v>0</v>
      </c>
      <c r="P2983" s="2">
        <v>0</v>
      </c>
      <c r="Q2983">
        <v>0</v>
      </c>
      <c r="R2983" s="2">
        <v>0</v>
      </c>
      <c r="S2983" s="2">
        <v>0</v>
      </c>
      <c r="T2983" t="s">
        <v>1125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</row>
    <row r="2984" spans="1:28" hidden="1" x14ac:dyDescent="0.25">
      <c r="A2984" t="s">
        <v>47</v>
      </c>
      <c r="B2984" t="s">
        <v>52</v>
      </c>
      <c r="C2984" t="s">
        <v>35</v>
      </c>
      <c r="D2984" s="1">
        <v>46058</v>
      </c>
      <c r="E2984" s="1">
        <v>46058</v>
      </c>
      <c r="F2984" s="2">
        <v>21</v>
      </c>
      <c r="G2984" s="3" t="s">
        <v>409</v>
      </c>
      <c r="H2984">
        <v>0</v>
      </c>
      <c r="I2984" s="2">
        <v>0</v>
      </c>
      <c r="J2984" s="2">
        <v>0</v>
      </c>
      <c r="K2984" s="2">
        <v>0</v>
      </c>
      <c r="L2984" s="2">
        <v>0</v>
      </c>
      <c r="M2984">
        <v>0</v>
      </c>
      <c r="N2984">
        <v>0</v>
      </c>
      <c r="O2984" s="2">
        <v>0</v>
      </c>
      <c r="P2984" s="2">
        <v>0</v>
      </c>
      <c r="Q2984">
        <v>0</v>
      </c>
      <c r="R2984" s="2">
        <v>0</v>
      </c>
      <c r="S2984" s="2">
        <v>0</v>
      </c>
      <c r="T2984" t="s">
        <v>1125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</row>
    <row r="2985" spans="1:28" hidden="1" x14ac:dyDescent="0.25">
      <c r="A2985" t="s">
        <v>29</v>
      </c>
      <c r="B2985" t="s">
        <v>47</v>
      </c>
      <c r="C2985" t="s">
        <v>31</v>
      </c>
      <c r="D2985" s="1">
        <v>46059</v>
      </c>
      <c r="E2985" s="1">
        <v>46059</v>
      </c>
      <c r="F2985" s="2">
        <v>20</v>
      </c>
      <c r="G2985" s="3" t="s">
        <v>23</v>
      </c>
      <c r="H2985">
        <f>9+4+9+4</f>
        <v>26</v>
      </c>
      <c r="I2985" s="2">
        <v>0</v>
      </c>
      <c r="J2985" s="2">
        <v>0</v>
      </c>
      <c r="K2985" s="2">
        <v>0</v>
      </c>
      <c r="L2985" s="2">
        <v>1</v>
      </c>
      <c r="M2985">
        <v>0</v>
      </c>
      <c r="N2985">
        <v>0</v>
      </c>
      <c r="O2985" s="2">
        <v>0</v>
      </c>
      <c r="P2985" s="2">
        <v>0</v>
      </c>
      <c r="Q2985">
        <v>0</v>
      </c>
      <c r="R2985" s="2">
        <v>0</v>
      </c>
      <c r="S2985" s="2">
        <v>0</v>
      </c>
      <c r="T2985" t="s">
        <v>1479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</row>
    <row r="2986" spans="1:28" hidden="1" x14ac:dyDescent="0.25">
      <c r="A2986" t="s">
        <v>47</v>
      </c>
      <c r="B2986" t="s">
        <v>30</v>
      </c>
      <c r="C2986" t="s">
        <v>31</v>
      </c>
      <c r="D2986" s="1">
        <v>46059</v>
      </c>
      <c r="E2986" s="1">
        <v>46059</v>
      </c>
      <c r="F2986" s="2">
        <v>20</v>
      </c>
      <c r="G2986" s="3" t="s">
        <v>23</v>
      </c>
      <c r="H2986">
        <f>9+4+9+4+3+1</f>
        <v>30</v>
      </c>
      <c r="I2986" s="2">
        <v>0</v>
      </c>
      <c r="J2986" s="2">
        <v>0</v>
      </c>
      <c r="K2986" s="2">
        <v>0</v>
      </c>
      <c r="L2986" s="2">
        <v>1</v>
      </c>
      <c r="M2986">
        <v>0</v>
      </c>
      <c r="N2986">
        <v>0</v>
      </c>
      <c r="O2986" s="2">
        <v>0</v>
      </c>
      <c r="P2986" s="2">
        <v>0</v>
      </c>
      <c r="Q2986">
        <v>0</v>
      </c>
      <c r="R2986" s="2">
        <v>0</v>
      </c>
      <c r="S2986" s="2">
        <v>0</v>
      </c>
      <c r="T2986" t="s">
        <v>1479</v>
      </c>
      <c r="U2986" s="2">
        <v>0</v>
      </c>
      <c r="V2986" s="2">
        <v>1</v>
      </c>
      <c r="W2986" s="2">
        <v>6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</row>
    <row r="2987" spans="1:28" hidden="1" x14ac:dyDescent="0.25">
      <c r="A2987" t="s">
        <v>1431</v>
      </c>
      <c r="B2987" t="s">
        <v>1160</v>
      </c>
      <c r="C2987" t="s">
        <v>31</v>
      </c>
      <c r="D2987" s="1">
        <v>46059</v>
      </c>
      <c r="E2987" s="1">
        <v>46059</v>
      </c>
      <c r="F2987" s="2">
        <v>20</v>
      </c>
      <c r="G2987" s="3" t="s">
        <v>23</v>
      </c>
      <c r="H2987">
        <f>8+8+1+1+2+1</f>
        <v>21</v>
      </c>
      <c r="I2987" s="2">
        <v>0</v>
      </c>
      <c r="J2987" s="2">
        <v>0</v>
      </c>
      <c r="K2987" s="2">
        <v>1</v>
      </c>
      <c r="L2987" s="2">
        <v>0</v>
      </c>
      <c r="M2987">
        <v>0</v>
      </c>
      <c r="N2987">
        <v>0</v>
      </c>
      <c r="O2987" s="2">
        <v>0</v>
      </c>
      <c r="P2987" s="2">
        <v>0</v>
      </c>
      <c r="Q2987">
        <v>0</v>
      </c>
      <c r="R2987" s="2">
        <v>0</v>
      </c>
      <c r="S2987" s="2">
        <v>0</v>
      </c>
      <c r="T2987" t="s">
        <v>1479</v>
      </c>
      <c r="U2987" s="2">
        <v>0</v>
      </c>
      <c r="V2987" s="2">
        <v>10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</row>
    <row r="2988" spans="1:28" hidden="1" x14ac:dyDescent="0.25">
      <c r="A2988" t="s">
        <v>20</v>
      </c>
      <c r="B2988" t="s">
        <v>21</v>
      </c>
      <c r="C2988" t="s">
        <v>22</v>
      </c>
      <c r="D2988" s="1">
        <v>46059</v>
      </c>
      <c r="E2988" s="1">
        <v>46059</v>
      </c>
      <c r="F2988" s="2">
        <v>25</v>
      </c>
      <c r="G2988" s="3" t="s">
        <v>23</v>
      </c>
      <c r="H2988">
        <v>36</v>
      </c>
      <c r="I2988" s="2">
        <v>0</v>
      </c>
      <c r="J2988" s="2">
        <v>0</v>
      </c>
      <c r="K2988" s="2">
        <v>1</v>
      </c>
      <c r="L2988" s="2">
        <v>0</v>
      </c>
      <c r="M2988">
        <v>0</v>
      </c>
      <c r="N2988">
        <v>0</v>
      </c>
      <c r="O2988" s="2">
        <v>0</v>
      </c>
      <c r="P2988" s="2">
        <v>0</v>
      </c>
      <c r="Q2988">
        <v>0</v>
      </c>
      <c r="R2988" s="2">
        <v>0</v>
      </c>
      <c r="S2988" s="2">
        <v>0</v>
      </c>
      <c r="T2988" t="s">
        <v>1480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</row>
    <row r="2989" spans="1:28" hidden="1" x14ac:dyDescent="0.25">
      <c r="A2989" t="s">
        <v>53</v>
      </c>
      <c r="B2989" t="s">
        <v>38</v>
      </c>
      <c r="C2989" t="s">
        <v>54</v>
      </c>
      <c r="D2989" s="1">
        <v>46059</v>
      </c>
      <c r="E2989" s="1">
        <v>46059</v>
      </c>
      <c r="F2989" s="2">
        <v>39</v>
      </c>
      <c r="G2989" s="3" t="s">
        <v>23</v>
      </c>
      <c r="H2989">
        <v>28</v>
      </c>
      <c r="I2989" s="2">
        <v>0</v>
      </c>
      <c r="J2989" s="2">
        <v>0</v>
      </c>
      <c r="K2989" s="2">
        <v>1</v>
      </c>
      <c r="L2989" s="2">
        <v>0</v>
      </c>
      <c r="M2989">
        <v>0</v>
      </c>
      <c r="N2989">
        <v>0</v>
      </c>
      <c r="O2989" s="2">
        <v>0</v>
      </c>
      <c r="P2989" s="2">
        <v>0</v>
      </c>
      <c r="Q2989">
        <v>0</v>
      </c>
      <c r="R2989" s="2">
        <v>0</v>
      </c>
      <c r="S2989" s="2">
        <v>0</v>
      </c>
      <c r="T2989" t="s">
        <v>1481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</row>
    <row r="2990" spans="1:28" hidden="1" x14ac:dyDescent="0.25">
      <c r="A2990" t="s">
        <v>63</v>
      </c>
      <c r="B2990" t="s">
        <v>284</v>
      </c>
      <c r="C2990" t="s">
        <v>102</v>
      </c>
      <c r="D2990" s="1">
        <v>46059</v>
      </c>
      <c r="E2990" s="1">
        <v>46059</v>
      </c>
      <c r="F2990" s="2">
        <v>22</v>
      </c>
      <c r="G2990" s="3" t="s">
        <v>23</v>
      </c>
      <c r="H2990">
        <f>12+4+12+4+3+1</f>
        <v>36</v>
      </c>
      <c r="I2990" s="2">
        <v>0</v>
      </c>
      <c r="J2990" s="2">
        <v>0</v>
      </c>
      <c r="K2990" s="2">
        <v>1</v>
      </c>
      <c r="L2990" s="2">
        <v>0</v>
      </c>
      <c r="M2990">
        <v>0</v>
      </c>
      <c r="N2990">
        <v>0</v>
      </c>
      <c r="O2990" s="2">
        <v>0</v>
      </c>
      <c r="P2990" s="2">
        <v>0</v>
      </c>
      <c r="Q2990">
        <v>0</v>
      </c>
      <c r="R2990" s="2">
        <v>0</v>
      </c>
      <c r="S2990" s="2">
        <v>0</v>
      </c>
      <c r="T2990" t="s">
        <v>1482</v>
      </c>
      <c r="U2990" s="2">
        <v>0</v>
      </c>
      <c r="V2990" s="2">
        <v>1</v>
      </c>
      <c r="W2990" s="2">
        <v>6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</row>
    <row r="2991" spans="1:28" hidden="1" x14ac:dyDescent="0.25">
      <c r="A2991" t="s">
        <v>568</v>
      </c>
      <c r="B2991" t="s">
        <v>1323</v>
      </c>
      <c r="C2991" t="s">
        <v>670</v>
      </c>
      <c r="D2991" s="1">
        <v>46059</v>
      </c>
      <c r="E2991" s="1">
        <v>46059</v>
      </c>
      <c r="F2991" s="2">
        <v>125</v>
      </c>
      <c r="G2991" s="3" t="s">
        <v>23</v>
      </c>
      <c r="H2991">
        <f>6+2+6+2</f>
        <v>16</v>
      </c>
      <c r="I2991" s="2">
        <v>0</v>
      </c>
      <c r="J2991" s="2">
        <v>0</v>
      </c>
      <c r="K2991" s="2">
        <v>1</v>
      </c>
      <c r="L2991" s="2">
        <v>0</v>
      </c>
      <c r="M2991">
        <v>0</v>
      </c>
      <c r="N2991">
        <v>0</v>
      </c>
      <c r="O2991" s="2">
        <v>0</v>
      </c>
      <c r="P2991" s="2">
        <v>0</v>
      </c>
      <c r="Q2991">
        <v>0</v>
      </c>
      <c r="R2991" s="2">
        <v>0</v>
      </c>
      <c r="S2991" s="2">
        <v>0</v>
      </c>
      <c r="T2991" t="s">
        <v>1483</v>
      </c>
      <c r="U2991" s="2">
        <v>0</v>
      </c>
      <c r="V2991" s="2">
        <v>1</v>
      </c>
      <c r="W2991" s="2">
        <v>6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</row>
    <row r="2992" spans="1:28" hidden="1" x14ac:dyDescent="0.25">
      <c r="A2992" t="s">
        <v>25</v>
      </c>
      <c r="B2992" t="s">
        <v>26</v>
      </c>
      <c r="C2992" t="s">
        <v>102</v>
      </c>
      <c r="D2992" s="1">
        <v>46059</v>
      </c>
      <c r="E2992" s="1">
        <v>46059</v>
      </c>
      <c r="F2992" s="2">
        <v>23</v>
      </c>
      <c r="G2992" s="3" t="s">
        <v>572</v>
      </c>
      <c r="H2992">
        <v>0</v>
      </c>
      <c r="I2992" s="2">
        <v>0</v>
      </c>
      <c r="J2992" s="2">
        <v>0</v>
      </c>
      <c r="K2992" s="2">
        <v>0</v>
      </c>
      <c r="L2992" s="2">
        <v>0</v>
      </c>
      <c r="M2992">
        <v>0</v>
      </c>
      <c r="N2992">
        <v>0</v>
      </c>
      <c r="O2992" s="2">
        <v>0</v>
      </c>
      <c r="P2992" s="2">
        <v>0</v>
      </c>
      <c r="Q2992">
        <v>0</v>
      </c>
      <c r="R2992" s="2">
        <v>0</v>
      </c>
      <c r="S2992" s="2">
        <v>0</v>
      </c>
      <c r="T2992" t="s">
        <v>1424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</row>
    <row r="2993" spans="1:28" hidden="1" x14ac:dyDescent="0.25">
      <c r="A2993" t="s">
        <v>37</v>
      </c>
      <c r="B2993" t="s">
        <v>57</v>
      </c>
      <c r="C2993" t="s">
        <v>102</v>
      </c>
      <c r="D2993" s="1">
        <v>46059</v>
      </c>
      <c r="E2993" s="1">
        <v>46059</v>
      </c>
      <c r="F2993" s="2">
        <v>23</v>
      </c>
      <c r="G2993" s="3" t="s">
        <v>572</v>
      </c>
      <c r="H2993">
        <v>0</v>
      </c>
      <c r="I2993" s="2">
        <v>0</v>
      </c>
      <c r="J2993" s="2">
        <v>0</v>
      </c>
      <c r="K2993" s="2">
        <v>0</v>
      </c>
      <c r="L2993" s="2">
        <v>0</v>
      </c>
      <c r="M2993">
        <v>0</v>
      </c>
      <c r="N2993">
        <v>0</v>
      </c>
      <c r="O2993" s="2">
        <v>0</v>
      </c>
      <c r="P2993" s="2">
        <v>0</v>
      </c>
      <c r="Q2993">
        <v>0</v>
      </c>
      <c r="R2993" s="2">
        <v>0</v>
      </c>
      <c r="S2993" s="2">
        <v>0</v>
      </c>
      <c r="T2993" t="s">
        <v>1424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</row>
    <row r="2994" spans="1:28" hidden="1" x14ac:dyDescent="0.25">
      <c r="A2994" t="s">
        <v>33</v>
      </c>
      <c r="B2994" t="s">
        <v>34</v>
      </c>
      <c r="C2994" t="s">
        <v>102</v>
      </c>
      <c r="D2994" s="1">
        <v>46059</v>
      </c>
      <c r="E2994" s="1">
        <v>46059</v>
      </c>
      <c r="F2994" s="2">
        <v>23</v>
      </c>
      <c r="G2994" s="3" t="s">
        <v>572</v>
      </c>
      <c r="H2994">
        <v>0</v>
      </c>
      <c r="I2994" s="2">
        <v>0</v>
      </c>
      <c r="J2994" s="2">
        <v>0</v>
      </c>
      <c r="K2994" s="2">
        <v>0</v>
      </c>
      <c r="L2994" s="2">
        <v>0</v>
      </c>
      <c r="M2994">
        <v>0</v>
      </c>
      <c r="N2994">
        <v>0</v>
      </c>
      <c r="O2994" s="2">
        <v>0</v>
      </c>
      <c r="P2994" s="2">
        <v>0</v>
      </c>
      <c r="Q2994">
        <v>0</v>
      </c>
      <c r="R2994" s="2">
        <v>0</v>
      </c>
      <c r="S2994" s="2">
        <v>0</v>
      </c>
      <c r="T2994" t="s">
        <v>1424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</row>
    <row r="2995" spans="1:28" hidden="1" x14ac:dyDescent="0.25">
      <c r="A2995" t="s">
        <v>56</v>
      </c>
      <c r="B2995" t="s">
        <v>47</v>
      </c>
      <c r="C2995" t="s">
        <v>35</v>
      </c>
      <c r="D2995" s="1">
        <v>46059</v>
      </c>
      <c r="E2995" s="1">
        <v>46059</v>
      </c>
      <c r="F2995" s="2">
        <v>21</v>
      </c>
      <c r="G2995" s="3" t="s">
        <v>129</v>
      </c>
      <c r="H2995">
        <v>0</v>
      </c>
      <c r="I2995" s="2">
        <v>0</v>
      </c>
      <c r="J2995" s="2">
        <v>0</v>
      </c>
      <c r="K2995" s="2">
        <v>0</v>
      </c>
      <c r="L2995" s="2">
        <v>0</v>
      </c>
      <c r="M2995">
        <v>0</v>
      </c>
      <c r="N2995">
        <v>0</v>
      </c>
      <c r="O2995" s="2">
        <v>0</v>
      </c>
      <c r="P2995" s="2">
        <v>0</v>
      </c>
      <c r="Q2995">
        <v>0</v>
      </c>
      <c r="R2995" s="2">
        <v>0</v>
      </c>
      <c r="S2995" s="2">
        <v>0</v>
      </c>
      <c r="T2995" t="s">
        <v>1125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</row>
    <row r="2996" spans="1:28" hidden="1" x14ac:dyDescent="0.25">
      <c r="A2996" t="s">
        <v>730</v>
      </c>
      <c r="B2996" t="s">
        <v>47</v>
      </c>
      <c r="C2996" t="s">
        <v>35</v>
      </c>
      <c r="D2996" s="1">
        <v>46059</v>
      </c>
      <c r="E2996" s="1">
        <v>46059</v>
      </c>
      <c r="F2996" s="2">
        <v>21</v>
      </c>
      <c r="G2996" s="3" t="s">
        <v>409</v>
      </c>
      <c r="H2996">
        <v>0</v>
      </c>
      <c r="I2996" s="2">
        <v>0</v>
      </c>
      <c r="J2996" s="2">
        <v>0</v>
      </c>
      <c r="K2996" s="2">
        <v>0</v>
      </c>
      <c r="L2996" s="2">
        <v>0</v>
      </c>
      <c r="M2996">
        <v>0</v>
      </c>
      <c r="N2996">
        <v>0</v>
      </c>
      <c r="O2996" s="2">
        <v>0</v>
      </c>
      <c r="P2996" s="2">
        <v>0</v>
      </c>
      <c r="Q2996">
        <v>0</v>
      </c>
      <c r="R2996" s="2">
        <v>0</v>
      </c>
      <c r="S2996" s="2">
        <v>0</v>
      </c>
      <c r="T2996" t="s">
        <v>1125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</row>
    <row r="2997" spans="1:28" hidden="1" x14ac:dyDescent="0.25">
      <c r="A2997" t="s">
        <v>47</v>
      </c>
      <c r="B2997" t="s">
        <v>52</v>
      </c>
      <c r="C2997" t="s">
        <v>35</v>
      </c>
      <c r="D2997" s="1">
        <v>46059</v>
      </c>
      <c r="E2997" s="1">
        <v>46059</v>
      </c>
      <c r="F2997" s="2">
        <v>21</v>
      </c>
      <c r="G2997" s="3" t="s">
        <v>409</v>
      </c>
      <c r="H2997">
        <v>0</v>
      </c>
      <c r="I2997" s="2">
        <v>0</v>
      </c>
      <c r="J2997" s="2">
        <v>0</v>
      </c>
      <c r="K2997" s="2">
        <v>0</v>
      </c>
      <c r="L2997" s="2">
        <v>0</v>
      </c>
      <c r="M2997">
        <v>0</v>
      </c>
      <c r="N2997">
        <v>0</v>
      </c>
      <c r="O2997" s="2">
        <v>0</v>
      </c>
      <c r="P2997" s="2">
        <v>0</v>
      </c>
      <c r="Q2997">
        <v>0</v>
      </c>
      <c r="R2997" s="2">
        <v>0</v>
      </c>
      <c r="S2997" s="2">
        <v>0</v>
      </c>
      <c r="T2997" t="s">
        <v>1125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</row>
    <row r="2998" spans="1:28" hidden="1" x14ac:dyDescent="0.25">
      <c r="A2998" t="s">
        <v>29</v>
      </c>
      <c r="B2998" t="s">
        <v>30</v>
      </c>
      <c r="C2998" t="s">
        <v>31</v>
      </c>
      <c r="D2998" s="9">
        <v>46060</v>
      </c>
      <c r="E2998" s="9">
        <v>46060</v>
      </c>
      <c r="F2998" s="2">
        <v>31</v>
      </c>
      <c r="G2998" s="3" t="s">
        <v>23</v>
      </c>
      <c r="H2998">
        <v>0</v>
      </c>
      <c r="I2998" s="2">
        <v>0</v>
      </c>
      <c r="J2998" s="2">
        <v>0</v>
      </c>
      <c r="K2998" s="2">
        <v>0</v>
      </c>
      <c r="L2998" s="2">
        <v>0</v>
      </c>
      <c r="M2998">
        <v>0</v>
      </c>
      <c r="N2998">
        <v>0</v>
      </c>
      <c r="O2998" s="2">
        <v>1</v>
      </c>
      <c r="P2998" s="2">
        <v>0</v>
      </c>
      <c r="Q2998">
        <v>0</v>
      </c>
      <c r="R2998" s="2">
        <v>1</v>
      </c>
      <c r="S2998" s="2">
        <v>0</v>
      </c>
      <c r="T2998" t="s">
        <v>1484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hidden="1" x14ac:dyDescent="0.25">
      <c r="A2999" t="s">
        <v>1431</v>
      </c>
      <c r="B2999" t="s">
        <v>1160</v>
      </c>
      <c r="C2999" t="s">
        <v>31</v>
      </c>
      <c r="D2999" s="9">
        <v>46060</v>
      </c>
      <c r="E2999" s="9">
        <v>46060</v>
      </c>
      <c r="F2999" s="2">
        <v>31</v>
      </c>
      <c r="G2999" s="3" t="s">
        <v>23</v>
      </c>
      <c r="H2999">
        <v>0</v>
      </c>
      <c r="I2999" s="2">
        <v>0</v>
      </c>
      <c r="J2999" s="2">
        <v>0</v>
      </c>
      <c r="K2999" s="2">
        <v>0</v>
      </c>
      <c r="L2999" s="2">
        <v>0</v>
      </c>
      <c r="M2999">
        <v>0</v>
      </c>
      <c r="N2999">
        <v>0</v>
      </c>
      <c r="O2999" s="2">
        <v>1</v>
      </c>
      <c r="P2999" s="2">
        <v>0</v>
      </c>
      <c r="Q2999">
        <v>7</v>
      </c>
      <c r="R2999" s="2">
        <v>1</v>
      </c>
      <c r="S2999" s="2">
        <v>0</v>
      </c>
      <c r="T2999" t="s">
        <v>1484</v>
      </c>
      <c r="U2999">
        <f>12+5+6</f>
        <v>23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0</v>
      </c>
    </row>
    <row r="3000" spans="1:28" hidden="1" x14ac:dyDescent="0.25">
      <c r="A3000" t="s">
        <v>20</v>
      </c>
      <c r="B3000" t="s">
        <v>21</v>
      </c>
      <c r="C3000" t="s">
        <v>22</v>
      </c>
      <c r="D3000" s="9">
        <v>46060</v>
      </c>
      <c r="E3000" s="9">
        <v>46060</v>
      </c>
      <c r="F3000" s="2">
        <v>34</v>
      </c>
      <c r="G3000" s="3" t="s">
        <v>23</v>
      </c>
      <c r="H3000">
        <v>0</v>
      </c>
      <c r="I3000" s="2">
        <v>0</v>
      </c>
      <c r="J3000" s="2">
        <v>0</v>
      </c>
      <c r="K3000" s="2">
        <v>0</v>
      </c>
      <c r="L3000" s="2">
        <v>0</v>
      </c>
      <c r="M3000">
        <v>0</v>
      </c>
      <c r="N3000">
        <v>0</v>
      </c>
      <c r="O3000" s="2">
        <v>1</v>
      </c>
      <c r="P3000" s="2">
        <v>0</v>
      </c>
      <c r="Q3000">
        <v>0</v>
      </c>
      <c r="R3000" s="2">
        <v>1</v>
      </c>
      <c r="S3000" s="2">
        <v>0</v>
      </c>
      <c r="T3000" t="s">
        <v>1485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 hidden="1" x14ac:dyDescent="0.25">
      <c r="A3001" t="s">
        <v>53</v>
      </c>
      <c r="B3001" t="s">
        <v>38</v>
      </c>
      <c r="C3001" t="s">
        <v>54</v>
      </c>
      <c r="D3001" s="9">
        <v>46060</v>
      </c>
      <c r="E3001" s="9">
        <v>46060</v>
      </c>
      <c r="F3001" s="2">
        <v>37</v>
      </c>
      <c r="G3001" s="3" t="s">
        <v>23</v>
      </c>
      <c r="H3001">
        <v>0</v>
      </c>
      <c r="I3001" s="2">
        <v>0</v>
      </c>
      <c r="J3001" s="2">
        <v>0</v>
      </c>
      <c r="K3001" s="2">
        <v>0</v>
      </c>
      <c r="L3001" s="2">
        <v>0</v>
      </c>
      <c r="M3001">
        <v>0</v>
      </c>
      <c r="N3001">
        <v>0</v>
      </c>
      <c r="O3001" s="2">
        <v>1</v>
      </c>
      <c r="P3001" s="2">
        <v>0</v>
      </c>
      <c r="Q3001">
        <v>0</v>
      </c>
      <c r="R3001" s="2">
        <v>1</v>
      </c>
      <c r="S3001" s="2">
        <v>0</v>
      </c>
      <c r="T3001" t="s">
        <v>1486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hidden="1" x14ac:dyDescent="0.25">
      <c r="A3002" t="s">
        <v>63</v>
      </c>
      <c r="B3002" t="s">
        <v>284</v>
      </c>
      <c r="C3002" t="s">
        <v>102</v>
      </c>
      <c r="D3002" s="9">
        <v>46060</v>
      </c>
      <c r="E3002" s="9">
        <v>46060</v>
      </c>
      <c r="F3002" s="2">
        <v>37</v>
      </c>
      <c r="G3002" s="3" t="s">
        <v>23</v>
      </c>
      <c r="H3002">
        <v>0</v>
      </c>
      <c r="I3002" s="2">
        <v>0</v>
      </c>
      <c r="J3002" s="2">
        <v>0</v>
      </c>
      <c r="K3002" s="2">
        <v>0</v>
      </c>
      <c r="L3002" s="2">
        <v>0</v>
      </c>
      <c r="M3002">
        <v>1</v>
      </c>
      <c r="N3002">
        <v>0</v>
      </c>
      <c r="O3002" s="2">
        <v>1</v>
      </c>
      <c r="P3002" s="2">
        <v>0</v>
      </c>
      <c r="Q3002">
        <v>3</v>
      </c>
      <c r="R3002" s="2">
        <v>1</v>
      </c>
      <c r="S3002" s="2">
        <v>0</v>
      </c>
      <c r="T3002" t="s">
        <v>1487</v>
      </c>
      <c r="U3002">
        <v>14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 hidden="1" x14ac:dyDescent="0.25">
      <c r="A3003" t="s">
        <v>568</v>
      </c>
      <c r="B3003" t="s">
        <v>1323</v>
      </c>
      <c r="C3003" t="s">
        <v>102</v>
      </c>
      <c r="D3003" s="9">
        <v>46060</v>
      </c>
      <c r="E3003" s="9">
        <v>46060</v>
      </c>
      <c r="F3003" s="2">
        <v>37</v>
      </c>
      <c r="G3003" s="3" t="s">
        <v>23</v>
      </c>
      <c r="H3003">
        <v>0</v>
      </c>
      <c r="I3003" s="2">
        <v>0</v>
      </c>
      <c r="J3003" s="2">
        <v>0</v>
      </c>
      <c r="K3003" s="2">
        <v>0</v>
      </c>
      <c r="L3003" s="2">
        <v>0</v>
      </c>
      <c r="M3003">
        <v>0</v>
      </c>
      <c r="N3003">
        <v>0</v>
      </c>
      <c r="O3003" s="2">
        <v>1</v>
      </c>
      <c r="P3003" s="2">
        <v>0</v>
      </c>
      <c r="Q3003">
        <v>3</v>
      </c>
      <c r="R3003" s="2">
        <v>1</v>
      </c>
      <c r="S3003" s="2">
        <v>0</v>
      </c>
      <c r="T3003" t="s">
        <v>1487</v>
      </c>
      <c r="U3003">
        <v>18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 hidden="1" x14ac:dyDescent="0.25">
      <c r="A3004" t="s">
        <v>37</v>
      </c>
      <c r="B3004" t="s">
        <v>57</v>
      </c>
      <c r="C3004" t="s">
        <v>35</v>
      </c>
      <c r="D3004" s="9">
        <v>46060</v>
      </c>
      <c r="E3004" s="9">
        <v>46060</v>
      </c>
      <c r="F3004" s="2">
        <v>21</v>
      </c>
      <c r="G3004" s="3" t="s">
        <v>378</v>
      </c>
      <c r="H3004">
        <v>0</v>
      </c>
      <c r="I3004" s="2">
        <v>0</v>
      </c>
      <c r="J3004" s="2">
        <v>0</v>
      </c>
      <c r="K3004" s="2">
        <v>0</v>
      </c>
      <c r="L3004" s="2">
        <v>0</v>
      </c>
      <c r="M3004">
        <v>0</v>
      </c>
      <c r="N3004">
        <v>0</v>
      </c>
      <c r="O3004" s="2">
        <v>0</v>
      </c>
      <c r="P3004" s="2">
        <v>0</v>
      </c>
      <c r="Q3004">
        <v>0</v>
      </c>
      <c r="R3004" s="2">
        <v>0</v>
      </c>
      <c r="S3004" s="2">
        <v>0</v>
      </c>
      <c r="T3004" t="s">
        <v>1125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</row>
    <row r="3005" spans="1:28" hidden="1" x14ac:dyDescent="0.25">
      <c r="A3005" t="s">
        <v>25</v>
      </c>
      <c r="B3005" t="s">
        <v>26</v>
      </c>
      <c r="C3005" t="s">
        <v>35</v>
      </c>
      <c r="D3005" s="9">
        <v>46060</v>
      </c>
      <c r="E3005" s="9">
        <v>46060</v>
      </c>
      <c r="F3005" s="2">
        <v>21</v>
      </c>
      <c r="G3005" s="3" t="s">
        <v>378</v>
      </c>
      <c r="H3005">
        <v>0</v>
      </c>
      <c r="I3005" s="2">
        <v>0</v>
      </c>
      <c r="J3005" s="2">
        <v>0</v>
      </c>
      <c r="K3005" s="2">
        <v>0</v>
      </c>
      <c r="L3005" s="2">
        <v>0</v>
      </c>
      <c r="M3005">
        <v>0</v>
      </c>
      <c r="N3005">
        <v>0</v>
      </c>
      <c r="O3005" s="2">
        <v>0</v>
      </c>
      <c r="P3005" s="2">
        <v>0</v>
      </c>
      <c r="Q3005">
        <v>0</v>
      </c>
      <c r="R3005" s="2">
        <v>0</v>
      </c>
      <c r="S3005" s="2">
        <v>0</v>
      </c>
      <c r="T3005" t="s">
        <v>1125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 hidden="1" x14ac:dyDescent="0.25">
      <c r="A3006" t="s">
        <v>33</v>
      </c>
      <c r="B3006" t="s">
        <v>34</v>
      </c>
      <c r="C3006" t="s">
        <v>35</v>
      </c>
      <c r="D3006" s="9">
        <v>46060</v>
      </c>
      <c r="E3006" s="9">
        <v>46060</v>
      </c>
      <c r="F3006" s="2">
        <v>21</v>
      </c>
      <c r="G3006" s="3" t="s">
        <v>378</v>
      </c>
      <c r="H3006">
        <v>0</v>
      </c>
      <c r="I3006" s="2">
        <v>0</v>
      </c>
      <c r="J3006" s="2">
        <v>0</v>
      </c>
      <c r="K3006" s="2">
        <v>0</v>
      </c>
      <c r="L3006" s="2">
        <v>0</v>
      </c>
      <c r="M3006">
        <v>0</v>
      </c>
      <c r="N3006">
        <v>0</v>
      </c>
      <c r="O3006" s="2">
        <v>0</v>
      </c>
      <c r="P3006" s="2">
        <v>0</v>
      </c>
      <c r="Q3006">
        <v>0</v>
      </c>
      <c r="R3006" s="2">
        <v>0</v>
      </c>
      <c r="S3006" s="2">
        <v>0</v>
      </c>
      <c r="T3006" t="s">
        <v>1125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 hidden="1" x14ac:dyDescent="0.25">
      <c r="A3007" t="s">
        <v>56</v>
      </c>
      <c r="B3007" t="s">
        <v>47</v>
      </c>
      <c r="C3007" t="s">
        <v>35</v>
      </c>
      <c r="D3007" s="9">
        <v>46060</v>
      </c>
      <c r="E3007" s="9">
        <v>46060</v>
      </c>
      <c r="F3007" s="2">
        <v>21</v>
      </c>
      <c r="G3007" s="3" t="s">
        <v>129</v>
      </c>
      <c r="H3007">
        <v>0</v>
      </c>
      <c r="I3007" s="2">
        <v>0</v>
      </c>
      <c r="J3007" s="2">
        <v>0</v>
      </c>
      <c r="K3007" s="2">
        <v>0</v>
      </c>
      <c r="L3007" s="2">
        <v>0</v>
      </c>
      <c r="M3007">
        <v>0</v>
      </c>
      <c r="N3007">
        <v>0</v>
      </c>
      <c r="O3007" s="2">
        <v>0</v>
      </c>
      <c r="P3007" s="2">
        <v>0</v>
      </c>
      <c r="Q3007">
        <v>0</v>
      </c>
      <c r="R3007" s="2">
        <v>0</v>
      </c>
      <c r="S3007" s="2">
        <v>0</v>
      </c>
      <c r="T3007" t="s">
        <v>1125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hidden="1" x14ac:dyDescent="0.25">
      <c r="A3008" t="s">
        <v>730</v>
      </c>
      <c r="B3008" t="s">
        <v>47</v>
      </c>
      <c r="C3008" t="s">
        <v>35</v>
      </c>
      <c r="D3008" s="9">
        <v>46060</v>
      </c>
      <c r="E3008" s="9">
        <v>46060</v>
      </c>
      <c r="F3008" s="2">
        <v>21</v>
      </c>
      <c r="G3008" s="3" t="s">
        <v>409</v>
      </c>
      <c r="H3008">
        <v>0</v>
      </c>
      <c r="I3008" s="2">
        <v>0</v>
      </c>
      <c r="J3008" s="2">
        <v>0</v>
      </c>
      <c r="K3008" s="2">
        <v>0</v>
      </c>
      <c r="L3008" s="2">
        <v>0</v>
      </c>
      <c r="M3008">
        <v>0</v>
      </c>
      <c r="N3008">
        <v>0</v>
      </c>
      <c r="O3008" s="2">
        <v>0</v>
      </c>
      <c r="P3008" s="2">
        <v>0</v>
      </c>
      <c r="Q3008">
        <v>0</v>
      </c>
      <c r="R3008" s="2">
        <v>0</v>
      </c>
      <c r="S3008" s="2">
        <v>0</v>
      </c>
      <c r="T3008" t="s">
        <v>1125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 hidden="1" x14ac:dyDescent="0.25">
      <c r="A3009" t="s">
        <v>47</v>
      </c>
      <c r="B3009" t="s">
        <v>52</v>
      </c>
      <c r="C3009" t="s">
        <v>35</v>
      </c>
      <c r="D3009" s="9">
        <v>46060</v>
      </c>
      <c r="E3009" s="9">
        <v>46060</v>
      </c>
      <c r="F3009" s="2">
        <v>21</v>
      </c>
      <c r="G3009" s="3" t="s">
        <v>378</v>
      </c>
      <c r="H3009">
        <v>0</v>
      </c>
      <c r="I3009" s="2">
        <v>0</v>
      </c>
      <c r="J3009" s="2">
        <v>0</v>
      </c>
      <c r="K3009" s="2">
        <v>0</v>
      </c>
      <c r="L3009" s="2">
        <v>0</v>
      </c>
      <c r="M3009">
        <v>0</v>
      </c>
      <c r="N3009">
        <v>0</v>
      </c>
      <c r="O3009" s="2">
        <v>0</v>
      </c>
      <c r="P3009" s="2">
        <v>0</v>
      </c>
      <c r="Q3009">
        <v>0</v>
      </c>
      <c r="R3009" s="2">
        <v>0</v>
      </c>
      <c r="S3009" s="2">
        <v>0</v>
      </c>
      <c r="T3009" t="s">
        <v>1125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 hidden="1" x14ac:dyDescent="0.25">
      <c r="A3010" t="s">
        <v>29</v>
      </c>
      <c r="B3010" t="s">
        <v>30</v>
      </c>
      <c r="C3010" t="s">
        <v>54</v>
      </c>
      <c r="D3010" s="9">
        <v>46061</v>
      </c>
      <c r="E3010" s="9">
        <v>46061</v>
      </c>
      <c r="F3010" s="2">
        <v>48</v>
      </c>
      <c r="G3010" s="3" t="s">
        <v>23</v>
      </c>
      <c r="H3010">
        <v>0</v>
      </c>
      <c r="I3010" s="2">
        <v>0</v>
      </c>
      <c r="J3010" s="2">
        <v>0</v>
      </c>
      <c r="K3010" s="2">
        <v>0</v>
      </c>
      <c r="L3010" s="2">
        <v>0</v>
      </c>
      <c r="M3010">
        <v>0</v>
      </c>
      <c r="N3010">
        <v>0</v>
      </c>
      <c r="O3010" s="2">
        <v>0</v>
      </c>
      <c r="P3010" s="2">
        <v>1</v>
      </c>
      <c r="Q3010">
        <v>13</v>
      </c>
      <c r="R3010" s="2">
        <v>0</v>
      </c>
      <c r="S3010" s="2">
        <v>1</v>
      </c>
      <c r="T3010" t="s">
        <v>1488</v>
      </c>
      <c r="U3010">
        <f>11+5+4</f>
        <v>20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</row>
    <row r="3011" spans="1:28" hidden="1" x14ac:dyDescent="0.25">
      <c r="A3011" t="s">
        <v>1431</v>
      </c>
      <c r="B3011" t="s">
        <v>1160</v>
      </c>
      <c r="C3011" t="s">
        <v>22</v>
      </c>
      <c r="D3011" s="9">
        <v>46061</v>
      </c>
      <c r="E3011" s="9">
        <v>46061</v>
      </c>
      <c r="F3011" s="2">
        <v>47</v>
      </c>
      <c r="G3011" s="3" t="s">
        <v>23</v>
      </c>
      <c r="H3011">
        <v>0</v>
      </c>
      <c r="I3011" s="2">
        <v>0</v>
      </c>
      <c r="J3011" s="2">
        <v>0</v>
      </c>
      <c r="K3011" s="2">
        <v>0</v>
      </c>
      <c r="L3011" s="2">
        <v>0</v>
      </c>
      <c r="M3011">
        <v>0</v>
      </c>
      <c r="N3011">
        <v>0</v>
      </c>
      <c r="O3011" s="2">
        <v>0</v>
      </c>
      <c r="P3011" s="2">
        <v>1</v>
      </c>
      <c r="Q3011">
        <v>7</v>
      </c>
      <c r="R3011" s="2">
        <v>0</v>
      </c>
      <c r="S3011" s="2">
        <v>1</v>
      </c>
      <c r="T3011" t="s">
        <v>1489</v>
      </c>
      <c r="U3011">
        <v>16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</row>
    <row r="3012" spans="1:28" hidden="1" x14ac:dyDescent="0.25">
      <c r="A3012" t="s">
        <v>20</v>
      </c>
      <c r="B3012" t="s">
        <v>21</v>
      </c>
      <c r="C3012" t="s">
        <v>22</v>
      </c>
      <c r="D3012" s="9">
        <v>46061</v>
      </c>
      <c r="E3012" s="9">
        <v>46061</v>
      </c>
      <c r="F3012" s="2">
        <v>47</v>
      </c>
      <c r="G3012" s="3" t="s">
        <v>23</v>
      </c>
      <c r="H3012">
        <v>0</v>
      </c>
      <c r="I3012" s="2">
        <v>0</v>
      </c>
      <c r="J3012" s="2">
        <v>0</v>
      </c>
      <c r="K3012" s="2">
        <v>0</v>
      </c>
      <c r="L3012" s="2">
        <v>0</v>
      </c>
      <c r="M3012">
        <v>0</v>
      </c>
      <c r="N3012">
        <v>0</v>
      </c>
      <c r="O3012" s="2">
        <v>0</v>
      </c>
      <c r="P3012" s="2">
        <v>1</v>
      </c>
      <c r="Q3012">
        <v>6</v>
      </c>
      <c r="R3012" s="2">
        <v>0</v>
      </c>
      <c r="S3012" s="2">
        <v>1</v>
      </c>
      <c r="T3012" t="s">
        <v>1489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</row>
    <row r="3013" spans="1:28" hidden="1" x14ac:dyDescent="0.25">
      <c r="A3013" t="s">
        <v>53</v>
      </c>
      <c r="B3013" t="s">
        <v>38</v>
      </c>
      <c r="C3013" t="s">
        <v>54</v>
      </c>
      <c r="D3013" s="9">
        <v>46061</v>
      </c>
      <c r="E3013" s="9">
        <v>46061</v>
      </c>
      <c r="F3013" s="2">
        <v>48</v>
      </c>
      <c r="G3013" s="3" t="s">
        <v>23</v>
      </c>
      <c r="H3013">
        <v>0</v>
      </c>
      <c r="I3013" s="2">
        <v>0</v>
      </c>
      <c r="J3013" s="2">
        <v>0</v>
      </c>
      <c r="K3013" s="2">
        <v>0</v>
      </c>
      <c r="L3013" s="2">
        <v>0</v>
      </c>
      <c r="M3013">
        <v>0</v>
      </c>
      <c r="N3013">
        <v>0</v>
      </c>
      <c r="O3013" s="2">
        <v>0</v>
      </c>
      <c r="P3013" s="2">
        <v>1</v>
      </c>
      <c r="Q3013">
        <v>5</v>
      </c>
      <c r="R3013" s="2">
        <v>0</v>
      </c>
      <c r="S3013" s="2">
        <v>1</v>
      </c>
      <c r="T3013" t="s">
        <v>1488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 hidden="1" x14ac:dyDescent="0.25">
      <c r="A3014" t="s">
        <v>63</v>
      </c>
      <c r="B3014" t="s">
        <v>284</v>
      </c>
      <c r="C3014" t="s">
        <v>102</v>
      </c>
      <c r="D3014" s="9">
        <v>46061</v>
      </c>
      <c r="E3014" s="9">
        <v>46061</v>
      </c>
      <c r="F3014" s="2">
        <v>34</v>
      </c>
      <c r="G3014" s="3" t="s">
        <v>23</v>
      </c>
      <c r="H3014">
        <v>0</v>
      </c>
      <c r="I3014" s="2">
        <v>0</v>
      </c>
      <c r="J3014" s="2">
        <v>0</v>
      </c>
      <c r="K3014" s="2">
        <v>0</v>
      </c>
      <c r="L3014" s="2">
        <v>0</v>
      </c>
      <c r="M3014">
        <v>0</v>
      </c>
      <c r="N3014">
        <v>0</v>
      </c>
      <c r="O3014" s="2">
        <v>0</v>
      </c>
      <c r="P3014" s="2">
        <v>1</v>
      </c>
      <c r="Q3014">
        <v>8</v>
      </c>
      <c r="R3014" s="2">
        <v>0</v>
      </c>
      <c r="S3014" s="2">
        <v>1</v>
      </c>
      <c r="T3014" t="s">
        <v>1490</v>
      </c>
      <c r="U3014">
        <v>18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hidden="1" x14ac:dyDescent="0.25">
      <c r="A3015" t="s">
        <v>568</v>
      </c>
      <c r="B3015" t="s">
        <v>1323</v>
      </c>
      <c r="C3015" t="s">
        <v>670</v>
      </c>
      <c r="D3015" s="9">
        <v>46061</v>
      </c>
      <c r="E3015" s="9">
        <v>46061</v>
      </c>
      <c r="F3015" s="2">
        <v>84</v>
      </c>
      <c r="G3015" s="3" t="s">
        <v>23</v>
      </c>
      <c r="H3015">
        <v>0</v>
      </c>
      <c r="I3015" s="2">
        <v>0</v>
      </c>
      <c r="J3015" s="2">
        <v>0</v>
      </c>
      <c r="K3015" s="2">
        <v>0</v>
      </c>
      <c r="L3015" s="2">
        <v>0</v>
      </c>
      <c r="M3015">
        <v>0</v>
      </c>
      <c r="N3015">
        <v>0</v>
      </c>
      <c r="O3015" s="2">
        <v>0</v>
      </c>
      <c r="P3015" s="2">
        <v>1</v>
      </c>
      <c r="Q3015">
        <v>6</v>
      </c>
      <c r="R3015" s="2">
        <v>0</v>
      </c>
      <c r="S3015" s="2">
        <v>1</v>
      </c>
      <c r="T3015" t="s">
        <v>1491</v>
      </c>
      <c r="U3015">
        <v>15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 hidden="1" x14ac:dyDescent="0.25">
      <c r="A3016" t="s">
        <v>37</v>
      </c>
      <c r="B3016" t="s">
        <v>57</v>
      </c>
      <c r="C3016" t="s">
        <v>35</v>
      </c>
      <c r="D3016" s="9">
        <v>46061</v>
      </c>
      <c r="E3016" s="9">
        <v>46061</v>
      </c>
      <c r="F3016" s="2">
        <v>21</v>
      </c>
      <c r="G3016" s="3" t="s">
        <v>378</v>
      </c>
      <c r="H3016">
        <v>0</v>
      </c>
      <c r="I3016" s="2">
        <v>0</v>
      </c>
      <c r="J3016" s="2">
        <v>0</v>
      </c>
      <c r="K3016" s="2">
        <v>0</v>
      </c>
      <c r="L3016" s="2">
        <v>0</v>
      </c>
      <c r="M3016">
        <v>0</v>
      </c>
      <c r="N3016">
        <v>0</v>
      </c>
      <c r="O3016" s="2">
        <v>0</v>
      </c>
      <c r="P3016" s="2">
        <v>0</v>
      </c>
      <c r="Q3016">
        <v>0</v>
      </c>
      <c r="R3016" s="2">
        <v>0</v>
      </c>
      <c r="S3016" s="2">
        <v>0</v>
      </c>
      <c r="T3016" t="s">
        <v>1125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 hidden="1" x14ac:dyDescent="0.25">
      <c r="A3017" t="s">
        <v>25</v>
      </c>
      <c r="B3017" t="s">
        <v>26</v>
      </c>
      <c r="C3017" t="s">
        <v>35</v>
      </c>
      <c r="D3017" s="9">
        <v>46061</v>
      </c>
      <c r="E3017" s="9">
        <v>46061</v>
      </c>
      <c r="F3017" s="2">
        <v>21</v>
      </c>
      <c r="G3017" s="3" t="s">
        <v>378</v>
      </c>
      <c r="H3017">
        <v>0</v>
      </c>
      <c r="I3017" s="2">
        <v>0</v>
      </c>
      <c r="J3017" s="2">
        <v>0</v>
      </c>
      <c r="K3017" s="2">
        <v>0</v>
      </c>
      <c r="L3017" s="2">
        <v>0</v>
      </c>
      <c r="M3017">
        <v>0</v>
      </c>
      <c r="N3017">
        <v>0</v>
      </c>
      <c r="O3017" s="2">
        <v>0</v>
      </c>
      <c r="P3017" s="2">
        <v>0</v>
      </c>
      <c r="Q3017">
        <v>0</v>
      </c>
      <c r="R3017" s="2">
        <v>0</v>
      </c>
      <c r="S3017" s="2">
        <v>0</v>
      </c>
      <c r="T3017" t="s">
        <v>1125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hidden="1" x14ac:dyDescent="0.25">
      <c r="A3018" t="s">
        <v>33</v>
      </c>
      <c r="B3018" t="s">
        <v>34</v>
      </c>
      <c r="C3018" t="s">
        <v>35</v>
      </c>
      <c r="D3018" s="9">
        <v>46061</v>
      </c>
      <c r="E3018" s="9">
        <v>46061</v>
      </c>
      <c r="F3018" s="2">
        <v>21</v>
      </c>
      <c r="G3018" s="3" t="s">
        <v>378</v>
      </c>
      <c r="H3018">
        <v>0</v>
      </c>
      <c r="I3018" s="2">
        <v>0</v>
      </c>
      <c r="J3018" s="2">
        <v>0</v>
      </c>
      <c r="K3018" s="2">
        <v>0</v>
      </c>
      <c r="L3018" s="2">
        <v>0</v>
      </c>
      <c r="M3018">
        <v>0</v>
      </c>
      <c r="N3018">
        <v>0</v>
      </c>
      <c r="O3018" s="2">
        <v>0</v>
      </c>
      <c r="P3018" s="2">
        <v>0</v>
      </c>
      <c r="Q3018">
        <v>0</v>
      </c>
      <c r="R3018" s="2">
        <v>0</v>
      </c>
      <c r="S3018" s="2">
        <v>0</v>
      </c>
      <c r="T3018" t="s">
        <v>1125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 hidden="1" x14ac:dyDescent="0.25">
      <c r="A3019" t="s">
        <v>56</v>
      </c>
      <c r="B3019" t="s">
        <v>47</v>
      </c>
      <c r="C3019" t="s">
        <v>35</v>
      </c>
      <c r="D3019" s="9">
        <v>46061</v>
      </c>
      <c r="E3019" s="9">
        <v>46061</v>
      </c>
      <c r="F3019" s="2">
        <v>21</v>
      </c>
      <c r="G3019" s="3" t="s">
        <v>129</v>
      </c>
      <c r="H3019">
        <v>0</v>
      </c>
      <c r="I3019" s="2">
        <v>0</v>
      </c>
      <c r="J3019" s="2">
        <v>0</v>
      </c>
      <c r="K3019" s="2">
        <v>0</v>
      </c>
      <c r="L3019" s="2">
        <v>0</v>
      </c>
      <c r="M3019">
        <v>0</v>
      </c>
      <c r="N3019">
        <v>0</v>
      </c>
      <c r="O3019" s="2">
        <v>0</v>
      </c>
      <c r="P3019" s="2">
        <v>0</v>
      </c>
      <c r="Q3019">
        <v>0</v>
      </c>
      <c r="R3019" s="2">
        <v>0</v>
      </c>
      <c r="S3019" s="2">
        <v>0</v>
      </c>
      <c r="T3019" t="s">
        <v>1125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hidden="1" x14ac:dyDescent="0.25">
      <c r="A3020" t="s">
        <v>730</v>
      </c>
      <c r="B3020" t="s">
        <v>47</v>
      </c>
      <c r="C3020" t="s">
        <v>35</v>
      </c>
      <c r="D3020" s="9">
        <v>46061</v>
      </c>
      <c r="E3020" s="9">
        <v>46061</v>
      </c>
      <c r="F3020" s="2">
        <v>21</v>
      </c>
      <c r="G3020" s="3" t="s">
        <v>409</v>
      </c>
      <c r="H3020">
        <v>0</v>
      </c>
      <c r="I3020" s="2">
        <v>0</v>
      </c>
      <c r="J3020" s="2">
        <v>0</v>
      </c>
      <c r="K3020" s="2">
        <v>0</v>
      </c>
      <c r="L3020" s="2">
        <v>0</v>
      </c>
      <c r="M3020">
        <v>0</v>
      </c>
      <c r="N3020">
        <v>0</v>
      </c>
      <c r="O3020" s="2">
        <v>0</v>
      </c>
      <c r="P3020" s="2">
        <v>0</v>
      </c>
      <c r="Q3020">
        <v>0</v>
      </c>
      <c r="R3020" s="2">
        <v>0</v>
      </c>
      <c r="S3020" s="2">
        <v>0</v>
      </c>
      <c r="T3020" t="s">
        <v>1125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hidden="1" x14ac:dyDescent="0.25">
      <c r="A3021" t="s">
        <v>47</v>
      </c>
      <c r="B3021" t="s">
        <v>52</v>
      </c>
      <c r="C3021" t="s">
        <v>35</v>
      </c>
      <c r="D3021" s="9">
        <v>46061</v>
      </c>
      <c r="E3021" s="9">
        <v>46061</v>
      </c>
      <c r="F3021" s="2">
        <v>21</v>
      </c>
      <c r="G3021" s="3" t="s">
        <v>378</v>
      </c>
      <c r="H3021">
        <v>0</v>
      </c>
      <c r="I3021" s="2">
        <v>0</v>
      </c>
      <c r="J3021" s="2">
        <v>0</v>
      </c>
      <c r="K3021" s="2">
        <v>0</v>
      </c>
      <c r="L3021" s="2">
        <v>0</v>
      </c>
      <c r="M3021">
        <v>0</v>
      </c>
      <c r="N3021">
        <v>0</v>
      </c>
      <c r="O3021" s="2">
        <v>0</v>
      </c>
      <c r="P3021" s="2">
        <v>0</v>
      </c>
      <c r="Q3021">
        <v>0</v>
      </c>
      <c r="R3021" s="2">
        <v>0</v>
      </c>
      <c r="S3021" s="2">
        <v>0</v>
      </c>
      <c r="T3021" t="s">
        <v>1125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 hidden="1" x14ac:dyDescent="0.25">
      <c r="A3022" t="s">
        <v>25</v>
      </c>
      <c r="B3022" t="s">
        <v>26</v>
      </c>
      <c r="C3022" t="s">
        <v>27</v>
      </c>
      <c r="D3022" s="1">
        <v>46062</v>
      </c>
      <c r="E3022" s="1">
        <v>46062</v>
      </c>
      <c r="F3022" s="2">
        <v>34</v>
      </c>
      <c r="G3022" s="3" t="s">
        <v>23</v>
      </c>
      <c r="H3022">
        <v>7</v>
      </c>
      <c r="I3022" s="2">
        <v>0</v>
      </c>
      <c r="J3022" s="2">
        <v>0</v>
      </c>
      <c r="K3022" s="2">
        <v>0</v>
      </c>
      <c r="L3022" s="2">
        <v>0</v>
      </c>
      <c r="M3022">
        <v>0</v>
      </c>
      <c r="N3022">
        <v>0</v>
      </c>
      <c r="O3022" s="2">
        <v>0</v>
      </c>
      <c r="P3022" s="2">
        <v>0</v>
      </c>
      <c r="Q3022">
        <v>0</v>
      </c>
      <c r="R3022" s="2">
        <v>0</v>
      </c>
      <c r="S3022" s="2">
        <v>0</v>
      </c>
      <c r="T3022" t="s">
        <v>1492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</row>
    <row r="3023" spans="1:28" hidden="1" x14ac:dyDescent="0.25">
      <c r="A3023" t="s">
        <v>37</v>
      </c>
      <c r="B3023" t="s">
        <v>57</v>
      </c>
      <c r="C3023" t="s">
        <v>39</v>
      </c>
      <c r="D3023" s="1">
        <v>46062</v>
      </c>
      <c r="E3023" s="1">
        <v>46062</v>
      </c>
      <c r="F3023" s="2">
        <v>70</v>
      </c>
      <c r="G3023" s="3" t="s">
        <v>23</v>
      </c>
      <c r="H3023">
        <v>6</v>
      </c>
      <c r="I3023" s="2">
        <v>0</v>
      </c>
      <c r="J3023" s="2">
        <v>0</v>
      </c>
      <c r="K3023" s="2">
        <v>0</v>
      </c>
      <c r="L3023" s="2">
        <v>0</v>
      </c>
      <c r="M3023">
        <v>1</v>
      </c>
      <c r="N3023">
        <v>0</v>
      </c>
      <c r="O3023" s="2">
        <v>0</v>
      </c>
      <c r="P3023" s="2">
        <v>0</v>
      </c>
      <c r="Q3023">
        <v>0</v>
      </c>
      <c r="R3023" s="2">
        <v>0</v>
      </c>
      <c r="S3023" s="2">
        <v>0</v>
      </c>
      <c r="T3023" t="s">
        <v>1493</v>
      </c>
      <c r="U3023" s="2">
        <v>0</v>
      </c>
      <c r="V3023" s="2">
        <v>1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</row>
    <row r="3024" spans="1:28" hidden="1" x14ac:dyDescent="0.25">
      <c r="A3024" t="s">
        <v>33</v>
      </c>
      <c r="B3024" t="s">
        <v>34</v>
      </c>
      <c r="C3024" t="s">
        <v>35</v>
      </c>
      <c r="D3024" s="1">
        <v>46062</v>
      </c>
      <c r="E3024" s="1">
        <v>46062</v>
      </c>
      <c r="F3024" s="2">
        <v>25</v>
      </c>
      <c r="G3024" s="3" t="s">
        <v>23</v>
      </c>
      <c r="H3024">
        <v>2</v>
      </c>
      <c r="I3024" s="2">
        <v>0</v>
      </c>
      <c r="J3024" s="2">
        <v>0</v>
      </c>
      <c r="K3024" s="2">
        <v>0</v>
      </c>
      <c r="L3024" s="2">
        <v>0</v>
      </c>
      <c r="M3024">
        <v>1</v>
      </c>
      <c r="N3024">
        <v>0</v>
      </c>
      <c r="O3024" s="2">
        <v>0</v>
      </c>
      <c r="P3024" s="2">
        <v>0</v>
      </c>
      <c r="Q3024">
        <v>0</v>
      </c>
      <c r="R3024" s="2">
        <v>0</v>
      </c>
      <c r="S3024" s="2">
        <v>0</v>
      </c>
      <c r="T3024" t="s">
        <v>1494</v>
      </c>
      <c r="U3024" s="2">
        <v>0</v>
      </c>
      <c r="V3024" s="2">
        <v>0</v>
      </c>
      <c r="W3024" s="2">
        <v>3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</row>
    <row r="3025" spans="1:28" hidden="1" x14ac:dyDescent="0.25">
      <c r="A3025" t="s">
        <v>568</v>
      </c>
      <c r="B3025" t="s">
        <v>1323</v>
      </c>
      <c r="C3025" t="s">
        <v>31</v>
      </c>
      <c r="D3025" s="1">
        <v>46062</v>
      </c>
      <c r="E3025" s="1">
        <v>46062</v>
      </c>
      <c r="F3025" s="2">
        <v>75</v>
      </c>
      <c r="G3025" s="3" t="s">
        <v>23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0</v>
      </c>
      <c r="S3025">
        <v>0</v>
      </c>
      <c r="T3025" t="s">
        <v>1495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</row>
    <row r="3026" spans="1:28" hidden="1" x14ac:dyDescent="0.25">
      <c r="A3026" t="s">
        <v>29</v>
      </c>
      <c r="B3026" t="s">
        <v>47</v>
      </c>
      <c r="C3026" t="s">
        <v>31</v>
      </c>
      <c r="D3026" s="1">
        <v>46062</v>
      </c>
      <c r="E3026" s="1">
        <v>46062</v>
      </c>
      <c r="F3026" s="2">
        <v>75</v>
      </c>
      <c r="G3026" s="3" t="s">
        <v>409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1495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</row>
    <row r="3027" spans="1:28" hidden="1" x14ac:dyDescent="0.25">
      <c r="A3027" t="s">
        <v>20</v>
      </c>
      <c r="B3027" t="s">
        <v>47</v>
      </c>
      <c r="C3027" t="s">
        <v>31</v>
      </c>
      <c r="D3027" s="1">
        <v>46062</v>
      </c>
      <c r="E3027" s="1">
        <v>46062</v>
      </c>
      <c r="F3027" s="2">
        <v>75</v>
      </c>
      <c r="G3027" s="3" t="s">
        <v>409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1495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</row>
    <row r="3028" spans="1:28" hidden="1" x14ac:dyDescent="0.25">
      <c r="A3028" t="s">
        <v>1431</v>
      </c>
      <c r="B3028" t="s">
        <v>47</v>
      </c>
      <c r="C3028" t="s">
        <v>31</v>
      </c>
      <c r="D3028" s="1">
        <v>46062</v>
      </c>
      <c r="E3028" s="1">
        <v>46062</v>
      </c>
      <c r="F3028" s="2">
        <v>75</v>
      </c>
      <c r="G3028" s="3" t="s">
        <v>409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 t="s">
        <v>1495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</row>
    <row r="3029" spans="1:28" hidden="1" x14ac:dyDescent="0.25">
      <c r="A3029" t="s">
        <v>47</v>
      </c>
      <c r="B3029" t="s">
        <v>30</v>
      </c>
      <c r="C3029" t="s">
        <v>31</v>
      </c>
      <c r="D3029" s="1">
        <v>46062</v>
      </c>
      <c r="E3029" s="1">
        <v>46062</v>
      </c>
      <c r="F3029" s="2">
        <v>75</v>
      </c>
      <c r="G3029" s="3" t="s">
        <v>572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 t="s">
        <v>1495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</row>
    <row r="3030" spans="1:28" hidden="1" x14ac:dyDescent="0.25">
      <c r="A3030" t="s">
        <v>53</v>
      </c>
      <c r="B3030" t="s">
        <v>38</v>
      </c>
      <c r="C3030" t="s">
        <v>31</v>
      </c>
      <c r="D3030" s="1">
        <v>46062</v>
      </c>
      <c r="E3030" s="1">
        <v>46062</v>
      </c>
      <c r="F3030" s="2">
        <v>75</v>
      </c>
      <c r="G3030" s="3" t="s">
        <v>572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 t="s">
        <v>1495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</row>
    <row r="3031" spans="1:28" hidden="1" x14ac:dyDescent="0.25">
      <c r="A3031" t="s">
        <v>63</v>
      </c>
      <c r="B3031" t="s">
        <v>284</v>
      </c>
      <c r="C3031" t="s">
        <v>31</v>
      </c>
      <c r="D3031" s="1">
        <v>46062</v>
      </c>
      <c r="E3031" s="1">
        <v>46062</v>
      </c>
      <c r="F3031" s="2">
        <v>75</v>
      </c>
      <c r="G3031" s="3" t="s">
        <v>572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 t="s">
        <v>1495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</row>
    <row r="3032" spans="1:28" hidden="1" x14ac:dyDescent="0.25">
      <c r="A3032" t="s">
        <v>47</v>
      </c>
      <c r="B3032" t="s">
        <v>21</v>
      </c>
      <c r="C3032" t="s">
        <v>31</v>
      </c>
      <c r="D3032" s="1">
        <v>46062</v>
      </c>
      <c r="E3032" s="1">
        <v>46062</v>
      </c>
      <c r="F3032" s="2">
        <v>75</v>
      </c>
      <c r="G3032" s="3" t="s">
        <v>572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 t="s">
        <v>1495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</row>
    <row r="3033" spans="1:28" hidden="1" x14ac:dyDescent="0.25">
      <c r="A3033" t="s">
        <v>47</v>
      </c>
      <c r="B3033" t="s">
        <v>1160</v>
      </c>
      <c r="C3033" t="s">
        <v>31</v>
      </c>
      <c r="D3033" s="1">
        <v>46062</v>
      </c>
      <c r="E3033" s="1">
        <v>46062</v>
      </c>
      <c r="F3033" s="2">
        <v>75</v>
      </c>
      <c r="G3033" s="3" t="s">
        <v>572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 t="s">
        <v>1495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</row>
    <row r="3034" spans="1:28" hidden="1" x14ac:dyDescent="0.25">
      <c r="A3034" t="s">
        <v>56</v>
      </c>
      <c r="B3034" t="s">
        <v>47</v>
      </c>
      <c r="C3034" t="s">
        <v>35</v>
      </c>
      <c r="D3034" s="1">
        <v>46062</v>
      </c>
      <c r="E3034" s="1">
        <v>46062</v>
      </c>
      <c r="F3034" s="2">
        <v>21</v>
      </c>
      <c r="G3034" s="3" t="s">
        <v>129</v>
      </c>
      <c r="H3034">
        <v>0</v>
      </c>
      <c r="I3034" s="2">
        <v>0</v>
      </c>
      <c r="J3034" s="2">
        <v>0</v>
      </c>
      <c r="K3034" s="2">
        <v>0</v>
      </c>
      <c r="L3034" s="2">
        <v>0</v>
      </c>
      <c r="M3034">
        <v>0</v>
      </c>
      <c r="N3034">
        <v>0</v>
      </c>
      <c r="O3034" s="2">
        <v>0</v>
      </c>
      <c r="P3034" s="2">
        <v>0</v>
      </c>
      <c r="Q3034">
        <v>0</v>
      </c>
      <c r="R3034" s="2">
        <v>0</v>
      </c>
      <c r="S3034" s="2">
        <v>0</v>
      </c>
      <c r="T3034" t="s">
        <v>1125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</row>
    <row r="3035" spans="1:28" hidden="1" x14ac:dyDescent="0.25">
      <c r="A3035" t="s">
        <v>730</v>
      </c>
      <c r="B3035" t="s">
        <v>47</v>
      </c>
      <c r="C3035" t="s">
        <v>35</v>
      </c>
      <c r="D3035" s="1">
        <v>46062</v>
      </c>
      <c r="E3035" s="1">
        <v>46062</v>
      </c>
      <c r="F3035" s="2">
        <v>21</v>
      </c>
      <c r="G3035" s="3" t="s">
        <v>48</v>
      </c>
      <c r="H3035">
        <v>0</v>
      </c>
      <c r="I3035" s="2">
        <v>0</v>
      </c>
      <c r="J3035" s="2">
        <v>0</v>
      </c>
      <c r="K3035" s="2">
        <v>0</v>
      </c>
      <c r="L3035" s="2">
        <v>0</v>
      </c>
      <c r="M3035">
        <v>0</v>
      </c>
      <c r="N3035">
        <v>0</v>
      </c>
      <c r="O3035" s="2">
        <v>0</v>
      </c>
      <c r="P3035" s="2">
        <v>0</v>
      </c>
      <c r="Q3035">
        <v>0</v>
      </c>
      <c r="R3035" s="2">
        <v>0</v>
      </c>
      <c r="S3035" s="2">
        <v>0</v>
      </c>
      <c r="T3035" t="s">
        <v>1125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</row>
    <row r="3036" spans="1:28" hidden="1" x14ac:dyDescent="0.25">
      <c r="A3036" t="s">
        <v>47</v>
      </c>
      <c r="B3036" t="s">
        <v>52</v>
      </c>
      <c r="C3036" t="s">
        <v>35</v>
      </c>
      <c r="D3036" s="1">
        <v>46062</v>
      </c>
      <c r="E3036" s="1">
        <v>46062</v>
      </c>
      <c r="F3036" s="2">
        <v>21</v>
      </c>
      <c r="G3036" s="3" t="s">
        <v>409</v>
      </c>
      <c r="H3036">
        <v>0</v>
      </c>
      <c r="I3036" s="2">
        <v>0</v>
      </c>
      <c r="J3036" s="2">
        <v>0</v>
      </c>
      <c r="K3036" s="2">
        <v>0</v>
      </c>
      <c r="L3036" s="2">
        <v>0</v>
      </c>
      <c r="M3036">
        <v>0</v>
      </c>
      <c r="N3036">
        <v>0</v>
      </c>
      <c r="O3036" s="2">
        <v>0</v>
      </c>
      <c r="P3036" s="2">
        <v>0</v>
      </c>
      <c r="Q3036">
        <v>0</v>
      </c>
      <c r="R3036" s="2">
        <v>0</v>
      </c>
      <c r="S3036" s="2">
        <v>0</v>
      </c>
      <c r="T3036" t="s">
        <v>1125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</row>
    <row r="3037" spans="1:28" hidden="1" x14ac:dyDescent="0.25">
      <c r="A3037" t="s">
        <v>37</v>
      </c>
      <c r="B3037" t="s">
        <v>57</v>
      </c>
      <c r="C3037" t="s">
        <v>39</v>
      </c>
      <c r="D3037" s="1">
        <v>46063</v>
      </c>
      <c r="E3037" s="1">
        <v>46063</v>
      </c>
      <c r="F3037" s="2">
        <v>26</v>
      </c>
      <c r="G3037" s="3" t="s">
        <v>23</v>
      </c>
      <c r="H3037">
        <v>20</v>
      </c>
      <c r="I3037" s="2">
        <v>0</v>
      </c>
      <c r="J3037" s="2">
        <v>0</v>
      </c>
      <c r="K3037" s="2">
        <v>0</v>
      </c>
      <c r="L3037" s="2">
        <v>1</v>
      </c>
      <c r="M3037">
        <v>0</v>
      </c>
      <c r="N3037">
        <v>1</v>
      </c>
      <c r="O3037" s="2">
        <v>0</v>
      </c>
      <c r="P3037" s="2">
        <v>0</v>
      </c>
      <c r="Q3037">
        <v>0</v>
      </c>
      <c r="R3037" s="2">
        <v>0</v>
      </c>
      <c r="S3037" s="2">
        <v>0</v>
      </c>
      <c r="T3037" t="s">
        <v>1496</v>
      </c>
      <c r="U3037" s="2">
        <v>0</v>
      </c>
      <c r="V3037" s="2">
        <f>20+2</f>
        <v>22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</row>
    <row r="3038" spans="1:28" hidden="1" x14ac:dyDescent="0.25">
      <c r="A3038" t="s">
        <v>20</v>
      </c>
      <c r="B3038" t="s">
        <v>21</v>
      </c>
      <c r="C3038" t="s">
        <v>22</v>
      </c>
      <c r="D3038" s="1">
        <v>46063</v>
      </c>
      <c r="E3038" s="1">
        <v>46063</v>
      </c>
      <c r="F3038" s="2">
        <v>71</v>
      </c>
      <c r="G3038" s="3" t="s">
        <v>23</v>
      </c>
      <c r="H3038">
        <f>8+8</f>
        <v>16</v>
      </c>
      <c r="I3038" s="2">
        <v>0</v>
      </c>
      <c r="J3038" s="2">
        <v>0</v>
      </c>
      <c r="K3038" s="2">
        <v>1</v>
      </c>
      <c r="L3038" s="2">
        <v>0</v>
      </c>
      <c r="M3038">
        <v>0</v>
      </c>
      <c r="N3038">
        <v>1</v>
      </c>
      <c r="O3038" s="2">
        <v>0</v>
      </c>
      <c r="P3038" s="2">
        <v>0</v>
      </c>
      <c r="Q3038">
        <v>0</v>
      </c>
      <c r="R3038" s="2">
        <v>0</v>
      </c>
      <c r="S3038" s="2">
        <v>0</v>
      </c>
      <c r="T3038" t="s">
        <v>1497</v>
      </c>
      <c r="U3038" s="2">
        <v>0</v>
      </c>
      <c r="V3038" s="2">
        <v>18</v>
      </c>
      <c r="W3038" s="2">
        <v>4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</row>
    <row r="3039" spans="1:28" hidden="1" x14ac:dyDescent="0.25">
      <c r="A3039" t="s">
        <v>29</v>
      </c>
      <c r="B3039" t="s">
        <v>30</v>
      </c>
      <c r="C3039" t="s">
        <v>31</v>
      </c>
      <c r="D3039" s="1">
        <v>46063</v>
      </c>
      <c r="E3039" s="1">
        <v>46063</v>
      </c>
      <c r="F3039" s="2">
        <v>25</v>
      </c>
      <c r="G3039" s="3" t="s">
        <v>23</v>
      </c>
      <c r="H3039">
        <f>18+18</f>
        <v>36</v>
      </c>
      <c r="I3039" s="2">
        <v>0</v>
      </c>
      <c r="J3039" s="2">
        <v>0</v>
      </c>
      <c r="K3039" s="2">
        <v>1</v>
      </c>
      <c r="L3039" s="2">
        <v>0</v>
      </c>
      <c r="M3039">
        <v>0</v>
      </c>
      <c r="N3039">
        <v>1</v>
      </c>
      <c r="O3039" s="2">
        <v>0</v>
      </c>
      <c r="P3039" s="2">
        <v>0</v>
      </c>
      <c r="Q3039">
        <v>1</v>
      </c>
      <c r="R3039" s="2">
        <v>0</v>
      </c>
      <c r="S3039" s="2">
        <v>0</v>
      </c>
      <c r="T3039" t="s">
        <v>1498</v>
      </c>
      <c r="U3039" s="2">
        <v>0</v>
      </c>
      <c r="V3039" s="2">
        <f>15+2+1</f>
        <v>18</v>
      </c>
      <c r="W3039" s="2">
        <v>4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</row>
    <row r="3040" spans="1:28" hidden="1" x14ac:dyDescent="0.25">
      <c r="A3040" t="s">
        <v>47</v>
      </c>
      <c r="B3040" t="s">
        <v>1160</v>
      </c>
      <c r="C3040" t="s">
        <v>31</v>
      </c>
      <c r="D3040" s="1">
        <v>46063</v>
      </c>
      <c r="E3040" s="1">
        <v>46063</v>
      </c>
      <c r="F3040" s="2">
        <v>25</v>
      </c>
      <c r="G3040" s="3" t="s">
        <v>23</v>
      </c>
      <c r="H3040">
        <f>18+18</f>
        <v>36</v>
      </c>
      <c r="I3040" s="2">
        <v>0</v>
      </c>
      <c r="J3040" s="2">
        <v>0</v>
      </c>
      <c r="K3040" s="2">
        <v>1</v>
      </c>
      <c r="L3040" s="2">
        <v>0</v>
      </c>
      <c r="M3040">
        <v>0</v>
      </c>
      <c r="N3040">
        <v>1</v>
      </c>
      <c r="O3040" s="2">
        <v>0</v>
      </c>
      <c r="P3040" s="2">
        <v>0</v>
      </c>
      <c r="Q3040">
        <v>1</v>
      </c>
      <c r="R3040" s="2">
        <v>0</v>
      </c>
      <c r="S3040" s="2">
        <v>0</v>
      </c>
      <c r="T3040" t="s">
        <v>1498</v>
      </c>
      <c r="U3040" s="2">
        <v>0</v>
      </c>
      <c r="V3040" s="2">
        <f>15+2+1</f>
        <v>18</v>
      </c>
      <c r="W3040" s="2">
        <v>4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</row>
    <row r="3041" spans="1:28" hidden="1" x14ac:dyDescent="0.25">
      <c r="A3041" t="s">
        <v>33</v>
      </c>
      <c r="B3041" t="s">
        <v>26</v>
      </c>
      <c r="C3041" t="s">
        <v>35</v>
      </c>
      <c r="D3041" s="1">
        <v>46063</v>
      </c>
      <c r="E3041" s="1">
        <v>46063</v>
      </c>
      <c r="F3041" s="2">
        <v>41</v>
      </c>
      <c r="G3041" s="3" t="s">
        <v>23</v>
      </c>
      <c r="H3041">
        <f>14+14</f>
        <v>28</v>
      </c>
      <c r="I3041" s="2">
        <v>0</v>
      </c>
      <c r="J3041" s="2">
        <v>0</v>
      </c>
      <c r="K3041" s="2">
        <v>1</v>
      </c>
      <c r="L3041" s="2">
        <v>0</v>
      </c>
      <c r="M3041">
        <v>0</v>
      </c>
      <c r="N3041">
        <v>1</v>
      </c>
      <c r="O3041" s="2">
        <v>0</v>
      </c>
      <c r="P3041" s="2">
        <v>0</v>
      </c>
      <c r="Q3041">
        <v>0</v>
      </c>
      <c r="R3041" s="2">
        <v>0</v>
      </c>
      <c r="S3041" s="2">
        <v>0</v>
      </c>
      <c r="T3041" t="s">
        <v>1499</v>
      </c>
      <c r="U3041" s="2">
        <v>0</v>
      </c>
      <c r="V3041" s="2">
        <f>19+2</f>
        <v>21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</row>
    <row r="3042" spans="1:28" hidden="1" x14ac:dyDescent="0.25">
      <c r="A3042" t="s">
        <v>63</v>
      </c>
      <c r="B3042" t="s">
        <v>284</v>
      </c>
      <c r="C3042" t="s">
        <v>102</v>
      </c>
      <c r="D3042" s="1">
        <v>46063</v>
      </c>
      <c r="E3042" s="1">
        <v>46063</v>
      </c>
      <c r="F3042" s="2">
        <v>94</v>
      </c>
      <c r="G3042" s="3" t="s">
        <v>23</v>
      </c>
      <c r="H3042">
        <f>12+4+12+2+2</f>
        <v>32</v>
      </c>
      <c r="I3042" s="2">
        <v>0</v>
      </c>
      <c r="J3042" s="2">
        <v>0</v>
      </c>
      <c r="K3042" s="2">
        <v>1</v>
      </c>
      <c r="L3042" s="2">
        <v>0</v>
      </c>
      <c r="M3042">
        <v>0</v>
      </c>
      <c r="N3042">
        <v>1</v>
      </c>
      <c r="O3042" s="2">
        <v>0</v>
      </c>
      <c r="P3042" s="2">
        <v>0</v>
      </c>
      <c r="Q3042">
        <v>0</v>
      </c>
      <c r="R3042" s="2">
        <v>0</v>
      </c>
      <c r="S3042" s="2">
        <v>0</v>
      </c>
      <c r="T3042" t="s">
        <v>1500</v>
      </c>
      <c r="U3042" s="2">
        <v>0</v>
      </c>
      <c r="V3042" s="2">
        <f>12+12+22</f>
        <v>46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</row>
    <row r="3043" spans="1:28" hidden="1" x14ac:dyDescent="0.25">
      <c r="A3043" t="s">
        <v>568</v>
      </c>
      <c r="B3043" t="s">
        <v>1323</v>
      </c>
      <c r="C3043" t="s">
        <v>670</v>
      </c>
      <c r="D3043" s="1">
        <v>46063</v>
      </c>
      <c r="E3043" s="1">
        <v>46063</v>
      </c>
      <c r="F3043" s="2">
        <v>227</v>
      </c>
      <c r="G3043" s="3" t="s">
        <v>23</v>
      </c>
      <c r="H3043">
        <f>8+4+8+4</f>
        <v>24</v>
      </c>
      <c r="I3043" s="2">
        <v>0</v>
      </c>
      <c r="J3043" s="2">
        <v>0</v>
      </c>
      <c r="K3043" s="2">
        <v>1</v>
      </c>
      <c r="L3043" s="2">
        <v>0</v>
      </c>
      <c r="M3043">
        <v>0</v>
      </c>
      <c r="N3043">
        <v>1</v>
      </c>
      <c r="O3043" s="2">
        <v>0</v>
      </c>
      <c r="P3043" s="2">
        <v>0</v>
      </c>
      <c r="Q3043">
        <v>0</v>
      </c>
      <c r="R3043" s="2">
        <v>0</v>
      </c>
      <c r="S3043" s="2">
        <v>0</v>
      </c>
      <c r="T3043" t="s">
        <v>1501</v>
      </c>
      <c r="U3043" s="2">
        <v>0</v>
      </c>
      <c r="V3043" s="2">
        <f>20+2</f>
        <v>22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</row>
    <row r="3044" spans="1:28" hidden="1" x14ac:dyDescent="0.25">
      <c r="A3044" t="s">
        <v>53</v>
      </c>
      <c r="B3044" t="s">
        <v>38</v>
      </c>
      <c r="C3044" t="s">
        <v>102</v>
      </c>
      <c r="D3044" s="1">
        <v>46063</v>
      </c>
      <c r="E3044" s="1">
        <v>46063</v>
      </c>
      <c r="F3044" s="2">
        <v>23</v>
      </c>
      <c r="G3044" s="3" t="s">
        <v>23</v>
      </c>
      <c r="H3044">
        <v>0</v>
      </c>
      <c r="I3044" s="2">
        <v>0</v>
      </c>
      <c r="J3044" s="2">
        <v>0</v>
      </c>
      <c r="K3044" s="2">
        <v>0</v>
      </c>
      <c r="L3044" s="2">
        <v>0</v>
      </c>
      <c r="M3044">
        <v>0</v>
      </c>
      <c r="N3044">
        <v>0</v>
      </c>
      <c r="O3044" s="2">
        <v>0</v>
      </c>
      <c r="P3044" s="2">
        <v>0</v>
      </c>
      <c r="Q3044">
        <v>0</v>
      </c>
      <c r="R3044" s="2">
        <v>0</v>
      </c>
      <c r="S3044" s="2">
        <v>0</v>
      </c>
      <c r="T3044" t="s">
        <v>1424</v>
      </c>
      <c r="U3044" s="2">
        <v>0</v>
      </c>
      <c r="V3044" s="2">
        <f>20+20</f>
        <v>40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</row>
    <row r="3045" spans="1:28" hidden="1" x14ac:dyDescent="0.25">
      <c r="A3045" t="s">
        <v>25</v>
      </c>
      <c r="B3045" t="s">
        <v>34</v>
      </c>
      <c r="C3045" t="s">
        <v>102</v>
      </c>
      <c r="D3045" s="1">
        <v>46063</v>
      </c>
      <c r="E3045" s="1">
        <v>46063</v>
      </c>
      <c r="F3045" s="2">
        <v>23</v>
      </c>
      <c r="G3045" s="3" t="s">
        <v>48</v>
      </c>
      <c r="H3045">
        <v>0</v>
      </c>
      <c r="I3045" s="2">
        <v>0</v>
      </c>
      <c r="J3045" s="2">
        <v>0</v>
      </c>
      <c r="K3045" s="2">
        <v>0</v>
      </c>
      <c r="L3045" s="2">
        <v>0</v>
      </c>
      <c r="M3045">
        <v>0</v>
      </c>
      <c r="N3045">
        <v>0</v>
      </c>
      <c r="O3045" s="2">
        <v>0</v>
      </c>
      <c r="P3045" s="2">
        <v>0</v>
      </c>
      <c r="Q3045">
        <v>0</v>
      </c>
      <c r="R3045" s="2">
        <v>0</v>
      </c>
      <c r="S3045" s="2">
        <v>0</v>
      </c>
      <c r="T3045" t="s">
        <v>1424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</row>
    <row r="3046" spans="1:28" hidden="1" x14ac:dyDescent="0.25">
      <c r="A3046" t="s">
        <v>1431</v>
      </c>
      <c r="B3046" t="s">
        <v>47</v>
      </c>
      <c r="C3046" t="s">
        <v>102</v>
      </c>
      <c r="D3046" s="1">
        <v>46063</v>
      </c>
      <c r="E3046" s="1">
        <v>46063</v>
      </c>
      <c r="F3046" s="2">
        <v>23</v>
      </c>
      <c r="G3046" s="3" t="s">
        <v>48</v>
      </c>
      <c r="H3046">
        <v>0</v>
      </c>
      <c r="I3046" s="2">
        <v>0</v>
      </c>
      <c r="J3046" s="2">
        <v>0</v>
      </c>
      <c r="K3046" s="2">
        <v>0</v>
      </c>
      <c r="L3046" s="2">
        <v>0</v>
      </c>
      <c r="M3046">
        <v>0</v>
      </c>
      <c r="N3046">
        <v>0</v>
      </c>
      <c r="O3046" s="2">
        <v>0</v>
      </c>
      <c r="P3046" s="2">
        <v>0</v>
      </c>
      <c r="Q3046">
        <v>0</v>
      </c>
      <c r="R3046" s="2">
        <v>0</v>
      </c>
      <c r="S3046" s="2">
        <v>0</v>
      </c>
      <c r="T3046" t="s">
        <v>1424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</row>
    <row r="3047" spans="1:28" hidden="1" x14ac:dyDescent="0.25">
      <c r="A3047" t="s">
        <v>56</v>
      </c>
      <c r="B3047" t="s">
        <v>47</v>
      </c>
      <c r="C3047" t="s">
        <v>35</v>
      </c>
      <c r="D3047" s="1">
        <v>46063</v>
      </c>
      <c r="E3047" s="1">
        <v>46063</v>
      </c>
      <c r="F3047" s="2">
        <v>21</v>
      </c>
      <c r="G3047" s="3" t="s">
        <v>129</v>
      </c>
      <c r="H3047">
        <v>0</v>
      </c>
      <c r="I3047" s="2">
        <v>0</v>
      </c>
      <c r="J3047" s="2">
        <v>0</v>
      </c>
      <c r="K3047" s="2">
        <v>0</v>
      </c>
      <c r="L3047" s="2">
        <v>0</v>
      </c>
      <c r="M3047">
        <v>0</v>
      </c>
      <c r="N3047">
        <v>0</v>
      </c>
      <c r="O3047" s="2">
        <v>0</v>
      </c>
      <c r="P3047" s="2">
        <v>0</v>
      </c>
      <c r="Q3047">
        <v>0</v>
      </c>
      <c r="R3047" s="2">
        <v>0</v>
      </c>
      <c r="S3047" s="2">
        <v>0</v>
      </c>
      <c r="T3047" t="s">
        <v>1125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</row>
    <row r="3048" spans="1:28" hidden="1" x14ac:dyDescent="0.25">
      <c r="A3048" t="s">
        <v>730</v>
      </c>
      <c r="B3048" t="s">
        <v>47</v>
      </c>
      <c r="C3048" t="s">
        <v>35</v>
      </c>
      <c r="D3048" s="1">
        <v>46063</v>
      </c>
      <c r="E3048" s="1">
        <v>46063</v>
      </c>
      <c r="F3048" s="2">
        <v>21</v>
      </c>
      <c r="G3048" s="3" t="s">
        <v>409</v>
      </c>
      <c r="H3048">
        <v>0</v>
      </c>
      <c r="I3048" s="2">
        <v>0</v>
      </c>
      <c r="J3048" s="2">
        <v>0</v>
      </c>
      <c r="K3048" s="2">
        <v>0</v>
      </c>
      <c r="L3048" s="2">
        <v>0</v>
      </c>
      <c r="M3048">
        <v>0</v>
      </c>
      <c r="N3048">
        <v>0</v>
      </c>
      <c r="O3048" s="2">
        <v>0</v>
      </c>
      <c r="P3048" s="2">
        <v>0</v>
      </c>
      <c r="Q3048">
        <v>0</v>
      </c>
      <c r="R3048" s="2">
        <v>0</v>
      </c>
      <c r="S3048" s="2">
        <v>0</v>
      </c>
      <c r="T3048" t="s">
        <v>1125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</row>
    <row r="3049" spans="1:28" hidden="1" x14ac:dyDescent="0.25">
      <c r="A3049" t="s">
        <v>47</v>
      </c>
      <c r="B3049" t="s">
        <v>52</v>
      </c>
      <c r="C3049" t="s">
        <v>35</v>
      </c>
      <c r="D3049" s="1">
        <v>46063</v>
      </c>
      <c r="E3049" s="1">
        <v>46063</v>
      </c>
      <c r="F3049" s="2">
        <v>21</v>
      </c>
      <c r="G3049" s="3" t="s">
        <v>409</v>
      </c>
      <c r="H3049">
        <v>0</v>
      </c>
      <c r="I3049" s="2">
        <v>0</v>
      </c>
      <c r="J3049" s="2">
        <v>0</v>
      </c>
      <c r="K3049" s="2">
        <v>0</v>
      </c>
      <c r="L3049" s="2">
        <v>0</v>
      </c>
      <c r="M3049">
        <v>0</v>
      </c>
      <c r="N3049">
        <v>0</v>
      </c>
      <c r="O3049" s="2">
        <v>0</v>
      </c>
      <c r="P3049" s="2">
        <v>0</v>
      </c>
      <c r="Q3049">
        <v>0</v>
      </c>
      <c r="R3049" s="2">
        <v>0</v>
      </c>
      <c r="S3049" s="2">
        <v>0</v>
      </c>
      <c r="T3049" t="s">
        <v>1125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</row>
    <row r="3050" spans="1:28" hidden="1" x14ac:dyDescent="0.25">
      <c r="A3050" t="s">
        <v>37</v>
      </c>
      <c r="B3050" t="s">
        <v>21</v>
      </c>
      <c r="C3050" t="s">
        <v>39</v>
      </c>
      <c r="D3050" s="1">
        <v>46064</v>
      </c>
      <c r="E3050" s="1">
        <v>46064</v>
      </c>
      <c r="F3050" s="2">
        <v>17</v>
      </c>
      <c r="G3050" s="3" t="s">
        <v>23</v>
      </c>
      <c r="H3050">
        <f>14+14+1+4+3</f>
        <v>36</v>
      </c>
      <c r="I3050" s="2">
        <v>0</v>
      </c>
      <c r="J3050" s="2">
        <v>0</v>
      </c>
      <c r="K3050" s="2">
        <v>1</v>
      </c>
      <c r="L3050" s="2">
        <v>0</v>
      </c>
      <c r="M3050">
        <v>0</v>
      </c>
      <c r="N3050">
        <v>0</v>
      </c>
      <c r="O3050" s="2">
        <v>0</v>
      </c>
      <c r="P3050" s="2">
        <v>0</v>
      </c>
      <c r="Q3050">
        <v>0</v>
      </c>
      <c r="R3050" s="2">
        <v>0</v>
      </c>
      <c r="S3050" s="2">
        <v>0</v>
      </c>
      <c r="T3050" t="s">
        <v>1502</v>
      </c>
      <c r="U3050" s="2">
        <v>0</v>
      </c>
      <c r="V3050" s="2">
        <v>6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</row>
    <row r="3051" spans="1:28" hidden="1" x14ac:dyDescent="0.25">
      <c r="A3051" t="s">
        <v>25</v>
      </c>
      <c r="B3051" t="s">
        <v>26</v>
      </c>
      <c r="C3051" t="s">
        <v>27</v>
      </c>
      <c r="D3051" s="1">
        <v>46064</v>
      </c>
      <c r="E3051" s="1">
        <v>46064</v>
      </c>
      <c r="F3051" s="2">
        <v>25</v>
      </c>
      <c r="G3051" s="3" t="s">
        <v>23</v>
      </c>
      <c r="H3051">
        <f>12+2+12+2</f>
        <v>28</v>
      </c>
      <c r="I3051" s="2">
        <v>0</v>
      </c>
      <c r="J3051" s="2">
        <v>0</v>
      </c>
      <c r="K3051" s="2">
        <v>1</v>
      </c>
      <c r="L3051" s="2">
        <v>0</v>
      </c>
      <c r="M3051">
        <v>0</v>
      </c>
      <c r="N3051">
        <v>0</v>
      </c>
      <c r="O3051" s="2">
        <v>0</v>
      </c>
      <c r="P3051" s="2">
        <v>0</v>
      </c>
      <c r="Q3051">
        <v>0</v>
      </c>
      <c r="R3051" s="2">
        <v>0</v>
      </c>
      <c r="S3051" s="2">
        <v>0</v>
      </c>
      <c r="T3051" t="s">
        <v>1503</v>
      </c>
      <c r="U3051" s="2">
        <v>0</v>
      </c>
      <c r="V3051" s="2">
        <f>12+20+2</f>
        <v>34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</row>
    <row r="3052" spans="1:28" hidden="1" x14ac:dyDescent="0.25">
      <c r="A3052" t="s">
        <v>568</v>
      </c>
      <c r="B3052" t="s">
        <v>1323</v>
      </c>
      <c r="C3052" t="s">
        <v>670</v>
      </c>
      <c r="D3052" s="1">
        <v>46064</v>
      </c>
      <c r="E3052" s="1">
        <v>46064</v>
      </c>
      <c r="F3052" s="2">
        <v>562</v>
      </c>
      <c r="G3052" s="3" t="s">
        <v>23</v>
      </c>
      <c r="H3052">
        <f>21+21+2</f>
        <v>44</v>
      </c>
      <c r="I3052" s="2">
        <v>0</v>
      </c>
      <c r="J3052" s="2">
        <v>0</v>
      </c>
      <c r="K3052" s="2">
        <v>1</v>
      </c>
      <c r="L3052" s="2">
        <v>0</v>
      </c>
      <c r="M3052">
        <v>1</v>
      </c>
      <c r="N3052">
        <v>0</v>
      </c>
      <c r="O3052" s="2">
        <v>0</v>
      </c>
      <c r="P3052" s="2">
        <v>0</v>
      </c>
      <c r="Q3052">
        <v>0</v>
      </c>
      <c r="R3052" s="2">
        <v>0</v>
      </c>
      <c r="S3052" s="2">
        <v>0</v>
      </c>
      <c r="T3052" t="s">
        <v>1504</v>
      </c>
      <c r="U3052" s="2">
        <v>0</v>
      </c>
      <c r="V3052" s="2">
        <f>18+2+11+20+2</f>
        <v>53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</row>
    <row r="3053" spans="1:28" hidden="1" x14ac:dyDescent="0.25">
      <c r="A3053" t="s">
        <v>1431</v>
      </c>
      <c r="B3053" t="s">
        <v>34</v>
      </c>
      <c r="C3053" t="s">
        <v>1505</v>
      </c>
      <c r="D3053" s="1">
        <v>46064</v>
      </c>
      <c r="E3053" s="1">
        <v>46064</v>
      </c>
      <c r="F3053" s="2">
        <v>79</v>
      </c>
      <c r="G3053" s="3" t="s">
        <v>23</v>
      </c>
      <c r="H3053">
        <f>20+20</f>
        <v>40</v>
      </c>
      <c r="I3053" s="2">
        <v>0</v>
      </c>
      <c r="J3053" s="2">
        <v>0</v>
      </c>
      <c r="K3053" s="2">
        <v>1</v>
      </c>
      <c r="L3053" s="2">
        <v>0</v>
      </c>
      <c r="M3053">
        <v>0</v>
      </c>
      <c r="N3053">
        <v>0</v>
      </c>
      <c r="O3053" s="2">
        <v>0</v>
      </c>
      <c r="P3053" s="2">
        <v>0</v>
      </c>
      <c r="Q3053">
        <v>0</v>
      </c>
      <c r="R3053" s="2">
        <v>0</v>
      </c>
      <c r="S3053" s="2">
        <v>0</v>
      </c>
      <c r="T3053" t="s">
        <v>1506</v>
      </c>
      <c r="U3053" s="2">
        <v>0</v>
      </c>
      <c r="V3053" s="2">
        <f>18+2+6+6+2</f>
        <v>34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</row>
    <row r="3054" spans="1:28" hidden="1" x14ac:dyDescent="0.25">
      <c r="A3054" t="s">
        <v>63</v>
      </c>
      <c r="B3054" t="s">
        <v>38</v>
      </c>
      <c r="C3054" t="s">
        <v>102</v>
      </c>
      <c r="D3054" s="1">
        <v>46064</v>
      </c>
      <c r="E3054" s="1">
        <v>46064</v>
      </c>
      <c r="F3054" s="2">
        <v>24</v>
      </c>
      <c r="G3054" s="3" t="s">
        <v>23</v>
      </c>
      <c r="H3054">
        <f>6+2+6+2+1+8+1+4+8+1</f>
        <v>39</v>
      </c>
      <c r="I3054" s="2">
        <v>0</v>
      </c>
      <c r="J3054" s="2">
        <v>0</v>
      </c>
      <c r="K3054" s="2">
        <v>1</v>
      </c>
      <c r="L3054" s="2">
        <v>0</v>
      </c>
      <c r="M3054">
        <v>1</v>
      </c>
      <c r="N3054">
        <v>0</v>
      </c>
      <c r="O3054" s="2">
        <v>0</v>
      </c>
      <c r="P3054" s="2">
        <v>0</v>
      </c>
      <c r="Q3054">
        <v>0</v>
      </c>
      <c r="R3054" s="2">
        <v>0</v>
      </c>
      <c r="S3054" s="2">
        <v>0</v>
      </c>
      <c r="T3054" t="s">
        <v>1507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</row>
    <row r="3055" spans="1:28" hidden="1" x14ac:dyDescent="0.25">
      <c r="A3055" t="s">
        <v>33</v>
      </c>
      <c r="B3055" t="s">
        <v>57</v>
      </c>
      <c r="C3055" t="s">
        <v>102</v>
      </c>
      <c r="D3055" s="1">
        <v>46064</v>
      </c>
      <c r="E3055" s="1">
        <v>46064</v>
      </c>
      <c r="F3055" s="2">
        <v>23</v>
      </c>
      <c r="G3055" s="3" t="s">
        <v>48</v>
      </c>
      <c r="H3055">
        <v>0</v>
      </c>
      <c r="I3055" s="2">
        <v>0</v>
      </c>
      <c r="J3055" s="2">
        <v>0</v>
      </c>
      <c r="K3055" s="2">
        <v>0</v>
      </c>
      <c r="L3055" s="2">
        <v>0</v>
      </c>
      <c r="M3055">
        <v>0</v>
      </c>
      <c r="N3055">
        <v>0</v>
      </c>
      <c r="O3055" s="2">
        <v>0</v>
      </c>
      <c r="P3055" s="2">
        <v>0</v>
      </c>
      <c r="Q3055">
        <v>0</v>
      </c>
      <c r="R3055" s="2">
        <v>0</v>
      </c>
      <c r="S3055" s="2">
        <v>0</v>
      </c>
      <c r="T3055" t="s">
        <v>1424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</row>
    <row r="3056" spans="1:28" hidden="1" x14ac:dyDescent="0.25">
      <c r="A3056" t="s">
        <v>29</v>
      </c>
      <c r="B3056" t="s">
        <v>30</v>
      </c>
      <c r="C3056" t="s">
        <v>102</v>
      </c>
      <c r="D3056" s="1">
        <v>46064</v>
      </c>
      <c r="E3056" s="1">
        <v>46064</v>
      </c>
      <c r="F3056" s="2">
        <v>23</v>
      </c>
      <c r="G3056" s="3" t="s">
        <v>48</v>
      </c>
      <c r="H3056">
        <v>0</v>
      </c>
      <c r="I3056" s="2">
        <v>0</v>
      </c>
      <c r="J3056" s="2">
        <v>0</v>
      </c>
      <c r="K3056" s="2">
        <v>0</v>
      </c>
      <c r="L3056" s="2">
        <v>0</v>
      </c>
      <c r="M3056">
        <v>0</v>
      </c>
      <c r="N3056">
        <v>0</v>
      </c>
      <c r="O3056" s="2">
        <v>0</v>
      </c>
      <c r="P3056" s="2">
        <v>0</v>
      </c>
      <c r="Q3056">
        <v>0</v>
      </c>
      <c r="R3056" s="2">
        <v>0</v>
      </c>
      <c r="S3056" s="2">
        <v>0</v>
      </c>
      <c r="T3056" t="s">
        <v>1424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</row>
    <row r="3057" spans="1:28" hidden="1" x14ac:dyDescent="0.25">
      <c r="A3057" t="s">
        <v>47</v>
      </c>
      <c r="B3057" t="s">
        <v>1160</v>
      </c>
      <c r="C3057" t="s">
        <v>102</v>
      </c>
      <c r="D3057" s="1">
        <v>46064</v>
      </c>
      <c r="E3057" s="1">
        <v>46064</v>
      </c>
      <c r="F3057" s="2">
        <v>23</v>
      </c>
      <c r="G3057" s="3" t="s">
        <v>48</v>
      </c>
      <c r="H3057">
        <v>0</v>
      </c>
      <c r="I3057" s="2">
        <v>0</v>
      </c>
      <c r="J3057" s="2">
        <v>0</v>
      </c>
      <c r="K3057" s="2">
        <v>0</v>
      </c>
      <c r="L3057" s="2">
        <v>0</v>
      </c>
      <c r="M3057">
        <v>0</v>
      </c>
      <c r="N3057">
        <v>0</v>
      </c>
      <c r="O3057" s="2">
        <v>0</v>
      </c>
      <c r="P3057" s="2">
        <v>0</v>
      </c>
      <c r="Q3057">
        <v>0</v>
      </c>
      <c r="R3057" s="2">
        <v>0</v>
      </c>
      <c r="S3057" s="2">
        <v>0</v>
      </c>
      <c r="T3057" t="s">
        <v>1424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</row>
    <row r="3058" spans="1:28" hidden="1" x14ac:dyDescent="0.25">
      <c r="A3058" t="s">
        <v>47</v>
      </c>
      <c r="B3058" t="s">
        <v>284</v>
      </c>
      <c r="C3058" t="s">
        <v>102</v>
      </c>
      <c r="D3058" s="1">
        <v>46064</v>
      </c>
      <c r="E3058" s="1">
        <v>46064</v>
      </c>
      <c r="F3058" s="2">
        <v>23</v>
      </c>
      <c r="G3058" s="3" t="s">
        <v>48</v>
      </c>
      <c r="H3058">
        <v>0</v>
      </c>
      <c r="I3058" s="2">
        <v>0</v>
      </c>
      <c r="J3058" s="2">
        <v>0</v>
      </c>
      <c r="K3058" s="2">
        <v>0</v>
      </c>
      <c r="L3058" s="2">
        <v>0</v>
      </c>
      <c r="M3058">
        <v>0</v>
      </c>
      <c r="N3058">
        <v>0</v>
      </c>
      <c r="O3058" s="2">
        <v>0</v>
      </c>
      <c r="P3058" s="2">
        <v>0</v>
      </c>
      <c r="Q3058">
        <v>0</v>
      </c>
      <c r="R3058" s="2">
        <v>0</v>
      </c>
      <c r="S3058" s="2">
        <v>0</v>
      </c>
      <c r="T3058" t="s">
        <v>1424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</row>
    <row r="3059" spans="1:28" hidden="1" x14ac:dyDescent="0.25">
      <c r="A3059" t="s">
        <v>56</v>
      </c>
      <c r="B3059" t="s">
        <v>47</v>
      </c>
      <c r="C3059" t="s">
        <v>35</v>
      </c>
      <c r="D3059" s="1">
        <v>46064</v>
      </c>
      <c r="E3059" s="1">
        <v>46064</v>
      </c>
      <c r="F3059" s="2">
        <v>21</v>
      </c>
      <c r="G3059" s="3" t="s">
        <v>129</v>
      </c>
      <c r="H3059">
        <v>0</v>
      </c>
      <c r="I3059" s="2">
        <v>0</v>
      </c>
      <c r="J3059" s="2">
        <v>0</v>
      </c>
      <c r="K3059" s="2">
        <v>0</v>
      </c>
      <c r="L3059" s="2">
        <v>0</v>
      </c>
      <c r="M3059">
        <v>0</v>
      </c>
      <c r="N3059">
        <v>0</v>
      </c>
      <c r="O3059" s="2">
        <v>0</v>
      </c>
      <c r="P3059" s="2">
        <v>0</v>
      </c>
      <c r="Q3059">
        <v>0</v>
      </c>
      <c r="R3059" s="2">
        <v>0</v>
      </c>
      <c r="S3059" s="2">
        <v>0</v>
      </c>
      <c r="T3059" t="s">
        <v>1125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</row>
    <row r="3060" spans="1:28" hidden="1" x14ac:dyDescent="0.25">
      <c r="A3060" t="s">
        <v>730</v>
      </c>
      <c r="B3060" t="s">
        <v>47</v>
      </c>
      <c r="C3060" t="s">
        <v>35</v>
      </c>
      <c r="D3060" s="1">
        <v>46064</v>
      </c>
      <c r="E3060" s="1">
        <v>46064</v>
      </c>
      <c r="F3060" s="2">
        <v>21</v>
      </c>
      <c r="G3060" s="3" t="s">
        <v>409</v>
      </c>
      <c r="H3060">
        <v>0</v>
      </c>
      <c r="I3060" s="2">
        <v>0</v>
      </c>
      <c r="J3060" s="2">
        <v>0</v>
      </c>
      <c r="K3060" s="2">
        <v>0</v>
      </c>
      <c r="L3060" s="2">
        <v>0</v>
      </c>
      <c r="M3060">
        <v>0</v>
      </c>
      <c r="N3060">
        <v>0</v>
      </c>
      <c r="O3060" s="2">
        <v>0</v>
      </c>
      <c r="P3060" s="2">
        <v>0</v>
      </c>
      <c r="Q3060">
        <v>0</v>
      </c>
      <c r="R3060" s="2">
        <v>0</v>
      </c>
      <c r="S3060" s="2">
        <v>0</v>
      </c>
      <c r="T3060" t="s">
        <v>1125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</row>
    <row r="3061" spans="1:28" hidden="1" x14ac:dyDescent="0.25">
      <c r="A3061" t="s">
        <v>20</v>
      </c>
      <c r="B3061" t="s">
        <v>47</v>
      </c>
      <c r="C3061" t="s">
        <v>35</v>
      </c>
      <c r="D3061" s="1">
        <v>46064</v>
      </c>
      <c r="E3061" s="1">
        <v>46064</v>
      </c>
      <c r="F3061" s="2">
        <v>21</v>
      </c>
      <c r="G3061" s="3" t="s">
        <v>409</v>
      </c>
      <c r="H3061">
        <v>0</v>
      </c>
      <c r="I3061" s="2">
        <v>0</v>
      </c>
      <c r="J3061" s="2">
        <v>0</v>
      </c>
      <c r="K3061" s="2">
        <v>0</v>
      </c>
      <c r="L3061" s="2">
        <v>0</v>
      </c>
      <c r="M3061">
        <v>0</v>
      </c>
      <c r="N3061">
        <v>0</v>
      </c>
      <c r="O3061" s="2">
        <v>0</v>
      </c>
      <c r="P3061" s="2">
        <v>0</v>
      </c>
      <c r="Q3061">
        <v>0</v>
      </c>
      <c r="R3061" s="2">
        <v>0</v>
      </c>
      <c r="S3061" s="2">
        <v>0</v>
      </c>
      <c r="T3061" t="s">
        <v>1125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</row>
    <row r="3062" spans="1:28" hidden="1" x14ac:dyDescent="0.25">
      <c r="A3062" t="s">
        <v>47</v>
      </c>
      <c r="B3062" t="s">
        <v>52</v>
      </c>
      <c r="C3062" t="s">
        <v>35</v>
      </c>
      <c r="D3062" s="1">
        <v>46064</v>
      </c>
      <c r="E3062" s="1">
        <v>46064</v>
      </c>
      <c r="F3062" s="2">
        <v>21</v>
      </c>
      <c r="G3062" s="3" t="s">
        <v>409</v>
      </c>
      <c r="H3062">
        <v>0</v>
      </c>
      <c r="I3062" s="2">
        <v>0</v>
      </c>
      <c r="J3062" s="2">
        <v>0</v>
      </c>
      <c r="K3062" s="2">
        <v>0</v>
      </c>
      <c r="L3062" s="2">
        <v>0</v>
      </c>
      <c r="M3062">
        <v>0</v>
      </c>
      <c r="N3062">
        <v>0</v>
      </c>
      <c r="O3062" s="2">
        <v>0</v>
      </c>
      <c r="P3062" s="2">
        <v>0</v>
      </c>
      <c r="Q3062">
        <v>0</v>
      </c>
      <c r="R3062" s="2">
        <v>0</v>
      </c>
      <c r="S3062" s="2">
        <v>0</v>
      </c>
      <c r="T3062" t="s">
        <v>1125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</row>
    <row r="3063" spans="1:28" hidden="1" x14ac:dyDescent="0.25">
      <c r="A3063" t="s">
        <v>37</v>
      </c>
      <c r="B3063" t="s">
        <v>57</v>
      </c>
      <c r="C3063" t="s">
        <v>39</v>
      </c>
      <c r="D3063" s="1">
        <v>46065</v>
      </c>
      <c r="E3063" s="1">
        <v>46065</v>
      </c>
      <c r="F3063" s="2">
        <v>20</v>
      </c>
      <c r="G3063" s="3" t="s">
        <v>23</v>
      </c>
      <c r="H3063">
        <f>7+4+7+4</f>
        <v>22</v>
      </c>
      <c r="I3063" s="18">
        <v>0</v>
      </c>
      <c r="J3063" s="2">
        <v>0</v>
      </c>
      <c r="K3063" s="2">
        <v>0</v>
      </c>
      <c r="L3063" s="2">
        <v>1</v>
      </c>
      <c r="M3063">
        <v>0</v>
      </c>
      <c r="N3063">
        <v>1</v>
      </c>
      <c r="O3063" s="2">
        <v>0</v>
      </c>
      <c r="P3063" s="2">
        <v>0</v>
      </c>
      <c r="Q3063">
        <v>0</v>
      </c>
      <c r="R3063" s="2">
        <v>0</v>
      </c>
      <c r="S3063" s="2">
        <v>0</v>
      </c>
      <c r="T3063" t="s">
        <v>1508</v>
      </c>
      <c r="U3063" s="2">
        <v>0</v>
      </c>
      <c r="V3063" s="2">
        <f>20+2</f>
        <v>22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</row>
    <row r="3064" spans="1:28" hidden="1" x14ac:dyDescent="0.25">
      <c r="A3064" t="s">
        <v>25</v>
      </c>
      <c r="B3064" t="s">
        <v>26</v>
      </c>
      <c r="C3064" t="s">
        <v>27</v>
      </c>
      <c r="D3064" s="1">
        <v>46065</v>
      </c>
      <c r="E3064" s="1">
        <v>46065</v>
      </c>
      <c r="F3064" s="2">
        <v>51</v>
      </c>
      <c r="G3064" s="3" t="s">
        <v>23</v>
      </c>
      <c r="H3064">
        <f>16+16</f>
        <v>32</v>
      </c>
      <c r="I3064" s="2">
        <v>0</v>
      </c>
      <c r="J3064" s="2">
        <v>0</v>
      </c>
      <c r="K3064" s="2">
        <v>1</v>
      </c>
      <c r="L3064" s="2">
        <v>0</v>
      </c>
      <c r="M3064">
        <v>0</v>
      </c>
      <c r="N3064">
        <v>1</v>
      </c>
      <c r="O3064" s="2">
        <v>0</v>
      </c>
      <c r="P3064" s="2">
        <v>0</v>
      </c>
      <c r="Q3064">
        <v>0</v>
      </c>
      <c r="R3064" s="2">
        <v>0</v>
      </c>
      <c r="S3064" s="2">
        <v>0</v>
      </c>
      <c r="T3064" t="s">
        <v>1509</v>
      </c>
      <c r="U3064" s="2">
        <v>0</v>
      </c>
      <c r="V3064" s="2">
        <f>20+2+2</f>
        <v>24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</row>
    <row r="3065" spans="1:28" hidden="1" x14ac:dyDescent="0.25">
      <c r="A3065" t="s">
        <v>29</v>
      </c>
      <c r="B3065" t="s">
        <v>30</v>
      </c>
      <c r="C3065" t="s">
        <v>31</v>
      </c>
      <c r="D3065" s="1">
        <v>46065</v>
      </c>
      <c r="E3065" s="1">
        <v>46065</v>
      </c>
      <c r="F3065" s="2">
        <v>20</v>
      </c>
      <c r="G3065" s="3" t="s">
        <v>23</v>
      </c>
      <c r="H3065">
        <f>18+18</f>
        <v>36</v>
      </c>
      <c r="I3065" s="2">
        <v>0</v>
      </c>
      <c r="J3065" s="2">
        <v>0</v>
      </c>
      <c r="K3065" s="2">
        <v>1</v>
      </c>
      <c r="L3065" s="2">
        <v>0</v>
      </c>
      <c r="M3065">
        <v>0</v>
      </c>
      <c r="N3065">
        <v>1</v>
      </c>
      <c r="O3065" s="2">
        <v>0</v>
      </c>
      <c r="P3065" s="2">
        <v>0</v>
      </c>
      <c r="Q3065">
        <v>0</v>
      </c>
      <c r="R3065" s="2">
        <v>0</v>
      </c>
      <c r="S3065" s="2">
        <v>0</v>
      </c>
      <c r="T3065" t="s">
        <v>1510</v>
      </c>
      <c r="U3065" s="2">
        <v>0</v>
      </c>
      <c r="V3065" s="2">
        <f>16+2</f>
        <v>18</v>
      </c>
      <c r="W3065" s="2">
        <v>4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</row>
    <row r="3066" spans="1:28" hidden="1" x14ac:dyDescent="0.25">
      <c r="A3066" t="s">
        <v>33</v>
      </c>
      <c r="B3066" t="s">
        <v>34</v>
      </c>
      <c r="C3066" t="s">
        <v>35</v>
      </c>
      <c r="D3066" s="1">
        <v>46065</v>
      </c>
      <c r="E3066" s="1">
        <v>46065</v>
      </c>
      <c r="F3066" s="2">
        <v>48</v>
      </c>
      <c r="G3066" s="3" t="s">
        <v>23</v>
      </c>
      <c r="H3066">
        <v>40</v>
      </c>
      <c r="I3066" s="2">
        <v>0</v>
      </c>
      <c r="J3066" s="2">
        <v>0</v>
      </c>
      <c r="K3066" s="2">
        <v>1</v>
      </c>
      <c r="L3066" s="2">
        <v>0</v>
      </c>
      <c r="M3066">
        <v>0</v>
      </c>
      <c r="N3066">
        <v>1</v>
      </c>
      <c r="O3066" s="2">
        <v>0</v>
      </c>
      <c r="P3066" s="2">
        <v>0</v>
      </c>
      <c r="Q3066">
        <v>0</v>
      </c>
      <c r="R3066" s="2">
        <v>0</v>
      </c>
      <c r="S3066" s="2">
        <v>0</v>
      </c>
      <c r="T3066" t="s">
        <v>1511</v>
      </c>
      <c r="U3066" s="2">
        <v>0</v>
      </c>
      <c r="V3066" s="2">
        <f>19+2</f>
        <v>21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</row>
    <row r="3067" spans="1:28" hidden="1" x14ac:dyDescent="0.25">
      <c r="A3067" t="s">
        <v>63</v>
      </c>
      <c r="B3067" t="s">
        <v>284</v>
      </c>
      <c r="C3067" t="s">
        <v>102</v>
      </c>
      <c r="D3067" s="1">
        <v>46065</v>
      </c>
      <c r="E3067" s="1">
        <v>46065</v>
      </c>
      <c r="F3067" s="2">
        <v>26</v>
      </c>
      <c r="G3067" s="3" t="s">
        <v>23</v>
      </c>
      <c r="H3067">
        <f>10+10+1+1+1</f>
        <v>23</v>
      </c>
      <c r="I3067" s="2">
        <v>0</v>
      </c>
      <c r="J3067" s="2">
        <v>0</v>
      </c>
      <c r="K3067" s="2">
        <v>1</v>
      </c>
      <c r="L3067" s="2">
        <v>0</v>
      </c>
      <c r="M3067">
        <v>0</v>
      </c>
      <c r="N3067">
        <v>0</v>
      </c>
      <c r="O3067" s="2">
        <v>0</v>
      </c>
      <c r="P3067" s="2">
        <v>0</v>
      </c>
      <c r="Q3067">
        <v>2</v>
      </c>
      <c r="R3067" s="2">
        <v>0</v>
      </c>
      <c r="S3067" s="2">
        <v>0</v>
      </c>
      <c r="T3067" t="s">
        <v>1512</v>
      </c>
      <c r="U3067" s="2">
        <v>0</v>
      </c>
      <c r="V3067" s="2">
        <v>10</v>
      </c>
      <c r="W3067" s="2">
        <v>1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</row>
    <row r="3068" spans="1:28" hidden="1" x14ac:dyDescent="0.25">
      <c r="A3068" t="s">
        <v>1431</v>
      </c>
      <c r="B3068" t="s">
        <v>1160</v>
      </c>
      <c r="C3068" t="s">
        <v>102</v>
      </c>
      <c r="D3068" s="1">
        <v>46065</v>
      </c>
      <c r="E3068" s="1">
        <v>46065</v>
      </c>
      <c r="F3068" s="2">
        <v>26</v>
      </c>
      <c r="G3068" s="3" t="s">
        <v>23</v>
      </c>
      <c r="H3068">
        <v>20</v>
      </c>
      <c r="I3068" s="2">
        <v>0</v>
      </c>
      <c r="J3068" s="2">
        <v>0</v>
      </c>
      <c r="K3068" s="2">
        <v>1</v>
      </c>
      <c r="L3068" s="2">
        <v>0</v>
      </c>
      <c r="M3068">
        <v>0</v>
      </c>
      <c r="N3068">
        <v>0</v>
      </c>
      <c r="O3068" s="2">
        <v>0</v>
      </c>
      <c r="P3068" s="2">
        <v>0</v>
      </c>
      <c r="Q3068">
        <v>0</v>
      </c>
      <c r="R3068" s="2">
        <v>0</v>
      </c>
      <c r="S3068" s="2">
        <v>0</v>
      </c>
      <c r="T3068" t="s">
        <v>1512</v>
      </c>
      <c r="U3068" s="2">
        <v>0</v>
      </c>
      <c r="V3068" s="2">
        <v>14</v>
      </c>
      <c r="W3068" s="2">
        <v>4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</row>
    <row r="3069" spans="1:28" hidden="1" x14ac:dyDescent="0.25">
      <c r="A3069" t="s">
        <v>53</v>
      </c>
      <c r="B3069" t="s">
        <v>38</v>
      </c>
      <c r="C3069" t="s">
        <v>102</v>
      </c>
      <c r="D3069" s="1">
        <v>46065</v>
      </c>
      <c r="E3069" s="1">
        <v>46065</v>
      </c>
      <c r="F3069" s="2">
        <v>26</v>
      </c>
      <c r="G3069" s="3" t="s">
        <v>23</v>
      </c>
      <c r="H3069">
        <v>10</v>
      </c>
      <c r="I3069" s="2">
        <v>0</v>
      </c>
      <c r="J3069" s="2">
        <v>0</v>
      </c>
      <c r="K3069" s="2">
        <v>0</v>
      </c>
      <c r="L3069" s="2">
        <v>0</v>
      </c>
      <c r="M3069">
        <v>0</v>
      </c>
      <c r="N3069">
        <v>0</v>
      </c>
      <c r="O3069" s="2">
        <v>0</v>
      </c>
      <c r="P3069" s="2">
        <v>0</v>
      </c>
      <c r="Q3069">
        <v>0</v>
      </c>
      <c r="R3069" s="2">
        <v>0</v>
      </c>
      <c r="S3069" s="2">
        <v>0</v>
      </c>
      <c r="T3069" t="s">
        <v>1512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</row>
    <row r="3070" spans="1:28" hidden="1" x14ac:dyDescent="0.25">
      <c r="A3070" t="s">
        <v>47</v>
      </c>
      <c r="B3070" t="s">
        <v>21</v>
      </c>
      <c r="C3070" t="s">
        <v>102</v>
      </c>
      <c r="D3070" s="1">
        <v>46065</v>
      </c>
      <c r="E3070" s="1">
        <v>46065</v>
      </c>
      <c r="F3070" s="2">
        <v>23</v>
      </c>
      <c r="G3070" s="3" t="s">
        <v>48</v>
      </c>
      <c r="H3070">
        <v>0</v>
      </c>
      <c r="I3070" s="2">
        <v>0</v>
      </c>
      <c r="J3070" s="2">
        <v>0</v>
      </c>
      <c r="K3070" s="2">
        <v>0</v>
      </c>
      <c r="L3070" s="2">
        <v>0</v>
      </c>
      <c r="M3070">
        <v>0</v>
      </c>
      <c r="N3070">
        <v>0</v>
      </c>
      <c r="O3070" s="2">
        <v>0</v>
      </c>
      <c r="P3070" s="2">
        <v>0</v>
      </c>
      <c r="Q3070">
        <v>0</v>
      </c>
      <c r="R3070" s="2">
        <v>0</v>
      </c>
      <c r="S3070" s="2">
        <v>0</v>
      </c>
      <c r="T3070" t="s">
        <v>1424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</row>
    <row r="3071" spans="1:28" hidden="1" x14ac:dyDescent="0.25">
      <c r="A3071" t="s">
        <v>568</v>
      </c>
      <c r="B3071" t="s">
        <v>1323</v>
      </c>
      <c r="C3071" t="s">
        <v>102</v>
      </c>
      <c r="D3071" s="1">
        <v>46065</v>
      </c>
      <c r="E3071" s="1">
        <v>46065</v>
      </c>
      <c r="F3071" s="2">
        <v>23</v>
      </c>
      <c r="G3071" s="3" t="s">
        <v>48</v>
      </c>
      <c r="H3071">
        <v>0</v>
      </c>
      <c r="I3071" s="2">
        <v>0</v>
      </c>
      <c r="J3071" s="2">
        <v>0</v>
      </c>
      <c r="K3071" s="2">
        <v>0</v>
      </c>
      <c r="L3071" s="2">
        <v>0</v>
      </c>
      <c r="M3071">
        <v>0</v>
      </c>
      <c r="N3071">
        <v>0</v>
      </c>
      <c r="O3071" s="2">
        <v>0</v>
      </c>
      <c r="P3071" s="2">
        <v>0</v>
      </c>
      <c r="Q3071">
        <v>0</v>
      </c>
      <c r="R3071" s="2">
        <v>0</v>
      </c>
      <c r="S3071" s="2">
        <v>0</v>
      </c>
      <c r="T3071" t="s">
        <v>1424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</row>
    <row r="3072" spans="1:28" hidden="1" x14ac:dyDescent="0.25">
      <c r="A3072" t="s">
        <v>56</v>
      </c>
      <c r="B3072" t="s">
        <v>47</v>
      </c>
      <c r="C3072" t="s">
        <v>35</v>
      </c>
      <c r="D3072" s="1">
        <v>46065</v>
      </c>
      <c r="E3072" s="1">
        <v>46065</v>
      </c>
      <c r="F3072" s="2">
        <v>21</v>
      </c>
      <c r="G3072" s="3" t="s">
        <v>129</v>
      </c>
      <c r="H3072">
        <v>0</v>
      </c>
      <c r="I3072" s="2">
        <v>0</v>
      </c>
      <c r="J3072" s="2">
        <v>0</v>
      </c>
      <c r="K3072" s="2">
        <v>0</v>
      </c>
      <c r="L3072" s="2">
        <v>0</v>
      </c>
      <c r="M3072">
        <v>0</v>
      </c>
      <c r="N3072">
        <v>0</v>
      </c>
      <c r="O3072" s="2">
        <v>0</v>
      </c>
      <c r="P3072" s="2">
        <v>0</v>
      </c>
      <c r="Q3072">
        <v>0</v>
      </c>
      <c r="R3072" s="2">
        <v>0</v>
      </c>
      <c r="S3072" s="2">
        <v>0</v>
      </c>
      <c r="T3072" t="s">
        <v>1125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</row>
    <row r="3073" spans="1:28" hidden="1" x14ac:dyDescent="0.25">
      <c r="A3073" t="s">
        <v>730</v>
      </c>
      <c r="B3073" t="s">
        <v>47</v>
      </c>
      <c r="C3073" t="s">
        <v>35</v>
      </c>
      <c r="D3073" s="1">
        <v>46065</v>
      </c>
      <c r="E3073" s="1">
        <v>46065</v>
      </c>
      <c r="F3073" s="2">
        <v>21</v>
      </c>
      <c r="G3073" s="3" t="s">
        <v>409</v>
      </c>
      <c r="H3073">
        <v>0</v>
      </c>
      <c r="I3073" s="2">
        <v>0</v>
      </c>
      <c r="J3073" s="2">
        <v>0</v>
      </c>
      <c r="K3073" s="2">
        <v>0</v>
      </c>
      <c r="L3073" s="2">
        <v>0</v>
      </c>
      <c r="M3073">
        <v>0</v>
      </c>
      <c r="N3073">
        <v>0</v>
      </c>
      <c r="O3073" s="2">
        <v>0</v>
      </c>
      <c r="P3073" s="2">
        <v>0</v>
      </c>
      <c r="Q3073">
        <v>0</v>
      </c>
      <c r="R3073" s="2">
        <v>0</v>
      </c>
      <c r="S3073" s="2">
        <v>0</v>
      </c>
      <c r="T3073" t="s">
        <v>1125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</row>
    <row r="3074" spans="1:28" hidden="1" x14ac:dyDescent="0.25">
      <c r="A3074" t="s">
        <v>20</v>
      </c>
      <c r="B3074" t="s">
        <v>47</v>
      </c>
      <c r="C3074" t="s">
        <v>35</v>
      </c>
      <c r="D3074" s="1">
        <v>46065</v>
      </c>
      <c r="E3074" s="1">
        <v>46065</v>
      </c>
      <c r="F3074" s="2">
        <v>21</v>
      </c>
      <c r="G3074" s="3" t="s">
        <v>409</v>
      </c>
      <c r="H3074">
        <v>0</v>
      </c>
      <c r="I3074" s="2">
        <v>0</v>
      </c>
      <c r="J3074" s="2">
        <v>0</v>
      </c>
      <c r="K3074" s="2">
        <v>0</v>
      </c>
      <c r="L3074" s="2">
        <v>0</v>
      </c>
      <c r="M3074">
        <v>0</v>
      </c>
      <c r="N3074">
        <v>0</v>
      </c>
      <c r="O3074" s="2">
        <v>0</v>
      </c>
      <c r="P3074" s="2">
        <v>0</v>
      </c>
      <c r="Q3074">
        <v>0</v>
      </c>
      <c r="R3074" s="2">
        <v>0</v>
      </c>
      <c r="S3074" s="2">
        <v>0</v>
      </c>
      <c r="T3074" t="s">
        <v>1125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</row>
    <row r="3075" spans="1:28" hidden="1" x14ac:dyDescent="0.25">
      <c r="A3075" t="s">
        <v>47</v>
      </c>
      <c r="B3075" t="s">
        <v>52</v>
      </c>
      <c r="C3075" t="s">
        <v>35</v>
      </c>
      <c r="D3075" s="1">
        <v>46065</v>
      </c>
      <c r="E3075" s="1">
        <v>46065</v>
      </c>
      <c r="F3075" s="2">
        <v>21</v>
      </c>
      <c r="G3075" s="3" t="s">
        <v>409</v>
      </c>
      <c r="H3075">
        <v>0</v>
      </c>
      <c r="I3075" s="2">
        <v>0</v>
      </c>
      <c r="J3075" s="2">
        <v>0</v>
      </c>
      <c r="K3075" s="2">
        <v>0</v>
      </c>
      <c r="L3075" s="2">
        <v>0</v>
      </c>
      <c r="M3075">
        <v>0</v>
      </c>
      <c r="N3075">
        <v>0</v>
      </c>
      <c r="O3075" s="2">
        <v>0</v>
      </c>
      <c r="P3075" s="2">
        <v>0</v>
      </c>
      <c r="Q3075">
        <v>0</v>
      </c>
      <c r="R3075" s="2">
        <v>0</v>
      </c>
      <c r="S3075" s="2">
        <v>0</v>
      </c>
      <c r="T3075" t="s">
        <v>1125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</row>
    <row r="3076" spans="1:28" hidden="1" x14ac:dyDescent="0.25">
      <c r="A3076" t="s">
        <v>57</v>
      </c>
      <c r="B3076" t="s">
        <v>1160</v>
      </c>
      <c r="C3076" t="s">
        <v>173</v>
      </c>
      <c r="D3076" s="1">
        <v>46066</v>
      </c>
      <c r="E3076" s="1">
        <v>46066</v>
      </c>
      <c r="F3076" s="2">
        <v>39</v>
      </c>
      <c r="G3076" s="3" t="s">
        <v>23</v>
      </c>
      <c r="H3076">
        <f>9+4+9+4</f>
        <v>26</v>
      </c>
      <c r="I3076" s="2">
        <v>0</v>
      </c>
      <c r="J3076" s="2">
        <v>0</v>
      </c>
      <c r="K3076" s="2">
        <v>0</v>
      </c>
      <c r="L3076" s="2">
        <v>1</v>
      </c>
      <c r="M3076">
        <v>0</v>
      </c>
      <c r="N3076">
        <v>0</v>
      </c>
      <c r="O3076" s="2">
        <v>0</v>
      </c>
      <c r="P3076" s="2">
        <v>0</v>
      </c>
      <c r="Q3076">
        <v>0</v>
      </c>
      <c r="R3076" s="2">
        <v>0</v>
      </c>
      <c r="S3076" s="2">
        <v>0</v>
      </c>
      <c r="T3076" t="s">
        <v>1513</v>
      </c>
      <c r="U3076" s="2">
        <v>0</v>
      </c>
      <c r="V3076" s="2">
        <f>1+22</f>
        <v>23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</row>
    <row r="3077" spans="1:28" hidden="1" x14ac:dyDescent="0.25">
      <c r="A3077" t="s">
        <v>25</v>
      </c>
      <c r="B3077" t="s">
        <v>26</v>
      </c>
      <c r="C3077" t="s">
        <v>27</v>
      </c>
      <c r="D3077" s="1">
        <v>46066</v>
      </c>
      <c r="E3077" s="1">
        <v>46066</v>
      </c>
      <c r="F3077" s="2">
        <v>37</v>
      </c>
      <c r="G3077" s="3" t="s">
        <v>23</v>
      </c>
      <c r="H3077">
        <v>31</v>
      </c>
      <c r="I3077" s="2">
        <v>0</v>
      </c>
      <c r="J3077" s="2">
        <v>0</v>
      </c>
      <c r="K3077" s="2">
        <v>1</v>
      </c>
      <c r="L3077" s="2">
        <v>0</v>
      </c>
      <c r="M3077">
        <v>0</v>
      </c>
      <c r="N3077">
        <v>0</v>
      </c>
      <c r="O3077" s="2">
        <v>0</v>
      </c>
      <c r="P3077" s="2">
        <v>0</v>
      </c>
      <c r="Q3077">
        <v>0</v>
      </c>
      <c r="R3077" s="2">
        <v>0</v>
      </c>
      <c r="S3077" s="2">
        <v>0</v>
      </c>
      <c r="T3077" t="s">
        <v>1514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</row>
    <row r="3078" spans="1:28" hidden="1" x14ac:dyDescent="0.25">
      <c r="A3078" t="s">
        <v>29</v>
      </c>
      <c r="B3078" t="s">
        <v>30</v>
      </c>
      <c r="C3078" t="s">
        <v>27</v>
      </c>
      <c r="D3078" s="1">
        <v>46066</v>
      </c>
      <c r="E3078" s="1">
        <v>46066</v>
      </c>
      <c r="F3078" s="2">
        <v>37</v>
      </c>
      <c r="G3078" s="3" t="s">
        <v>23</v>
      </c>
      <c r="H3078">
        <v>47</v>
      </c>
      <c r="I3078" s="2">
        <v>0</v>
      </c>
      <c r="J3078" s="2">
        <v>0</v>
      </c>
      <c r="K3078" s="2">
        <v>1</v>
      </c>
      <c r="L3078" s="2">
        <v>0</v>
      </c>
      <c r="M3078">
        <v>0</v>
      </c>
      <c r="N3078">
        <v>0</v>
      </c>
      <c r="O3078" s="2">
        <v>0</v>
      </c>
      <c r="P3078" s="2">
        <v>0</v>
      </c>
      <c r="Q3078">
        <v>0</v>
      </c>
      <c r="R3078" s="2">
        <v>0</v>
      </c>
      <c r="S3078" s="2">
        <v>0</v>
      </c>
      <c r="T3078" t="s">
        <v>1514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</row>
    <row r="3079" spans="1:28" hidden="1" x14ac:dyDescent="0.25">
      <c r="A3079" t="s">
        <v>33</v>
      </c>
      <c r="B3079" t="s">
        <v>34</v>
      </c>
      <c r="C3079" t="s">
        <v>35</v>
      </c>
      <c r="D3079" s="1">
        <v>46066</v>
      </c>
      <c r="E3079" s="1">
        <v>46066</v>
      </c>
      <c r="F3079" s="2">
        <v>38</v>
      </c>
      <c r="G3079" s="3" t="s">
        <v>23</v>
      </c>
      <c r="H3079">
        <f>14+14+2+1+1+1+1</f>
        <v>34</v>
      </c>
      <c r="I3079" s="2">
        <v>0</v>
      </c>
      <c r="J3079" s="2">
        <v>0</v>
      </c>
      <c r="K3079" s="2">
        <v>1</v>
      </c>
      <c r="L3079" s="2">
        <v>0</v>
      </c>
      <c r="M3079">
        <v>0</v>
      </c>
      <c r="N3079">
        <v>0</v>
      </c>
      <c r="O3079" s="2">
        <v>0</v>
      </c>
      <c r="P3079" s="2">
        <v>0</v>
      </c>
      <c r="Q3079">
        <v>0</v>
      </c>
      <c r="R3079" s="2">
        <v>0</v>
      </c>
      <c r="S3079" s="2">
        <v>0</v>
      </c>
      <c r="T3079" t="s">
        <v>1515</v>
      </c>
      <c r="U3079" s="2">
        <v>0</v>
      </c>
      <c r="V3079" s="2">
        <v>3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</row>
    <row r="3080" spans="1:28" hidden="1" x14ac:dyDescent="0.25">
      <c r="A3080" t="s">
        <v>63</v>
      </c>
      <c r="B3080" t="s">
        <v>284</v>
      </c>
      <c r="C3080" t="s">
        <v>102</v>
      </c>
      <c r="D3080" s="1">
        <v>46066</v>
      </c>
      <c r="E3080" s="1">
        <v>46066</v>
      </c>
      <c r="F3080" s="2">
        <v>24</v>
      </c>
      <c r="G3080" s="3" t="s">
        <v>23</v>
      </c>
      <c r="H3080">
        <f>12+4+12+4</f>
        <v>32</v>
      </c>
      <c r="I3080" s="2">
        <v>0</v>
      </c>
      <c r="J3080" s="2">
        <v>0</v>
      </c>
      <c r="K3080" s="2">
        <v>1</v>
      </c>
      <c r="L3080" s="2">
        <v>0</v>
      </c>
      <c r="M3080">
        <v>0</v>
      </c>
      <c r="N3080">
        <v>0</v>
      </c>
      <c r="O3080" s="2">
        <v>0</v>
      </c>
      <c r="P3080" s="2">
        <v>0</v>
      </c>
      <c r="Q3080">
        <v>2</v>
      </c>
      <c r="R3080" s="2">
        <v>0</v>
      </c>
      <c r="S3080" s="2">
        <v>0</v>
      </c>
      <c r="T3080" t="s">
        <v>1516</v>
      </c>
      <c r="U3080" s="2">
        <v>0</v>
      </c>
      <c r="V3080" s="2">
        <f>17+2+20+4</f>
        <v>43</v>
      </c>
      <c r="W3080" s="2">
        <v>5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</row>
    <row r="3081" spans="1:28" hidden="1" x14ac:dyDescent="0.25">
      <c r="A3081" t="s">
        <v>568</v>
      </c>
      <c r="B3081" t="s">
        <v>1323</v>
      </c>
      <c r="C3081" t="s">
        <v>670</v>
      </c>
      <c r="D3081" s="1">
        <v>46066</v>
      </c>
      <c r="E3081" s="1">
        <v>46066</v>
      </c>
      <c r="F3081" s="2">
        <v>145</v>
      </c>
      <c r="G3081" s="3" t="s">
        <v>23</v>
      </c>
      <c r="H3081">
        <f>6+2+6+2+1+2+3+1</f>
        <v>23</v>
      </c>
      <c r="I3081" s="2">
        <v>0</v>
      </c>
      <c r="J3081" s="2">
        <v>0</v>
      </c>
      <c r="K3081" s="2">
        <v>1</v>
      </c>
      <c r="L3081" s="2">
        <v>0</v>
      </c>
      <c r="M3081">
        <v>1</v>
      </c>
      <c r="N3081">
        <v>0</v>
      </c>
      <c r="O3081" s="2">
        <v>0</v>
      </c>
      <c r="P3081" s="2">
        <v>0</v>
      </c>
      <c r="Q3081">
        <v>0</v>
      </c>
      <c r="R3081" s="2">
        <v>0</v>
      </c>
      <c r="S3081" s="2">
        <v>0</v>
      </c>
      <c r="T3081" t="s">
        <v>1517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</row>
    <row r="3082" spans="1:28" hidden="1" x14ac:dyDescent="0.25">
      <c r="A3082" t="s">
        <v>53</v>
      </c>
      <c r="B3082" t="s">
        <v>38</v>
      </c>
      <c r="C3082" t="s">
        <v>54</v>
      </c>
      <c r="D3082" s="1">
        <v>46066</v>
      </c>
      <c r="E3082" s="1">
        <v>46066</v>
      </c>
      <c r="F3082" s="2">
        <v>74</v>
      </c>
      <c r="G3082" s="3" t="s">
        <v>23</v>
      </c>
      <c r="H3082">
        <v>0</v>
      </c>
      <c r="I3082" s="2">
        <v>0</v>
      </c>
      <c r="J3082" s="2">
        <v>0</v>
      </c>
      <c r="K3082" s="2">
        <v>0</v>
      </c>
      <c r="L3082" s="2">
        <v>0</v>
      </c>
      <c r="M3082">
        <v>0</v>
      </c>
      <c r="N3082">
        <v>0</v>
      </c>
      <c r="O3082" s="2">
        <v>0</v>
      </c>
      <c r="P3082" s="2">
        <v>0</v>
      </c>
      <c r="Q3082">
        <v>0</v>
      </c>
      <c r="R3082" s="2">
        <v>0</v>
      </c>
      <c r="S3082" s="2">
        <v>0</v>
      </c>
      <c r="T3082" t="s">
        <v>1518</v>
      </c>
      <c r="U3082" s="2">
        <v>0</v>
      </c>
      <c r="V3082" s="2">
        <f>18+16</f>
        <v>34</v>
      </c>
      <c r="W3082" s="2">
        <v>5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</row>
    <row r="3083" spans="1:28" hidden="1" x14ac:dyDescent="0.25">
      <c r="A3083" t="s">
        <v>37</v>
      </c>
      <c r="B3083" t="s">
        <v>47</v>
      </c>
      <c r="C3083" t="s">
        <v>102</v>
      </c>
      <c r="D3083" s="1">
        <v>46066</v>
      </c>
      <c r="E3083" s="1">
        <v>46066</v>
      </c>
      <c r="F3083" s="2">
        <v>23</v>
      </c>
      <c r="G3083" s="3" t="s">
        <v>614</v>
      </c>
      <c r="H3083">
        <v>0</v>
      </c>
      <c r="I3083" s="2">
        <v>0</v>
      </c>
      <c r="J3083" s="2">
        <v>0</v>
      </c>
      <c r="K3083" s="2">
        <v>0</v>
      </c>
      <c r="L3083" s="2">
        <v>0</v>
      </c>
      <c r="M3083">
        <v>0</v>
      </c>
      <c r="N3083">
        <v>0</v>
      </c>
      <c r="O3083" s="2">
        <v>0</v>
      </c>
      <c r="P3083" s="2">
        <v>0</v>
      </c>
      <c r="Q3083">
        <v>0</v>
      </c>
      <c r="R3083" s="2">
        <v>0</v>
      </c>
      <c r="S3083" s="2">
        <v>0</v>
      </c>
      <c r="T3083" t="s">
        <v>1424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</row>
    <row r="3084" spans="1:28" hidden="1" x14ac:dyDescent="0.25">
      <c r="A3084" t="s">
        <v>56</v>
      </c>
      <c r="B3084" t="s">
        <v>47</v>
      </c>
      <c r="C3084" t="s">
        <v>35</v>
      </c>
      <c r="D3084" s="1">
        <v>46066</v>
      </c>
      <c r="E3084" s="1">
        <v>46066</v>
      </c>
      <c r="F3084" s="2">
        <v>21</v>
      </c>
      <c r="G3084" s="3" t="s">
        <v>129</v>
      </c>
      <c r="H3084">
        <v>0</v>
      </c>
      <c r="I3084" s="2">
        <v>0</v>
      </c>
      <c r="J3084" s="2">
        <v>0</v>
      </c>
      <c r="K3084" s="2">
        <v>0</v>
      </c>
      <c r="L3084" s="2">
        <v>0</v>
      </c>
      <c r="M3084">
        <v>0</v>
      </c>
      <c r="N3084">
        <v>0</v>
      </c>
      <c r="O3084" s="2">
        <v>0</v>
      </c>
      <c r="P3084" s="2">
        <v>0</v>
      </c>
      <c r="Q3084">
        <v>0</v>
      </c>
      <c r="R3084" s="2">
        <v>0</v>
      </c>
      <c r="S3084" s="2">
        <v>0</v>
      </c>
      <c r="T3084" t="s">
        <v>1125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</row>
    <row r="3085" spans="1:28" hidden="1" x14ac:dyDescent="0.25">
      <c r="A3085" t="s">
        <v>730</v>
      </c>
      <c r="B3085" t="s">
        <v>47</v>
      </c>
      <c r="C3085" t="s">
        <v>35</v>
      </c>
      <c r="D3085" s="1">
        <v>46066</v>
      </c>
      <c r="E3085" s="1">
        <v>46066</v>
      </c>
      <c r="F3085" s="2">
        <v>21</v>
      </c>
      <c r="G3085" s="3" t="s">
        <v>409</v>
      </c>
      <c r="H3085">
        <v>0</v>
      </c>
      <c r="I3085" s="2">
        <v>0</v>
      </c>
      <c r="J3085" s="2">
        <v>0</v>
      </c>
      <c r="K3085" s="2">
        <v>0</v>
      </c>
      <c r="L3085" s="2">
        <v>0</v>
      </c>
      <c r="M3085">
        <v>0</v>
      </c>
      <c r="N3085">
        <v>0</v>
      </c>
      <c r="O3085" s="2">
        <v>0</v>
      </c>
      <c r="P3085" s="2">
        <v>0</v>
      </c>
      <c r="Q3085">
        <v>0</v>
      </c>
      <c r="R3085" s="2">
        <v>0</v>
      </c>
      <c r="S3085" s="2">
        <v>0</v>
      </c>
      <c r="T3085" t="s">
        <v>1125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</row>
    <row r="3086" spans="1:28" hidden="1" x14ac:dyDescent="0.25">
      <c r="A3086" t="s">
        <v>20</v>
      </c>
      <c r="B3086" t="s">
        <v>47</v>
      </c>
      <c r="C3086" t="s">
        <v>35</v>
      </c>
      <c r="D3086" s="1">
        <v>46066</v>
      </c>
      <c r="E3086" s="1">
        <v>46066</v>
      </c>
      <c r="F3086" s="2">
        <v>21</v>
      </c>
      <c r="G3086" s="3" t="s">
        <v>409</v>
      </c>
      <c r="H3086">
        <v>0</v>
      </c>
      <c r="I3086" s="2">
        <v>0</v>
      </c>
      <c r="J3086" s="2">
        <v>0</v>
      </c>
      <c r="K3086" s="2">
        <v>0</v>
      </c>
      <c r="L3086" s="2">
        <v>0</v>
      </c>
      <c r="M3086">
        <v>0</v>
      </c>
      <c r="N3086">
        <v>0</v>
      </c>
      <c r="O3086" s="2">
        <v>0</v>
      </c>
      <c r="P3086" s="2">
        <v>0</v>
      </c>
      <c r="Q3086">
        <v>0</v>
      </c>
      <c r="R3086" s="2">
        <v>0</v>
      </c>
      <c r="S3086" s="2">
        <v>0</v>
      </c>
      <c r="T3086" t="s">
        <v>1125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</row>
    <row r="3087" spans="1:28" hidden="1" x14ac:dyDescent="0.25">
      <c r="A3087" t="s">
        <v>1431</v>
      </c>
      <c r="B3087" t="s">
        <v>47</v>
      </c>
      <c r="C3087" t="s">
        <v>35</v>
      </c>
      <c r="D3087" s="1">
        <v>46066</v>
      </c>
      <c r="E3087" s="1">
        <v>46066</v>
      </c>
      <c r="F3087" s="2">
        <v>21</v>
      </c>
      <c r="G3087" s="3" t="s">
        <v>409</v>
      </c>
      <c r="H3087">
        <v>0</v>
      </c>
      <c r="I3087" s="2">
        <v>0</v>
      </c>
      <c r="J3087" s="2">
        <v>0</v>
      </c>
      <c r="K3087" s="2">
        <v>0</v>
      </c>
      <c r="L3087" s="2">
        <v>0</v>
      </c>
      <c r="M3087">
        <v>0</v>
      </c>
      <c r="N3087">
        <v>0</v>
      </c>
      <c r="O3087" s="2">
        <v>0</v>
      </c>
      <c r="P3087" s="2">
        <v>0</v>
      </c>
      <c r="Q3087">
        <v>0</v>
      </c>
      <c r="R3087" s="2">
        <v>0</v>
      </c>
      <c r="S3087" s="2">
        <v>0</v>
      </c>
      <c r="T3087" t="s">
        <v>1125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</row>
    <row r="3088" spans="1:28" hidden="1" x14ac:dyDescent="0.25">
      <c r="A3088" t="s">
        <v>47</v>
      </c>
      <c r="B3088" t="s">
        <v>21</v>
      </c>
      <c r="C3088" t="s">
        <v>35</v>
      </c>
      <c r="D3088" s="1">
        <v>46066</v>
      </c>
      <c r="E3088" s="1">
        <v>46066</v>
      </c>
      <c r="F3088" s="2">
        <v>21</v>
      </c>
      <c r="G3088" s="3" t="s">
        <v>572</v>
      </c>
      <c r="H3088">
        <v>0</v>
      </c>
      <c r="I3088" s="2">
        <v>0</v>
      </c>
      <c r="J3088" s="2">
        <v>0</v>
      </c>
      <c r="K3088" s="2">
        <v>0</v>
      </c>
      <c r="L3088" s="2">
        <v>0</v>
      </c>
      <c r="M3088">
        <v>0</v>
      </c>
      <c r="N3088">
        <v>0</v>
      </c>
      <c r="O3088" s="2">
        <v>0</v>
      </c>
      <c r="P3088" s="2">
        <v>0</v>
      </c>
      <c r="Q3088">
        <v>0</v>
      </c>
      <c r="R3088" s="2">
        <v>0</v>
      </c>
      <c r="S3088" s="2">
        <v>0</v>
      </c>
      <c r="T3088" t="s">
        <v>1125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</row>
    <row r="3089" spans="1:28" hidden="1" x14ac:dyDescent="0.25">
      <c r="A3089" t="s">
        <v>47</v>
      </c>
      <c r="B3089" t="s">
        <v>52</v>
      </c>
      <c r="C3089" t="s">
        <v>35</v>
      </c>
      <c r="D3089" s="1">
        <v>46066</v>
      </c>
      <c r="E3089" s="1">
        <v>46066</v>
      </c>
      <c r="F3089" s="2">
        <v>21</v>
      </c>
      <c r="G3089" s="3" t="s">
        <v>409</v>
      </c>
      <c r="H3089">
        <v>0</v>
      </c>
      <c r="I3089" s="2">
        <v>0</v>
      </c>
      <c r="J3089" s="2">
        <v>0</v>
      </c>
      <c r="K3089" s="2">
        <v>0</v>
      </c>
      <c r="L3089" s="2">
        <v>0</v>
      </c>
      <c r="M3089">
        <v>0</v>
      </c>
      <c r="N3089">
        <v>0</v>
      </c>
      <c r="O3089" s="2">
        <v>0</v>
      </c>
      <c r="P3089" s="2">
        <v>0</v>
      </c>
      <c r="Q3089">
        <v>0</v>
      </c>
      <c r="R3089" s="2">
        <v>0</v>
      </c>
      <c r="S3089" s="2">
        <v>0</v>
      </c>
      <c r="T3089" t="s">
        <v>1125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</row>
    <row r="3090" spans="1:28" hidden="1" x14ac:dyDescent="0.25">
      <c r="A3090" t="s">
        <v>57</v>
      </c>
      <c r="B3090" t="s">
        <v>1160</v>
      </c>
      <c r="C3090" t="s">
        <v>173</v>
      </c>
      <c r="D3090" s="9">
        <v>46067</v>
      </c>
      <c r="E3090" s="9">
        <v>46067</v>
      </c>
      <c r="F3090" s="2">
        <v>31</v>
      </c>
      <c r="G3090" s="3" t="s">
        <v>23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>
        <v>0</v>
      </c>
      <c r="N3090">
        <v>0</v>
      </c>
      <c r="O3090" s="2">
        <v>1</v>
      </c>
      <c r="P3090" s="2">
        <v>0</v>
      </c>
      <c r="Q3090">
        <v>0</v>
      </c>
      <c r="R3090" s="2">
        <v>1</v>
      </c>
      <c r="S3090" s="2">
        <v>0</v>
      </c>
      <c r="T3090" t="s">
        <v>1519</v>
      </c>
      <c r="U3090" s="2">
        <v>14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</row>
    <row r="3091" spans="1:28" hidden="1" x14ac:dyDescent="0.25">
      <c r="A3091" t="s">
        <v>25</v>
      </c>
      <c r="B3091" t="s">
        <v>1238</v>
      </c>
      <c r="C3091" t="s">
        <v>27</v>
      </c>
      <c r="D3091" s="9">
        <v>46067</v>
      </c>
      <c r="E3091" s="9">
        <v>46067</v>
      </c>
      <c r="F3091" s="2">
        <v>40</v>
      </c>
      <c r="G3091" s="3" t="s">
        <v>23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>
        <v>0</v>
      </c>
      <c r="N3091">
        <v>0</v>
      </c>
      <c r="O3091" s="2">
        <v>1</v>
      </c>
      <c r="P3091" s="2">
        <v>0</v>
      </c>
      <c r="Q3091">
        <v>4</v>
      </c>
      <c r="R3091" s="2">
        <v>1</v>
      </c>
      <c r="S3091" s="2">
        <v>0</v>
      </c>
      <c r="T3091" t="s">
        <v>1520</v>
      </c>
      <c r="U3091" s="2">
        <f>12+5+6</f>
        <v>23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1</v>
      </c>
      <c r="AB3091" s="2">
        <v>0</v>
      </c>
    </row>
    <row r="3092" spans="1:28" hidden="1" x14ac:dyDescent="0.25">
      <c r="A3092" t="s">
        <v>29</v>
      </c>
      <c r="B3092" t="s">
        <v>30</v>
      </c>
      <c r="C3092" t="s">
        <v>27</v>
      </c>
      <c r="D3092" s="9">
        <v>46067</v>
      </c>
      <c r="E3092" s="9">
        <v>46067</v>
      </c>
      <c r="F3092" s="2">
        <v>40</v>
      </c>
      <c r="G3092" s="3" t="s">
        <v>23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>
        <v>0</v>
      </c>
      <c r="N3092">
        <v>0</v>
      </c>
      <c r="O3092" s="2">
        <v>1</v>
      </c>
      <c r="P3092" s="2">
        <v>0</v>
      </c>
      <c r="Q3092">
        <v>4</v>
      </c>
      <c r="R3092" s="2">
        <v>1</v>
      </c>
      <c r="S3092" s="2">
        <v>0</v>
      </c>
      <c r="T3092" t="s">
        <v>1520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</row>
    <row r="3093" spans="1:28" hidden="1" x14ac:dyDescent="0.25">
      <c r="A3093" t="s">
        <v>33</v>
      </c>
      <c r="B3093" t="s">
        <v>34</v>
      </c>
      <c r="C3093" t="s">
        <v>35</v>
      </c>
      <c r="D3093" s="9">
        <v>46067</v>
      </c>
      <c r="E3093" s="9">
        <v>46067</v>
      </c>
      <c r="F3093" s="2">
        <v>31</v>
      </c>
      <c r="G3093" s="3" t="s">
        <v>23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>
        <v>0</v>
      </c>
      <c r="N3093">
        <v>0</v>
      </c>
      <c r="O3093" s="2">
        <v>1</v>
      </c>
      <c r="P3093" s="2">
        <v>0</v>
      </c>
      <c r="Q3093">
        <v>0</v>
      </c>
      <c r="R3093" s="2">
        <v>1</v>
      </c>
      <c r="S3093" s="2">
        <v>0</v>
      </c>
      <c r="T3093" t="s">
        <v>1521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</row>
    <row r="3094" spans="1:28" hidden="1" x14ac:dyDescent="0.25">
      <c r="A3094" t="s">
        <v>1431</v>
      </c>
      <c r="B3094" t="s">
        <v>284</v>
      </c>
      <c r="C3094" t="s">
        <v>1505</v>
      </c>
      <c r="D3094" s="9">
        <v>46067</v>
      </c>
      <c r="E3094" s="9">
        <v>46067</v>
      </c>
      <c r="F3094" s="2">
        <v>24</v>
      </c>
      <c r="G3094" s="3" t="s">
        <v>23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>
        <v>0</v>
      </c>
      <c r="N3094">
        <v>0</v>
      </c>
      <c r="O3094" s="2">
        <v>1</v>
      </c>
      <c r="P3094" s="2">
        <v>0</v>
      </c>
      <c r="Q3094">
        <v>0</v>
      </c>
      <c r="R3094" s="2">
        <v>1</v>
      </c>
      <c r="S3094" s="2">
        <v>0</v>
      </c>
      <c r="T3094" t="s">
        <v>1522</v>
      </c>
      <c r="U3094" s="2">
        <v>14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</row>
    <row r="3095" spans="1:28" hidden="1" x14ac:dyDescent="0.25">
      <c r="A3095" t="s">
        <v>568</v>
      </c>
      <c r="B3095" t="s">
        <v>1323</v>
      </c>
      <c r="C3095" t="s">
        <v>670</v>
      </c>
      <c r="D3095" s="9">
        <v>46067</v>
      </c>
      <c r="E3095" s="9">
        <v>46067</v>
      </c>
      <c r="F3095" s="2">
        <v>97</v>
      </c>
      <c r="G3095" s="3" t="s">
        <v>23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>
        <v>0</v>
      </c>
      <c r="N3095">
        <v>0</v>
      </c>
      <c r="O3095" s="2">
        <v>1</v>
      </c>
      <c r="P3095" s="2">
        <v>0</v>
      </c>
      <c r="Q3095">
        <v>0</v>
      </c>
      <c r="R3095" s="2">
        <v>1</v>
      </c>
      <c r="S3095" s="2">
        <v>0</v>
      </c>
      <c r="T3095" t="s">
        <v>1523</v>
      </c>
      <c r="U3095" s="2">
        <v>18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</row>
    <row r="3096" spans="1:28" hidden="1" x14ac:dyDescent="0.25">
      <c r="A3096" t="s">
        <v>53</v>
      </c>
      <c r="B3096" t="s">
        <v>38</v>
      </c>
      <c r="C3096" t="s">
        <v>102</v>
      </c>
      <c r="D3096" s="9">
        <v>46067</v>
      </c>
      <c r="E3096" s="9">
        <v>46067</v>
      </c>
      <c r="F3096" s="2">
        <v>23</v>
      </c>
      <c r="G3096" s="3" t="s">
        <v>378</v>
      </c>
      <c r="H3096">
        <v>0</v>
      </c>
      <c r="I3096" s="2">
        <v>0</v>
      </c>
      <c r="J3096" s="2">
        <v>0</v>
      </c>
      <c r="K3096" s="2">
        <v>0</v>
      </c>
      <c r="L3096" s="2">
        <v>0</v>
      </c>
      <c r="M3096">
        <v>0</v>
      </c>
      <c r="N3096">
        <v>0</v>
      </c>
      <c r="O3096" s="2">
        <v>0</v>
      </c>
      <c r="P3096" s="2">
        <v>0</v>
      </c>
      <c r="Q3096">
        <v>0</v>
      </c>
      <c r="R3096" s="2">
        <v>0</v>
      </c>
      <c r="S3096" s="2">
        <v>0</v>
      </c>
      <c r="T3096" t="s">
        <v>1424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</row>
    <row r="3097" spans="1:28" hidden="1" x14ac:dyDescent="0.25">
      <c r="A3097" t="s">
        <v>37</v>
      </c>
      <c r="B3097" t="s">
        <v>26</v>
      </c>
      <c r="C3097" t="s">
        <v>102</v>
      </c>
      <c r="D3097" s="9">
        <v>46067</v>
      </c>
      <c r="E3097" s="9">
        <v>46067</v>
      </c>
      <c r="F3097" s="2">
        <v>23</v>
      </c>
      <c r="G3097" s="3" t="s">
        <v>378</v>
      </c>
      <c r="H3097">
        <v>0</v>
      </c>
      <c r="I3097" s="2">
        <v>0</v>
      </c>
      <c r="J3097" s="2">
        <v>0</v>
      </c>
      <c r="K3097" s="2">
        <v>0</v>
      </c>
      <c r="L3097" s="2">
        <v>0</v>
      </c>
      <c r="M3097">
        <v>0</v>
      </c>
      <c r="N3097">
        <v>0</v>
      </c>
      <c r="O3097" s="2">
        <v>0</v>
      </c>
      <c r="P3097" s="2">
        <v>0</v>
      </c>
      <c r="Q3097">
        <v>0</v>
      </c>
      <c r="R3097" s="2">
        <v>0</v>
      </c>
      <c r="S3097" s="2">
        <v>0</v>
      </c>
      <c r="T3097" t="s">
        <v>1424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</row>
    <row r="3098" spans="1:28" hidden="1" x14ac:dyDescent="0.25">
      <c r="A3098" t="s">
        <v>63</v>
      </c>
      <c r="B3098" t="s">
        <v>47</v>
      </c>
      <c r="C3098" t="s">
        <v>35</v>
      </c>
      <c r="D3098" s="9">
        <v>46067</v>
      </c>
      <c r="E3098" s="9">
        <v>46067</v>
      </c>
      <c r="F3098" s="2">
        <v>21</v>
      </c>
      <c r="G3098" s="3" t="s">
        <v>378</v>
      </c>
      <c r="H3098">
        <v>0</v>
      </c>
      <c r="I3098" s="2">
        <v>0</v>
      </c>
      <c r="J3098" s="2">
        <v>0</v>
      </c>
      <c r="K3098" s="2">
        <v>0</v>
      </c>
      <c r="L3098" s="2">
        <v>0</v>
      </c>
      <c r="M3098">
        <v>0</v>
      </c>
      <c r="N3098">
        <v>0</v>
      </c>
      <c r="O3098" s="2">
        <v>0</v>
      </c>
      <c r="P3098" s="2">
        <v>0</v>
      </c>
      <c r="Q3098">
        <v>0</v>
      </c>
      <c r="R3098" s="2">
        <v>0</v>
      </c>
      <c r="S3098" s="2">
        <v>0</v>
      </c>
      <c r="T3098" t="s">
        <v>1125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</row>
    <row r="3099" spans="1:28" hidden="1" x14ac:dyDescent="0.25">
      <c r="A3099" t="s">
        <v>56</v>
      </c>
      <c r="B3099" t="s">
        <v>47</v>
      </c>
      <c r="C3099" t="s">
        <v>35</v>
      </c>
      <c r="D3099" s="9">
        <v>46067</v>
      </c>
      <c r="E3099" s="9">
        <v>46067</v>
      </c>
      <c r="F3099" s="2">
        <v>21</v>
      </c>
      <c r="G3099" s="3" t="s">
        <v>378</v>
      </c>
      <c r="H3099">
        <v>0</v>
      </c>
      <c r="I3099" s="2">
        <v>0</v>
      </c>
      <c r="J3099" s="2">
        <v>0</v>
      </c>
      <c r="K3099" s="2">
        <v>0</v>
      </c>
      <c r="L3099" s="2">
        <v>0</v>
      </c>
      <c r="M3099">
        <v>0</v>
      </c>
      <c r="N3099">
        <v>0</v>
      </c>
      <c r="O3099" s="2">
        <v>0</v>
      </c>
      <c r="P3099" s="2">
        <v>0</v>
      </c>
      <c r="Q3099">
        <v>0</v>
      </c>
      <c r="R3099" s="2">
        <v>0</v>
      </c>
      <c r="S3099" s="2">
        <v>0</v>
      </c>
      <c r="T3099" t="s">
        <v>1125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</row>
    <row r="3100" spans="1:28" hidden="1" x14ac:dyDescent="0.25">
      <c r="A3100" t="s">
        <v>730</v>
      </c>
      <c r="B3100" t="s">
        <v>47</v>
      </c>
      <c r="C3100" t="s">
        <v>35</v>
      </c>
      <c r="D3100" s="9">
        <v>46067</v>
      </c>
      <c r="E3100" s="9">
        <v>46067</v>
      </c>
      <c r="F3100" s="2">
        <v>21</v>
      </c>
      <c r="G3100" s="3" t="s">
        <v>409</v>
      </c>
      <c r="H3100">
        <v>0</v>
      </c>
      <c r="I3100" s="2">
        <v>0</v>
      </c>
      <c r="J3100" s="2">
        <v>0</v>
      </c>
      <c r="K3100" s="2">
        <v>0</v>
      </c>
      <c r="L3100" s="2">
        <v>0</v>
      </c>
      <c r="M3100">
        <v>0</v>
      </c>
      <c r="N3100">
        <v>0</v>
      </c>
      <c r="O3100" s="2">
        <v>0</v>
      </c>
      <c r="P3100" s="2">
        <v>0</v>
      </c>
      <c r="Q3100">
        <v>0</v>
      </c>
      <c r="R3100" s="2">
        <v>0</v>
      </c>
      <c r="S3100" s="2">
        <v>0</v>
      </c>
      <c r="T3100" t="s">
        <v>1125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</row>
    <row r="3101" spans="1:28" hidden="1" x14ac:dyDescent="0.25">
      <c r="A3101" t="s">
        <v>20</v>
      </c>
      <c r="B3101" t="s">
        <v>21</v>
      </c>
      <c r="C3101" t="s">
        <v>35</v>
      </c>
      <c r="D3101" s="9">
        <v>46067</v>
      </c>
      <c r="E3101" s="9">
        <v>46067</v>
      </c>
      <c r="F3101" s="2">
        <v>21</v>
      </c>
      <c r="G3101" s="3" t="s">
        <v>378</v>
      </c>
      <c r="H3101">
        <v>0</v>
      </c>
      <c r="I3101" s="2">
        <v>0</v>
      </c>
      <c r="J3101" s="2">
        <v>0</v>
      </c>
      <c r="K3101" s="2">
        <v>0</v>
      </c>
      <c r="L3101" s="2">
        <v>0</v>
      </c>
      <c r="M3101">
        <v>0</v>
      </c>
      <c r="N3101">
        <v>0</v>
      </c>
      <c r="O3101" s="2">
        <v>0</v>
      </c>
      <c r="P3101" s="2">
        <v>0</v>
      </c>
      <c r="Q3101">
        <v>0</v>
      </c>
      <c r="R3101" s="2">
        <v>0</v>
      </c>
      <c r="S3101" s="2">
        <v>0</v>
      </c>
      <c r="T3101" t="s">
        <v>1125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</row>
    <row r="3102" spans="1:28" hidden="1" x14ac:dyDescent="0.25">
      <c r="A3102" t="s">
        <v>47</v>
      </c>
      <c r="B3102" t="s">
        <v>52</v>
      </c>
      <c r="C3102" t="s">
        <v>35</v>
      </c>
      <c r="D3102" s="9">
        <v>46067</v>
      </c>
      <c r="E3102" s="9">
        <v>46067</v>
      </c>
      <c r="F3102" s="2">
        <v>21</v>
      </c>
      <c r="G3102" s="3" t="s">
        <v>378</v>
      </c>
      <c r="H3102">
        <v>0</v>
      </c>
      <c r="I3102" s="2">
        <v>0</v>
      </c>
      <c r="J3102" s="2">
        <v>0</v>
      </c>
      <c r="K3102" s="2">
        <v>0</v>
      </c>
      <c r="L3102" s="2">
        <v>0</v>
      </c>
      <c r="M3102">
        <v>0</v>
      </c>
      <c r="N3102">
        <v>0</v>
      </c>
      <c r="O3102" s="2">
        <v>0</v>
      </c>
      <c r="P3102" s="2">
        <v>0</v>
      </c>
      <c r="Q3102">
        <v>0</v>
      </c>
      <c r="R3102" s="2">
        <v>0</v>
      </c>
      <c r="S3102" s="2">
        <v>0</v>
      </c>
      <c r="T3102" t="s">
        <v>1125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</row>
    <row r="3103" spans="1:28" hidden="1" x14ac:dyDescent="0.25">
      <c r="A3103" t="s">
        <v>57</v>
      </c>
      <c r="B3103" t="s">
        <v>1160</v>
      </c>
      <c r="C3103" t="s">
        <v>173</v>
      </c>
      <c r="D3103" s="9">
        <v>46068</v>
      </c>
      <c r="E3103" s="9">
        <v>46068</v>
      </c>
      <c r="F3103" s="2">
        <v>34</v>
      </c>
      <c r="G3103" s="3" t="s">
        <v>23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>
        <v>0</v>
      </c>
      <c r="N3103">
        <v>0</v>
      </c>
      <c r="O3103" s="2">
        <v>0</v>
      </c>
      <c r="P3103" s="2">
        <v>1</v>
      </c>
      <c r="Q3103">
        <v>13</v>
      </c>
      <c r="R3103" s="2">
        <v>0</v>
      </c>
      <c r="S3103" s="2">
        <v>1</v>
      </c>
      <c r="T3103" t="s">
        <v>1524</v>
      </c>
      <c r="U3103" s="2">
        <f>11+5+4</f>
        <v>20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1</v>
      </c>
    </row>
    <row r="3104" spans="1:28" hidden="1" x14ac:dyDescent="0.25">
      <c r="A3104" t="s">
        <v>25</v>
      </c>
      <c r="B3104" t="s">
        <v>1238</v>
      </c>
      <c r="C3104" t="s">
        <v>27</v>
      </c>
      <c r="D3104" s="9">
        <v>46068</v>
      </c>
      <c r="E3104" s="9">
        <v>46068</v>
      </c>
      <c r="F3104" s="2">
        <v>34</v>
      </c>
      <c r="G3104" s="3" t="s">
        <v>23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>
        <v>0</v>
      </c>
      <c r="N3104">
        <v>0</v>
      </c>
      <c r="O3104" s="2">
        <v>0</v>
      </c>
      <c r="P3104" s="2">
        <v>1</v>
      </c>
      <c r="Q3104">
        <v>3</v>
      </c>
      <c r="R3104" s="2">
        <v>0</v>
      </c>
      <c r="S3104" s="2">
        <v>1</v>
      </c>
      <c r="T3104" t="s">
        <v>1525</v>
      </c>
      <c r="U3104" s="2">
        <v>16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</row>
    <row r="3105" spans="1:28" hidden="1" x14ac:dyDescent="0.25">
      <c r="A3105" t="s">
        <v>29</v>
      </c>
      <c r="B3105" t="s">
        <v>30</v>
      </c>
      <c r="C3105" t="s">
        <v>27</v>
      </c>
      <c r="D3105" s="9">
        <v>46068</v>
      </c>
      <c r="E3105" s="9">
        <v>46068</v>
      </c>
      <c r="F3105" s="2">
        <v>34</v>
      </c>
      <c r="G3105" s="3" t="s">
        <v>23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>
        <v>0</v>
      </c>
      <c r="N3105">
        <v>0</v>
      </c>
      <c r="O3105" s="2">
        <v>0</v>
      </c>
      <c r="P3105" s="2">
        <v>1</v>
      </c>
      <c r="Q3105">
        <v>6</v>
      </c>
      <c r="R3105" s="2">
        <v>0</v>
      </c>
      <c r="S3105" s="2">
        <v>1</v>
      </c>
      <c r="T3105" t="s">
        <v>1525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</row>
    <row r="3106" spans="1:28" hidden="1" x14ac:dyDescent="0.25">
      <c r="A3106" t="s">
        <v>33</v>
      </c>
      <c r="B3106" t="s">
        <v>34</v>
      </c>
      <c r="C3106" t="s">
        <v>35</v>
      </c>
      <c r="D3106" s="9">
        <v>46068</v>
      </c>
      <c r="E3106" s="9">
        <v>46068</v>
      </c>
      <c r="F3106" s="2">
        <v>56</v>
      </c>
      <c r="G3106" s="3" t="s">
        <v>23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>
        <v>0</v>
      </c>
      <c r="N3106">
        <v>0</v>
      </c>
      <c r="O3106" s="2">
        <v>0</v>
      </c>
      <c r="P3106" s="2">
        <v>1</v>
      </c>
      <c r="Q3106">
        <v>5</v>
      </c>
      <c r="R3106" s="2">
        <v>0</v>
      </c>
      <c r="S3106" s="2">
        <v>1</v>
      </c>
      <c r="T3106" t="s">
        <v>1526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</row>
    <row r="3107" spans="1:28" hidden="1" x14ac:dyDescent="0.25">
      <c r="A3107" t="s">
        <v>568</v>
      </c>
      <c r="B3107" t="s">
        <v>1323</v>
      </c>
      <c r="C3107" t="s">
        <v>670</v>
      </c>
      <c r="D3107" s="9">
        <v>46068</v>
      </c>
      <c r="E3107" s="9">
        <v>46068</v>
      </c>
      <c r="F3107" s="2">
        <v>169</v>
      </c>
      <c r="G3107" s="3" t="s">
        <v>23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>
        <v>0</v>
      </c>
      <c r="N3107">
        <v>0</v>
      </c>
      <c r="O3107" s="2">
        <v>0</v>
      </c>
      <c r="P3107" s="2">
        <v>1</v>
      </c>
      <c r="Q3107">
        <v>0</v>
      </c>
      <c r="R3107" s="2">
        <v>0</v>
      </c>
      <c r="S3107" s="2">
        <v>1</v>
      </c>
      <c r="T3107" t="s">
        <v>1527</v>
      </c>
      <c r="U3107" s="2">
        <v>18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</row>
    <row r="3108" spans="1:28" hidden="1" x14ac:dyDescent="0.25">
      <c r="A3108" t="s">
        <v>1431</v>
      </c>
      <c r="B3108" t="s">
        <v>284</v>
      </c>
      <c r="C3108" t="s">
        <v>1505</v>
      </c>
      <c r="D3108" s="9">
        <v>46068</v>
      </c>
      <c r="E3108" s="9">
        <v>46068</v>
      </c>
      <c r="F3108" s="2">
        <v>39</v>
      </c>
      <c r="G3108" s="3" t="s">
        <v>23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>
        <v>0</v>
      </c>
      <c r="N3108">
        <v>0</v>
      </c>
      <c r="O3108" s="2">
        <v>0</v>
      </c>
      <c r="P3108" s="2">
        <v>1</v>
      </c>
      <c r="Q3108">
        <v>0</v>
      </c>
      <c r="R3108" s="2">
        <v>0</v>
      </c>
      <c r="S3108" s="2">
        <v>1</v>
      </c>
      <c r="T3108" t="s">
        <v>1528</v>
      </c>
      <c r="U3108" s="2">
        <v>15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</row>
    <row r="3109" spans="1:28" hidden="1" x14ac:dyDescent="0.25">
      <c r="A3109" t="s">
        <v>53</v>
      </c>
      <c r="B3109" t="s">
        <v>38</v>
      </c>
      <c r="C3109" t="s">
        <v>102</v>
      </c>
      <c r="D3109" s="9">
        <v>46068</v>
      </c>
      <c r="E3109" s="9">
        <v>46068</v>
      </c>
      <c r="F3109" s="2">
        <v>23</v>
      </c>
      <c r="G3109" s="3" t="s">
        <v>378</v>
      </c>
      <c r="H3109">
        <v>0</v>
      </c>
      <c r="I3109" s="2">
        <v>0</v>
      </c>
      <c r="J3109" s="2">
        <v>0</v>
      </c>
      <c r="K3109" s="2">
        <v>0</v>
      </c>
      <c r="L3109" s="2">
        <v>0</v>
      </c>
      <c r="M3109">
        <v>0</v>
      </c>
      <c r="N3109">
        <v>0</v>
      </c>
      <c r="O3109" s="2">
        <v>0</v>
      </c>
      <c r="P3109" s="2">
        <v>0</v>
      </c>
      <c r="Q3109">
        <v>0</v>
      </c>
      <c r="R3109" s="2">
        <v>0</v>
      </c>
      <c r="S3109" s="2">
        <v>0</v>
      </c>
      <c r="T3109" t="s">
        <v>1424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</row>
    <row r="3110" spans="1:28" hidden="1" x14ac:dyDescent="0.25">
      <c r="A3110" t="s">
        <v>37</v>
      </c>
      <c r="B3110" t="s">
        <v>26</v>
      </c>
      <c r="C3110" t="s">
        <v>102</v>
      </c>
      <c r="D3110" s="9">
        <v>46068</v>
      </c>
      <c r="E3110" s="9">
        <v>46068</v>
      </c>
      <c r="F3110" s="2">
        <v>23</v>
      </c>
      <c r="G3110" s="3" t="s">
        <v>378</v>
      </c>
      <c r="H3110">
        <v>0</v>
      </c>
      <c r="I3110" s="2">
        <v>0</v>
      </c>
      <c r="J3110" s="2">
        <v>0</v>
      </c>
      <c r="K3110" s="2">
        <v>0</v>
      </c>
      <c r="L3110" s="2">
        <v>0</v>
      </c>
      <c r="M3110">
        <v>0</v>
      </c>
      <c r="N3110">
        <v>0</v>
      </c>
      <c r="O3110" s="2">
        <v>0</v>
      </c>
      <c r="P3110" s="2">
        <v>0</v>
      </c>
      <c r="Q3110">
        <v>0</v>
      </c>
      <c r="R3110" s="2">
        <v>0</v>
      </c>
      <c r="S3110" s="2">
        <v>0</v>
      </c>
      <c r="T3110" t="s">
        <v>1424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</row>
    <row r="3111" spans="1:28" hidden="1" x14ac:dyDescent="0.25">
      <c r="A3111" t="s">
        <v>63</v>
      </c>
      <c r="B3111" t="s">
        <v>47</v>
      </c>
      <c r="C3111" t="s">
        <v>35</v>
      </c>
      <c r="D3111" s="9">
        <v>46068</v>
      </c>
      <c r="E3111" s="9">
        <v>46068</v>
      </c>
      <c r="F3111" s="2">
        <v>21</v>
      </c>
      <c r="G3111" s="3" t="s">
        <v>378</v>
      </c>
      <c r="H3111">
        <v>0</v>
      </c>
      <c r="I3111" s="2">
        <v>0</v>
      </c>
      <c r="J3111" s="2">
        <v>0</v>
      </c>
      <c r="K3111" s="2">
        <v>0</v>
      </c>
      <c r="L3111" s="2">
        <v>0</v>
      </c>
      <c r="M3111">
        <v>0</v>
      </c>
      <c r="N3111">
        <v>0</v>
      </c>
      <c r="O3111" s="2">
        <v>0</v>
      </c>
      <c r="P3111" s="2">
        <v>0</v>
      </c>
      <c r="Q3111">
        <v>0</v>
      </c>
      <c r="R3111" s="2">
        <v>0</v>
      </c>
      <c r="S3111" s="2">
        <v>0</v>
      </c>
      <c r="T3111" t="s">
        <v>1125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</row>
    <row r="3112" spans="1:28" hidden="1" x14ac:dyDescent="0.25">
      <c r="A3112" t="s">
        <v>56</v>
      </c>
      <c r="B3112" t="s">
        <v>47</v>
      </c>
      <c r="C3112" t="s">
        <v>35</v>
      </c>
      <c r="D3112" s="9">
        <v>46068</v>
      </c>
      <c r="E3112" s="9">
        <v>46068</v>
      </c>
      <c r="F3112" s="2">
        <v>21</v>
      </c>
      <c r="G3112" s="3" t="s">
        <v>378</v>
      </c>
      <c r="H3112">
        <v>0</v>
      </c>
      <c r="I3112" s="2">
        <v>0</v>
      </c>
      <c r="J3112" s="2">
        <v>0</v>
      </c>
      <c r="K3112" s="2">
        <v>0</v>
      </c>
      <c r="L3112" s="2">
        <v>0</v>
      </c>
      <c r="M3112">
        <v>0</v>
      </c>
      <c r="N3112">
        <v>0</v>
      </c>
      <c r="O3112" s="2">
        <v>0</v>
      </c>
      <c r="P3112" s="2">
        <v>0</v>
      </c>
      <c r="Q3112">
        <v>0</v>
      </c>
      <c r="R3112" s="2">
        <v>0</v>
      </c>
      <c r="S3112" s="2">
        <v>0</v>
      </c>
      <c r="T3112" t="s">
        <v>1125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</row>
    <row r="3113" spans="1:28" hidden="1" x14ac:dyDescent="0.25">
      <c r="A3113" t="s">
        <v>730</v>
      </c>
      <c r="B3113" t="s">
        <v>47</v>
      </c>
      <c r="C3113" t="s">
        <v>35</v>
      </c>
      <c r="D3113" s="9">
        <v>46068</v>
      </c>
      <c r="E3113" s="9">
        <v>46068</v>
      </c>
      <c r="F3113" s="2">
        <v>21</v>
      </c>
      <c r="G3113" s="3" t="s">
        <v>409</v>
      </c>
      <c r="H3113">
        <v>0</v>
      </c>
      <c r="I3113" s="2">
        <v>0</v>
      </c>
      <c r="J3113" s="2">
        <v>0</v>
      </c>
      <c r="K3113" s="2">
        <v>0</v>
      </c>
      <c r="L3113" s="2">
        <v>0</v>
      </c>
      <c r="M3113">
        <v>0</v>
      </c>
      <c r="N3113">
        <v>0</v>
      </c>
      <c r="O3113" s="2">
        <v>0</v>
      </c>
      <c r="P3113" s="2">
        <v>0</v>
      </c>
      <c r="Q3113">
        <v>0</v>
      </c>
      <c r="R3113" s="2">
        <v>0</v>
      </c>
      <c r="S3113" s="2">
        <v>0</v>
      </c>
      <c r="T3113" t="s">
        <v>1125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</row>
    <row r="3114" spans="1:28" hidden="1" x14ac:dyDescent="0.25">
      <c r="A3114" t="s">
        <v>20</v>
      </c>
      <c r="B3114" t="s">
        <v>21</v>
      </c>
      <c r="C3114" t="s">
        <v>35</v>
      </c>
      <c r="D3114" s="9">
        <v>46068</v>
      </c>
      <c r="E3114" s="9">
        <v>46068</v>
      </c>
      <c r="F3114" s="2">
        <v>21</v>
      </c>
      <c r="G3114" s="3" t="s">
        <v>378</v>
      </c>
      <c r="H3114">
        <v>0</v>
      </c>
      <c r="I3114" s="2">
        <v>0</v>
      </c>
      <c r="J3114" s="2">
        <v>0</v>
      </c>
      <c r="K3114" s="2">
        <v>0</v>
      </c>
      <c r="L3114" s="2">
        <v>0</v>
      </c>
      <c r="M3114">
        <v>0</v>
      </c>
      <c r="N3114">
        <v>0</v>
      </c>
      <c r="O3114" s="2">
        <v>0</v>
      </c>
      <c r="P3114" s="2">
        <v>0</v>
      </c>
      <c r="Q3114">
        <v>0</v>
      </c>
      <c r="R3114" s="2">
        <v>0</v>
      </c>
      <c r="S3114" s="2">
        <v>0</v>
      </c>
      <c r="T3114" t="s">
        <v>1125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</row>
    <row r="3115" spans="1:28" hidden="1" x14ac:dyDescent="0.25">
      <c r="A3115" t="s">
        <v>47</v>
      </c>
      <c r="B3115" t="s">
        <v>52</v>
      </c>
      <c r="C3115" t="s">
        <v>35</v>
      </c>
      <c r="D3115" s="9">
        <v>46068</v>
      </c>
      <c r="E3115" s="9">
        <v>46068</v>
      </c>
      <c r="F3115" s="2">
        <v>21</v>
      </c>
      <c r="G3115" s="3" t="s">
        <v>378</v>
      </c>
      <c r="H3115">
        <v>0</v>
      </c>
      <c r="I3115" s="2">
        <v>0</v>
      </c>
      <c r="J3115" s="2">
        <v>0</v>
      </c>
      <c r="K3115" s="2">
        <v>0</v>
      </c>
      <c r="L3115" s="2">
        <v>0</v>
      </c>
      <c r="M3115">
        <v>0</v>
      </c>
      <c r="N3115">
        <v>0</v>
      </c>
      <c r="O3115" s="2">
        <v>0</v>
      </c>
      <c r="P3115" s="2">
        <v>0</v>
      </c>
      <c r="Q3115">
        <v>0</v>
      </c>
      <c r="R3115" s="2">
        <v>0</v>
      </c>
      <c r="S3115" s="2">
        <v>0</v>
      </c>
      <c r="T3115" t="s">
        <v>1125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</row>
    <row r="3116" spans="1:28" hidden="1" x14ac:dyDescent="0.25">
      <c r="A3116" t="s">
        <v>25</v>
      </c>
      <c r="B3116" t="s">
        <v>1237</v>
      </c>
      <c r="C3116" t="s">
        <v>64</v>
      </c>
      <c r="D3116" s="1">
        <v>46069</v>
      </c>
      <c r="E3116" s="1">
        <v>46069</v>
      </c>
      <c r="F3116" s="2">
        <v>18</v>
      </c>
      <c r="G3116" s="3" t="s">
        <v>23</v>
      </c>
      <c r="H3116">
        <f>1+3+1+2+1+1+1+1</f>
        <v>11</v>
      </c>
      <c r="I3116" s="2">
        <v>0</v>
      </c>
      <c r="J3116" s="2">
        <v>0</v>
      </c>
      <c r="K3116" s="2">
        <v>0</v>
      </c>
      <c r="L3116" s="2">
        <v>0</v>
      </c>
      <c r="M3116">
        <v>0</v>
      </c>
      <c r="N3116">
        <v>0</v>
      </c>
      <c r="O3116" s="2">
        <v>0</v>
      </c>
      <c r="P3116" s="2">
        <v>0</v>
      </c>
      <c r="Q3116">
        <v>0</v>
      </c>
      <c r="R3116" s="2">
        <v>0</v>
      </c>
      <c r="S3116" s="2">
        <v>0</v>
      </c>
      <c r="T3116" t="s">
        <v>1529</v>
      </c>
      <c r="U3116" s="2">
        <v>0</v>
      </c>
      <c r="V3116" s="2">
        <v>5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</row>
    <row r="3117" spans="1:28" hidden="1" x14ac:dyDescent="0.25">
      <c r="A3117" t="s">
        <v>56</v>
      </c>
      <c r="B3117" t="s">
        <v>30</v>
      </c>
      <c r="C3117" t="s">
        <v>64</v>
      </c>
      <c r="D3117" s="1">
        <v>46069</v>
      </c>
      <c r="E3117" s="1">
        <v>46069</v>
      </c>
      <c r="F3117" s="2">
        <v>18</v>
      </c>
      <c r="G3117" s="3" t="s">
        <v>23</v>
      </c>
      <c r="H3117">
        <v>0</v>
      </c>
      <c r="I3117" s="2">
        <v>0</v>
      </c>
      <c r="J3117" s="2">
        <v>0</v>
      </c>
      <c r="K3117" s="2">
        <v>0</v>
      </c>
      <c r="L3117" s="2">
        <v>0</v>
      </c>
      <c r="M3117">
        <v>0</v>
      </c>
      <c r="N3117">
        <v>0</v>
      </c>
      <c r="O3117" s="2">
        <v>0</v>
      </c>
      <c r="P3117" s="2">
        <v>0</v>
      </c>
      <c r="Q3117">
        <v>0</v>
      </c>
      <c r="R3117" s="2">
        <v>0</v>
      </c>
      <c r="S3117" s="2">
        <v>0</v>
      </c>
      <c r="T3117" t="s">
        <v>1530</v>
      </c>
      <c r="U3117" s="2">
        <v>0</v>
      </c>
      <c r="V3117" s="2">
        <v>14</v>
      </c>
      <c r="W3117" s="2">
        <v>1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</row>
    <row r="3118" spans="1:28" hidden="1" x14ac:dyDescent="0.25">
      <c r="A3118" t="s">
        <v>20</v>
      </c>
      <c r="B3118" t="s">
        <v>21</v>
      </c>
      <c r="C3118" t="s">
        <v>22</v>
      </c>
      <c r="D3118" s="1">
        <v>46069</v>
      </c>
      <c r="E3118" s="1">
        <v>46069</v>
      </c>
      <c r="F3118" s="2">
        <v>65</v>
      </c>
      <c r="G3118" s="3" t="s">
        <v>23</v>
      </c>
      <c r="H3118">
        <v>12</v>
      </c>
      <c r="I3118" s="2">
        <v>0</v>
      </c>
      <c r="J3118" s="2">
        <v>0</v>
      </c>
      <c r="K3118" s="2">
        <v>0</v>
      </c>
      <c r="L3118" s="2">
        <v>0</v>
      </c>
      <c r="M3118">
        <v>1</v>
      </c>
      <c r="N3118">
        <v>0</v>
      </c>
      <c r="O3118" s="2">
        <v>0</v>
      </c>
      <c r="P3118" s="2">
        <v>0</v>
      </c>
      <c r="Q3118">
        <v>0</v>
      </c>
      <c r="R3118" s="2">
        <v>0</v>
      </c>
      <c r="S3118" s="2">
        <v>0</v>
      </c>
      <c r="T3118" t="s">
        <v>1531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</row>
    <row r="3119" spans="1:28" hidden="1" x14ac:dyDescent="0.25">
      <c r="A3119" t="s">
        <v>33</v>
      </c>
      <c r="B3119" t="s">
        <v>34</v>
      </c>
      <c r="C3119" t="s">
        <v>102</v>
      </c>
      <c r="D3119" s="1">
        <v>46069</v>
      </c>
      <c r="E3119" s="1">
        <v>46069</v>
      </c>
      <c r="F3119" s="2">
        <v>23</v>
      </c>
      <c r="G3119" s="3" t="s">
        <v>572</v>
      </c>
      <c r="H3119">
        <v>0</v>
      </c>
      <c r="I3119" s="2">
        <v>0</v>
      </c>
      <c r="J3119" s="2">
        <v>0</v>
      </c>
      <c r="K3119" s="2">
        <v>0</v>
      </c>
      <c r="L3119" s="2">
        <v>0</v>
      </c>
      <c r="M3119">
        <v>0</v>
      </c>
      <c r="N3119">
        <v>0</v>
      </c>
      <c r="O3119" s="2">
        <v>0</v>
      </c>
      <c r="P3119" s="2">
        <v>0</v>
      </c>
      <c r="Q3119">
        <v>0</v>
      </c>
      <c r="R3119" s="2">
        <v>0</v>
      </c>
      <c r="S3119" s="2">
        <v>0</v>
      </c>
      <c r="T3119" t="s">
        <v>1424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</row>
    <row r="3120" spans="1:28" hidden="1" x14ac:dyDescent="0.25">
      <c r="A3120" t="s">
        <v>29</v>
      </c>
      <c r="B3120" t="s">
        <v>57</v>
      </c>
      <c r="C3120" t="s">
        <v>102</v>
      </c>
      <c r="D3120" s="1">
        <v>46069</v>
      </c>
      <c r="E3120" s="1">
        <v>46069</v>
      </c>
      <c r="F3120" s="2">
        <v>23</v>
      </c>
      <c r="G3120" s="3" t="s">
        <v>572</v>
      </c>
      <c r="H3120">
        <v>0</v>
      </c>
      <c r="I3120" s="2">
        <v>0</v>
      </c>
      <c r="J3120" s="2">
        <v>0</v>
      </c>
      <c r="K3120" s="2">
        <v>0</v>
      </c>
      <c r="L3120" s="2">
        <v>0</v>
      </c>
      <c r="M3120">
        <v>0</v>
      </c>
      <c r="N3120">
        <v>0</v>
      </c>
      <c r="O3120" s="2">
        <v>0</v>
      </c>
      <c r="P3120" s="2">
        <v>0</v>
      </c>
      <c r="Q3120">
        <v>0</v>
      </c>
      <c r="R3120" s="2">
        <v>0</v>
      </c>
      <c r="S3120" s="2">
        <v>0</v>
      </c>
      <c r="T3120" t="s">
        <v>1424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</row>
    <row r="3121" spans="1:28" hidden="1" x14ac:dyDescent="0.25">
      <c r="A3121" t="s">
        <v>568</v>
      </c>
      <c r="B3121" t="s">
        <v>1323</v>
      </c>
      <c r="C3121" t="s">
        <v>102</v>
      </c>
      <c r="D3121" s="1">
        <v>46069</v>
      </c>
      <c r="E3121" s="1">
        <v>46069</v>
      </c>
      <c r="F3121" s="2">
        <v>23</v>
      </c>
      <c r="G3121" s="3" t="s">
        <v>572</v>
      </c>
      <c r="H3121">
        <v>0</v>
      </c>
      <c r="I3121" s="2">
        <v>0</v>
      </c>
      <c r="J3121" s="2">
        <v>0</v>
      </c>
      <c r="K3121" s="2">
        <v>0</v>
      </c>
      <c r="L3121" s="2">
        <v>0</v>
      </c>
      <c r="M3121">
        <v>0</v>
      </c>
      <c r="N3121">
        <v>0</v>
      </c>
      <c r="O3121" s="2">
        <v>0</v>
      </c>
      <c r="P3121" s="2">
        <v>0</v>
      </c>
      <c r="Q3121">
        <v>0</v>
      </c>
      <c r="R3121" s="2">
        <v>0</v>
      </c>
      <c r="S3121" s="2">
        <v>0</v>
      </c>
      <c r="T3121" t="s">
        <v>1424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</row>
    <row r="3122" spans="1:28" hidden="1" x14ac:dyDescent="0.25">
      <c r="A3122" t="s">
        <v>63</v>
      </c>
      <c r="B3122" t="s">
        <v>1160</v>
      </c>
      <c r="C3122" t="s">
        <v>102</v>
      </c>
      <c r="D3122" s="1">
        <v>46069</v>
      </c>
      <c r="E3122" s="1">
        <v>46069</v>
      </c>
      <c r="F3122" s="2">
        <v>23</v>
      </c>
      <c r="G3122" s="3" t="s">
        <v>48</v>
      </c>
      <c r="H3122">
        <v>0</v>
      </c>
      <c r="I3122" s="2">
        <v>0</v>
      </c>
      <c r="J3122" s="2">
        <v>0</v>
      </c>
      <c r="K3122" s="2">
        <v>0</v>
      </c>
      <c r="L3122" s="2">
        <v>0</v>
      </c>
      <c r="M3122">
        <v>0</v>
      </c>
      <c r="N3122">
        <v>0</v>
      </c>
      <c r="O3122" s="2">
        <v>0</v>
      </c>
      <c r="P3122" s="2">
        <v>0</v>
      </c>
      <c r="Q3122">
        <v>0</v>
      </c>
      <c r="R3122" s="2">
        <v>0</v>
      </c>
      <c r="S3122" s="2">
        <v>0</v>
      </c>
      <c r="T3122" t="s">
        <v>1424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</row>
    <row r="3123" spans="1:28" hidden="1" x14ac:dyDescent="0.25">
      <c r="A3123" t="s">
        <v>37</v>
      </c>
      <c r="B3123" t="s">
        <v>26</v>
      </c>
      <c r="C3123" t="s">
        <v>102</v>
      </c>
      <c r="D3123" s="1">
        <v>46069</v>
      </c>
      <c r="E3123" s="1">
        <v>46069</v>
      </c>
      <c r="F3123" s="2">
        <v>23</v>
      </c>
      <c r="G3123" s="3" t="s">
        <v>129</v>
      </c>
      <c r="H3123">
        <v>0</v>
      </c>
      <c r="I3123" s="2">
        <v>0</v>
      </c>
      <c r="J3123" s="2">
        <v>0</v>
      </c>
      <c r="K3123" s="2">
        <v>0</v>
      </c>
      <c r="L3123" s="2">
        <v>0</v>
      </c>
      <c r="M3123">
        <v>0</v>
      </c>
      <c r="N3123">
        <v>0</v>
      </c>
      <c r="O3123" s="2">
        <v>0</v>
      </c>
      <c r="P3123" s="2">
        <v>0</v>
      </c>
      <c r="Q3123">
        <v>0</v>
      </c>
      <c r="R3123" s="2">
        <v>0</v>
      </c>
      <c r="S3123" s="2">
        <v>0</v>
      </c>
      <c r="T3123" t="s">
        <v>1424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</row>
    <row r="3124" spans="1:28" hidden="1" x14ac:dyDescent="0.25">
      <c r="A3124" t="s">
        <v>53</v>
      </c>
      <c r="B3124" t="s">
        <v>38</v>
      </c>
      <c r="C3124" t="s">
        <v>35</v>
      </c>
      <c r="D3124" s="1">
        <v>46069</v>
      </c>
      <c r="E3124" s="1">
        <v>46069</v>
      </c>
      <c r="F3124" s="2">
        <v>21</v>
      </c>
      <c r="G3124" s="3" t="s">
        <v>129</v>
      </c>
      <c r="H3124">
        <v>0</v>
      </c>
      <c r="I3124" s="2">
        <v>0</v>
      </c>
      <c r="J3124" s="2">
        <v>0</v>
      </c>
      <c r="K3124" s="2">
        <v>0</v>
      </c>
      <c r="L3124" s="2">
        <v>0</v>
      </c>
      <c r="M3124">
        <v>0</v>
      </c>
      <c r="N3124">
        <v>0</v>
      </c>
      <c r="O3124" s="2">
        <v>0</v>
      </c>
      <c r="P3124" s="2">
        <v>0</v>
      </c>
      <c r="Q3124">
        <v>0</v>
      </c>
      <c r="R3124" s="2">
        <v>0</v>
      </c>
      <c r="S3124" s="2">
        <v>0</v>
      </c>
      <c r="T3124" t="s">
        <v>1125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</row>
    <row r="3125" spans="1:28" hidden="1" x14ac:dyDescent="0.25">
      <c r="A3125" t="s">
        <v>47</v>
      </c>
      <c r="B3125" t="s">
        <v>284</v>
      </c>
      <c r="C3125" t="s">
        <v>35</v>
      </c>
      <c r="D3125" s="1">
        <v>46069</v>
      </c>
      <c r="E3125" s="1">
        <v>46069</v>
      </c>
      <c r="F3125" s="2">
        <v>21</v>
      </c>
      <c r="G3125" s="3" t="s">
        <v>129</v>
      </c>
      <c r="H3125">
        <v>0</v>
      </c>
      <c r="I3125" s="2">
        <v>0</v>
      </c>
      <c r="J3125" s="2">
        <v>0</v>
      </c>
      <c r="K3125" s="2">
        <v>0</v>
      </c>
      <c r="L3125" s="2">
        <v>0</v>
      </c>
      <c r="M3125">
        <v>0</v>
      </c>
      <c r="N3125">
        <v>0</v>
      </c>
      <c r="O3125" s="2">
        <v>0</v>
      </c>
      <c r="P3125" s="2">
        <v>0</v>
      </c>
      <c r="Q3125">
        <v>0</v>
      </c>
      <c r="R3125" s="2">
        <v>0</v>
      </c>
      <c r="S3125" s="2">
        <v>0</v>
      </c>
      <c r="T3125" t="s">
        <v>1125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</row>
    <row r="3126" spans="1:28" hidden="1" x14ac:dyDescent="0.25">
      <c r="A3126" t="s">
        <v>730</v>
      </c>
      <c r="B3126" t="s">
        <v>47</v>
      </c>
      <c r="C3126" t="s">
        <v>35</v>
      </c>
      <c r="D3126" s="1">
        <v>46069</v>
      </c>
      <c r="E3126" s="1">
        <v>46069</v>
      </c>
      <c r="F3126" s="2">
        <v>21</v>
      </c>
      <c r="G3126" s="3" t="s">
        <v>409</v>
      </c>
      <c r="H3126">
        <v>0</v>
      </c>
      <c r="I3126" s="2">
        <v>0</v>
      </c>
      <c r="J3126" s="2">
        <v>0</v>
      </c>
      <c r="K3126" s="2">
        <v>0</v>
      </c>
      <c r="L3126" s="2">
        <v>0</v>
      </c>
      <c r="M3126">
        <v>0</v>
      </c>
      <c r="N3126">
        <v>0</v>
      </c>
      <c r="O3126" s="2">
        <v>0</v>
      </c>
      <c r="P3126" s="2">
        <v>0</v>
      </c>
      <c r="Q3126">
        <v>0</v>
      </c>
      <c r="R3126" s="2">
        <v>0</v>
      </c>
      <c r="S3126" s="2">
        <v>0</v>
      </c>
      <c r="T3126" t="s">
        <v>1125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</row>
    <row r="3127" spans="1:28" hidden="1" x14ac:dyDescent="0.25">
      <c r="A3127" t="s">
        <v>1431</v>
      </c>
      <c r="B3127" t="s">
        <v>47</v>
      </c>
      <c r="C3127" t="s">
        <v>35</v>
      </c>
      <c r="D3127" s="1">
        <v>46069</v>
      </c>
      <c r="E3127" s="1">
        <v>46069</v>
      </c>
      <c r="F3127" s="2">
        <v>21</v>
      </c>
      <c r="G3127" s="3" t="s">
        <v>409</v>
      </c>
      <c r="H3127">
        <v>0</v>
      </c>
      <c r="I3127" s="2">
        <v>0</v>
      </c>
      <c r="J3127" s="2">
        <v>0</v>
      </c>
      <c r="K3127" s="2">
        <v>0</v>
      </c>
      <c r="L3127" s="2">
        <v>0</v>
      </c>
      <c r="M3127">
        <v>0</v>
      </c>
      <c r="N3127">
        <v>0</v>
      </c>
      <c r="O3127" s="2">
        <v>0</v>
      </c>
      <c r="P3127" s="2">
        <v>0</v>
      </c>
      <c r="Q3127">
        <v>0</v>
      </c>
      <c r="R3127" s="2">
        <v>0</v>
      </c>
      <c r="S3127" s="2">
        <v>0</v>
      </c>
      <c r="T3127" t="s">
        <v>1125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</row>
    <row r="3128" spans="1:28" hidden="1" x14ac:dyDescent="0.25">
      <c r="A3128" t="s">
        <v>47</v>
      </c>
      <c r="B3128" t="s">
        <v>52</v>
      </c>
      <c r="C3128" t="s">
        <v>35</v>
      </c>
      <c r="D3128" s="1">
        <v>46069</v>
      </c>
      <c r="E3128" s="1">
        <v>46069</v>
      </c>
      <c r="F3128" s="2">
        <v>21</v>
      </c>
      <c r="G3128" s="3" t="s">
        <v>409</v>
      </c>
      <c r="H3128">
        <v>0</v>
      </c>
      <c r="I3128" s="2">
        <v>0</v>
      </c>
      <c r="J3128" s="2">
        <v>0</v>
      </c>
      <c r="K3128" s="2">
        <v>0</v>
      </c>
      <c r="L3128" s="2">
        <v>0</v>
      </c>
      <c r="M3128">
        <v>0</v>
      </c>
      <c r="N3128">
        <v>0</v>
      </c>
      <c r="O3128" s="2">
        <v>0</v>
      </c>
      <c r="P3128" s="2">
        <v>0</v>
      </c>
      <c r="Q3128">
        <v>0</v>
      </c>
      <c r="R3128" s="2">
        <v>0</v>
      </c>
      <c r="S3128" s="2">
        <v>0</v>
      </c>
      <c r="T3128" t="s">
        <v>1125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</row>
    <row r="3129" spans="1:28" hidden="1" x14ac:dyDescent="0.25">
      <c r="A3129" t="s">
        <v>56</v>
      </c>
      <c r="B3129" t="s">
        <v>57</v>
      </c>
      <c r="C3129" t="s">
        <v>64</v>
      </c>
      <c r="D3129" s="1">
        <v>46070</v>
      </c>
      <c r="E3129" s="1">
        <v>46070</v>
      </c>
      <c r="F3129" s="2">
        <v>20</v>
      </c>
      <c r="G3129" s="3" t="s">
        <v>23</v>
      </c>
      <c r="H3129">
        <v>20</v>
      </c>
      <c r="I3129" s="2">
        <v>0</v>
      </c>
      <c r="J3129" s="2">
        <v>0</v>
      </c>
      <c r="K3129" s="2">
        <v>0</v>
      </c>
      <c r="L3129" s="2">
        <v>1</v>
      </c>
      <c r="M3129">
        <v>0</v>
      </c>
      <c r="N3129">
        <v>0</v>
      </c>
      <c r="O3129" s="2">
        <v>0</v>
      </c>
      <c r="P3129" s="2">
        <v>0</v>
      </c>
      <c r="Q3129">
        <v>0</v>
      </c>
      <c r="R3129" s="2">
        <v>0</v>
      </c>
      <c r="S3129" s="2">
        <v>0</v>
      </c>
      <c r="T3129" t="s">
        <v>1532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</row>
    <row r="3130" spans="1:28" hidden="1" x14ac:dyDescent="0.25">
      <c r="A3130" t="s">
        <v>29</v>
      </c>
      <c r="B3130" t="s">
        <v>30</v>
      </c>
      <c r="C3130" t="s">
        <v>31</v>
      </c>
      <c r="D3130" s="1">
        <v>46070</v>
      </c>
      <c r="E3130" s="1">
        <v>46070</v>
      </c>
      <c r="F3130" s="2">
        <v>22</v>
      </c>
      <c r="G3130" s="3" t="s">
        <v>23</v>
      </c>
      <c r="H3130">
        <f>8+8+1+1+1+1</f>
        <v>20</v>
      </c>
      <c r="I3130" s="2">
        <v>0</v>
      </c>
      <c r="J3130" s="2">
        <v>0</v>
      </c>
      <c r="K3130" s="2">
        <v>1</v>
      </c>
      <c r="L3130" s="2">
        <v>0</v>
      </c>
      <c r="M3130">
        <v>0</v>
      </c>
      <c r="N3130">
        <v>0</v>
      </c>
      <c r="O3130" s="2">
        <v>0</v>
      </c>
      <c r="P3130" s="2">
        <v>0</v>
      </c>
      <c r="Q3130">
        <v>0</v>
      </c>
      <c r="R3130" s="2">
        <v>0</v>
      </c>
      <c r="S3130" s="2">
        <v>0</v>
      </c>
      <c r="T3130" t="s">
        <v>1533</v>
      </c>
      <c r="U3130" s="2">
        <v>0</v>
      </c>
      <c r="V3130" s="2">
        <v>4</v>
      </c>
      <c r="W3130" s="2">
        <v>1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</row>
    <row r="3131" spans="1:28" hidden="1" x14ac:dyDescent="0.25">
      <c r="A3131" t="s">
        <v>25</v>
      </c>
      <c r="B3131" t="s">
        <v>1237</v>
      </c>
      <c r="C3131" t="s">
        <v>27</v>
      </c>
      <c r="D3131" s="1">
        <v>46070</v>
      </c>
      <c r="E3131" s="1">
        <v>46070</v>
      </c>
      <c r="F3131" s="2">
        <v>34</v>
      </c>
      <c r="G3131" s="3" t="s">
        <v>23</v>
      </c>
      <c r="H3131">
        <f>18+18</f>
        <v>36</v>
      </c>
      <c r="I3131" s="2">
        <v>0</v>
      </c>
      <c r="J3131" s="2">
        <v>0</v>
      </c>
      <c r="K3131" s="2">
        <v>1</v>
      </c>
      <c r="L3131" s="2">
        <v>0</v>
      </c>
      <c r="M3131">
        <v>0</v>
      </c>
      <c r="N3131">
        <v>0</v>
      </c>
      <c r="O3131" s="2">
        <v>0</v>
      </c>
      <c r="P3131" s="2">
        <v>0</v>
      </c>
      <c r="Q3131">
        <v>0</v>
      </c>
      <c r="R3131" s="2">
        <v>0</v>
      </c>
      <c r="S3131" s="2">
        <v>0</v>
      </c>
      <c r="T3131" t="s">
        <v>1534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</row>
    <row r="3132" spans="1:28" hidden="1" x14ac:dyDescent="0.25">
      <c r="A3132" t="s">
        <v>33</v>
      </c>
      <c r="B3132" t="s">
        <v>34</v>
      </c>
      <c r="C3132" t="s">
        <v>35</v>
      </c>
      <c r="D3132" s="1">
        <v>46070</v>
      </c>
      <c r="E3132" s="1">
        <v>46070</v>
      </c>
      <c r="F3132" s="2">
        <v>52</v>
      </c>
      <c r="G3132" s="3" t="s">
        <v>23</v>
      </c>
      <c r="H3132">
        <v>43</v>
      </c>
      <c r="I3132" s="2">
        <v>0</v>
      </c>
      <c r="J3132" s="2">
        <v>0</v>
      </c>
      <c r="K3132" s="2">
        <v>1</v>
      </c>
      <c r="L3132" s="2">
        <v>0</v>
      </c>
      <c r="M3132">
        <v>1</v>
      </c>
      <c r="N3132">
        <v>0</v>
      </c>
      <c r="O3132" s="2">
        <v>0</v>
      </c>
      <c r="P3132" s="2">
        <v>0</v>
      </c>
      <c r="Q3132">
        <v>0</v>
      </c>
      <c r="R3132" s="2">
        <v>0</v>
      </c>
      <c r="S3132" s="2">
        <v>0</v>
      </c>
      <c r="T3132" t="s">
        <v>1535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</row>
    <row r="3133" spans="1:28" hidden="1" x14ac:dyDescent="0.25">
      <c r="A3133" t="s">
        <v>63</v>
      </c>
      <c r="B3133" t="s">
        <v>1160</v>
      </c>
      <c r="C3133" t="s">
        <v>102</v>
      </c>
      <c r="D3133" s="1">
        <v>46070</v>
      </c>
      <c r="E3133" s="1">
        <v>46070</v>
      </c>
      <c r="F3133" s="2">
        <v>72</v>
      </c>
      <c r="G3133" s="3" t="s">
        <v>23</v>
      </c>
      <c r="H3133">
        <v>32</v>
      </c>
      <c r="I3133" s="2">
        <v>0</v>
      </c>
      <c r="J3133" s="2">
        <v>0</v>
      </c>
      <c r="K3133" s="2">
        <v>1</v>
      </c>
      <c r="L3133" s="2">
        <v>0</v>
      </c>
      <c r="M3133">
        <v>0</v>
      </c>
      <c r="N3133">
        <v>0</v>
      </c>
      <c r="O3133" s="2">
        <v>0</v>
      </c>
      <c r="P3133" s="2">
        <v>0</v>
      </c>
      <c r="Q3133">
        <v>2</v>
      </c>
      <c r="R3133" s="2">
        <v>0</v>
      </c>
      <c r="S3133" s="2">
        <v>0</v>
      </c>
      <c r="T3133" t="s">
        <v>1536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</row>
    <row r="3134" spans="1:28" hidden="1" x14ac:dyDescent="0.25">
      <c r="A3134" t="s">
        <v>20</v>
      </c>
      <c r="B3134" t="s">
        <v>21</v>
      </c>
      <c r="C3134" t="s">
        <v>22</v>
      </c>
      <c r="D3134" s="1">
        <v>46070</v>
      </c>
      <c r="E3134" s="1">
        <v>46070</v>
      </c>
      <c r="F3134" s="2">
        <v>22</v>
      </c>
      <c r="G3134" s="3" t="s">
        <v>23</v>
      </c>
      <c r="H3134">
        <v>33</v>
      </c>
      <c r="I3134" s="2">
        <v>0</v>
      </c>
      <c r="J3134" s="2">
        <v>0</v>
      </c>
      <c r="K3134" s="2">
        <v>1</v>
      </c>
      <c r="L3134" s="2">
        <v>0</v>
      </c>
      <c r="M3134">
        <v>0</v>
      </c>
      <c r="N3134">
        <v>0</v>
      </c>
      <c r="O3134" s="2">
        <v>0</v>
      </c>
      <c r="P3134" s="2">
        <v>0</v>
      </c>
      <c r="Q3134">
        <v>0</v>
      </c>
      <c r="R3134" s="2">
        <v>0</v>
      </c>
      <c r="S3134" s="2">
        <v>0</v>
      </c>
      <c r="T3134" t="s">
        <v>1537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</row>
    <row r="3135" spans="1:28" hidden="1" x14ac:dyDescent="0.25">
      <c r="A3135" t="s">
        <v>730</v>
      </c>
      <c r="B3135" t="s">
        <v>47</v>
      </c>
      <c r="C3135" t="s">
        <v>35</v>
      </c>
      <c r="D3135" s="1">
        <v>46070</v>
      </c>
      <c r="E3135" s="1">
        <v>46070</v>
      </c>
      <c r="F3135" s="2">
        <v>21</v>
      </c>
      <c r="G3135" s="3" t="s">
        <v>409</v>
      </c>
      <c r="H3135">
        <v>0</v>
      </c>
      <c r="I3135" s="2">
        <v>0</v>
      </c>
      <c r="J3135" s="2">
        <v>0</v>
      </c>
      <c r="K3135" s="2">
        <v>0</v>
      </c>
      <c r="L3135" s="2">
        <v>0</v>
      </c>
      <c r="M3135">
        <v>0</v>
      </c>
      <c r="N3135">
        <v>0</v>
      </c>
      <c r="O3135" s="2">
        <v>0</v>
      </c>
      <c r="P3135" s="2">
        <v>0</v>
      </c>
      <c r="Q3135">
        <v>0</v>
      </c>
      <c r="R3135" s="2">
        <v>0</v>
      </c>
      <c r="S3135" s="2">
        <v>0</v>
      </c>
      <c r="T3135" t="s">
        <v>1125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</row>
    <row r="3136" spans="1:28" hidden="1" x14ac:dyDescent="0.25">
      <c r="A3136" t="s">
        <v>47</v>
      </c>
      <c r="B3136" t="s">
        <v>52</v>
      </c>
      <c r="C3136" t="s">
        <v>35</v>
      </c>
      <c r="D3136" s="1">
        <v>46070</v>
      </c>
      <c r="E3136" s="1">
        <v>46070</v>
      </c>
      <c r="F3136" s="2">
        <v>21</v>
      </c>
      <c r="G3136" s="3" t="s">
        <v>409</v>
      </c>
      <c r="H3136">
        <v>0</v>
      </c>
      <c r="I3136" s="2">
        <v>0</v>
      </c>
      <c r="J3136" s="2">
        <v>0</v>
      </c>
      <c r="K3136" s="2">
        <v>0</v>
      </c>
      <c r="L3136" s="2">
        <v>0</v>
      </c>
      <c r="M3136">
        <v>0</v>
      </c>
      <c r="N3136">
        <v>0</v>
      </c>
      <c r="O3136" s="2">
        <v>0</v>
      </c>
      <c r="P3136" s="2">
        <v>0</v>
      </c>
      <c r="Q3136">
        <v>0</v>
      </c>
      <c r="R3136" s="2">
        <v>0</v>
      </c>
      <c r="S3136" s="2">
        <v>0</v>
      </c>
      <c r="T3136" t="s">
        <v>1125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</row>
    <row r="3137" spans="1:28" hidden="1" x14ac:dyDescent="0.25">
      <c r="A3137" t="s">
        <v>568</v>
      </c>
      <c r="B3137" t="s">
        <v>1323</v>
      </c>
      <c r="C3137" t="s">
        <v>102</v>
      </c>
      <c r="D3137" s="1">
        <v>46070</v>
      </c>
      <c r="E3137" s="1">
        <v>46070</v>
      </c>
      <c r="F3137" s="2">
        <v>23</v>
      </c>
      <c r="G3137" s="3" t="s">
        <v>48</v>
      </c>
      <c r="H3137">
        <v>0</v>
      </c>
      <c r="I3137" s="2">
        <v>0</v>
      </c>
      <c r="J3137" s="2">
        <v>0</v>
      </c>
      <c r="K3137" s="2">
        <v>0</v>
      </c>
      <c r="L3137" s="2">
        <v>0</v>
      </c>
      <c r="M3137">
        <v>0</v>
      </c>
      <c r="N3137">
        <v>0</v>
      </c>
      <c r="O3137" s="2">
        <v>0</v>
      </c>
      <c r="P3137" s="2">
        <v>0</v>
      </c>
      <c r="Q3137">
        <v>0</v>
      </c>
      <c r="R3137" s="2">
        <v>0</v>
      </c>
      <c r="S3137" s="2">
        <v>0</v>
      </c>
      <c r="T3137" t="s">
        <v>1424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</row>
    <row r="3138" spans="1:28" hidden="1" x14ac:dyDescent="0.25">
      <c r="A3138" t="s">
        <v>1431</v>
      </c>
      <c r="B3138" t="s">
        <v>47</v>
      </c>
      <c r="C3138" t="s">
        <v>102</v>
      </c>
      <c r="D3138" s="1">
        <v>46070</v>
      </c>
      <c r="E3138" s="1">
        <v>46070</v>
      </c>
      <c r="F3138" s="2">
        <v>23</v>
      </c>
      <c r="G3138" s="3" t="s">
        <v>48</v>
      </c>
      <c r="H3138">
        <v>0</v>
      </c>
      <c r="I3138" s="2">
        <v>0</v>
      </c>
      <c r="J3138" s="2">
        <v>0</v>
      </c>
      <c r="K3138" s="2">
        <v>0</v>
      </c>
      <c r="L3138" s="2">
        <v>0</v>
      </c>
      <c r="M3138">
        <v>0</v>
      </c>
      <c r="N3138">
        <v>0</v>
      </c>
      <c r="O3138" s="2">
        <v>0</v>
      </c>
      <c r="P3138" s="2">
        <v>0</v>
      </c>
      <c r="Q3138">
        <v>0</v>
      </c>
      <c r="R3138" s="2">
        <v>0</v>
      </c>
      <c r="S3138" s="2">
        <v>0</v>
      </c>
      <c r="T3138" t="s">
        <v>1424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</row>
    <row r="3139" spans="1:28" hidden="1" x14ac:dyDescent="0.25">
      <c r="A3139" t="s">
        <v>37</v>
      </c>
      <c r="B3139" t="s">
        <v>26</v>
      </c>
      <c r="C3139" t="s">
        <v>102</v>
      </c>
      <c r="D3139" s="1">
        <v>46070</v>
      </c>
      <c r="E3139" s="1">
        <v>46070</v>
      </c>
      <c r="F3139" s="2">
        <v>23</v>
      </c>
      <c r="G3139" s="3" t="s">
        <v>129</v>
      </c>
      <c r="H3139">
        <v>0</v>
      </c>
      <c r="I3139" s="2">
        <v>0</v>
      </c>
      <c r="J3139" s="2">
        <v>0</v>
      </c>
      <c r="K3139" s="2">
        <v>0</v>
      </c>
      <c r="L3139" s="2">
        <v>0</v>
      </c>
      <c r="M3139">
        <v>0</v>
      </c>
      <c r="N3139">
        <v>0</v>
      </c>
      <c r="O3139" s="2">
        <v>0</v>
      </c>
      <c r="P3139" s="2">
        <v>0</v>
      </c>
      <c r="Q3139">
        <v>0</v>
      </c>
      <c r="R3139" s="2">
        <v>0</v>
      </c>
      <c r="S3139" s="2">
        <v>0</v>
      </c>
      <c r="T3139" t="s">
        <v>1424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</row>
    <row r="3140" spans="1:28" hidden="1" x14ac:dyDescent="0.25">
      <c r="A3140" t="s">
        <v>53</v>
      </c>
      <c r="B3140" t="s">
        <v>38</v>
      </c>
      <c r="C3140" t="s">
        <v>35</v>
      </c>
      <c r="D3140" s="1">
        <v>46070</v>
      </c>
      <c r="E3140" s="1">
        <v>46070</v>
      </c>
      <c r="F3140" s="2">
        <v>21</v>
      </c>
      <c r="G3140" s="3" t="s">
        <v>129</v>
      </c>
      <c r="H3140">
        <v>0</v>
      </c>
      <c r="I3140" s="2">
        <v>0</v>
      </c>
      <c r="J3140" s="2">
        <v>0</v>
      </c>
      <c r="K3140" s="2">
        <v>0</v>
      </c>
      <c r="L3140" s="2">
        <v>0</v>
      </c>
      <c r="M3140">
        <v>0</v>
      </c>
      <c r="N3140">
        <v>0</v>
      </c>
      <c r="O3140" s="2">
        <v>0</v>
      </c>
      <c r="P3140" s="2">
        <v>0</v>
      </c>
      <c r="Q3140">
        <v>0</v>
      </c>
      <c r="R3140" s="2">
        <v>0</v>
      </c>
      <c r="S3140" s="2">
        <v>0</v>
      </c>
      <c r="T3140" t="s">
        <v>1125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</row>
    <row r="3141" spans="1:28" hidden="1" x14ac:dyDescent="0.25">
      <c r="A3141" t="s">
        <v>47</v>
      </c>
      <c r="B3141" t="s">
        <v>284</v>
      </c>
      <c r="C3141" t="s">
        <v>35</v>
      </c>
      <c r="D3141" s="1">
        <v>46070</v>
      </c>
      <c r="E3141" s="1">
        <v>46070</v>
      </c>
      <c r="F3141" s="2">
        <v>21</v>
      </c>
      <c r="G3141" s="3" t="s">
        <v>129</v>
      </c>
      <c r="H3141">
        <v>0</v>
      </c>
      <c r="I3141" s="2">
        <v>0</v>
      </c>
      <c r="J3141" s="2">
        <v>0</v>
      </c>
      <c r="K3141" s="2">
        <v>0</v>
      </c>
      <c r="L3141" s="2">
        <v>0</v>
      </c>
      <c r="M3141">
        <v>0</v>
      </c>
      <c r="N3141">
        <v>0</v>
      </c>
      <c r="O3141" s="2">
        <v>0</v>
      </c>
      <c r="P3141" s="2">
        <v>0</v>
      </c>
      <c r="Q3141">
        <v>0</v>
      </c>
      <c r="R3141" s="2">
        <v>0</v>
      </c>
      <c r="S3141" s="2">
        <v>0</v>
      </c>
      <c r="T3141" t="s">
        <v>1125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</row>
    <row r="3142" spans="1:28" hidden="1" x14ac:dyDescent="0.25">
      <c r="A3142" t="s">
        <v>56</v>
      </c>
      <c r="B3142" t="s">
        <v>57</v>
      </c>
      <c r="C3142" t="s">
        <v>64</v>
      </c>
      <c r="D3142" s="1">
        <v>46071</v>
      </c>
      <c r="E3142" s="1">
        <v>46071</v>
      </c>
      <c r="F3142" s="2">
        <v>44</v>
      </c>
      <c r="G3142" s="3" t="s">
        <v>23</v>
      </c>
      <c r="H3142">
        <v>34</v>
      </c>
      <c r="I3142" s="2">
        <v>0</v>
      </c>
      <c r="J3142" s="2">
        <v>0</v>
      </c>
      <c r="K3142" s="2">
        <v>1</v>
      </c>
      <c r="L3142" s="2">
        <v>0</v>
      </c>
      <c r="M3142">
        <v>0</v>
      </c>
      <c r="N3142">
        <v>0</v>
      </c>
      <c r="O3142" s="2">
        <v>0</v>
      </c>
      <c r="P3142" s="2">
        <v>0</v>
      </c>
      <c r="Q3142">
        <v>0</v>
      </c>
      <c r="R3142" s="2">
        <v>0</v>
      </c>
      <c r="S3142" s="2">
        <v>0</v>
      </c>
      <c r="T3142" t="s">
        <v>1538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</row>
    <row r="3143" spans="1:28" hidden="1" x14ac:dyDescent="0.25">
      <c r="A3143" t="s">
        <v>25</v>
      </c>
      <c r="B3143" t="s">
        <v>1237</v>
      </c>
      <c r="C3143" t="s">
        <v>27</v>
      </c>
      <c r="D3143" s="1">
        <v>46071</v>
      </c>
      <c r="E3143" s="1">
        <v>46071</v>
      </c>
      <c r="F3143" s="2">
        <v>66</v>
      </c>
      <c r="G3143" s="3" t="s">
        <v>23</v>
      </c>
      <c r="H3143">
        <v>35</v>
      </c>
      <c r="I3143" s="2">
        <v>0</v>
      </c>
      <c r="J3143" s="2">
        <v>0</v>
      </c>
      <c r="K3143" s="2">
        <v>0</v>
      </c>
      <c r="L3143" s="2">
        <v>1</v>
      </c>
      <c r="M3143">
        <v>0</v>
      </c>
      <c r="N3143">
        <v>0</v>
      </c>
      <c r="O3143" s="2">
        <v>0</v>
      </c>
      <c r="P3143" s="2">
        <v>0</v>
      </c>
      <c r="Q3143">
        <v>0</v>
      </c>
      <c r="R3143" s="2">
        <v>0</v>
      </c>
      <c r="S3143" s="2">
        <v>0</v>
      </c>
      <c r="T3143" t="s">
        <v>1539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</row>
    <row r="3144" spans="1:28" hidden="1" x14ac:dyDescent="0.25">
      <c r="A3144" t="s">
        <v>568</v>
      </c>
      <c r="B3144" t="s">
        <v>1323</v>
      </c>
      <c r="C3144" t="s">
        <v>670</v>
      </c>
      <c r="D3144" s="1">
        <v>46071</v>
      </c>
      <c r="E3144" s="1">
        <v>46071</v>
      </c>
      <c r="F3144" s="2">
        <v>51</v>
      </c>
      <c r="G3144" s="3" t="s">
        <v>23</v>
      </c>
      <c r="H3144">
        <v>42</v>
      </c>
      <c r="I3144" s="2">
        <v>0</v>
      </c>
      <c r="J3144" s="2">
        <v>0</v>
      </c>
      <c r="K3144" s="2">
        <v>1</v>
      </c>
      <c r="L3144" s="2">
        <v>0</v>
      </c>
      <c r="M3144">
        <v>0</v>
      </c>
      <c r="N3144">
        <v>0</v>
      </c>
      <c r="O3144" s="2">
        <v>0</v>
      </c>
      <c r="P3144" s="2">
        <v>0</v>
      </c>
      <c r="Q3144">
        <v>0</v>
      </c>
      <c r="R3144" s="2">
        <v>0</v>
      </c>
      <c r="S3144" s="2">
        <v>0</v>
      </c>
      <c r="T3144" t="s">
        <v>1540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</row>
    <row r="3145" spans="1:28" hidden="1" x14ac:dyDescent="0.25">
      <c r="A3145" t="s">
        <v>33</v>
      </c>
      <c r="B3145" t="s">
        <v>34</v>
      </c>
      <c r="C3145" t="s">
        <v>35</v>
      </c>
      <c r="D3145" s="1">
        <v>46071</v>
      </c>
      <c r="E3145" s="1">
        <v>46071</v>
      </c>
      <c r="F3145" s="2">
        <v>23</v>
      </c>
      <c r="G3145" s="3" t="s">
        <v>23</v>
      </c>
      <c r="H3145">
        <v>40</v>
      </c>
      <c r="I3145" s="2">
        <v>0</v>
      </c>
      <c r="J3145" s="2">
        <v>0</v>
      </c>
      <c r="K3145" s="2">
        <v>1</v>
      </c>
      <c r="L3145" s="2">
        <v>0</v>
      </c>
      <c r="M3145">
        <v>0</v>
      </c>
      <c r="N3145">
        <v>0</v>
      </c>
      <c r="O3145" s="2">
        <v>0</v>
      </c>
      <c r="P3145" s="2">
        <v>0</v>
      </c>
      <c r="Q3145">
        <v>0</v>
      </c>
      <c r="R3145" s="2">
        <v>0</v>
      </c>
      <c r="S3145" s="2">
        <v>0</v>
      </c>
      <c r="T3145" t="s">
        <v>1541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</row>
    <row r="3146" spans="1:28" hidden="1" x14ac:dyDescent="0.25">
      <c r="A3146" t="s">
        <v>63</v>
      </c>
      <c r="B3146" t="s">
        <v>1160</v>
      </c>
      <c r="C3146" t="s">
        <v>102</v>
      </c>
      <c r="D3146" s="1">
        <v>46071</v>
      </c>
      <c r="E3146" s="1">
        <v>46071</v>
      </c>
      <c r="F3146" s="2">
        <v>73</v>
      </c>
      <c r="G3146" s="3" t="s">
        <v>23</v>
      </c>
      <c r="H3146">
        <v>16</v>
      </c>
      <c r="I3146" s="2">
        <v>0</v>
      </c>
      <c r="J3146" s="2">
        <v>0</v>
      </c>
      <c r="K3146" s="2">
        <v>1</v>
      </c>
      <c r="L3146" s="2">
        <v>0</v>
      </c>
      <c r="M3146">
        <v>0</v>
      </c>
      <c r="N3146">
        <v>0</v>
      </c>
      <c r="O3146" s="2">
        <v>0</v>
      </c>
      <c r="P3146" s="2">
        <v>0</v>
      </c>
      <c r="Q3146">
        <v>0</v>
      </c>
      <c r="R3146" s="2">
        <v>0</v>
      </c>
      <c r="S3146" s="2">
        <v>0</v>
      </c>
      <c r="T3146" t="s">
        <v>1542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</row>
    <row r="3147" spans="1:28" hidden="1" x14ac:dyDescent="0.25">
      <c r="A3147" t="s">
        <v>730</v>
      </c>
      <c r="B3147" t="s">
        <v>47</v>
      </c>
      <c r="C3147" t="s">
        <v>35</v>
      </c>
      <c r="D3147" s="1">
        <v>46071</v>
      </c>
      <c r="E3147" s="1">
        <v>46071</v>
      </c>
      <c r="F3147" s="2">
        <v>21</v>
      </c>
      <c r="G3147" s="3" t="s">
        <v>409</v>
      </c>
      <c r="H3147">
        <v>0</v>
      </c>
      <c r="I3147" s="2">
        <v>0</v>
      </c>
      <c r="J3147" s="2">
        <v>0</v>
      </c>
      <c r="K3147" s="2">
        <v>0</v>
      </c>
      <c r="L3147" s="2">
        <v>0</v>
      </c>
      <c r="M3147">
        <v>0</v>
      </c>
      <c r="N3147">
        <v>0</v>
      </c>
      <c r="O3147" s="2">
        <v>0</v>
      </c>
      <c r="P3147" s="2">
        <v>0</v>
      </c>
      <c r="Q3147">
        <v>0</v>
      </c>
      <c r="R3147" s="2">
        <v>0</v>
      </c>
      <c r="S3147" s="2">
        <v>0</v>
      </c>
      <c r="T3147" t="s">
        <v>1125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</row>
    <row r="3148" spans="1:28" hidden="1" x14ac:dyDescent="0.25">
      <c r="A3148" t="s">
        <v>1431</v>
      </c>
      <c r="B3148" t="s">
        <v>47</v>
      </c>
      <c r="C3148" t="s">
        <v>102</v>
      </c>
      <c r="D3148" s="1">
        <v>46071</v>
      </c>
      <c r="E3148" s="1">
        <v>46071</v>
      </c>
      <c r="F3148" s="2">
        <v>23</v>
      </c>
      <c r="G3148" s="3" t="s">
        <v>409</v>
      </c>
      <c r="H3148">
        <v>0</v>
      </c>
      <c r="I3148" s="2">
        <v>0</v>
      </c>
      <c r="J3148" s="2">
        <v>0</v>
      </c>
      <c r="K3148" s="2">
        <v>0</v>
      </c>
      <c r="L3148" s="2">
        <v>0</v>
      </c>
      <c r="M3148">
        <v>0</v>
      </c>
      <c r="N3148">
        <v>0</v>
      </c>
      <c r="O3148" s="2">
        <v>0</v>
      </c>
      <c r="P3148" s="2">
        <v>0</v>
      </c>
      <c r="Q3148">
        <v>0</v>
      </c>
      <c r="R3148" s="2">
        <v>0</v>
      </c>
      <c r="S3148" s="2">
        <v>0</v>
      </c>
      <c r="T3148" t="s">
        <v>1424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</row>
    <row r="3149" spans="1:28" hidden="1" x14ac:dyDescent="0.25">
      <c r="A3149" t="s">
        <v>47</v>
      </c>
      <c r="B3149" t="s">
        <v>52</v>
      </c>
      <c r="C3149" t="s">
        <v>35</v>
      </c>
      <c r="D3149" s="1">
        <v>46071</v>
      </c>
      <c r="E3149" s="1">
        <v>46071</v>
      </c>
      <c r="F3149" s="2">
        <v>21</v>
      </c>
      <c r="G3149" s="3" t="s">
        <v>409</v>
      </c>
      <c r="H3149">
        <v>0</v>
      </c>
      <c r="I3149" s="2">
        <v>0</v>
      </c>
      <c r="J3149" s="2">
        <v>0</v>
      </c>
      <c r="K3149" s="2">
        <v>0</v>
      </c>
      <c r="L3149" s="2">
        <v>0</v>
      </c>
      <c r="M3149">
        <v>0</v>
      </c>
      <c r="N3149">
        <v>0</v>
      </c>
      <c r="O3149" s="2">
        <v>0</v>
      </c>
      <c r="P3149" s="2">
        <v>0</v>
      </c>
      <c r="Q3149">
        <v>0</v>
      </c>
      <c r="R3149" s="2">
        <v>0</v>
      </c>
      <c r="S3149" s="2">
        <v>0</v>
      </c>
      <c r="T3149" t="s">
        <v>1125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</row>
    <row r="3150" spans="1:28" hidden="1" x14ac:dyDescent="0.25">
      <c r="A3150" t="s">
        <v>20</v>
      </c>
      <c r="B3150" t="s">
        <v>21</v>
      </c>
      <c r="C3150" t="s">
        <v>102</v>
      </c>
      <c r="D3150" s="1">
        <v>46071</v>
      </c>
      <c r="E3150" s="1">
        <v>46071</v>
      </c>
      <c r="F3150" s="2">
        <v>23</v>
      </c>
      <c r="G3150" s="3" t="s">
        <v>48</v>
      </c>
      <c r="H3150">
        <v>0</v>
      </c>
      <c r="I3150" s="2">
        <v>0</v>
      </c>
      <c r="J3150" s="2">
        <v>0</v>
      </c>
      <c r="K3150" s="2">
        <v>0</v>
      </c>
      <c r="L3150" s="2">
        <v>0</v>
      </c>
      <c r="M3150">
        <v>0</v>
      </c>
      <c r="N3150">
        <v>0</v>
      </c>
      <c r="O3150" s="2">
        <v>0</v>
      </c>
      <c r="P3150" s="2">
        <v>0</v>
      </c>
      <c r="Q3150">
        <v>0</v>
      </c>
      <c r="R3150" s="2">
        <v>0</v>
      </c>
      <c r="S3150" s="2">
        <v>0</v>
      </c>
      <c r="T3150" t="s">
        <v>1424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</row>
    <row r="3151" spans="1:28" hidden="1" x14ac:dyDescent="0.25">
      <c r="A3151" t="s">
        <v>29</v>
      </c>
      <c r="B3151" t="s">
        <v>30</v>
      </c>
      <c r="C3151" t="s">
        <v>102</v>
      </c>
      <c r="D3151" s="1">
        <v>46071</v>
      </c>
      <c r="E3151" s="1">
        <v>46071</v>
      </c>
      <c r="F3151" s="2">
        <v>23</v>
      </c>
      <c r="G3151" s="3" t="s">
        <v>48</v>
      </c>
      <c r="H3151">
        <v>0</v>
      </c>
      <c r="I3151" s="2">
        <v>0</v>
      </c>
      <c r="J3151" s="2">
        <v>0</v>
      </c>
      <c r="K3151" s="2">
        <v>0</v>
      </c>
      <c r="L3151" s="2">
        <v>0</v>
      </c>
      <c r="M3151">
        <v>0</v>
      </c>
      <c r="N3151">
        <v>0</v>
      </c>
      <c r="O3151" s="2">
        <v>0</v>
      </c>
      <c r="P3151" s="2">
        <v>0</v>
      </c>
      <c r="Q3151">
        <v>0</v>
      </c>
      <c r="R3151" s="2">
        <v>0</v>
      </c>
      <c r="S3151" s="2">
        <v>0</v>
      </c>
      <c r="T3151" t="s">
        <v>1424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</row>
    <row r="3152" spans="1:28" hidden="1" x14ac:dyDescent="0.25">
      <c r="A3152" t="s">
        <v>37</v>
      </c>
      <c r="B3152" t="s">
        <v>26</v>
      </c>
      <c r="C3152" t="s">
        <v>102</v>
      </c>
      <c r="D3152" s="1">
        <v>46071</v>
      </c>
      <c r="E3152" s="1">
        <v>46071</v>
      </c>
      <c r="F3152" s="2">
        <v>23</v>
      </c>
      <c r="G3152" s="3" t="s">
        <v>129</v>
      </c>
      <c r="H3152">
        <v>0</v>
      </c>
      <c r="I3152" s="2">
        <v>0</v>
      </c>
      <c r="J3152" s="2">
        <v>0</v>
      </c>
      <c r="K3152" s="2">
        <v>0</v>
      </c>
      <c r="L3152" s="2">
        <v>0</v>
      </c>
      <c r="M3152">
        <v>0</v>
      </c>
      <c r="N3152">
        <v>0</v>
      </c>
      <c r="O3152" s="2">
        <v>0</v>
      </c>
      <c r="P3152" s="2">
        <v>0</v>
      </c>
      <c r="Q3152">
        <v>0</v>
      </c>
      <c r="R3152" s="2">
        <v>0</v>
      </c>
      <c r="S3152" s="2">
        <v>0</v>
      </c>
      <c r="T3152" t="s">
        <v>1424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</row>
    <row r="3153" spans="1:28" hidden="1" x14ac:dyDescent="0.25">
      <c r="A3153" t="s">
        <v>53</v>
      </c>
      <c r="B3153" t="s">
        <v>38</v>
      </c>
      <c r="C3153" t="s">
        <v>35</v>
      </c>
      <c r="D3153" s="1">
        <v>46071</v>
      </c>
      <c r="E3153" s="1">
        <v>46071</v>
      </c>
      <c r="F3153" s="2">
        <v>21</v>
      </c>
      <c r="G3153" s="3" t="s">
        <v>129</v>
      </c>
      <c r="H3153">
        <v>0</v>
      </c>
      <c r="I3153" s="2">
        <v>0</v>
      </c>
      <c r="J3153" s="2">
        <v>0</v>
      </c>
      <c r="K3153" s="2">
        <v>0</v>
      </c>
      <c r="L3153" s="2">
        <v>0</v>
      </c>
      <c r="M3153">
        <v>0</v>
      </c>
      <c r="N3153">
        <v>0</v>
      </c>
      <c r="O3153" s="2">
        <v>0</v>
      </c>
      <c r="P3153" s="2">
        <v>0</v>
      </c>
      <c r="Q3153">
        <v>0</v>
      </c>
      <c r="R3153" s="2">
        <v>0</v>
      </c>
      <c r="S3153" s="2">
        <v>0</v>
      </c>
      <c r="T3153" t="s">
        <v>1125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</row>
    <row r="3154" spans="1:28" hidden="1" x14ac:dyDescent="0.25">
      <c r="A3154" t="s">
        <v>47</v>
      </c>
      <c r="B3154" t="s">
        <v>284</v>
      </c>
      <c r="C3154" t="s">
        <v>35</v>
      </c>
      <c r="D3154" s="1">
        <v>46071</v>
      </c>
      <c r="E3154" s="1">
        <v>46071</v>
      </c>
      <c r="F3154" s="2">
        <v>21</v>
      </c>
      <c r="G3154" s="3" t="s">
        <v>129</v>
      </c>
      <c r="H3154">
        <v>0</v>
      </c>
      <c r="I3154" s="2">
        <v>0</v>
      </c>
      <c r="J3154" s="2">
        <v>0</v>
      </c>
      <c r="K3154" s="2">
        <v>0</v>
      </c>
      <c r="L3154" s="2">
        <v>0</v>
      </c>
      <c r="M3154">
        <v>0</v>
      </c>
      <c r="N3154">
        <v>0</v>
      </c>
      <c r="O3154" s="2">
        <v>0</v>
      </c>
      <c r="P3154" s="2">
        <v>0</v>
      </c>
      <c r="Q3154">
        <v>0</v>
      </c>
      <c r="R3154" s="2">
        <v>0</v>
      </c>
      <c r="S3154" s="2">
        <v>0</v>
      </c>
      <c r="T3154" t="s">
        <v>1125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</row>
    <row r="3155" spans="1:28" hidden="1" x14ac:dyDescent="0.25">
      <c r="A3155" t="s">
        <v>56</v>
      </c>
      <c r="B3155" t="s">
        <v>57</v>
      </c>
      <c r="C3155" t="s">
        <v>64</v>
      </c>
      <c r="D3155" s="1">
        <v>46072</v>
      </c>
      <c r="E3155" s="1">
        <v>46072</v>
      </c>
      <c r="F3155" s="2">
        <v>28</v>
      </c>
      <c r="G3155" s="3" t="s">
        <v>23</v>
      </c>
      <c r="H3155">
        <v>22</v>
      </c>
      <c r="I3155" s="2">
        <v>0</v>
      </c>
      <c r="J3155" s="2">
        <v>0</v>
      </c>
      <c r="K3155" s="2">
        <v>0</v>
      </c>
      <c r="L3155" s="2">
        <v>1</v>
      </c>
      <c r="M3155">
        <v>0</v>
      </c>
      <c r="N3155">
        <v>0</v>
      </c>
      <c r="O3155" s="2">
        <v>0</v>
      </c>
      <c r="P3155" s="2">
        <v>0</v>
      </c>
      <c r="Q3155">
        <v>0</v>
      </c>
      <c r="R3155" s="2">
        <v>0</v>
      </c>
      <c r="S3155" s="2">
        <v>0</v>
      </c>
      <c r="T3155" t="s">
        <v>1543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</row>
    <row r="3156" spans="1:28" hidden="1" x14ac:dyDescent="0.25">
      <c r="A3156" t="s">
        <v>29</v>
      </c>
      <c r="B3156" t="s">
        <v>30</v>
      </c>
      <c r="C3156" t="s">
        <v>31</v>
      </c>
      <c r="D3156" s="1">
        <v>46072</v>
      </c>
      <c r="E3156" s="1">
        <v>46072</v>
      </c>
      <c r="F3156" s="2">
        <v>25</v>
      </c>
      <c r="G3156" s="3" t="s">
        <v>23</v>
      </c>
      <c r="H3156">
        <v>38</v>
      </c>
      <c r="I3156" s="2">
        <v>0</v>
      </c>
      <c r="J3156" s="2">
        <v>0</v>
      </c>
      <c r="K3156" s="2">
        <v>1</v>
      </c>
      <c r="L3156" s="2">
        <v>0</v>
      </c>
      <c r="M3156">
        <v>0</v>
      </c>
      <c r="N3156">
        <v>0</v>
      </c>
      <c r="O3156" s="2">
        <v>0</v>
      </c>
      <c r="P3156" s="2">
        <v>0</v>
      </c>
      <c r="Q3156">
        <v>2</v>
      </c>
      <c r="R3156" s="2">
        <v>0</v>
      </c>
      <c r="S3156" s="2">
        <v>0</v>
      </c>
      <c r="T3156" t="s">
        <v>1544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</row>
    <row r="3157" spans="1:28" hidden="1" x14ac:dyDescent="0.25">
      <c r="A3157" t="s">
        <v>568</v>
      </c>
      <c r="B3157" t="s">
        <v>1323</v>
      </c>
      <c r="C3157" t="s">
        <v>670</v>
      </c>
      <c r="D3157" s="1">
        <v>46072</v>
      </c>
      <c r="E3157" s="1">
        <v>46072</v>
      </c>
      <c r="F3157" s="2">
        <v>823</v>
      </c>
      <c r="G3157" s="3" t="s">
        <v>23</v>
      </c>
      <c r="H3157">
        <f>18+18+1+1+1</f>
        <v>39</v>
      </c>
      <c r="I3157" s="2">
        <v>0</v>
      </c>
      <c r="J3157" s="2">
        <v>0</v>
      </c>
      <c r="K3157" s="2">
        <v>1</v>
      </c>
      <c r="L3157" s="2">
        <v>0</v>
      </c>
      <c r="M3157">
        <v>1</v>
      </c>
      <c r="N3157">
        <v>0</v>
      </c>
      <c r="O3157" s="2">
        <v>0</v>
      </c>
      <c r="P3157" s="2">
        <v>0</v>
      </c>
      <c r="Q3157">
        <v>0</v>
      </c>
      <c r="R3157" s="2">
        <v>0</v>
      </c>
      <c r="S3157" s="2">
        <v>0</v>
      </c>
      <c r="T3157" t="s">
        <v>1545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</row>
    <row r="3158" spans="1:28" hidden="1" x14ac:dyDescent="0.25">
      <c r="A3158" t="s">
        <v>33</v>
      </c>
      <c r="B3158" t="s">
        <v>34</v>
      </c>
      <c r="C3158" t="s">
        <v>35</v>
      </c>
      <c r="D3158" s="1">
        <v>46072</v>
      </c>
      <c r="E3158" s="1">
        <v>46072</v>
      </c>
      <c r="F3158" s="2">
        <v>64</v>
      </c>
      <c r="G3158" s="3" t="s">
        <v>23</v>
      </c>
      <c r="H3158">
        <v>40</v>
      </c>
      <c r="I3158" s="2">
        <v>0</v>
      </c>
      <c r="J3158" s="2">
        <v>0</v>
      </c>
      <c r="K3158" s="2">
        <v>1</v>
      </c>
      <c r="L3158" s="2">
        <v>0</v>
      </c>
      <c r="M3158">
        <v>0</v>
      </c>
      <c r="N3158">
        <v>0</v>
      </c>
      <c r="O3158" s="2">
        <v>0</v>
      </c>
      <c r="P3158" s="2">
        <v>0</v>
      </c>
      <c r="Q3158">
        <v>1</v>
      </c>
      <c r="R3158" s="2">
        <v>0</v>
      </c>
      <c r="S3158" s="2">
        <v>0</v>
      </c>
      <c r="T3158" t="s">
        <v>1546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</row>
    <row r="3159" spans="1:28" hidden="1" x14ac:dyDescent="0.25">
      <c r="A3159" t="s">
        <v>63</v>
      </c>
      <c r="B3159" t="s">
        <v>1160</v>
      </c>
      <c r="C3159" t="s">
        <v>102</v>
      </c>
      <c r="D3159" s="1">
        <v>46072</v>
      </c>
      <c r="E3159" s="1">
        <v>46072</v>
      </c>
      <c r="F3159" s="2">
        <v>123</v>
      </c>
      <c r="G3159" s="3" t="s">
        <v>23</v>
      </c>
      <c r="H3159">
        <v>20</v>
      </c>
      <c r="I3159" s="2">
        <v>0</v>
      </c>
      <c r="J3159" s="2">
        <v>0</v>
      </c>
      <c r="K3159" s="2">
        <v>1</v>
      </c>
      <c r="L3159" s="2">
        <v>0</v>
      </c>
      <c r="M3159">
        <v>0</v>
      </c>
      <c r="N3159">
        <v>0</v>
      </c>
      <c r="O3159" s="2">
        <v>0</v>
      </c>
      <c r="P3159" s="2">
        <v>0</v>
      </c>
      <c r="Q3159">
        <v>1</v>
      </c>
      <c r="R3159" s="2">
        <v>0</v>
      </c>
      <c r="S3159" s="2">
        <v>0</v>
      </c>
      <c r="T3159" t="s">
        <v>1547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</row>
    <row r="3160" spans="1:28" hidden="1" x14ac:dyDescent="0.25">
      <c r="A3160" t="s">
        <v>20</v>
      </c>
      <c r="B3160" t="s">
        <v>21</v>
      </c>
      <c r="C3160" t="s">
        <v>22</v>
      </c>
      <c r="D3160" s="1">
        <v>46072</v>
      </c>
      <c r="E3160" s="1">
        <v>46072</v>
      </c>
      <c r="F3160" s="2">
        <v>38</v>
      </c>
      <c r="G3160" s="3" t="s">
        <v>23</v>
      </c>
      <c r="H3160">
        <v>20</v>
      </c>
      <c r="I3160" s="2">
        <v>0</v>
      </c>
      <c r="J3160" s="2">
        <v>0</v>
      </c>
      <c r="K3160" s="2">
        <v>1</v>
      </c>
      <c r="L3160" s="2">
        <v>0</v>
      </c>
      <c r="M3160">
        <v>0</v>
      </c>
      <c r="N3160">
        <v>0</v>
      </c>
      <c r="O3160" s="2">
        <v>0</v>
      </c>
      <c r="P3160" s="2">
        <v>0</v>
      </c>
      <c r="Q3160">
        <v>1</v>
      </c>
      <c r="R3160" s="2">
        <v>0</v>
      </c>
      <c r="S3160" s="2">
        <v>0</v>
      </c>
      <c r="T3160" t="s">
        <v>1548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</row>
    <row r="3161" spans="1:28" hidden="1" x14ac:dyDescent="0.25">
      <c r="A3161" t="s">
        <v>25</v>
      </c>
      <c r="B3161" t="s">
        <v>1237</v>
      </c>
      <c r="C3161" t="s">
        <v>27</v>
      </c>
      <c r="D3161" s="1">
        <v>46072</v>
      </c>
      <c r="E3161" s="1">
        <v>46072</v>
      </c>
      <c r="F3161" s="2">
        <v>25</v>
      </c>
      <c r="G3161" s="3" t="s">
        <v>23</v>
      </c>
      <c r="H3161">
        <v>0</v>
      </c>
      <c r="I3161" s="2">
        <v>0</v>
      </c>
      <c r="J3161" s="2">
        <v>0</v>
      </c>
      <c r="K3161" s="2">
        <v>0</v>
      </c>
      <c r="L3161" s="2">
        <v>0</v>
      </c>
      <c r="M3161">
        <v>0</v>
      </c>
      <c r="N3161">
        <v>0</v>
      </c>
      <c r="O3161" s="2">
        <v>0</v>
      </c>
      <c r="P3161" s="2">
        <v>0</v>
      </c>
      <c r="Q3161">
        <v>1</v>
      </c>
      <c r="R3161" s="2">
        <v>0</v>
      </c>
      <c r="S3161" s="2">
        <v>0</v>
      </c>
      <c r="T3161" t="s">
        <v>1125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</row>
    <row r="3162" spans="1:28" hidden="1" x14ac:dyDescent="0.25">
      <c r="A3162" t="s">
        <v>730</v>
      </c>
      <c r="B3162" t="s">
        <v>47</v>
      </c>
      <c r="C3162" t="s">
        <v>35</v>
      </c>
      <c r="D3162" s="1">
        <v>46072</v>
      </c>
      <c r="E3162" s="1">
        <v>46072</v>
      </c>
      <c r="F3162" s="2">
        <v>21</v>
      </c>
      <c r="G3162" s="3" t="s">
        <v>48</v>
      </c>
      <c r="H3162">
        <v>0</v>
      </c>
      <c r="I3162" s="2">
        <v>0</v>
      </c>
      <c r="J3162" s="2">
        <v>0</v>
      </c>
      <c r="K3162" s="2">
        <v>0</v>
      </c>
      <c r="L3162" s="2">
        <v>0</v>
      </c>
      <c r="M3162">
        <v>0</v>
      </c>
      <c r="N3162">
        <v>0</v>
      </c>
      <c r="O3162" s="2">
        <v>0</v>
      </c>
      <c r="P3162" s="2">
        <v>0</v>
      </c>
      <c r="Q3162">
        <v>0</v>
      </c>
      <c r="R3162" s="2">
        <v>0</v>
      </c>
      <c r="S3162" s="2">
        <v>0</v>
      </c>
      <c r="T3162" t="s">
        <v>1125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</row>
    <row r="3163" spans="1:28" hidden="1" x14ac:dyDescent="0.25">
      <c r="A3163" t="s">
        <v>1431</v>
      </c>
      <c r="B3163" t="s">
        <v>47</v>
      </c>
      <c r="C3163" t="s">
        <v>102</v>
      </c>
      <c r="D3163" s="1">
        <v>46072</v>
      </c>
      <c r="E3163" s="1">
        <v>46072</v>
      </c>
      <c r="F3163" s="2">
        <v>23</v>
      </c>
      <c r="G3163" s="3" t="s">
        <v>409</v>
      </c>
      <c r="H3163">
        <v>0</v>
      </c>
      <c r="I3163" s="2">
        <v>0</v>
      </c>
      <c r="J3163" s="2">
        <v>0</v>
      </c>
      <c r="K3163" s="2">
        <v>0</v>
      </c>
      <c r="L3163" s="2">
        <v>0</v>
      </c>
      <c r="M3163">
        <v>0</v>
      </c>
      <c r="N3163">
        <v>0</v>
      </c>
      <c r="O3163" s="2">
        <v>0</v>
      </c>
      <c r="P3163" s="2">
        <v>0</v>
      </c>
      <c r="Q3163">
        <v>0</v>
      </c>
      <c r="R3163" s="2">
        <v>0</v>
      </c>
      <c r="S3163" s="2">
        <v>0</v>
      </c>
      <c r="T3163" t="s">
        <v>1424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</row>
    <row r="3164" spans="1:28" hidden="1" x14ac:dyDescent="0.25">
      <c r="A3164" t="s">
        <v>47</v>
      </c>
      <c r="B3164" t="s">
        <v>52</v>
      </c>
      <c r="C3164" t="s">
        <v>35</v>
      </c>
      <c r="D3164" s="1">
        <v>46072</v>
      </c>
      <c r="E3164" s="1">
        <v>46072</v>
      </c>
      <c r="F3164" s="2">
        <v>21</v>
      </c>
      <c r="G3164" s="3" t="s">
        <v>409</v>
      </c>
      <c r="H3164">
        <v>0</v>
      </c>
      <c r="I3164" s="2">
        <v>0</v>
      </c>
      <c r="J3164" s="2">
        <v>0</v>
      </c>
      <c r="K3164" s="2">
        <v>0</v>
      </c>
      <c r="L3164" s="2">
        <v>0</v>
      </c>
      <c r="M3164">
        <v>0</v>
      </c>
      <c r="N3164">
        <v>0</v>
      </c>
      <c r="O3164" s="2">
        <v>0</v>
      </c>
      <c r="P3164" s="2">
        <v>0</v>
      </c>
      <c r="Q3164">
        <v>0</v>
      </c>
      <c r="R3164" s="2">
        <v>0</v>
      </c>
      <c r="S3164" s="2">
        <v>0</v>
      </c>
      <c r="T3164" t="s">
        <v>1125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</row>
    <row r="3165" spans="1:28" hidden="1" x14ac:dyDescent="0.25">
      <c r="A3165" t="s">
        <v>37</v>
      </c>
      <c r="B3165" t="s">
        <v>26</v>
      </c>
      <c r="C3165" t="s">
        <v>102</v>
      </c>
      <c r="D3165" s="1">
        <v>46072</v>
      </c>
      <c r="E3165" s="1">
        <v>46072</v>
      </c>
      <c r="F3165" s="2">
        <v>23</v>
      </c>
      <c r="G3165" s="3" t="s">
        <v>129</v>
      </c>
      <c r="H3165">
        <v>0</v>
      </c>
      <c r="I3165" s="2">
        <v>0</v>
      </c>
      <c r="J3165" s="2">
        <v>0</v>
      </c>
      <c r="K3165" s="2">
        <v>0</v>
      </c>
      <c r="L3165" s="2">
        <v>0</v>
      </c>
      <c r="M3165">
        <v>0</v>
      </c>
      <c r="N3165">
        <v>0</v>
      </c>
      <c r="O3165" s="2">
        <v>0</v>
      </c>
      <c r="P3165" s="2">
        <v>0</v>
      </c>
      <c r="Q3165">
        <v>0</v>
      </c>
      <c r="R3165" s="2">
        <v>0</v>
      </c>
      <c r="S3165" s="2">
        <v>0</v>
      </c>
      <c r="T3165" t="s">
        <v>1424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</row>
    <row r="3166" spans="1:28" hidden="1" x14ac:dyDescent="0.25">
      <c r="A3166" t="s">
        <v>53</v>
      </c>
      <c r="B3166" t="s">
        <v>38</v>
      </c>
      <c r="C3166" t="s">
        <v>35</v>
      </c>
      <c r="D3166" s="1">
        <v>46072</v>
      </c>
      <c r="E3166" s="1">
        <v>46072</v>
      </c>
      <c r="F3166" s="2">
        <v>21</v>
      </c>
      <c r="G3166" s="3" t="s">
        <v>129</v>
      </c>
      <c r="H3166">
        <v>0</v>
      </c>
      <c r="I3166" s="2">
        <v>0</v>
      </c>
      <c r="J3166" s="2">
        <v>0</v>
      </c>
      <c r="K3166" s="2">
        <v>0</v>
      </c>
      <c r="L3166" s="2">
        <v>0</v>
      </c>
      <c r="M3166">
        <v>0</v>
      </c>
      <c r="N3166">
        <v>0</v>
      </c>
      <c r="O3166" s="2">
        <v>0</v>
      </c>
      <c r="P3166" s="2">
        <v>0</v>
      </c>
      <c r="Q3166">
        <v>0</v>
      </c>
      <c r="R3166" s="2">
        <v>0</v>
      </c>
      <c r="S3166" s="2">
        <v>0</v>
      </c>
      <c r="T3166" t="s">
        <v>1125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</row>
    <row r="3167" spans="1:28" hidden="1" x14ac:dyDescent="0.25">
      <c r="A3167" t="s">
        <v>47</v>
      </c>
      <c r="B3167" t="s">
        <v>284</v>
      </c>
      <c r="C3167" t="s">
        <v>35</v>
      </c>
      <c r="D3167" s="1">
        <v>46072</v>
      </c>
      <c r="E3167" s="1">
        <v>46072</v>
      </c>
      <c r="F3167" s="2">
        <v>21</v>
      </c>
      <c r="G3167" s="3" t="s">
        <v>129</v>
      </c>
      <c r="H3167">
        <v>0</v>
      </c>
      <c r="I3167" s="2">
        <v>0</v>
      </c>
      <c r="J3167" s="2">
        <v>0</v>
      </c>
      <c r="K3167" s="2">
        <v>0</v>
      </c>
      <c r="L3167" s="2">
        <v>0</v>
      </c>
      <c r="M3167">
        <v>0</v>
      </c>
      <c r="N3167">
        <v>0</v>
      </c>
      <c r="O3167" s="2">
        <v>0</v>
      </c>
      <c r="P3167" s="2">
        <v>0</v>
      </c>
      <c r="Q3167">
        <v>0</v>
      </c>
      <c r="R3167" s="2">
        <v>0</v>
      </c>
      <c r="S3167" s="2">
        <v>0</v>
      </c>
      <c r="T3167" t="s">
        <v>1125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</row>
    <row r="3168" spans="1:28" hidden="1" x14ac:dyDescent="0.25">
      <c r="A3168" t="s">
        <v>25</v>
      </c>
      <c r="B3168" t="s">
        <v>1237</v>
      </c>
      <c r="C3168" t="s">
        <v>27</v>
      </c>
      <c r="D3168" s="1">
        <v>46073</v>
      </c>
      <c r="E3168" s="1">
        <v>46073</v>
      </c>
      <c r="F3168" s="2">
        <v>25</v>
      </c>
      <c r="G3168" s="3" t="s">
        <v>23</v>
      </c>
      <c r="H3168">
        <f>9+4+9+4+2</f>
        <v>28</v>
      </c>
      <c r="I3168" s="2">
        <v>0</v>
      </c>
      <c r="J3168" s="2">
        <v>0</v>
      </c>
      <c r="K3168" s="2">
        <v>0</v>
      </c>
      <c r="L3168" s="2">
        <v>1</v>
      </c>
      <c r="M3168">
        <v>0</v>
      </c>
      <c r="N3168">
        <v>0</v>
      </c>
      <c r="O3168" s="2">
        <v>0</v>
      </c>
      <c r="P3168" s="2">
        <v>0</v>
      </c>
      <c r="Q3168">
        <v>0</v>
      </c>
      <c r="R3168" s="2">
        <v>0</v>
      </c>
      <c r="S3168" s="2">
        <v>0</v>
      </c>
      <c r="T3168" t="s">
        <v>1579</v>
      </c>
      <c r="U3168" s="2">
        <v>0</v>
      </c>
      <c r="V3168" s="2">
        <f>14+1</f>
        <v>15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</row>
    <row r="3169" spans="1:28" hidden="1" x14ac:dyDescent="0.25">
      <c r="A3169" t="s">
        <v>29</v>
      </c>
      <c r="B3169" t="s">
        <v>30</v>
      </c>
      <c r="C3169" t="s">
        <v>31</v>
      </c>
      <c r="D3169" s="1">
        <v>46073</v>
      </c>
      <c r="E3169" s="1">
        <v>46073</v>
      </c>
      <c r="F3169" s="2">
        <v>14</v>
      </c>
      <c r="G3169" s="3" t="s">
        <v>23</v>
      </c>
      <c r="H3169">
        <f>8+8+1+1</f>
        <v>18</v>
      </c>
      <c r="I3169" s="2">
        <v>0</v>
      </c>
      <c r="J3169" s="2">
        <v>0</v>
      </c>
      <c r="K3169" s="2">
        <v>1</v>
      </c>
      <c r="L3169" s="2">
        <v>0</v>
      </c>
      <c r="M3169">
        <v>0</v>
      </c>
      <c r="N3169">
        <v>0</v>
      </c>
      <c r="O3169" s="2">
        <v>0</v>
      </c>
      <c r="P3169" s="2">
        <v>0</v>
      </c>
      <c r="Q3169">
        <v>0</v>
      </c>
      <c r="R3169" s="2">
        <v>0</v>
      </c>
      <c r="S3169" s="2">
        <v>0</v>
      </c>
      <c r="T3169" t="s">
        <v>1580</v>
      </c>
      <c r="U3169" s="2">
        <v>0</v>
      </c>
      <c r="V3169" s="2">
        <v>13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</row>
    <row r="3170" spans="1:28" hidden="1" x14ac:dyDescent="0.25">
      <c r="A3170" t="s">
        <v>568</v>
      </c>
      <c r="B3170" t="s">
        <v>1323</v>
      </c>
      <c r="C3170" t="s">
        <v>670</v>
      </c>
      <c r="D3170" s="1">
        <v>46073</v>
      </c>
      <c r="E3170" s="1">
        <v>46073</v>
      </c>
      <c r="F3170" s="2">
        <v>69</v>
      </c>
      <c r="G3170" s="3" t="s">
        <v>23</v>
      </c>
      <c r="H3170">
        <v>36</v>
      </c>
      <c r="I3170" s="2">
        <v>0</v>
      </c>
      <c r="J3170" s="2">
        <v>0</v>
      </c>
      <c r="K3170" s="2">
        <v>1</v>
      </c>
      <c r="L3170" s="2">
        <v>0</v>
      </c>
      <c r="M3170">
        <v>0</v>
      </c>
      <c r="N3170">
        <v>0</v>
      </c>
      <c r="O3170" s="2">
        <v>0</v>
      </c>
      <c r="P3170" s="2">
        <v>0</v>
      </c>
      <c r="Q3170">
        <v>1</v>
      </c>
      <c r="R3170" s="2">
        <v>0</v>
      </c>
      <c r="S3170" s="2">
        <v>0</v>
      </c>
      <c r="T3170" t="s">
        <v>1581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</row>
    <row r="3171" spans="1:28" hidden="1" x14ac:dyDescent="0.25">
      <c r="A3171" t="s">
        <v>33</v>
      </c>
      <c r="B3171" t="s">
        <v>57</v>
      </c>
      <c r="C3171" t="s">
        <v>35</v>
      </c>
      <c r="D3171" s="1">
        <v>46073</v>
      </c>
      <c r="E3171" s="1">
        <v>46073</v>
      </c>
      <c r="F3171" s="2">
        <v>41</v>
      </c>
      <c r="G3171" s="3" t="s">
        <v>23</v>
      </c>
      <c r="H3171">
        <v>28</v>
      </c>
      <c r="I3171" s="2">
        <v>0</v>
      </c>
      <c r="J3171" s="2">
        <v>0</v>
      </c>
      <c r="K3171" s="2">
        <v>1</v>
      </c>
      <c r="L3171" s="2">
        <v>0</v>
      </c>
      <c r="M3171">
        <v>0</v>
      </c>
      <c r="N3171">
        <v>0</v>
      </c>
      <c r="O3171" s="2">
        <v>0</v>
      </c>
      <c r="P3171" s="2">
        <v>0</v>
      </c>
      <c r="Q3171">
        <v>2</v>
      </c>
      <c r="R3171" s="2">
        <v>0</v>
      </c>
      <c r="S3171" s="2">
        <v>0</v>
      </c>
      <c r="T3171" t="s">
        <v>1582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</row>
    <row r="3172" spans="1:28" hidden="1" x14ac:dyDescent="0.25">
      <c r="A3172" t="s">
        <v>63</v>
      </c>
      <c r="B3172" t="s">
        <v>1160</v>
      </c>
      <c r="C3172" t="s">
        <v>102</v>
      </c>
      <c r="D3172" s="1">
        <v>46073</v>
      </c>
      <c r="E3172" s="1">
        <v>46073</v>
      </c>
      <c r="F3172" s="2">
        <v>21</v>
      </c>
      <c r="G3172" s="3" t="s">
        <v>23</v>
      </c>
      <c r="H3172">
        <f>12+4+12+4</f>
        <v>32</v>
      </c>
      <c r="I3172" s="2">
        <v>0</v>
      </c>
      <c r="J3172" s="2">
        <v>1</v>
      </c>
      <c r="K3172" s="2">
        <v>1</v>
      </c>
      <c r="L3172" s="2">
        <v>0</v>
      </c>
      <c r="M3172">
        <v>0</v>
      </c>
      <c r="N3172">
        <v>0</v>
      </c>
      <c r="O3172" s="2">
        <v>0</v>
      </c>
      <c r="P3172" s="2">
        <v>0</v>
      </c>
      <c r="Q3172">
        <v>1</v>
      </c>
      <c r="R3172" s="2">
        <v>0</v>
      </c>
      <c r="S3172" s="2">
        <v>0</v>
      </c>
      <c r="T3172" t="s">
        <v>1583</v>
      </c>
      <c r="U3172" s="2">
        <v>0</v>
      </c>
      <c r="V3172" s="2">
        <f>12+2</f>
        <v>14</v>
      </c>
      <c r="W3172" s="2">
        <v>0</v>
      </c>
      <c r="X3172" s="2">
        <v>3</v>
      </c>
      <c r="Y3172" s="2">
        <v>0</v>
      </c>
      <c r="Z3172" s="2">
        <v>0</v>
      </c>
      <c r="AA3172" s="2">
        <v>0</v>
      </c>
      <c r="AB3172" s="2">
        <v>0</v>
      </c>
    </row>
    <row r="3173" spans="1:28" hidden="1" x14ac:dyDescent="0.25">
      <c r="A3173" t="s">
        <v>20</v>
      </c>
      <c r="B3173" t="s">
        <v>21</v>
      </c>
      <c r="C3173" t="s">
        <v>22</v>
      </c>
      <c r="D3173" s="1">
        <v>46073</v>
      </c>
      <c r="E3173" s="1">
        <v>46073</v>
      </c>
      <c r="F3173" s="2">
        <v>27</v>
      </c>
      <c r="G3173" s="3" t="s">
        <v>23</v>
      </c>
      <c r="H3173">
        <f>6+2+6+2+1+1+4</f>
        <v>22</v>
      </c>
      <c r="I3173" s="2">
        <v>0</v>
      </c>
      <c r="J3173" s="2">
        <v>0</v>
      </c>
      <c r="K3173" s="2">
        <v>1</v>
      </c>
      <c r="L3173" s="2">
        <v>0</v>
      </c>
      <c r="M3173">
        <v>0</v>
      </c>
      <c r="N3173">
        <v>0</v>
      </c>
      <c r="O3173" s="2">
        <v>0</v>
      </c>
      <c r="P3173" s="2">
        <v>0</v>
      </c>
      <c r="Q3173">
        <v>0</v>
      </c>
      <c r="R3173" s="2">
        <v>0</v>
      </c>
      <c r="S3173" s="2">
        <v>0</v>
      </c>
      <c r="T3173" t="s">
        <v>1584</v>
      </c>
      <c r="U3173" s="2">
        <v>0</v>
      </c>
      <c r="V3173" s="2">
        <v>8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</row>
    <row r="3174" spans="1:28" hidden="1" x14ac:dyDescent="0.25">
      <c r="A3174" t="s">
        <v>730</v>
      </c>
      <c r="B3174" t="s">
        <v>47</v>
      </c>
      <c r="C3174" t="s">
        <v>35</v>
      </c>
      <c r="D3174" s="1">
        <v>46073</v>
      </c>
      <c r="E3174" s="1">
        <v>46073</v>
      </c>
      <c r="F3174" s="2">
        <v>21</v>
      </c>
      <c r="G3174" s="3" t="s">
        <v>409</v>
      </c>
      <c r="H3174">
        <v>0</v>
      </c>
      <c r="I3174" s="2">
        <v>0</v>
      </c>
      <c r="J3174" s="2">
        <v>0</v>
      </c>
      <c r="K3174" s="2">
        <v>0</v>
      </c>
      <c r="L3174" s="2">
        <v>0</v>
      </c>
      <c r="M3174">
        <v>0</v>
      </c>
      <c r="N3174">
        <v>0</v>
      </c>
      <c r="O3174" s="2">
        <v>0</v>
      </c>
      <c r="P3174" s="2">
        <v>0</v>
      </c>
      <c r="Q3174">
        <v>0</v>
      </c>
      <c r="R3174" s="2">
        <v>0</v>
      </c>
      <c r="S3174" s="2">
        <v>0</v>
      </c>
      <c r="T3174" t="s">
        <v>1125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</row>
    <row r="3175" spans="1:28" hidden="1" x14ac:dyDescent="0.25">
      <c r="A3175" t="s">
        <v>1431</v>
      </c>
      <c r="B3175" t="s">
        <v>47</v>
      </c>
      <c r="C3175" t="s">
        <v>102</v>
      </c>
      <c r="D3175" s="1">
        <v>46073</v>
      </c>
      <c r="E3175" s="1">
        <v>46073</v>
      </c>
      <c r="F3175" s="2">
        <v>23</v>
      </c>
      <c r="G3175" s="3" t="s">
        <v>409</v>
      </c>
      <c r="H3175">
        <v>0</v>
      </c>
      <c r="I3175" s="2">
        <v>0</v>
      </c>
      <c r="J3175" s="2">
        <v>0</v>
      </c>
      <c r="K3175" s="2">
        <v>0</v>
      </c>
      <c r="L3175" s="2">
        <v>0</v>
      </c>
      <c r="M3175">
        <v>0</v>
      </c>
      <c r="N3175">
        <v>0</v>
      </c>
      <c r="O3175" s="2">
        <v>0</v>
      </c>
      <c r="P3175" s="2">
        <v>0</v>
      </c>
      <c r="Q3175">
        <v>0</v>
      </c>
      <c r="R3175" s="2">
        <v>0</v>
      </c>
      <c r="S3175" s="2">
        <v>0</v>
      </c>
      <c r="T3175" t="s">
        <v>1424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</row>
    <row r="3176" spans="1:28" hidden="1" x14ac:dyDescent="0.25">
      <c r="A3176" t="s">
        <v>47</v>
      </c>
      <c r="B3176" t="s">
        <v>52</v>
      </c>
      <c r="C3176" t="s">
        <v>35</v>
      </c>
      <c r="D3176" s="1">
        <v>46073</v>
      </c>
      <c r="E3176" s="1">
        <v>46073</v>
      </c>
      <c r="F3176" s="2">
        <v>21</v>
      </c>
      <c r="G3176" s="3" t="s">
        <v>409</v>
      </c>
      <c r="H3176">
        <v>0</v>
      </c>
      <c r="I3176" s="2">
        <v>0</v>
      </c>
      <c r="J3176" s="2">
        <v>0</v>
      </c>
      <c r="K3176" s="2">
        <v>0</v>
      </c>
      <c r="L3176" s="2">
        <v>0</v>
      </c>
      <c r="M3176">
        <v>0</v>
      </c>
      <c r="N3176">
        <v>0</v>
      </c>
      <c r="O3176" s="2">
        <v>0</v>
      </c>
      <c r="P3176" s="2">
        <v>0</v>
      </c>
      <c r="Q3176">
        <v>0</v>
      </c>
      <c r="R3176" s="2">
        <v>0</v>
      </c>
      <c r="S3176" s="2">
        <v>0</v>
      </c>
      <c r="T3176" t="s">
        <v>1125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</row>
    <row r="3177" spans="1:28" hidden="1" x14ac:dyDescent="0.25">
      <c r="A3177" t="s">
        <v>56</v>
      </c>
      <c r="B3177" t="s">
        <v>34</v>
      </c>
      <c r="C3177" t="s">
        <v>35</v>
      </c>
      <c r="D3177" s="1">
        <v>46073</v>
      </c>
      <c r="E3177" s="1">
        <v>46073</v>
      </c>
      <c r="F3177" s="2">
        <v>21</v>
      </c>
      <c r="G3177" s="3" t="s">
        <v>48</v>
      </c>
      <c r="H3177">
        <v>0</v>
      </c>
      <c r="I3177" s="2">
        <v>0</v>
      </c>
      <c r="J3177" s="2">
        <v>0</v>
      </c>
      <c r="K3177" s="2">
        <v>0</v>
      </c>
      <c r="L3177" s="2">
        <v>0</v>
      </c>
      <c r="M3177">
        <v>0</v>
      </c>
      <c r="N3177">
        <v>0</v>
      </c>
      <c r="O3177" s="2">
        <v>0</v>
      </c>
      <c r="P3177" s="2">
        <v>0</v>
      </c>
      <c r="Q3177">
        <v>0</v>
      </c>
      <c r="R3177" s="2">
        <v>0</v>
      </c>
      <c r="S3177" s="2">
        <v>0</v>
      </c>
      <c r="T3177" t="s">
        <v>1125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</row>
    <row r="3178" spans="1:28" hidden="1" x14ac:dyDescent="0.25">
      <c r="A3178" t="s">
        <v>37</v>
      </c>
      <c r="B3178" t="s">
        <v>26</v>
      </c>
      <c r="C3178" t="s">
        <v>102</v>
      </c>
      <c r="D3178" s="1">
        <v>46073</v>
      </c>
      <c r="E3178" s="1">
        <v>46073</v>
      </c>
      <c r="F3178" s="2">
        <v>23</v>
      </c>
      <c r="G3178" s="3" t="s">
        <v>129</v>
      </c>
      <c r="H3178">
        <v>0</v>
      </c>
      <c r="I3178" s="2">
        <v>0</v>
      </c>
      <c r="J3178" s="2">
        <v>0</v>
      </c>
      <c r="K3178" s="2">
        <v>0</v>
      </c>
      <c r="L3178" s="2">
        <v>0</v>
      </c>
      <c r="M3178">
        <v>0</v>
      </c>
      <c r="N3178">
        <v>0</v>
      </c>
      <c r="O3178" s="2">
        <v>0</v>
      </c>
      <c r="P3178" s="2">
        <v>0</v>
      </c>
      <c r="Q3178">
        <v>0</v>
      </c>
      <c r="R3178" s="2">
        <v>0</v>
      </c>
      <c r="S3178" s="2">
        <v>0</v>
      </c>
      <c r="T3178" t="s">
        <v>1424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</row>
    <row r="3179" spans="1:28" hidden="1" x14ac:dyDescent="0.25">
      <c r="A3179" t="s">
        <v>53</v>
      </c>
      <c r="B3179" t="s">
        <v>38</v>
      </c>
      <c r="C3179" t="s">
        <v>35</v>
      </c>
      <c r="D3179" s="1">
        <v>46073</v>
      </c>
      <c r="E3179" s="1">
        <v>46073</v>
      </c>
      <c r="F3179" s="2">
        <v>21</v>
      </c>
      <c r="G3179" s="3" t="s">
        <v>129</v>
      </c>
      <c r="H3179">
        <v>0</v>
      </c>
      <c r="I3179" s="2">
        <v>0</v>
      </c>
      <c r="J3179" s="2">
        <v>0</v>
      </c>
      <c r="K3179" s="2">
        <v>0</v>
      </c>
      <c r="L3179" s="2">
        <v>0</v>
      </c>
      <c r="M3179">
        <v>0</v>
      </c>
      <c r="N3179">
        <v>0</v>
      </c>
      <c r="O3179" s="2">
        <v>0</v>
      </c>
      <c r="P3179" s="2">
        <v>0</v>
      </c>
      <c r="Q3179">
        <v>0</v>
      </c>
      <c r="R3179" s="2">
        <v>0</v>
      </c>
      <c r="S3179" s="2">
        <v>0</v>
      </c>
      <c r="T3179" t="s">
        <v>1125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</row>
    <row r="3180" spans="1:28" hidden="1" x14ac:dyDescent="0.25">
      <c r="A3180" t="s">
        <v>47</v>
      </c>
      <c r="B3180" t="s">
        <v>284</v>
      </c>
      <c r="C3180" t="s">
        <v>35</v>
      </c>
      <c r="D3180" s="1">
        <v>46073</v>
      </c>
      <c r="E3180" s="1">
        <v>46073</v>
      </c>
      <c r="F3180" s="2">
        <v>21</v>
      </c>
      <c r="G3180" s="3" t="s">
        <v>129</v>
      </c>
      <c r="H3180">
        <v>0</v>
      </c>
      <c r="I3180" s="2">
        <v>0</v>
      </c>
      <c r="J3180" s="2">
        <v>0</v>
      </c>
      <c r="K3180" s="2">
        <v>0</v>
      </c>
      <c r="L3180" s="2">
        <v>0</v>
      </c>
      <c r="M3180">
        <v>0</v>
      </c>
      <c r="N3180">
        <v>0</v>
      </c>
      <c r="O3180" s="2">
        <v>0</v>
      </c>
      <c r="P3180" s="2">
        <v>0</v>
      </c>
      <c r="Q3180">
        <v>0</v>
      </c>
      <c r="R3180" s="2">
        <v>0</v>
      </c>
      <c r="S3180" s="2">
        <v>0</v>
      </c>
      <c r="T3180" t="s">
        <v>1125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</row>
    <row r="3181" spans="1:28" hidden="1" x14ac:dyDescent="0.25">
      <c r="A3181" t="s">
        <v>56</v>
      </c>
      <c r="B3181" t="s">
        <v>34</v>
      </c>
      <c r="C3181" t="s">
        <v>27</v>
      </c>
      <c r="D3181" s="9">
        <v>46074</v>
      </c>
      <c r="E3181" s="9">
        <v>46074</v>
      </c>
      <c r="F3181" s="2">
        <v>25</v>
      </c>
      <c r="G3181" s="3" t="s">
        <v>23</v>
      </c>
      <c r="H3181">
        <v>0</v>
      </c>
      <c r="I3181" s="2">
        <v>0</v>
      </c>
      <c r="J3181" s="2">
        <v>0</v>
      </c>
      <c r="K3181" s="2">
        <v>0</v>
      </c>
      <c r="L3181" s="2">
        <v>0</v>
      </c>
      <c r="M3181">
        <v>0</v>
      </c>
      <c r="N3181">
        <v>0</v>
      </c>
      <c r="O3181" s="2">
        <v>1</v>
      </c>
      <c r="P3181" s="2">
        <v>0</v>
      </c>
      <c r="Q3181">
        <v>2</v>
      </c>
      <c r="R3181" s="2">
        <v>1</v>
      </c>
      <c r="S3181" s="2">
        <v>0</v>
      </c>
      <c r="T3181" t="s">
        <v>1125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</row>
    <row r="3182" spans="1:28" hidden="1" x14ac:dyDescent="0.25">
      <c r="A3182" t="s">
        <v>29</v>
      </c>
      <c r="B3182" t="s">
        <v>30</v>
      </c>
      <c r="C3182" t="s">
        <v>31</v>
      </c>
      <c r="D3182" s="9">
        <v>46074</v>
      </c>
      <c r="E3182" s="9">
        <v>46074</v>
      </c>
      <c r="F3182" s="2">
        <v>14</v>
      </c>
      <c r="G3182" s="3" t="s">
        <v>23</v>
      </c>
      <c r="H3182">
        <v>0</v>
      </c>
      <c r="I3182" s="2">
        <v>0</v>
      </c>
      <c r="J3182" s="2">
        <v>0</v>
      </c>
      <c r="K3182" s="2">
        <v>0</v>
      </c>
      <c r="L3182" s="2">
        <v>0</v>
      </c>
      <c r="M3182">
        <v>0</v>
      </c>
      <c r="N3182">
        <v>0</v>
      </c>
      <c r="O3182" s="2">
        <v>1</v>
      </c>
      <c r="P3182" s="2">
        <v>0</v>
      </c>
      <c r="Q3182">
        <v>1</v>
      </c>
      <c r="R3182" s="2">
        <v>1</v>
      </c>
      <c r="S3182" s="2">
        <v>0</v>
      </c>
      <c r="T3182" t="s">
        <v>1125</v>
      </c>
      <c r="U3182" s="2">
        <v>17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1</v>
      </c>
      <c r="AB3182" s="2">
        <v>0</v>
      </c>
    </row>
    <row r="3183" spans="1:28" hidden="1" x14ac:dyDescent="0.25">
      <c r="A3183" t="s">
        <v>568</v>
      </c>
      <c r="B3183" t="s">
        <v>1323</v>
      </c>
      <c r="C3183" t="s">
        <v>670</v>
      </c>
      <c r="D3183" s="9">
        <v>46074</v>
      </c>
      <c r="E3183" s="9">
        <v>46074</v>
      </c>
      <c r="F3183" s="2">
        <v>69</v>
      </c>
      <c r="G3183" s="3" t="s">
        <v>23</v>
      </c>
      <c r="H3183">
        <v>0</v>
      </c>
      <c r="I3183" s="2">
        <v>0</v>
      </c>
      <c r="J3183" s="2">
        <v>0</v>
      </c>
      <c r="K3183" s="2">
        <v>0</v>
      </c>
      <c r="L3183" s="2">
        <v>0</v>
      </c>
      <c r="M3183">
        <v>0</v>
      </c>
      <c r="N3183">
        <v>0</v>
      </c>
      <c r="O3183" s="2">
        <v>1</v>
      </c>
      <c r="P3183" s="2">
        <v>0</v>
      </c>
      <c r="Q3183">
        <v>0</v>
      </c>
      <c r="R3183" s="2">
        <v>1</v>
      </c>
      <c r="S3183" s="2">
        <v>0</v>
      </c>
      <c r="T3183" t="s">
        <v>1125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</row>
    <row r="3184" spans="1:28" hidden="1" x14ac:dyDescent="0.25">
      <c r="A3184" t="s">
        <v>730</v>
      </c>
      <c r="B3184" t="s">
        <v>47</v>
      </c>
      <c r="C3184" t="s">
        <v>35</v>
      </c>
      <c r="D3184" s="9">
        <v>46074</v>
      </c>
      <c r="E3184" s="9">
        <v>46074</v>
      </c>
      <c r="F3184" s="2">
        <v>41</v>
      </c>
      <c r="G3184" s="3" t="s">
        <v>23</v>
      </c>
      <c r="H3184">
        <v>0</v>
      </c>
      <c r="I3184" s="2">
        <v>0</v>
      </c>
      <c r="J3184" s="2">
        <v>0</v>
      </c>
      <c r="K3184" s="2">
        <v>0</v>
      </c>
      <c r="L3184" s="2">
        <v>0</v>
      </c>
      <c r="M3184">
        <v>0</v>
      </c>
      <c r="N3184">
        <v>0</v>
      </c>
      <c r="O3184" s="2">
        <v>1</v>
      </c>
      <c r="P3184" s="2">
        <v>0</v>
      </c>
      <c r="Q3184">
        <v>0</v>
      </c>
      <c r="R3184" s="2">
        <v>1</v>
      </c>
      <c r="S3184" s="2">
        <v>0</v>
      </c>
      <c r="T3184" t="s">
        <v>1125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</row>
    <row r="3185" spans="1:28" hidden="1" x14ac:dyDescent="0.25">
      <c r="A3185" t="s">
        <v>1431</v>
      </c>
      <c r="B3185" t="s">
        <v>47</v>
      </c>
      <c r="C3185" t="s">
        <v>35</v>
      </c>
      <c r="D3185" s="9">
        <v>46074</v>
      </c>
      <c r="E3185" s="9">
        <v>46074</v>
      </c>
      <c r="F3185" s="2">
        <v>41</v>
      </c>
      <c r="G3185" s="3" t="s">
        <v>23</v>
      </c>
      <c r="H3185">
        <v>0</v>
      </c>
      <c r="I3185" s="2">
        <v>0</v>
      </c>
      <c r="J3185" s="2">
        <v>0</v>
      </c>
      <c r="K3185" s="2">
        <v>0</v>
      </c>
      <c r="L3185" s="2">
        <v>0</v>
      </c>
      <c r="M3185">
        <v>0</v>
      </c>
      <c r="N3185">
        <v>0</v>
      </c>
      <c r="O3185" s="2">
        <v>1</v>
      </c>
      <c r="P3185" s="2">
        <v>0</v>
      </c>
      <c r="Q3185">
        <v>0</v>
      </c>
      <c r="R3185" s="2">
        <v>1</v>
      </c>
      <c r="S3185" s="2">
        <v>0</v>
      </c>
      <c r="T3185" t="s">
        <v>1125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</row>
    <row r="3186" spans="1:28" hidden="1" x14ac:dyDescent="0.25">
      <c r="A3186" t="s">
        <v>63</v>
      </c>
      <c r="B3186" t="s">
        <v>1160</v>
      </c>
      <c r="C3186" t="s">
        <v>102</v>
      </c>
      <c r="D3186" s="9">
        <v>46074</v>
      </c>
      <c r="E3186" s="9">
        <v>46074</v>
      </c>
      <c r="F3186" s="2">
        <v>21</v>
      </c>
      <c r="G3186" s="3" t="s">
        <v>23</v>
      </c>
      <c r="H3186">
        <v>0</v>
      </c>
      <c r="I3186" s="2">
        <v>0</v>
      </c>
      <c r="J3186" s="2">
        <v>0</v>
      </c>
      <c r="K3186" s="2">
        <v>0</v>
      </c>
      <c r="L3186" s="2">
        <v>0</v>
      </c>
      <c r="M3186">
        <v>0</v>
      </c>
      <c r="N3186">
        <v>0</v>
      </c>
      <c r="O3186" s="2">
        <v>1</v>
      </c>
      <c r="P3186" s="2">
        <v>0</v>
      </c>
      <c r="Q3186">
        <v>2</v>
      </c>
      <c r="R3186" s="2">
        <v>1</v>
      </c>
      <c r="S3186" s="2">
        <v>0</v>
      </c>
      <c r="T3186" t="s">
        <v>1125</v>
      </c>
      <c r="U3186" s="2">
        <v>14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</row>
    <row r="3187" spans="1:28" hidden="1" x14ac:dyDescent="0.25">
      <c r="A3187" t="s">
        <v>20</v>
      </c>
      <c r="B3187" t="s">
        <v>21</v>
      </c>
      <c r="C3187" t="s">
        <v>22</v>
      </c>
      <c r="D3187" s="9">
        <v>46074</v>
      </c>
      <c r="E3187" s="9">
        <v>46074</v>
      </c>
      <c r="F3187" s="2">
        <v>27</v>
      </c>
      <c r="G3187" s="3" t="s">
        <v>23</v>
      </c>
      <c r="H3187">
        <v>0</v>
      </c>
      <c r="I3187" s="2">
        <v>0</v>
      </c>
      <c r="J3187" s="2">
        <v>0</v>
      </c>
      <c r="K3187" s="2">
        <v>0</v>
      </c>
      <c r="L3187" s="2">
        <v>0</v>
      </c>
      <c r="M3187">
        <v>0</v>
      </c>
      <c r="N3187">
        <v>0</v>
      </c>
      <c r="O3187" s="2">
        <v>1</v>
      </c>
      <c r="P3187" s="2">
        <v>0</v>
      </c>
      <c r="Q3187">
        <v>3</v>
      </c>
      <c r="R3187" s="2">
        <v>1</v>
      </c>
      <c r="S3187" s="2">
        <v>0</v>
      </c>
      <c r="T3187" t="s">
        <v>1125</v>
      </c>
      <c r="U3187" s="2">
        <v>18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</row>
    <row r="3188" spans="1:28" hidden="1" x14ac:dyDescent="0.25">
      <c r="A3188" t="s">
        <v>33</v>
      </c>
      <c r="B3188" t="s">
        <v>57</v>
      </c>
      <c r="C3188" t="s">
        <v>35</v>
      </c>
      <c r="D3188" s="9">
        <v>46074</v>
      </c>
      <c r="E3188" s="9">
        <v>46074</v>
      </c>
      <c r="F3188" s="2">
        <v>21</v>
      </c>
      <c r="G3188" s="3" t="s">
        <v>378</v>
      </c>
      <c r="H3188">
        <v>0</v>
      </c>
      <c r="I3188" s="2">
        <v>0</v>
      </c>
      <c r="J3188" s="2">
        <v>0</v>
      </c>
      <c r="K3188" s="2">
        <v>0</v>
      </c>
      <c r="L3188" s="2">
        <v>0</v>
      </c>
      <c r="M3188">
        <v>0</v>
      </c>
      <c r="N3188">
        <v>0</v>
      </c>
      <c r="O3188" s="2">
        <v>0</v>
      </c>
      <c r="P3188" s="2">
        <v>0</v>
      </c>
      <c r="Q3188">
        <v>0</v>
      </c>
      <c r="R3188" s="2">
        <v>0</v>
      </c>
      <c r="S3188" s="2">
        <v>0</v>
      </c>
      <c r="T3188" t="s">
        <v>1125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</row>
    <row r="3189" spans="1:28" hidden="1" x14ac:dyDescent="0.25">
      <c r="A3189" t="s">
        <v>25</v>
      </c>
      <c r="B3189" t="s">
        <v>1237</v>
      </c>
      <c r="C3189" t="s">
        <v>35</v>
      </c>
      <c r="D3189" s="9">
        <v>46074</v>
      </c>
      <c r="E3189" s="9">
        <v>46074</v>
      </c>
      <c r="F3189" s="2">
        <v>21</v>
      </c>
      <c r="G3189" s="3" t="s">
        <v>378</v>
      </c>
      <c r="H3189">
        <v>0</v>
      </c>
      <c r="I3189" s="2">
        <v>0</v>
      </c>
      <c r="J3189" s="2">
        <v>0</v>
      </c>
      <c r="K3189" s="2">
        <v>0</v>
      </c>
      <c r="L3189" s="2">
        <v>0</v>
      </c>
      <c r="M3189">
        <v>0</v>
      </c>
      <c r="N3189">
        <v>0</v>
      </c>
      <c r="O3189" s="2">
        <v>0</v>
      </c>
      <c r="P3189" s="2">
        <v>0</v>
      </c>
      <c r="Q3189">
        <v>0</v>
      </c>
      <c r="R3189" s="2">
        <v>0</v>
      </c>
      <c r="S3189" s="2">
        <v>0</v>
      </c>
      <c r="T3189" t="s">
        <v>1125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</row>
    <row r="3190" spans="1:28" hidden="1" x14ac:dyDescent="0.25">
      <c r="A3190" t="s">
        <v>47</v>
      </c>
      <c r="B3190" t="s">
        <v>52</v>
      </c>
      <c r="C3190" t="s">
        <v>35</v>
      </c>
      <c r="D3190" s="9">
        <v>46074</v>
      </c>
      <c r="E3190" s="9">
        <v>46074</v>
      </c>
      <c r="F3190" s="2">
        <v>21</v>
      </c>
      <c r="G3190" s="3" t="s">
        <v>378</v>
      </c>
      <c r="H3190">
        <v>0</v>
      </c>
      <c r="I3190" s="2">
        <v>0</v>
      </c>
      <c r="J3190" s="2">
        <v>0</v>
      </c>
      <c r="K3190" s="2">
        <v>0</v>
      </c>
      <c r="L3190" s="2">
        <v>0</v>
      </c>
      <c r="M3190">
        <v>0</v>
      </c>
      <c r="N3190">
        <v>0</v>
      </c>
      <c r="O3190" s="2">
        <v>0</v>
      </c>
      <c r="P3190" s="2">
        <v>0</v>
      </c>
      <c r="Q3190">
        <v>0</v>
      </c>
      <c r="R3190" s="2">
        <v>0</v>
      </c>
      <c r="S3190" s="2">
        <v>0</v>
      </c>
      <c r="T3190" t="s">
        <v>1125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</row>
    <row r="3191" spans="1:28" hidden="1" x14ac:dyDescent="0.25">
      <c r="A3191" t="s">
        <v>37</v>
      </c>
      <c r="B3191" t="s">
        <v>26</v>
      </c>
      <c r="C3191" t="s">
        <v>102</v>
      </c>
      <c r="D3191" s="9">
        <v>46074</v>
      </c>
      <c r="E3191" s="9">
        <v>46074</v>
      </c>
      <c r="F3191" s="2">
        <v>23</v>
      </c>
      <c r="G3191" s="3" t="s">
        <v>129</v>
      </c>
      <c r="H3191">
        <v>0</v>
      </c>
      <c r="I3191" s="2">
        <v>0</v>
      </c>
      <c r="J3191" s="2">
        <v>0</v>
      </c>
      <c r="K3191" s="2">
        <v>0</v>
      </c>
      <c r="L3191" s="2">
        <v>0</v>
      </c>
      <c r="M3191">
        <v>0</v>
      </c>
      <c r="N3191">
        <v>0</v>
      </c>
      <c r="O3191" s="2">
        <v>0</v>
      </c>
      <c r="P3191" s="2">
        <v>0</v>
      </c>
      <c r="Q3191">
        <v>0</v>
      </c>
      <c r="R3191" s="2">
        <v>0</v>
      </c>
      <c r="S3191" s="2">
        <v>0</v>
      </c>
      <c r="T3191" t="s">
        <v>1424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</row>
    <row r="3192" spans="1:28" hidden="1" x14ac:dyDescent="0.25">
      <c r="A3192" t="s">
        <v>53</v>
      </c>
      <c r="B3192" t="s">
        <v>38</v>
      </c>
      <c r="C3192" t="s">
        <v>35</v>
      </c>
      <c r="D3192" s="9">
        <v>46074</v>
      </c>
      <c r="E3192" s="9">
        <v>46074</v>
      </c>
      <c r="F3192" s="2">
        <v>21</v>
      </c>
      <c r="G3192" s="3" t="s">
        <v>129</v>
      </c>
      <c r="H3192">
        <v>0</v>
      </c>
      <c r="I3192" s="2">
        <v>0</v>
      </c>
      <c r="J3192" s="2">
        <v>0</v>
      </c>
      <c r="K3192" s="2">
        <v>0</v>
      </c>
      <c r="L3192" s="2">
        <v>0</v>
      </c>
      <c r="M3192">
        <v>0</v>
      </c>
      <c r="N3192">
        <v>0</v>
      </c>
      <c r="O3192" s="2">
        <v>0</v>
      </c>
      <c r="P3192" s="2">
        <v>0</v>
      </c>
      <c r="Q3192">
        <v>0</v>
      </c>
      <c r="R3192" s="2">
        <v>0</v>
      </c>
      <c r="S3192" s="2">
        <v>0</v>
      </c>
      <c r="T3192" t="s">
        <v>1125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</row>
    <row r="3193" spans="1:28" hidden="1" x14ac:dyDescent="0.25">
      <c r="A3193" t="s">
        <v>47</v>
      </c>
      <c r="B3193" t="s">
        <v>284</v>
      </c>
      <c r="C3193" t="s">
        <v>35</v>
      </c>
      <c r="D3193" s="9">
        <v>46074</v>
      </c>
      <c r="E3193" s="9">
        <v>46074</v>
      </c>
      <c r="F3193" s="2">
        <v>21</v>
      </c>
      <c r="G3193" s="3" t="s">
        <v>129</v>
      </c>
      <c r="H3193">
        <v>0</v>
      </c>
      <c r="I3193" s="2">
        <v>0</v>
      </c>
      <c r="J3193" s="2">
        <v>0</v>
      </c>
      <c r="K3193" s="2">
        <v>0</v>
      </c>
      <c r="L3193" s="2">
        <v>0</v>
      </c>
      <c r="M3193">
        <v>0</v>
      </c>
      <c r="N3193">
        <v>0</v>
      </c>
      <c r="O3193" s="2">
        <v>0</v>
      </c>
      <c r="P3193" s="2">
        <v>0</v>
      </c>
      <c r="Q3193">
        <v>0</v>
      </c>
      <c r="R3193" s="2">
        <v>0</v>
      </c>
      <c r="S3193" s="2">
        <v>0</v>
      </c>
      <c r="T3193" t="s">
        <v>1125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</row>
    <row r="3194" spans="1:28" hidden="1" x14ac:dyDescent="0.25">
      <c r="A3194" t="s">
        <v>56</v>
      </c>
      <c r="B3194" t="s">
        <v>34</v>
      </c>
      <c r="C3194" t="s">
        <v>64</v>
      </c>
      <c r="D3194" s="9">
        <v>46075</v>
      </c>
      <c r="E3194" s="9">
        <v>46075</v>
      </c>
      <c r="F3194" s="2">
        <v>38</v>
      </c>
      <c r="G3194" s="3" t="s">
        <v>23</v>
      </c>
      <c r="H3194">
        <v>0</v>
      </c>
      <c r="I3194" s="2">
        <v>0</v>
      </c>
      <c r="J3194" s="2">
        <v>0</v>
      </c>
      <c r="K3194" s="2">
        <v>0</v>
      </c>
      <c r="L3194" s="2">
        <v>0</v>
      </c>
      <c r="M3194">
        <v>0</v>
      </c>
      <c r="N3194">
        <v>0</v>
      </c>
      <c r="O3194" s="2">
        <v>0</v>
      </c>
      <c r="P3194" s="2">
        <v>0</v>
      </c>
      <c r="Q3194">
        <v>3</v>
      </c>
      <c r="R3194" s="2">
        <v>0</v>
      </c>
      <c r="S3194" s="2">
        <v>1</v>
      </c>
      <c r="T3194" t="s">
        <v>1586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1</v>
      </c>
    </row>
    <row r="3195" spans="1:28" hidden="1" x14ac:dyDescent="0.25">
      <c r="A3195" t="s">
        <v>20</v>
      </c>
      <c r="B3195" t="s">
        <v>21</v>
      </c>
      <c r="C3195" t="s">
        <v>22</v>
      </c>
      <c r="D3195" s="9">
        <v>46075</v>
      </c>
      <c r="E3195" s="9">
        <v>46075</v>
      </c>
      <c r="F3195" s="2">
        <v>34</v>
      </c>
      <c r="G3195" s="3" t="s">
        <v>23</v>
      </c>
      <c r="H3195">
        <v>0</v>
      </c>
      <c r="I3195" s="2">
        <v>0</v>
      </c>
      <c r="J3195" s="2">
        <v>0</v>
      </c>
      <c r="K3195" s="2">
        <v>0</v>
      </c>
      <c r="L3195" s="2">
        <v>0</v>
      </c>
      <c r="M3195">
        <v>0</v>
      </c>
      <c r="N3195">
        <v>0</v>
      </c>
      <c r="O3195" s="2">
        <v>0</v>
      </c>
      <c r="P3195" s="2">
        <v>1</v>
      </c>
      <c r="Q3195">
        <v>1</v>
      </c>
      <c r="R3195" s="2">
        <v>0</v>
      </c>
      <c r="S3195" s="2">
        <v>1</v>
      </c>
      <c r="T3195" t="s">
        <v>1587</v>
      </c>
      <c r="U3195" s="2">
        <v>15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</row>
    <row r="3196" spans="1:28" hidden="1" x14ac:dyDescent="0.25">
      <c r="A3196" t="s">
        <v>63</v>
      </c>
      <c r="B3196" t="s">
        <v>1160</v>
      </c>
      <c r="C3196" t="s">
        <v>102</v>
      </c>
      <c r="D3196" s="9">
        <v>46075</v>
      </c>
      <c r="E3196" s="9">
        <v>46075</v>
      </c>
      <c r="F3196" s="2">
        <v>25</v>
      </c>
      <c r="G3196" s="3" t="s">
        <v>23</v>
      </c>
      <c r="H3196">
        <v>0</v>
      </c>
      <c r="I3196" s="2">
        <v>0</v>
      </c>
      <c r="J3196" s="2">
        <v>0</v>
      </c>
      <c r="K3196" s="2">
        <v>0</v>
      </c>
      <c r="L3196" s="2">
        <v>0</v>
      </c>
      <c r="M3196">
        <v>0</v>
      </c>
      <c r="N3196">
        <v>0</v>
      </c>
      <c r="O3196" s="2">
        <v>0</v>
      </c>
      <c r="P3196" s="2">
        <v>1</v>
      </c>
      <c r="Q3196">
        <v>2</v>
      </c>
      <c r="R3196" s="2">
        <v>0</v>
      </c>
      <c r="S3196" s="2">
        <v>1</v>
      </c>
      <c r="T3196" t="s">
        <v>1588</v>
      </c>
      <c r="U3196" s="2">
        <v>18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</row>
    <row r="3197" spans="1:28" hidden="1" x14ac:dyDescent="0.25">
      <c r="A3197" t="s">
        <v>568</v>
      </c>
      <c r="B3197" t="s">
        <v>1323</v>
      </c>
      <c r="C3197" t="s">
        <v>670</v>
      </c>
      <c r="D3197" s="9">
        <v>46075</v>
      </c>
      <c r="E3197" s="9">
        <v>46075</v>
      </c>
      <c r="F3197" s="2">
        <v>62</v>
      </c>
      <c r="G3197" s="3" t="s">
        <v>23</v>
      </c>
      <c r="H3197">
        <v>0</v>
      </c>
      <c r="I3197" s="2">
        <v>0</v>
      </c>
      <c r="J3197" s="2">
        <v>0</v>
      </c>
      <c r="K3197" s="2">
        <v>0</v>
      </c>
      <c r="L3197" s="2">
        <v>0</v>
      </c>
      <c r="M3197">
        <v>0</v>
      </c>
      <c r="N3197">
        <v>0</v>
      </c>
      <c r="O3197" s="2">
        <v>0</v>
      </c>
      <c r="P3197" s="2">
        <v>1</v>
      </c>
      <c r="Q3197">
        <v>0</v>
      </c>
      <c r="R3197" s="2">
        <v>0</v>
      </c>
      <c r="S3197" s="2">
        <v>1</v>
      </c>
      <c r="T3197" t="s">
        <v>1589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</row>
    <row r="3198" spans="1:28" hidden="1" x14ac:dyDescent="0.25">
      <c r="A3198" t="s">
        <v>730</v>
      </c>
      <c r="B3198" t="s">
        <v>47</v>
      </c>
      <c r="C3198" t="s">
        <v>1370</v>
      </c>
      <c r="D3198" s="9">
        <v>46075</v>
      </c>
      <c r="E3198" s="9">
        <v>46075</v>
      </c>
      <c r="F3198" s="2">
        <v>65</v>
      </c>
      <c r="G3198" s="3" t="s">
        <v>23</v>
      </c>
      <c r="H3198">
        <v>0</v>
      </c>
      <c r="I3198" s="2">
        <v>0</v>
      </c>
      <c r="J3198" s="2">
        <v>0</v>
      </c>
      <c r="K3198" s="2">
        <v>0</v>
      </c>
      <c r="L3198" s="2">
        <v>0</v>
      </c>
      <c r="M3198">
        <v>0</v>
      </c>
      <c r="N3198">
        <v>0</v>
      </c>
      <c r="O3198" s="2">
        <v>0</v>
      </c>
      <c r="P3198" s="2">
        <v>1</v>
      </c>
      <c r="Q3198">
        <v>0</v>
      </c>
      <c r="R3198" s="2">
        <v>0</v>
      </c>
      <c r="S3198" s="2">
        <v>1</v>
      </c>
      <c r="T3198" t="s">
        <v>1590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</row>
    <row r="3199" spans="1:28" hidden="1" x14ac:dyDescent="0.25">
      <c r="A3199" t="s">
        <v>1431</v>
      </c>
      <c r="B3199" t="s">
        <v>47</v>
      </c>
      <c r="C3199" t="s">
        <v>1370</v>
      </c>
      <c r="D3199" s="9">
        <v>46075</v>
      </c>
      <c r="E3199" s="9">
        <v>46075</v>
      </c>
      <c r="F3199" s="2">
        <v>65</v>
      </c>
      <c r="G3199" s="3" t="s">
        <v>23</v>
      </c>
      <c r="H3199">
        <v>0</v>
      </c>
      <c r="I3199" s="2">
        <v>0</v>
      </c>
      <c r="J3199" s="2">
        <v>0</v>
      </c>
      <c r="K3199" s="2">
        <v>0</v>
      </c>
      <c r="L3199" s="2">
        <v>0</v>
      </c>
      <c r="M3199">
        <v>0</v>
      </c>
      <c r="N3199">
        <v>0</v>
      </c>
      <c r="O3199" s="2">
        <v>0</v>
      </c>
      <c r="P3199" s="2">
        <v>1</v>
      </c>
      <c r="Q3199">
        <v>0</v>
      </c>
      <c r="R3199" s="2">
        <v>0</v>
      </c>
      <c r="S3199" s="2">
        <v>1</v>
      </c>
      <c r="T3199" t="s">
        <v>1590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</row>
    <row r="3200" spans="1:28" hidden="1" x14ac:dyDescent="0.25">
      <c r="A3200" t="s">
        <v>29</v>
      </c>
      <c r="B3200" t="s">
        <v>30</v>
      </c>
      <c r="C3200" t="s">
        <v>1370</v>
      </c>
      <c r="D3200" s="9">
        <v>46075</v>
      </c>
      <c r="E3200" s="9">
        <v>46075</v>
      </c>
      <c r="F3200" s="2">
        <v>65</v>
      </c>
      <c r="G3200" s="3" t="s">
        <v>23</v>
      </c>
      <c r="H3200">
        <v>0</v>
      </c>
      <c r="I3200" s="2">
        <v>0</v>
      </c>
      <c r="J3200" s="2">
        <v>0</v>
      </c>
      <c r="K3200" s="2">
        <v>0</v>
      </c>
      <c r="L3200" s="2">
        <v>0</v>
      </c>
      <c r="M3200">
        <v>0</v>
      </c>
      <c r="N3200">
        <v>0</v>
      </c>
      <c r="O3200" s="2">
        <v>0</v>
      </c>
      <c r="P3200" s="2">
        <v>1</v>
      </c>
      <c r="Q3200">
        <v>1</v>
      </c>
      <c r="R3200" s="2">
        <v>0</v>
      </c>
      <c r="S3200" s="2">
        <v>1</v>
      </c>
      <c r="T3200" t="s">
        <v>1590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</row>
    <row r="3201" spans="1:28" hidden="1" x14ac:dyDescent="0.25">
      <c r="A3201" t="s">
        <v>47</v>
      </c>
      <c r="B3201" t="s">
        <v>57</v>
      </c>
      <c r="C3201" t="s">
        <v>1370</v>
      </c>
      <c r="D3201" s="9">
        <v>46075</v>
      </c>
      <c r="E3201" s="9">
        <v>46075</v>
      </c>
      <c r="F3201" s="2">
        <v>65</v>
      </c>
      <c r="G3201" s="3" t="s">
        <v>378</v>
      </c>
      <c r="H3201">
        <v>0</v>
      </c>
      <c r="I3201" s="2">
        <v>0</v>
      </c>
      <c r="J3201" s="2">
        <v>0</v>
      </c>
      <c r="K3201" s="2">
        <v>0</v>
      </c>
      <c r="L3201" s="2">
        <v>0</v>
      </c>
      <c r="M3201">
        <v>0</v>
      </c>
      <c r="N3201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t="s">
        <v>1590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</row>
    <row r="3202" spans="1:28" hidden="1" x14ac:dyDescent="0.25">
      <c r="A3202" t="s">
        <v>25</v>
      </c>
      <c r="B3202" t="s">
        <v>1237</v>
      </c>
      <c r="C3202" t="s">
        <v>1370</v>
      </c>
      <c r="D3202" s="9">
        <v>46075</v>
      </c>
      <c r="E3202" s="9">
        <v>46075</v>
      </c>
      <c r="F3202" s="2">
        <v>65</v>
      </c>
      <c r="G3202" s="3" t="s">
        <v>378</v>
      </c>
      <c r="H3202">
        <v>0</v>
      </c>
      <c r="I3202" s="2">
        <v>0</v>
      </c>
      <c r="J3202" s="2">
        <v>0</v>
      </c>
      <c r="K3202" s="2">
        <v>0</v>
      </c>
      <c r="L3202" s="2">
        <v>0</v>
      </c>
      <c r="M3202">
        <v>0</v>
      </c>
      <c r="N320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t="s">
        <v>1590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</row>
    <row r="3203" spans="1:28" hidden="1" x14ac:dyDescent="0.25">
      <c r="A3203" t="s">
        <v>33</v>
      </c>
      <c r="B3203" t="s">
        <v>47</v>
      </c>
      <c r="C3203" t="s">
        <v>1370</v>
      </c>
      <c r="D3203" s="9">
        <v>46075</v>
      </c>
      <c r="E3203" s="9">
        <v>46075</v>
      </c>
      <c r="F3203" s="2">
        <v>65</v>
      </c>
      <c r="G3203" s="3" t="s">
        <v>378</v>
      </c>
      <c r="H3203">
        <v>0</v>
      </c>
      <c r="I3203" s="2">
        <v>0</v>
      </c>
      <c r="J3203" s="2">
        <v>0</v>
      </c>
      <c r="K3203" s="2">
        <v>0</v>
      </c>
      <c r="L3203" s="2">
        <v>0</v>
      </c>
      <c r="M3203">
        <v>0</v>
      </c>
      <c r="N3203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t="s">
        <v>1590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</row>
    <row r="3204" spans="1:28" hidden="1" x14ac:dyDescent="0.25">
      <c r="A3204" t="s">
        <v>37</v>
      </c>
      <c r="B3204" t="s">
        <v>26</v>
      </c>
      <c r="C3204" t="s">
        <v>1370</v>
      </c>
      <c r="D3204" s="9">
        <v>46075</v>
      </c>
      <c r="E3204" s="9">
        <v>46075</v>
      </c>
      <c r="F3204" s="2">
        <v>65</v>
      </c>
      <c r="G3204" s="3" t="s">
        <v>129</v>
      </c>
      <c r="H3204">
        <v>0</v>
      </c>
      <c r="I3204" s="2">
        <v>0</v>
      </c>
      <c r="J3204" s="2">
        <v>0</v>
      </c>
      <c r="K3204" s="2">
        <v>0</v>
      </c>
      <c r="L3204" s="2">
        <v>0</v>
      </c>
      <c r="M3204">
        <v>0</v>
      </c>
      <c r="N3204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t="s">
        <v>1590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</row>
    <row r="3205" spans="1:28" hidden="1" x14ac:dyDescent="0.25">
      <c r="A3205" t="s">
        <v>53</v>
      </c>
      <c r="B3205" t="s">
        <v>38</v>
      </c>
      <c r="C3205" t="s">
        <v>1370</v>
      </c>
      <c r="D3205" s="9">
        <v>46075</v>
      </c>
      <c r="E3205" s="9">
        <v>46075</v>
      </c>
      <c r="F3205" s="2">
        <v>65</v>
      </c>
      <c r="G3205" s="3" t="s">
        <v>129</v>
      </c>
      <c r="H3205">
        <v>0</v>
      </c>
      <c r="I3205" s="2">
        <v>0</v>
      </c>
      <c r="J3205" s="2">
        <v>0</v>
      </c>
      <c r="K3205" s="2">
        <v>0</v>
      </c>
      <c r="L3205" s="2">
        <v>0</v>
      </c>
      <c r="M3205">
        <v>0</v>
      </c>
      <c r="N3205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t="s">
        <v>1590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</row>
    <row r="3206" spans="1:28" hidden="1" x14ac:dyDescent="0.25">
      <c r="A3206" t="s">
        <v>47</v>
      </c>
      <c r="B3206" t="s">
        <v>284</v>
      </c>
      <c r="C3206" t="s">
        <v>1370</v>
      </c>
      <c r="D3206" s="9">
        <v>46075</v>
      </c>
      <c r="E3206" s="9">
        <v>46075</v>
      </c>
      <c r="F3206" s="2">
        <v>65</v>
      </c>
      <c r="G3206" s="3" t="s">
        <v>129</v>
      </c>
      <c r="H3206">
        <v>0</v>
      </c>
      <c r="I3206" s="2">
        <v>0</v>
      </c>
      <c r="J3206" s="2">
        <v>0</v>
      </c>
      <c r="K3206" s="2">
        <v>0</v>
      </c>
      <c r="L3206" s="2">
        <v>0</v>
      </c>
      <c r="M3206">
        <v>0</v>
      </c>
      <c r="N3206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t="s">
        <v>1590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</row>
    <row r="3207" spans="1:28" hidden="1" x14ac:dyDescent="0.25">
      <c r="A3207" t="s">
        <v>56</v>
      </c>
      <c r="B3207" t="s">
        <v>1323</v>
      </c>
      <c r="C3207" t="s">
        <v>64</v>
      </c>
      <c r="D3207" s="1">
        <v>46076</v>
      </c>
      <c r="E3207" s="1">
        <v>46076</v>
      </c>
      <c r="F3207" s="2">
        <v>22</v>
      </c>
      <c r="G3207" s="3" t="s">
        <v>23</v>
      </c>
      <c r="H3207">
        <v>5</v>
      </c>
      <c r="I3207" s="2">
        <v>0</v>
      </c>
      <c r="J3207" s="2">
        <v>0</v>
      </c>
      <c r="K3207" s="2">
        <v>0</v>
      </c>
      <c r="L3207" s="2">
        <v>0</v>
      </c>
      <c r="M3207">
        <v>0</v>
      </c>
      <c r="N3207">
        <v>0</v>
      </c>
      <c r="O3207" s="2">
        <v>0</v>
      </c>
      <c r="P3207" s="2">
        <v>0</v>
      </c>
      <c r="Q3207">
        <v>0</v>
      </c>
      <c r="R3207" s="2">
        <v>0</v>
      </c>
      <c r="S3207" s="2">
        <v>0</v>
      </c>
      <c r="T3207" t="s">
        <v>1591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</row>
    <row r="3208" spans="1:28" hidden="1" x14ac:dyDescent="0.25">
      <c r="A3208" t="s">
        <v>25</v>
      </c>
      <c r="B3208" t="s">
        <v>1237</v>
      </c>
      <c r="C3208" t="s">
        <v>27</v>
      </c>
      <c r="D3208" s="1">
        <v>46076</v>
      </c>
      <c r="E3208" s="1">
        <v>46076</v>
      </c>
      <c r="F3208" s="2">
        <v>23</v>
      </c>
      <c r="G3208" s="3" t="s">
        <v>23</v>
      </c>
      <c r="H3208">
        <v>0</v>
      </c>
      <c r="I3208" s="2">
        <v>0</v>
      </c>
      <c r="J3208" s="2">
        <v>0</v>
      </c>
      <c r="K3208" s="2">
        <v>0</v>
      </c>
      <c r="L3208" s="2">
        <v>0</v>
      </c>
      <c r="M3208">
        <v>0</v>
      </c>
      <c r="N3208">
        <v>0</v>
      </c>
      <c r="O3208" s="2">
        <v>0</v>
      </c>
      <c r="P3208" s="2">
        <v>0</v>
      </c>
      <c r="Q3208">
        <v>0</v>
      </c>
      <c r="R3208" s="2">
        <v>0</v>
      </c>
      <c r="S3208" s="2">
        <v>0</v>
      </c>
      <c r="T3208" t="s">
        <v>1592</v>
      </c>
      <c r="U3208" s="2">
        <v>0</v>
      </c>
      <c r="V3208" s="2">
        <v>16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</row>
    <row r="3209" spans="1:28" hidden="1" x14ac:dyDescent="0.25">
      <c r="A3209" t="s">
        <v>63</v>
      </c>
      <c r="B3209" t="s">
        <v>1160</v>
      </c>
      <c r="C3209" t="s">
        <v>102</v>
      </c>
      <c r="D3209" s="1">
        <v>46076</v>
      </c>
      <c r="E3209" s="1">
        <v>46076</v>
      </c>
      <c r="F3209" s="2">
        <v>32</v>
      </c>
      <c r="G3209" s="3" t="s">
        <v>23</v>
      </c>
      <c r="H3209">
        <v>0</v>
      </c>
      <c r="I3209" s="2">
        <v>0</v>
      </c>
      <c r="J3209" s="2">
        <v>0</v>
      </c>
      <c r="K3209" s="2">
        <v>0</v>
      </c>
      <c r="L3209" s="2">
        <v>0</v>
      </c>
      <c r="M3209">
        <v>0</v>
      </c>
      <c r="N3209">
        <v>0</v>
      </c>
      <c r="O3209" s="2">
        <v>0</v>
      </c>
      <c r="P3209" s="2">
        <v>0</v>
      </c>
      <c r="Q3209">
        <v>0</v>
      </c>
      <c r="R3209" s="2">
        <v>0</v>
      </c>
      <c r="S3209" s="2">
        <v>0</v>
      </c>
      <c r="T3209" t="s">
        <v>1593</v>
      </c>
      <c r="U3209" s="2">
        <v>0</v>
      </c>
      <c r="V3209" s="2">
        <v>20</v>
      </c>
      <c r="W3209" s="2">
        <v>2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</row>
    <row r="3210" spans="1:28" hidden="1" x14ac:dyDescent="0.25">
      <c r="A3210" t="s">
        <v>29</v>
      </c>
      <c r="B3210" t="s">
        <v>30</v>
      </c>
      <c r="C3210" t="s">
        <v>31</v>
      </c>
      <c r="D3210" s="1">
        <v>46076</v>
      </c>
      <c r="E3210" s="1">
        <v>46076</v>
      </c>
      <c r="F3210" s="2">
        <v>31</v>
      </c>
      <c r="G3210" s="3" t="s">
        <v>23</v>
      </c>
      <c r="H3210">
        <v>10</v>
      </c>
      <c r="I3210" s="2">
        <v>0</v>
      </c>
      <c r="J3210" s="2">
        <v>0</v>
      </c>
      <c r="K3210" s="2">
        <v>0</v>
      </c>
      <c r="L3210" s="2">
        <v>0</v>
      </c>
      <c r="M3210">
        <v>0</v>
      </c>
      <c r="N3210">
        <v>0</v>
      </c>
      <c r="O3210" s="2">
        <v>0</v>
      </c>
      <c r="P3210" s="2">
        <v>0</v>
      </c>
      <c r="Q3210">
        <v>0</v>
      </c>
      <c r="R3210" s="2">
        <v>0</v>
      </c>
      <c r="S3210" s="2">
        <v>0</v>
      </c>
      <c r="T3210" t="s">
        <v>1594</v>
      </c>
      <c r="U3210" s="2">
        <v>0</v>
      </c>
      <c r="V3210" s="2">
        <v>2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</row>
    <row r="3211" spans="1:28" hidden="1" x14ac:dyDescent="0.25">
      <c r="A3211" t="s">
        <v>33</v>
      </c>
      <c r="B3211" t="s">
        <v>34</v>
      </c>
      <c r="C3211" t="s">
        <v>35</v>
      </c>
      <c r="D3211" s="1">
        <v>46076</v>
      </c>
      <c r="E3211" s="1">
        <v>46076</v>
      </c>
      <c r="F3211" s="2">
        <v>45</v>
      </c>
      <c r="G3211" s="3" t="s">
        <v>23</v>
      </c>
      <c r="H3211">
        <v>12</v>
      </c>
      <c r="I3211" s="2">
        <v>0</v>
      </c>
      <c r="J3211" s="2">
        <v>0</v>
      </c>
      <c r="K3211" s="2">
        <v>0</v>
      </c>
      <c r="L3211" s="2">
        <v>0</v>
      </c>
      <c r="M3211">
        <v>1</v>
      </c>
      <c r="N3211">
        <v>0</v>
      </c>
      <c r="O3211" s="2">
        <v>0</v>
      </c>
      <c r="P3211" s="2">
        <v>0</v>
      </c>
      <c r="Q3211">
        <v>0</v>
      </c>
      <c r="R3211" s="2">
        <v>0</v>
      </c>
      <c r="S3211" s="2">
        <v>0</v>
      </c>
      <c r="T3211" t="s">
        <v>1595</v>
      </c>
      <c r="U3211" s="2">
        <v>0</v>
      </c>
      <c r="V3211" s="2">
        <v>12</v>
      </c>
      <c r="W3211" s="2">
        <v>2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</row>
    <row r="3212" spans="1:28" hidden="1" x14ac:dyDescent="0.25">
      <c r="A3212" t="s">
        <v>47</v>
      </c>
      <c r="B3212" t="s">
        <v>57</v>
      </c>
      <c r="C3212" t="s">
        <v>1370</v>
      </c>
      <c r="D3212" s="1">
        <v>46076</v>
      </c>
      <c r="E3212" s="1">
        <v>46076</v>
      </c>
      <c r="F3212" s="2">
        <v>65</v>
      </c>
      <c r="G3212" s="3" t="s">
        <v>572</v>
      </c>
      <c r="H3212">
        <v>0</v>
      </c>
      <c r="I3212" s="2">
        <v>0</v>
      </c>
      <c r="J3212" s="2">
        <v>0</v>
      </c>
      <c r="K3212" s="2">
        <v>0</v>
      </c>
      <c r="L3212" s="2">
        <v>0</v>
      </c>
      <c r="M3212">
        <v>0</v>
      </c>
      <c r="N3212">
        <v>0</v>
      </c>
      <c r="O3212" s="2">
        <v>0</v>
      </c>
      <c r="P3212" s="2">
        <v>0</v>
      </c>
      <c r="Q3212">
        <v>0</v>
      </c>
      <c r="R3212" s="2">
        <v>0</v>
      </c>
      <c r="S3212" s="2">
        <v>0</v>
      </c>
      <c r="T3212" t="s">
        <v>1590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</row>
    <row r="3213" spans="1:28" hidden="1" x14ac:dyDescent="0.25">
      <c r="A3213" t="s">
        <v>20</v>
      </c>
      <c r="B3213" t="s">
        <v>21</v>
      </c>
      <c r="C3213" t="s">
        <v>1370</v>
      </c>
      <c r="D3213" s="1">
        <v>46076</v>
      </c>
      <c r="E3213" s="1">
        <v>46076</v>
      </c>
      <c r="F3213" s="2">
        <v>65</v>
      </c>
      <c r="G3213" s="3" t="s">
        <v>572</v>
      </c>
      <c r="H3213">
        <v>0</v>
      </c>
      <c r="I3213" s="2">
        <v>0</v>
      </c>
      <c r="J3213" s="2">
        <v>0</v>
      </c>
      <c r="K3213" s="2">
        <v>0</v>
      </c>
      <c r="L3213" s="2">
        <v>0</v>
      </c>
      <c r="M3213">
        <v>0</v>
      </c>
      <c r="N3213">
        <v>0</v>
      </c>
      <c r="O3213" s="2">
        <v>0</v>
      </c>
      <c r="P3213" s="2">
        <v>0</v>
      </c>
      <c r="Q3213">
        <v>0</v>
      </c>
      <c r="R3213" s="2">
        <v>0</v>
      </c>
      <c r="S3213" s="2">
        <v>0</v>
      </c>
      <c r="T3213" t="s">
        <v>1590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</row>
    <row r="3214" spans="1:28" hidden="1" x14ac:dyDescent="0.25">
      <c r="A3214" t="s">
        <v>568</v>
      </c>
      <c r="B3214" t="s">
        <v>47</v>
      </c>
      <c r="C3214" t="s">
        <v>1370</v>
      </c>
      <c r="D3214" s="1">
        <v>46076</v>
      </c>
      <c r="E3214" s="1">
        <v>46076</v>
      </c>
      <c r="F3214" s="2">
        <v>65</v>
      </c>
      <c r="G3214" s="3" t="s">
        <v>572</v>
      </c>
      <c r="H3214">
        <v>0</v>
      </c>
      <c r="I3214" s="2">
        <v>0</v>
      </c>
      <c r="J3214" s="2">
        <v>0</v>
      </c>
      <c r="K3214" s="2">
        <v>0</v>
      </c>
      <c r="L3214" s="2">
        <v>0</v>
      </c>
      <c r="M3214">
        <v>0</v>
      </c>
      <c r="N3214">
        <v>0</v>
      </c>
      <c r="O3214" s="2">
        <v>0</v>
      </c>
      <c r="P3214" s="2">
        <v>0</v>
      </c>
      <c r="Q3214">
        <v>0</v>
      </c>
      <c r="R3214" s="2">
        <v>0</v>
      </c>
      <c r="S3214" s="2">
        <v>0</v>
      </c>
      <c r="T3214" t="s">
        <v>1590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</row>
    <row r="3215" spans="1:28" hidden="1" x14ac:dyDescent="0.25">
      <c r="A3215" t="s">
        <v>730</v>
      </c>
      <c r="B3215" t="s">
        <v>47</v>
      </c>
      <c r="C3215" t="s">
        <v>1370</v>
      </c>
      <c r="D3215" s="1">
        <v>46076</v>
      </c>
      <c r="E3215" s="1">
        <v>46076</v>
      </c>
      <c r="F3215" s="2">
        <v>65</v>
      </c>
      <c r="G3215" s="3" t="s">
        <v>409</v>
      </c>
      <c r="H3215">
        <v>0</v>
      </c>
      <c r="I3215" s="2">
        <v>0</v>
      </c>
      <c r="J3215" s="2">
        <v>0</v>
      </c>
      <c r="K3215" s="2">
        <v>0</v>
      </c>
      <c r="L3215" s="2">
        <v>0</v>
      </c>
      <c r="M3215">
        <v>0</v>
      </c>
      <c r="N3215">
        <v>0</v>
      </c>
      <c r="O3215" s="2">
        <v>0</v>
      </c>
      <c r="P3215" s="2">
        <v>0</v>
      </c>
      <c r="Q3215">
        <v>0</v>
      </c>
      <c r="R3215" s="2">
        <v>0</v>
      </c>
      <c r="S3215" s="2">
        <v>0</v>
      </c>
      <c r="T3215" t="s">
        <v>1590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</row>
    <row r="3216" spans="1:28" hidden="1" x14ac:dyDescent="0.25">
      <c r="A3216" t="s">
        <v>1596</v>
      </c>
      <c r="B3216" t="s">
        <v>47</v>
      </c>
      <c r="C3216" t="s">
        <v>1370</v>
      </c>
      <c r="D3216" s="1">
        <v>46076</v>
      </c>
      <c r="E3216" s="1">
        <v>46076</v>
      </c>
      <c r="F3216" s="2">
        <v>65</v>
      </c>
      <c r="G3216" s="3" t="s">
        <v>409</v>
      </c>
      <c r="H3216">
        <v>0</v>
      </c>
      <c r="I3216" s="2">
        <v>0</v>
      </c>
      <c r="J3216" s="2">
        <v>0</v>
      </c>
      <c r="K3216" s="2">
        <v>0</v>
      </c>
      <c r="L3216" s="2">
        <v>0</v>
      </c>
      <c r="M3216">
        <v>0</v>
      </c>
      <c r="N3216">
        <v>0</v>
      </c>
      <c r="O3216" s="2">
        <v>0</v>
      </c>
      <c r="P3216" s="2">
        <v>0</v>
      </c>
      <c r="Q3216">
        <v>0</v>
      </c>
      <c r="R3216" s="2">
        <v>0</v>
      </c>
      <c r="S3216" s="2">
        <v>0</v>
      </c>
      <c r="T3216" t="s">
        <v>1590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</row>
    <row r="3217" spans="1:28" hidden="1" x14ac:dyDescent="0.25">
      <c r="A3217" t="s">
        <v>37</v>
      </c>
      <c r="B3217" t="s">
        <v>26</v>
      </c>
      <c r="C3217" t="s">
        <v>1370</v>
      </c>
      <c r="D3217" s="1">
        <v>46076</v>
      </c>
      <c r="E3217" s="1">
        <v>46076</v>
      </c>
      <c r="F3217" s="2">
        <v>65</v>
      </c>
      <c r="G3217" s="3" t="s">
        <v>129</v>
      </c>
      <c r="H3217">
        <v>0</v>
      </c>
      <c r="I3217" s="2">
        <v>0</v>
      </c>
      <c r="J3217" s="2">
        <v>0</v>
      </c>
      <c r="K3217" s="2">
        <v>0</v>
      </c>
      <c r="L3217" s="2">
        <v>0</v>
      </c>
      <c r="M3217">
        <v>0</v>
      </c>
      <c r="N3217">
        <v>0</v>
      </c>
      <c r="O3217" s="2">
        <v>0</v>
      </c>
      <c r="P3217" s="2">
        <v>0</v>
      </c>
      <c r="Q3217">
        <v>0</v>
      </c>
      <c r="R3217" s="2">
        <v>0</v>
      </c>
      <c r="S3217" s="2">
        <v>0</v>
      </c>
      <c r="T3217" t="s">
        <v>1590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</row>
    <row r="3218" spans="1:28" hidden="1" x14ac:dyDescent="0.25">
      <c r="A3218" t="s">
        <v>53</v>
      </c>
      <c r="B3218" t="s">
        <v>38</v>
      </c>
      <c r="C3218" t="s">
        <v>1370</v>
      </c>
      <c r="D3218" s="1">
        <v>46076</v>
      </c>
      <c r="E3218" s="1">
        <v>46076</v>
      </c>
      <c r="F3218" s="2">
        <v>65</v>
      </c>
      <c r="G3218" s="3" t="s">
        <v>129</v>
      </c>
      <c r="H3218">
        <v>0</v>
      </c>
      <c r="I3218" s="2">
        <v>0</v>
      </c>
      <c r="J3218" s="2">
        <v>0</v>
      </c>
      <c r="K3218" s="2">
        <v>0</v>
      </c>
      <c r="L3218" s="2">
        <v>0</v>
      </c>
      <c r="M3218">
        <v>0</v>
      </c>
      <c r="N3218">
        <v>0</v>
      </c>
      <c r="O3218" s="2">
        <v>0</v>
      </c>
      <c r="P3218" s="2">
        <v>0</v>
      </c>
      <c r="Q3218">
        <v>0</v>
      </c>
      <c r="R3218" s="2">
        <v>0</v>
      </c>
      <c r="S3218" s="2">
        <v>0</v>
      </c>
      <c r="T3218" t="s">
        <v>1590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</row>
    <row r="3219" spans="1:28" hidden="1" x14ac:dyDescent="0.25">
      <c r="A3219" t="s">
        <v>47</v>
      </c>
      <c r="B3219" t="s">
        <v>284</v>
      </c>
      <c r="C3219" t="s">
        <v>1370</v>
      </c>
      <c r="D3219" s="1">
        <v>46076</v>
      </c>
      <c r="E3219" s="1">
        <v>46076</v>
      </c>
      <c r="F3219" s="2">
        <v>65</v>
      </c>
      <c r="G3219" s="3" t="s">
        <v>129</v>
      </c>
      <c r="H3219">
        <v>0</v>
      </c>
      <c r="I3219" s="2">
        <v>0</v>
      </c>
      <c r="J3219" s="2">
        <v>0</v>
      </c>
      <c r="K3219" s="2">
        <v>0</v>
      </c>
      <c r="L3219" s="2">
        <v>0</v>
      </c>
      <c r="M3219">
        <v>0</v>
      </c>
      <c r="N3219">
        <v>0</v>
      </c>
      <c r="O3219" s="2">
        <v>0</v>
      </c>
      <c r="P3219" s="2">
        <v>0</v>
      </c>
      <c r="Q3219">
        <v>0</v>
      </c>
      <c r="R3219" s="2">
        <v>0</v>
      </c>
      <c r="S3219" s="2">
        <v>0</v>
      </c>
      <c r="T3219" t="s">
        <v>1590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</row>
    <row r="3220" spans="1:28" hidden="1" x14ac:dyDescent="0.25">
      <c r="A3220" t="s">
        <v>56</v>
      </c>
      <c r="B3220" t="s">
        <v>1323</v>
      </c>
      <c r="C3220" t="s">
        <v>64</v>
      </c>
      <c r="D3220" s="1">
        <v>46077</v>
      </c>
      <c r="E3220" s="1">
        <v>46077</v>
      </c>
      <c r="F3220" s="2">
        <v>94</v>
      </c>
      <c r="G3220" s="3" t="s">
        <v>23</v>
      </c>
      <c r="H3220">
        <v>36</v>
      </c>
      <c r="I3220" s="2">
        <v>0</v>
      </c>
      <c r="J3220" s="2">
        <v>0</v>
      </c>
      <c r="K3220" s="2">
        <v>1</v>
      </c>
      <c r="L3220" s="2">
        <v>0</v>
      </c>
      <c r="M3220">
        <v>0</v>
      </c>
      <c r="N3220">
        <v>0</v>
      </c>
      <c r="O3220" s="2">
        <v>0</v>
      </c>
      <c r="P3220" s="2">
        <v>0</v>
      </c>
      <c r="Q3220">
        <v>2</v>
      </c>
      <c r="R3220" s="2">
        <v>0</v>
      </c>
      <c r="S3220" s="2">
        <v>0</v>
      </c>
      <c r="T3220" t="s">
        <v>1597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</row>
    <row r="3221" spans="1:28" hidden="1" x14ac:dyDescent="0.25">
      <c r="A3221" t="s">
        <v>20</v>
      </c>
      <c r="B3221" t="s">
        <v>21</v>
      </c>
      <c r="C3221" t="s">
        <v>22</v>
      </c>
      <c r="D3221" s="1">
        <v>46077</v>
      </c>
      <c r="E3221" s="1">
        <v>46077</v>
      </c>
      <c r="F3221" s="2">
        <v>39</v>
      </c>
      <c r="G3221" s="3" t="s">
        <v>23</v>
      </c>
      <c r="H3221">
        <v>24</v>
      </c>
      <c r="I3221" s="2">
        <v>0</v>
      </c>
      <c r="J3221" s="2">
        <v>0</v>
      </c>
      <c r="K3221" s="2">
        <v>1</v>
      </c>
      <c r="L3221" s="2">
        <v>0</v>
      </c>
      <c r="M3221">
        <v>0</v>
      </c>
      <c r="N3221">
        <v>0</v>
      </c>
      <c r="O3221" s="2">
        <v>0</v>
      </c>
      <c r="P3221" s="2">
        <v>0</v>
      </c>
      <c r="Q3221">
        <v>1</v>
      </c>
      <c r="R3221" s="2">
        <v>0</v>
      </c>
      <c r="S3221" s="2">
        <v>0</v>
      </c>
      <c r="T3221" t="s">
        <v>1598</v>
      </c>
      <c r="U3221" s="2">
        <v>0</v>
      </c>
      <c r="V3221" s="2">
        <v>16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</row>
    <row r="3222" spans="1:28" hidden="1" x14ac:dyDescent="0.25">
      <c r="A3222" t="s">
        <v>63</v>
      </c>
      <c r="B3222" t="s">
        <v>1160</v>
      </c>
      <c r="C3222" t="s">
        <v>102</v>
      </c>
      <c r="D3222" s="1">
        <v>46077</v>
      </c>
      <c r="E3222" s="1">
        <v>46077</v>
      </c>
      <c r="F3222" s="2">
        <v>16</v>
      </c>
      <c r="G3222" s="3" t="s">
        <v>23</v>
      </c>
      <c r="H3222">
        <v>37</v>
      </c>
      <c r="I3222" s="2">
        <v>1</v>
      </c>
      <c r="J3222" s="2">
        <v>0</v>
      </c>
      <c r="K3222" s="2">
        <v>1</v>
      </c>
      <c r="L3222" s="2">
        <v>0</v>
      </c>
      <c r="M3222">
        <v>0</v>
      </c>
      <c r="N3222">
        <v>0</v>
      </c>
      <c r="O3222" s="2">
        <v>0</v>
      </c>
      <c r="P3222" s="2">
        <v>0</v>
      </c>
      <c r="Q3222">
        <v>0</v>
      </c>
      <c r="R3222" s="2">
        <v>0</v>
      </c>
      <c r="S3222" s="2">
        <v>0</v>
      </c>
      <c r="T3222" t="s">
        <v>1599</v>
      </c>
      <c r="U3222" s="2">
        <v>0</v>
      </c>
      <c r="V3222" s="2">
        <v>2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</row>
    <row r="3223" spans="1:28" hidden="1" x14ac:dyDescent="0.25">
      <c r="A3223" t="s">
        <v>29</v>
      </c>
      <c r="B3223" t="s">
        <v>30</v>
      </c>
      <c r="C3223" t="s">
        <v>31</v>
      </c>
      <c r="D3223" s="1">
        <v>46077</v>
      </c>
      <c r="E3223" s="1">
        <v>46077</v>
      </c>
      <c r="F3223" s="2">
        <v>27</v>
      </c>
      <c r="G3223" s="3" t="s">
        <v>23</v>
      </c>
      <c r="H3223">
        <v>28</v>
      </c>
      <c r="I3223" s="2">
        <v>0</v>
      </c>
      <c r="J3223" s="2">
        <v>0</v>
      </c>
      <c r="K3223" s="2">
        <v>0</v>
      </c>
      <c r="L3223" s="2">
        <v>0</v>
      </c>
      <c r="M3223">
        <v>0</v>
      </c>
      <c r="N3223">
        <v>0</v>
      </c>
      <c r="O3223" s="2">
        <v>0</v>
      </c>
      <c r="P3223" s="2">
        <v>0</v>
      </c>
      <c r="Q3223">
        <v>0</v>
      </c>
      <c r="R3223" s="2">
        <v>0</v>
      </c>
      <c r="S3223" s="2">
        <v>0</v>
      </c>
      <c r="T3223" t="s">
        <v>1600</v>
      </c>
      <c r="U3223" s="2">
        <v>0</v>
      </c>
      <c r="V3223" s="2">
        <v>16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</row>
    <row r="3224" spans="1:28" hidden="1" x14ac:dyDescent="0.25">
      <c r="A3224" t="s">
        <v>568</v>
      </c>
      <c r="B3224" t="s">
        <v>1601</v>
      </c>
      <c r="C3224" t="s">
        <v>31</v>
      </c>
      <c r="D3224" s="1">
        <v>46077</v>
      </c>
      <c r="E3224" s="1">
        <v>46077</v>
      </c>
      <c r="F3224" s="2">
        <v>62</v>
      </c>
      <c r="G3224" s="3" t="s">
        <v>23</v>
      </c>
      <c r="H3224">
        <f>16+2</f>
        <v>18</v>
      </c>
      <c r="I3224" s="2">
        <v>0</v>
      </c>
      <c r="J3224" s="2">
        <v>0</v>
      </c>
      <c r="K3224" s="2">
        <v>1</v>
      </c>
      <c r="L3224" s="2">
        <v>0</v>
      </c>
      <c r="M3224">
        <v>0</v>
      </c>
      <c r="N3224">
        <v>0</v>
      </c>
      <c r="O3224" s="2">
        <v>0</v>
      </c>
      <c r="P3224" s="2">
        <v>0</v>
      </c>
      <c r="Q3224">
        <v>0</v>
      </c>
      <c r="R3224" s="2">
        <v>0</v>
      </c>
      <c r="S3224" s="2">
        <v>0</v>
      </c>
      <c r="T3224" t="s">
        <v>1602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</row>
    <row r="3225" spans="1:28" hidden="1" x14ac:dyDescent="0.25">
      <c r="A3225" t="s">
        <v>33</v>
      </c>
      <c r="B3225" t="s">
        <v>34</v>
      </c>
      <c r="C3225" t="s">
        <v>35</v>
      </c>
      <c r="D3225" s="1">
        <v>46077</v>
      </c>
      <c r="E3225" s="1">
        <v>46077</v>
      </c>
      <c r="F3225" s="2">
        <v>72</v>
      </c>
      <c r="G3225" s="3" t="s">
        <v>23</v>
      </c>
      <c r="H3225">
        <v>22</v>
      </c>
      <c r="I3225" s="2">
        <v>0</v>
      </c>
      <c r="J3225" s="2">
        <v>0</v>
      </c>
      <c r="K3225" s="2">
        <v>0</v>
      </c>
      <c r="L3225" s="2">
        <v>1</v>
      </c>
      <c r="M3225">
        <v>0</v>
      </c>
      <c r="N3225">
        <v>1</v>
      </c>
      <c r="O3225" s="2">
        <v>0</v>
      </c>
      <c r="P3225" s="2">
        <v>0</v>
      </c>
      <c r="Q3225">
        <v>0</v>
      </c>
      <c r="R3225" s="2">
        <v>0</v>
      </c>
      <c r="S3225" s="2">
        <v>0</v>
      </c>
      <c r="T3225" t="s">
        <v>1603</v>
      </c>
      <c r="U3225" s="2">
        <v>0</v>
      </c>
      <c r="V3225" s="2">
        <v>14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</row>
    <row r="3226" spans="1:28" hidden="1" x14ac:dyDescent="0.25">
      <c r="A3226" t="s">
        <v>25</v>
      </c>
      <c r="B3226" t="s">
        <v>1237</v>
      </c>
      <c r="C3226" t="s">
        <v>1370</v>
      </c>
      <c r="D3226" s="1">
        <v>46077</v>
      </c>
      <c r="E3226" s="1">
        <v>46077</v>
      </c>
      <c r="F3226" s="2">
        <v>65</v>
      </c>
      <c r="G3226" s="3" t="s">
        <v>48</v>
      </c>
      <c r="H3226">
        <v>0</v>
      </c>
      <c r="I3226" s="2">
        <v>0</v>
      </c>
      <c r="J3226" s="2">
        <v>0</v>
      </c>
      <c r="K3226" s="2">
        <v>0</v>
      </c>
      <c r="L3226" s="2">
        <v>0</v>
      </c>
      <c r="M3226">
        <v>0</v>
      </c>
      <c r="N3226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t="s">
        <v>1590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</row>
    <row r="3227" spans="1:28" hidden="1" x14ac:dyDescent="0.25">
      <c r="A3227" t="s">
        <v>1431</v>
      </c>
      <c r="B3227" t="s">
        <v>57</v>
      </c>
      <c r="C3227" t="s">
        <v>1370</v>
      </c>
      <c r="D3227" s="1">
        <v>46077</v>
      </c>
      <c r="E3227" s="1">
        <v>46077</v>
      </c>
      <c r="F3227" s="2">
        <v>65</v>
      </c>
      <c r="G3227" s="3" t="s">
        <v>48</v>
      </c>
      <c r="H3227">
        <v>0</v>
      </c>
      <c r="I3227" s="2">
        <v>0</v>
      </c>
      <c r="J3227" s="2">
        <v>0</v>
      </c>
      <c r="K3227" s="2">
        <v>0</v>
      </c>
      <c r="L3227" s="2">
        <v>0</v>
      </c>
      <c r="M3227">
        <v>0</v>
      </c>
      <c r="N3227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t="s">
        <v>1590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</row>
    <row r="3228" spans="1:28" hidden="1" x14ac:dyDescent="0.25">
      <c r="A3228" t="s">
        <v>568</v>
      </c>
      <c r="B3228" t="s">
        <v>47</v>
      </c>
      <c r="C3228" t="s">
        <v>1370</v>
      </c>
      <c r="D3228" s="1">
        <v>46077</v>
      </c>
      <c r="E3228" s="1">
        <v>46077</v>
      </c>
      <c r="F3228" s="2">
        <v>65</v>
      </c>
      <c r="G3228" s="3" t="s">
        <v>572</v>
      </c>
      <c r="H3228">
        <v>0</v>
      </c>
      <c r="I3228" s="2">
        <v>0</v>
      </c>
      <c r="J3228" s="2">
        <v>0</v>
      </c>
      <c r="K3228" s="2">
        <v>0</v>
      </c>
      <c r="L3228" s="2">
        <v>0</v>
      </c>
      <c r="M3228">
        <v>0</v>
      </c>
      <c r="N3228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t="s">
        <v>1590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</row>
    <row r="3229" spans="1:28" hidden="1" x14ac:dyDescent="0.25">
      <c r="A3229" t="s">
        <v>730</v>
      </c>
      <c r="B3229" t="s">
        <v>47</v>
      </c>
      <c r="C3229" t="s">
        <v>1370</v>
      </c>
      <c r="D3229" s="1">
        <v>46077</v>
      </c>
      <c r="E3229" s="1">
        <v>46077</v>
      </c>
      <c r="F3229" s="2">
        <v>65</v>
      </c>
      <c r="G3229" s="3" t="s">
        <v>409</v>
      </c>
      <c r="H3229">
        <v>0</v>
      </c>
      <c r="I3229" s="2">
        <v>0</v>
      </c>
      <c r="J3229" s="2">
        <v>0</v>
      </c>
      <c r="K3229" s="2">
        <v>0</v>
      </c>
      <c r="L3229" s="2">
        <v>0</v>
      </c>
      <c r="M3229">
        <v>0</v>
      </c>
      <c r="N3229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t="s">
        <v>1590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</row>
    <row r="3230" spans="1:28" hidden="1" x14ac:dyDescent="0.25">
      <c r="A3230" t="s">
        <v>37</v>
      </c>
      <c r="B3230" t="s">
        <v>26</v>
      </c>
      <c r="C3230" t="s">
        <v>1370</v>
      </c>
      <c r="D3230" s="1">
        <v>46077</v>
      </c>
      <c r="E3230" s="1">
        <v>46077</v>
      </c>
      <c r="F3230" s="2">
        <v>65</v>
      </c>
      <c r="G3230" s="3" t="s">
        <v>129</v>
      </c>
      <c r="H3230">
        <v>0</v>
      </c>
      <c r="I3230" s="2">
        <v>0</v>
      </c>
      <c r="J3230" s="2">
        <v>0</v>
      </c>
      <c r="K3230" s="2">
        <v>0</v>
      </c>
      <c r="L3230" s="2">
        <v>0</v>
      </c>
      <c r="M3230">
        <v>0</v>
      </c>
      <c r="N3230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t="s">
        <v>1590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</row>
    <row r="3231" spans="1:28" hidden="1" x14ac:dyDescent="0.25">
      <c r="A3231" t="s">
        <v>53</v>
      </c>
      <c r="B3231" t="s">
        <v>38</v>
      </c>
      <c r="C3231" t="s">
        <v>1370</v>
      </c>
      <c r="D3231" s="1">
        <v>46077</v>
      </c>
      <c r="E3231" s="1">
        <v>46077</v>
      </c>
      <c r="F3231" s="2">
        <v>65</v>
      </c>
      <c r="G3231" s="3" t="s">
        <v>129</v>
      </c>
      <c r="H3231">
        <v>0</v>
      </c>
      <c r="I3231" s="2">
        <v>0</v>
      </c>
      <c r="J3231" s="2">
        <v>0</v>
      </c>
      <c r="K3231" s="2">
        <v>0</v>
      </c>
      <c r="L3231" s="2">
        <v>0</v>
      </c>
      <c r="M3231">
        <v>0</v>
      </c>
      <c r="N3231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t="s">
        <v>1590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</row>
    <row r="3232" spans="1:28" hidden="1" x14ac:dyDescent="0.25">
      <c r="A3232" t="s">
        <v>47</v>
      </c>
      <c r="B3232" t="s">
        <v>284</v>
      </c>
      <c r="C3232" t="s">
        <v>1370</v>
      </c>
      <c r="D3232" s="1">
        <v>46077</v>
      </c>
      <c r="E3232" s="1">
        <v>46077</v>
      </c>
      <c r="F3232" s="2">
        <v>65</v>
      </c>
      <c r="G3232" s="3" t="s">
        <v>129</v>
      </c>
      <c r="H3232">
        <v>0</v>
      </c>
      <c r="I3232" s="2">
        <v>0</v>
      </c>
      <c r="J3232" s="2">
        <v>0</v>
      </c>
      <c r="K3232" s="2">
        <v>0</v>
      </c>
      <c r="L3232" s="2">
        <v>0</v>
      </c>
      <c r="M3232">
        <v>0</v>
      </c>
      <c r="N323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t="s">
        <v>1590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</row>
    <row r="3233" spans="1:28" hidden="1" x14ac:dyDescent="0.25">
      <c r="A3233" t="s">
        <v>568</v>
      </c>
      <c r="B3233" t="s">
        <v>1323</v>
      </c>
      <c r="C3233" t="s">
        <v>64</v>
      </c>
      <c r="D3233" s="1">
        <v>46078</v>
      </c>
      <c r="E3233" s="1">
        <v>46078</v>
      </c>
      <c r="F3233" s="2">
        <v>22</v>
      </c>
      <c r="G3233" s="3" t="s">
        <v>23</v>
      </c>
      <c r="H3233">
        <v>28</v>
      </c>
      <c r="I3233" s="2">
        <v>0</v>
      </c>
      <c r="J3233" s="2">
        <v>0</v>
      </c>
      <c r="K3233" s="2">
        <v>1</v>
      </c>
      <c r="L3233" s="2">
        <v>0</v>
      </c>
      <c r="M3233">
        <v>0</v>
      </c>
      <c r="N3233">
        <v>0</v>
      </c>
      <c r="O3233" s="2">
        <v>0</v>
      </c>
      <c r="P3233" s="2">
        <v>0</v>
      </c>
      <c r="Q3233">
        <v>0</v>
      </c>
      <c r="R3233" s="2">
        <v>0</v>
      </c>
      <c r="S3233" s="2">
        <v>0</v>
      </c>
      <c r="T3233" t="s">
        <v>1604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</row>
    <row r="3234" spans="1:28" hidden="1" x14ac:dyDescent="0.25">
      <c r="A3234" t="s">
        <v>20</v>
      </c>
      <c r="B3234" t="s">
        <v>21</v>
      </c>
      <c r="C3234" t="s">
        <v>22</v>
      </c>
      <c r="D3234" s="1">
        <v>46078</v>
      </c>
      <c r="E3234" s="1">
        <v>46078</v>
      </c>
      <c r="F3234" s="2">
        <v>25</v>
      </c>
      <c r="G3234" s="3" t="s">
        <v>23</v>
      </c>
      <c r="H3234">
        <f>8+8+3+3</f>
        <v>22</v>
      </c>
      <c r="I3234" s="2">
        <v>0</v>
      </c>
      <c r="J3234" s="2">
        <v>0</v>
      </c>
      <c r="K3234" s="2">
        <v>1</v>
      </c>
      <c r="L3234" s="2">
        <v>0</v>
      </c>
      <c r="M3234">
        <v>0</v>
      </c>
      <c r="N3234">
        <v>0</v>
      </c>
      <c r="O3234" s="2">
        <v>0</v>
      </c>
      <c r="P3234" s="2">
        <v>0</v>
      </c>
      <c r="Q3234">
        <v>0</v>
      </c>
      <c r="R3234" s="2">
        <v>0</v>
      </c>
      <c r="S3234" s="2">
        <v>0</v>
      </c>
      <c r="T3234" t="s">
        <v>1605</v>
      </c>
      <c r="U3234" s="2">
        <v>0</v>
      </c>
      <c r="V3234" s="2">
        <v>11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</row>
    <row r="3235" spans="1:28" hidden="1" x14ac:dyDescent="0.25">
      <c r="A3235" t="s">
        <v>25</v>
      </c>
      <c r="B3235" t="s">
        <v>1237</v>
      </c>
      <c r="C3235" t="s">
        <v>27</v>
      </c>
      <c r="D3235" s="1">
        <v>46078</v>
      </c>
      <c r="E3235" s="1">
        <v>46078</v>
      </c>
      <c r="F3235" s="2">
        <v>19</v>
      </c>
      <c r="G3235" s="3" t="s">
        <v>23</v>
      </c>
      <c r="H3235">
        <v>41</v>
      </c>
      <c r="I3235" s="2">
        <v>0</v>
      </c>
      <c r="J3235" s="2">
        <v>0</v>
      </c>
      <c r="K3235" s="2">
        <v>1</v>
      </c>
      <c r="L3235" s="2">
        <v>0</v>
      </c>
      <c r="M3235">
        <v>0</v>
      </c>
      <c r="N3235">
        <v>0</v>
      </c>
      <c r="O3235" s="2">
        <v>0</v>
      </c>
      <c r="P3235" s="2">
        <v>0</v>
      </c>
      <c r="Q3235">
        <v>1</v>
      </c>
      <c r="R3235" s="2">
        <v>0</v>
      </c>
      <c r="S3235" s="2">
        <v>0</v>
      </c>
      <c r="T3235" t="s">
        <v>1606</v>
      </c>
      <c r="U3235" s="2">
        <v>0</v>
      </c>
      <c r="V3235" s="2">
        <v>9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</row>
    <row r="3236" spans="1:28" hidden="1" x14ac:dyDescent="0.25">
      <c r="A3236" t="s">
        <v>29</v>
      </c>
      <c r="B3236" t="s">
        <v>30</v>
      </c>
      <c r="C3236" t="s">
        <v>31</v>
      </c>
      <c r="D3236" s="1">
        <v>46078</v>
      </c>
      <c r="E3236" s="1">
        <v>46078</v>
      </c>
      <c r="F3236" s="2">
        <v>25</v>
      </c>
      <c r="G3236" s="3" t="s">
        <v>23</v>
      </c>
      <c r="H3236">
        <v>32</v>
      </c>
      <c r="I3236" s="2">
        <v>0</v>
      </c>
      <c r="J3236" s="2">
        <v>0</v>
      </c>
      <c r="K3236" s="2">
        <v>1</v>
      </c>
      <c r="L3236" s="2">
        <v>1</v>
      </c>
      <c r="M3236">
        <v>0</v>
      </c>
      <c r="N3236">
        <v>0</v>
      </c>
      <c r="O3236" s="2">
        <v>0</v>
      </c>
      <c r="P3236" s="2">
        <v>0</v>
      </c>
      <c r="Q3236">
        <v>1</v>
      </c>
      <c r="R3236" s="2">
        <v>0</v>
      </c>
      <c r="S3236" s="2">
        <v>0</v>
      </c>
      <c r="T3236" t="s">
        <v>1607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</row>
    <row r="3237" spans="1:28" hidden="1" x14ac:dyDescent="0.25">
      <c r="A3237" t="s">
        <v>57</v>
      </c>
      <c r="B3237" t="s">
        <v>47</v>
      </c>
      <c r="C3237" t="s">
        <v>173</v>
      </c>
      <c r="D3237" s="1">
        <v>46078</v>
      </c>
      <c r="E3237" s="1">
        <v>46078</v>
      </c>
      <c r="F3237" s="2">
        <v>25</v>
      </c>
      <c r="G3237" s="3" t="s">
        <v>23</v>
      </c>
      <c r="H3237">
        <v>47</v>
      </c>
      <c r="I3237" s="2">
        <v>0</v>
      </c>
      <c r="J3237" s="2">
        <v>0</v>
      </c>
      <c r="K3237" s="2">
        <v>1</v>
      </c>
      <c r="L3237" s="2">
        <v>0</v>
      </c>
      <c r="M3237">
        <v>1</v>
      </c>
      <c r="N3237">
        <v>0</v>
      </c>
      <c r="O3237" s="2">
        <v>0</v>
      </c>
      <c r="P3237" s="2">
        <v>0</v>
      </c>
      <c r="Q3237">
        <v>0</v>
      </c>
      <c r="R3237" s="2">
        <v>0</v>
      </c>
      <c r="S3237" s="2">
        <v>0</v>
      </c>
      <c r="T3237" t="s">
        <v>1608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</row>
    <row r="3238" spans="1:28" hidden="1" x14ac:dyDescent="0.25">
      <c r="A3238" t="s">
        <v>56</v>
      </c>
      <c r="B3238" t="s">
        <v>47</v>
      </c>
      <c r="C3238" t="s">
        <v>173</v>
      </c>
      <c r="D3238" s="1">
        <v>46078</v>
      </c>
      <c r="E3238" s="1">
        <v>46078</v>
      </c>
      <c r="F3238" s="2">
        <v>25</v>
      </c>
      <c r="G3238" s="3" t="s">
        <v>23</v>
      </c>
      <c r="H3238">
        <v>47</v>
      </c>
      <c r="I3238" s="2">
        <v>0</v>
      </c>
      <c r="J3238" s="2">
        <v>0</v>
      </c>
      <c r="K3238" s="2">
        <v>1</v>
      </c>
      <c r="L3238" s="2">
        <v>0</v>
      </c>
      <c r="M3238">
        <v>1</v>
      </c>
      <c r="N3238">
        <v>0</v>
      </c>
      <c r="O3238" s="2">
        <v>0</v>
      </c>
      <c r="P3238" s="2">
        <v>0</v>
      </c>
      <c r="Q3238">
        <v>0</v>
      </c>
      <c r="R3238" s="2">
        <v>0</v>
      </c>
      <c r="S3238" s="2">
        <v>0</v>
      </c>
      <c r="T3238" t="s">
        <v>1608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</row>
    <row r="3239" spans="1:28" hidden="1" x14ac:dyDescent="0.25">
      <c r="A3239" t="s">
        <v>33</v>
      </c>
      <c r="B3239" t="s">
        <v>34</v>
      </c>
      <c r="C3239" t="s">
        <v>1370</v>
      </c>
      <c r="D3239" s="1">
        <v>46078</v>
      </c>
      <c r="E3239" s="1">
        <v>46078</v>
      </c>
      <c r="F3239" s="2">
        <v>65</v>
      </c>
      <c r="G3239" s="3" t="s">
        <v>48</v>
      </c>
      <c r="H3239">
        <v>0</v>
      </c>
      <c r="I3239" s="2">
        <v>0</v>
      </c>
      <c r="J3239" s="2">
        <v>0</v>
      </c>
      <c r="K3239" s="2">
        <v>0</v>
      </c>
      <c r="L3239" s="2">
        <v>0</v>
      </c>
      <c r="M3239">
        <v>0</v>
      </c>
      <c r="N3239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t="s">
        <v>1590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</row>
    <row r="3240" spans="1:28" hidden="1" x14ac:dyDescent="0.25">
      <c r="A3240" t="s">
        <v>63</v>
      </c>
      <c r="B3240" t="s">
        <v>1160</v>
      </c>
      <c r="C3240" t="s">
        <v>1370</v>
      </c>
      <c r="D3240" s="1">
        <v>46078</v>
      </c>
      <c r="E3240" s="1">
        <v>46078</v>
      </c>
      <c r="F3240" s="2">
        <v>65</v>
      </c>
      <c r="G3240" s="3" t="s">
        <v>48</v>
      </c>
      <c r="H3240">
        <v>0</v>
      </c>
      <c r="I3240" s="2">
        <v>0</v>
      </c>
      <c r="J3240" s="2">
        <v>0</v>
      </c>
      <c r="K3240" s="2">
        <v>0</v>
      </c>
      <c r="L3240" s="2">
        <v>0</v>
      </c>
      <c r="M3240">
        <v>0</v>
      </c>
      <c r="N3240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t="s">
        <v>1590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</row>
    <row r="3241" spans="1:28" hidden="1" x14ac:dyDescent="0.25">
      <c r="A3241" t="s">
        <v>1431</v>
      </c>
      <c r="B3241" t="s">
        <v>47</v>
      </c>
      <c r="C3241" t="s">
        <v>1370</v>
      </c>
      <c r="D3241" s="1">
        <v>46078</v>
      </c>
      <c r="E3241" s="1">
        <v>46078</v>
      </c>
      <c r="F3241" s="2">
        <v>65</v>
      </c>
      <c r="G3241" s="3" t="s">
        <v>409</v>
      </c>
      <c r="H3241">
        <v>0</v>
      </c>
      <c r="I3241" s="2">
        <v>0</v>
      </c>
      <c r="J3241" s="2">
        <v>0</v>
      </c>
      <c r="K3241" s="2">
        <v>0</v>
      </c>
      <c r="L3241" s="2">
        <v>0</v>
      </c>
      <c r="M3241">
        <v>0</v>
      </c>
      <c r="N3241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t="s">
        <v>1590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</row>
    <row r="3242" spans="1:28" hidden="1" x14ac:dyDescent="0.25">
      <c r="A3242" t="s">
        <v>730</v>
      </c>
      <c r="B3242" t="s">
        <v>47</v>
      </c>
      <c r="C3242" t="s">
        <v>1370</v>
      </c>
      <c r="D3242" s="1">
        <v>46078</v>
      </c>
      <c r="E3242" s="1">
        <v>46078</v>
      </c>
      <c r="F3242" s="2">
        <v>65</v>
      </c>
      <c r="G3242" s="3" t="s">
        <v>409</v>
      </c>
      <c r="H3242">
        <v>0</v>
      </c>
      <c r="I3242" s="2">
        <v>0</v>
      </c>
      <c r="J3242" s="2">
        <v>0</v>
      </c>
      <c r="K3242" s="2">
        <v>0</v>
      </c>
      <c r="L3242" s="2">
        <v>0</v>
      </c>
      <c r="M3242">
        <v>0</v>
      </c>
      <c r="N324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t="s">
        <v>1590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</row>
    <row r="3243" spans="1:28" hidden="1" x14ac:dyDescent="0.25">
      <c r="A3243" t="s">
        <v>37</v>
      </c>
      <c r="B3243" t="s">
        <v>26</v>
      </c>
      <c r="C3243" t="s">
        <v>1370</v>
      </c>
      <c r="D3243" s="1">
        <v>46078</v>
      </c>
      <c r="E3243" s="1">
        <v>46078</v>
      </c>
      <c r="F3243" s="2">
        <v>65</v>
      </c>
      <c r="G3243" s="3" t="s">
        <v>129</v>
      </c>
      <c r="H3243">
        <v>0</v>
      </c>
      <c r="I3243" s="2">
        <v>0</v>
      </c>
      <c r="J3243" s="2">
        <v>0</v>
      </c>
      <c r="K3243" s="2">
        <v>0</v>
      </c>
      <c r="L3243" s="2">
        <v>0</v>
      </c>
      <c r="M3243">
        <v>0</v>
      </c>
      <c r="N3243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t="s">
        <v>1590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</row>
    <row r="3244" spans="1:28" hidden="1" x14ac:dyDescent="0.25">
      <c r="A3244" t="s">
        <v>53</v>
      </c>
      <c r="B3244" t="s">
        <v>38</v>
      </c>
      <c r="C3244" t="s">
        <v>1370</v>
      </c>
      <c r="D3244" s="1">
        <v>46078</v>
      </c>
      <c r="E3244" s="1">
        <v>46078</v>
      </c>
      <c r="F3244" s="2">
        <v>65</v>
      </c>
      <c r="G3244" s="3" t="s">
        <v>129</v>
      </c>
      <c r="H3244">
        <v>0</v>
      </c>
      <c r="I3244" s="2">
        <v>0</v>
      </c>
      <c r="J3244" s="2">
        <v>0</v>
      </c>
      <c r="K3244" s="2">
        <v>0</v>
      </c>
      <c r="L3244" s="2">
        <v>0</v>
      </c>
      <c r="M3244">
        <v>0</v>
      </c>
      <c r="N3244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t="s">
        <v>1590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</row>
    <row r="3245" spans="1:28" hidden="1" x14ac:dyDescent="0.25">
      <c r="A3245" t="s">
        <v>47</v>
      </c>
      <c r="B3245" t="s">
        <v>284</v>
      </c>
      <c r="C3245" t="s">
        <v>1370</v>
      </c>
      <c r="D3245" s="1">
        <v>46078</v>
      </c>
      <c r="E3245" s="1">
        <v>46078</v>
      </c>
      <c r="F3245" s="2">
        <v>65</v>
      </c>
      <c r="G3245" s="3" t="s">
        <v>129</v>
      </c>
      <c r="H3245">
        <v>0</v>
      </c>
      <c r="I3245" s="2">
        <v>0</v>
      </c>
      <c r="J3245" s="2">
        <v>0</v>
      </c>
      <c r="K3245" s="2">
        <v>0</v>
      </c>
      <c r="L3245" s="2">
        <v>0</v>
      </c>
      <c r="M3245">
        <v>0</v>
      </c>
      <c r="N3245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t="s">
        <v>1590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</row>
    <row r="3246" spans="1:28" hidden="1" x14ac:dyDescent="0.25">
      <c r="A3246" t="s">
        <v>56</v>
      </c>
      <c r="B3246" t="s">
        <v>47</v>
      </c>
      <c r="C3246" t="s">
        <v>64</v>
      </c>
      <c r="D3246" s="1">
        <v>46079</v>
      </c>
      <c r="E3246" s="1">
        <v>46079</v>
      </c>
      <c r="F3246" s="2">
        <v>18</v>
      </c>
      <c r="G3246" s="3" t="s">
        <v>23</v>
      </c>
      <c r="H3246">
        <v>36</v>
      </c>
      <c r="I3246" s="2">
        <v>0</v>
      </c>
      <c r="J3246" s="2">
        <v>0</v>
      </c>
      <c r="K3246" s="2">
        <v>1</v>
      </c>
      <c r="L3246" s="2">
        <v>0</v>
      </c>
      <c r="M3246">
        <v>0</v>
      </c>
      <c r="N3246">
        <v>0</v>
      </c>
      <c r="O3246" s="2">
        <v>0</v>
      </c>
      <c r="P3246" s="2">
        <v>0</v>
      </c>
      <c r="Q3246">
        <v>2</v>
      </c>
      <c r="R3246" s="2">
        <v>0</v>
      </c>
      <c r="S3246" s="2">
        <v>0</v>
      </c>
      <c r="T3246" t="s">
        <v>1609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</row>
    <row r="3247" spans="1:28" hidden="1" x14ac:dyDescent="0.25">
      <c r="A3247" t="s">
        <v>57</v>
      </c>
      <c r="B3247" t="s">
        <v>47</v>
      </c>
      <c r="C3247" t="s">
        <v>64</v>
      </c>
      <c r="D3247" s="1">
        <v>46079</v>
      </c>
      <c r="E3247" s="1">
        <v>46079</v>
      </c>
      <c r="F3247" s="2">
        <v>18</v>
      </c>
      <c r="G3247" s="3" t="s">
        <v>23</v>
      </c>
      <c r="H3247">
        <v>36</v>
      </c>
      <c r="I3247" s="2">
        <v>0</v>
      </c>
      <c r="J3247" s="2">
        <v>0</v>
      </c>
      <c r="K3247" s="2">
        <v>1</v>
      </c>
      <c r="L3247" s="2">
        <v>0</v>
      </c>
      <c r="M3247">
        <v>0</v>
      </c>
      <c r="N3247">
        <v>0</v>
      </c>
      <c r="O3247" s="2">
        <v>0</v>
      </c>
      <c r="P3247" s="2">
        <v>0</v>
      </c>
      <c r="Q3247">
        <v>2</v>
      </c>
      <c r="R3247" s="2">
        <v>0</v>
      </c>
      <c r="S3247" s="2">
        <v>0</v>
      </c>
      <c r="T3247" t="s">
        <v>1609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</row>
    <row r="3248" spans="1:28" hidden="1" x14ac:dyDescent="0.25">
      <c r="A3248" t="s">
        <v>25</v>
      </c>
      <c r="B3248" t="s">
        <v>1237</v>
      </c>
      <c r="C3248" t="s">
        <v>27</v>
      </c>
      <c r="D3248" s="1">
        <v>46079</v>
      </c>
      <c r="E3248" s="1">
        <v>46079</v>
      </c>
      <c r="F3248" s="2">
        <v>18</v>
      </c>
      <c r="G3248" s="3" t="s">
        <v>23</v>
      </c>
      <c r="H3248">
        <v>50</v>
      </c>
      <c r="I3248" s="2">
        <v>0</v>
      </c>
      <c r="J3248" s="2">
        <v>0</v>
      </c>
      <c r="K3248" s="2">
        <v>1</v>
      </c>
      <c r="L3248" s="2">
        <v>0</v>
      </c>
      <c r="M3248">
        <v>0</v>
      </c>
      <c r="N3248">
        <v>0</v>
      </c>
      <c r="O3248" s="2">
        <v>0</v>
      </c>
      <c r="P3248" s="2">
        <v>0</v>
      </c>
      <c r="Q3248">
        <v>0</v>
      </c>
      <c r="R3248" s="2">
        <v>0</v>
      </c>
      <c r="S3248" s="2">
        <v>0</v>
      </c>
      <c r="T3248" t="s">
        <v>1610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</row>
    <row r="3249" spans="1:28" hidden="1" x14ac:dyDescent="0.25">
      <c r="A3249" t="s">
        <v>63</v>
      </c>
      <c r="B3249" t="s">
        <v>1160</v>
      </c>
      <c r="C3249" t="s">
        <v>102</v>
      </c>
      <c r="D3249" s="1">
        <v>46079</v>
      </c>
      <c r="E3249" s="1">
        <v>46079</v>
      </c>
      <c r="F3249" s="2">
        <v>17</v>
      </c>
      <c r="G3249" s="3" t="s">
        <v>23</v>
      </c>
      <c r="H3249">
        <v>31</v>
      </c>
      <c r="I3249" s="2">
        <v>0</v>
      </c>
      <c r="J3249" s="2">
        <v>0</v>
      </c>
      <c r="K3249" s="2">
        <v>1</v>
      </c>
      <c r="L3249" s="2">
        <v>0</v>
      </c>
      <c r="M3249">
        <v>0</v>
      </c>
      <c r="N3249">
        <v>0</v>
      </c>
      <c r="O3249" s="2">
        <v>0</v>
      </c>
      <c r="P3249" s="2">
        <v>0</v>
      </c>
      <c r="Q3249">
        <v>1</v>
      </c>
      <c r="R3249" s="2">
        <v>0</v>
      </c>
      <c r="S3249" s="2">
        <v>0</v>
      </c>
      <c r="T3249" t="s">
        <v>1611</v>
      </c>
      <c r="U3249" s="2">
        <v>0</v>
      </c>
      <c r="V3249" s="2">
        <v>6</v>
      </c>
      <c r="W3249" s="2">
        <v>1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</row>
    <row r="3250" spans="1:28" hidden="1" x14ac:dyDescent="0.25">
      <c r="A3250" t="s">
        <v>47</v>
      </c>
      <c r="B3250" t="s">
        <v>30</v>
      </c>
      <c r="C3250" t="s">
        <v>31</v>
      </c>
      <c r="D3250" s="1">
        <v>46079</v>
      </c>
      <c r="E3250" s="1">
        <v>46079</v>
      </c>
      <c r="F3250" s="2">
        <v>33</v>
      </c>
      <c r="G3250" s="3" t="s">
        <v>23</v>
      </c>
      <c r="H3250">
        <f>32+14</f>
        <v>46</v>
      </c>
      <c r="I3250" s="2">
        <v>0</v>
      </c>
      <c r="J3250" s="2">
        <v>0</v>
      </c>
      <c r="K3250" s="2">
        <v>1</v>
      </c>
      <c r="L3250" s="2">
        <v>0</v>
      </c>
      <c r="M3250">
        <v>0</v>
      </c>
      <c r="N3250">
        <v>0</v>
      </c>
      <c r="O3250" s="2">
        <v>0</v>
      </c>
      <c r="P3250" s="2">
        <v>0</v>
      </c>
      <c r="Q3250">
        <v>0</v>
      </c>
      <c r="R3250" s="2">
        <v>0</v>
      </c>
      <c r="S3250" s="2">
        <v>0</v>
      </c>
      <c r="T3250" t="s">
        <v>1612</v>
      </c>
      <c r="U3250" s="2">
        <v>0</v>
      </c>
      <c r="V3250" s="2">
        <v>6</v>
      </c>
      <c r="W3250" s="2">
        <v>1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</row>
    <row r="3251" spans="1:28" hidden="1" x14ac:dyDescent="0.25">
      <c r="A3251" t="s">
        <v>29</v>
      </c>
      <c r="B3251" t="s">
        <v>47</v>
      </c>
      <c r="C3251" t="s">
        <v>31</v>
      </c>
      <c r="D3251" s="1">
        <v>46079</v>
      </c>
      <c r="E3251" s="1">
        <v>46079</v>
      </c>
      <c r="F3251" s="2">
        <v>33</v>
      </c>
      <c r="G3251" s="3" t="s">
        <v>23</v>
      </c>
      <c r="H3251">
        <v>32</v>
      </c>
      <c r="I3251" s="2">
        <v>0</v>
      </c>
      <c r="J3251" s="2">
        <v>0</v>
      </c>
      <c r="K3251" s="2">
        <v>1</v>
      </c>
      <c r="L3251" s="2">
        <v>0</v>
      </c>
      <c r="M3251">
        <v>0</v>
      </c>
      <c r="N3251">
        <v>0</v>
      </c>
      <c r="O3251" s="2">
        <v>0</v>
      </c>
      <c r="P3251" s="2">
        <v>0</v>
      </c>
      <c r="Q3251">
        <v>0</v>
      </c>
      <c r="R3251" s="2">
        <v>0</v>
      </c>
      <c r="S3251" s="2">
        <v>0</v>
      </c>
      <c r="T3251" t="s">
        <v>1612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</row>
    <row r="3252" spans="1:28" hidden="1" x14ac:dyDescent="0.25">
      <c r="A3252" t="s">
        <v>568</v>
      </c>
      <c r="B3252" t="s">
        <v>1323</v>
      </c>
      <c r="C3252" t="s">
        <v>670</v>
      </c>
      <c r="D3252" s="1">
        <v>46079</v>
      </c>
      <c r="E3252" s="1">
        <v>46079</v>
      </c>
      <c r="F3252" s="2">
        <v>124</v>
      </c>
      <c r="G3252" s="3" t="s">
        <v>23</v>
      </c>
      <c r="H3252">
        <v>20</v>
      </c>
      <c r="I3252" s="2">
        <v>0</v>
      </c>
      <c r="J3252" s="2">
        <v>0</v>
      </c>
      <c r="K3252" s="2">
        <v>1</v>
      </c>
      <c r="L3252" s="2">
        <v>0</v>
      </c>
      <c r="M3252">
        <v>0</v>
      </c>
      <c r="N3252">
        <v>0</v>
      </c>
      <c r="O3252" s="2">
        <v>0</v>
      </c>
      <c r="P3252" s="2">
        <v>0</v>
      </c>
      <c r="Q3252">
        <v>1</v>
      </c>
      <c r="R3252" s="2">
        <v>0</v>
      </c>
      <c r="S3252" s="2">
        <v>0</v>
      </c>
      <c r="T3252" t="s">
        <v>1613</v>
      </c>
      <c r="U3252" s="2">
        <v>0</v>
      </c>
      <c r="V3252" s="2">
        <v>16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</row>
    <row r="3253" spans="1:28" hidden="1" x14ac:dyDescent="0.25">
      <c r="A3253" t="s">
        <v>33</v>
      </c>
      <c r="B3253" t="s">
        <v>34</v>
      </c>
      <c r="C3253" t="s">
        <v>35</v>
      </c>
      <c r="D3253" s="1">
        <v>46079</v>
      </c>
      <c r="E3253" s="1">
        <v>46079</v>
      </c>
      <c r="F3253" s="2">
        <v>34</v>
      </c>
      <c r="G3253" s="3" t="s">
        <v>23</v>
      </c>
      <c r="H3253">
        <v>22</v>
      </c>
      <c r="I3253" s="2">
        <v>0</v>
      </c>
      <c r="J3253" s="2">
        <v>0</v>
      </c>
      <c r="K3253" s="2">
        <v>0</v>
      </c>
      <c r="L3253" s="2">
        <v>1</v>
      </c>
      <c r="M3253">
        <v>1</v>
      </c>
      <c r="N3253">
        <v>0</v>
      </c>
      <c r="O3253" s="2">
        <v>0</v>
      </c>
      <c r="P3253" s="2">
        <v>0</v>
      </c>
      <c r="Q3253">
        <v>1</v>
      </c>
      <c r="R3253" s="2">
        <v>0</v>
      </c>
      <c r="S3253" s="2">
        <v>0</v>
      </c>
      <c r="T3253" t="s">
        <v>1614</v>
      </c>
      <c r="U3253" s="2">
        <v>0</v>
      </c>
      <c r="V3253" s="2">
        <v>4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</row>
    <row r="3254" spans="1:28" hidden="1" x14ac:dyDescent="0.25">
      <c r="A3254" t="s">
        <v>20</v>
      </c>
      <c r="B3254" t="s">
        <v>47</v>
      </c>
      <c r="C3254" t="s">
        <v>1370</v>
      </c>
      <c r="D3254" s="1">
        <v>46079</v>
      </c>
      <c r="E3254" s="1">
        <v>46079</v>
      </c>
      <c r="F3254" s="2">
        <v>65</v>
      </c>
      <c r="G3254" s="3" t="s">
        <v>572</v>
      </c>
      <c r="H3254">
        <v>0</v>
      </c>
      <c r="I3254" s="2">
        <v>0</v>
      </c>
      <c r="J3254" s="2">
        <v>0</v>
      </c>
      <c r="K3254" s="2">
        <v>0</v>
      </c>
      <c r="L3254" s="2">
        <v>0</v>
      </c>
      <c r="M3254">
        <v>0</v>
      </c>
      <c r="N3254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t="s">
        <v>1590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</row>
    <row r="3255" spans="1:28" hidden="1" x14ac:dyDescent="0.25">
      <c r="A3255" t="s">
        <v>730</v>
      </c>
      <c r="B3255" t="s">
        <v>1238</v>
      </c>
      <c r="C3255" t="s">
        <v>1370</v>
      </c>
      <c r="D3255" s="1">
        <v>46079</v>
      </c>
      <c r="E3255" s="1">
        <v>46079</v>
      </c>
      <c r="F3255" s="2">
        <v>65</v>
      </c>
      <c r="G3255" s="3" t="s">
        <v>48</v>
      </c>
      <c r="H3255">
        <v>0</v>
      </c>
      <c r="I3255" s="2">
        <v>0</v>
      </c>
      <c r="J3255" s="2">
        <v>0</v>
      </c>
      <c r="K3255" s="2">
        <v>0</v>
      </c>
      <c r="L3255" s="2">
        <v>0</v>
      </c>
      <c r="M3255">
        <v>0</v>
      </c>
      <c r="N3255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t="s">
        <v>1590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</row>
    <row r="3256" spans="1:28" hidden="1" x14ac:dyDescent="0.25">
      <c r="A3256" t="s">
        <v>47</v>
      </c>
      <c r="B3256" t="s">
        <v>21</v>
      </c>
      <c r="C3256" t="s">
        <v>1370</v>
      </c>
      <c r="D3256" s="1">
        <v>46079</v>
      </c>
      <c r="E3256" s="1">
        <v>46079</v>
      </c>
      <c r="F3256" s="2">
        <v>65</v>
      </c>
      <c r="G3256" s="3" t="s">
        <v>48</v>
      </c>
      <c r="H3256">
        <v>0</v>
      </c>
      <c r="I3256" s="2">
        <v>0</v>
      </c>
      <c r="J3256" s="2">
        <v>0</v>
      </c>
      <c r="K3256" s="2">
        <v>0</v>
      </c>
      <c r="L3256" s="2">
        <v>0</v>
      </c>
      <c r="M3256">
        <v>0</v>
      </c>
      <c r="N3256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t="s">
        <v>1590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</row>
    <row r="3257" spans="1:28" hidden="1" x14ac:dyDescent="0.25">
      <c r="A3257" t="s">
        <v>1431</v>
      </c>
      <c r="B3257" t="s">
        <v>47</v>
      </c>
      <c r="C3257" t="s">
        <v>1370</v>
      </c>
      <c r="D3257" s="1">
        <v>46079</v>
      </c>
      <c r="E3257" s="1">
        <v>46079</v>
      </c>
      <c r="F3257" s="2">
        <v>65</v>
      </c>
      <c r="G3257" s="3" t="s">
        <v>409</v>
      </c>
      <c r="H3257">
        <v>0</v>
      </c>
      <c r="I3257" s="2">
        <v>0</v>
      </c>
      <c r="J3257" s="2">
        <v>0</v>
      </c>
      <c r="K3257" s="2">
        <v>0</v>
      </c>
      <c r="L3257" s="2">
        <v>0</v>
      </c>
      <c r="M3257">
        <v>0</v>
      </c>
      <c r="N3257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t="s">
        <v>1590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</row>
    <row r="3258" spans="1:28" hidden="1" x14ac:dyDescent="0.25">
      <c r="A3258" t="s">
        <v>37</v>
      </c>
      <c r="B3258" t="s">
        <v>26</v>
      </c>
      <c r="C3258" t="s">
        <v>1370</v>
      </c>
      <c r="D3258" s="1">
        <v>46079</v>
      </c>
      <c r="E3258" s="1">
        <v>46079</v>
      </c>
      <c r="F3258" s="2">
        <v>65</v>
      </c>
      <c r="G3258" s="3" t="s">
        <v>129</v>
      </c>
      <c r="H3258">
        <v>0</v>
      </c>
      <c r="I3258" s="2">
        <v>0</v>
      </c>
      <c r="J3258" s="2">
        <v>0</v>
      </c>
      <c r="K3258" s="2">
        <v>0</v>
      </c>
      <c r="L3258" s="2">
        <v>0</v>
      </c>
      <c r="M3258">
        <v>0</v>
      </c>
      <c r="N3258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t="s">
        <v>1590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</row>
    <row r="3259" spans="1:28" hidden="1" x14ac:dyDescent="0.25">
      <c r="A3259" t="s">
        <v>53</v>
      </c>
      <c r="B3259" t="s">
        <v>38</v>
      </c>
      <c r="C3259" t="s">
        <v>1370</v>
      </c>
      <c r="D3259" s="1">
        <v>46079</v>
      </c>
      <c r="E3259" s="1">
        <v>46079</v>
      </c>
      <c r="F3259" s="2">
        <v>65</v>
      </c>
      <c r="G3259" s="3" t="s">
        <v>129</v>
      </c>
      <c r="H3259">
        <v>0</v>
      </c>
      <c r="I3259" s="2">
        <v>0</v>
      </c>
      <c r="J3259" s="2">
        <v>0</v>
      </c>
      <c r="K3259" s="2">
        <v>0</v>
      </c>
      <c r="L3259" s="2">
        <v>0</v>
      </c>
      <c r="M3259">
        <v>0</v>
      </c>
      <c r="N3259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t="s">
        <v>1590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</row>
    <row r="3260" spans="1:28" hidden="1" x14ac:dyDescent="0.25">
      <c r="A3260" t="s">
        <v>47</v>
      </c>
      <c r="B3260" t="s">
        <v>284</v>
      </c>
      <c r="C3260" t="s">
        <v>1370</v>
      </c>
      <c r="D3260" s="1">
        <v>46079</v>
      </c>
      <c r="E3260" s="1">
        <v>46079</v>
      </c>
      <c r="F3260" s="2">
        <v>65</v>
      </c>
      <c r="G3260" s="3" t="s">
        <v>129</v>
      </c>
      <c r="H3260">
        <v>0</v>
      </c>
      <c r="I3260" s="2">
        <v>0</v>
      </c>
      <c r="J3260" s="2">
        <v>0</v>
      </c>
      <c r="K3260" s="2">
        <v>0</v>
      </c>
      <c r="L3260" s="2">
        <v>0</v>
      </c>
      <c r="M3260">
        <v>0</v>
      </c>
      <c r="N3260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t="s">
        <v>1590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</row>
    <row r="3261" spans="1:28" hidden="1" x14ac:dyDescent="0.25">
      <c r="A3261" t="s">
        <v>56</v>
      </c>
      <c r="B3261" t="s">
        <v>30</v>
      </c>
      <c r="C3261" t="s">
        <v>64</v>
      </c>
      <c r="D3261" s="1">
        <v>46080</v>
      </c>
      <c r="E3261" s="1">
        <v>46080</v>
      </c>
      <c r="F3261" s="2">
        <v>62</v>
      </c>
      <c r="G3261" s="3" t="s">
        <v>23</v>
      </c>
      <c r="H3261">
        <v>16</v>
      </c>
      <c r="I3261" s="2">
        <v>0</v>
      </c>
      <c r="J3261" s="2">
        <v>0</v>
      </c>
      <c r="K3261" s="2">
        <v>1</v>
      </c>
      <c r="L3261" s="2">
        <v>0</v>
      </c>
      <c r="M3261">
        <v>0</v>
      </c>
      <c r="N3261">
        <v>0</v>
      </c>
      <c r="O3261" s="2">
        <v>0</v>
      </c>
      <c r="P3261" s="2">
        <v>0</v>
      </c>
      <c r="Q3261">
        <v>0</v>
      </c>
      <c r="R3261" s="2">
        <v>0</v>
      </c>
      <c r="S3261" s="2">
        <v>0</v>
      </c>
      <c r="T3261" t="s">
        <v>1615</v>
      </c>
      <c r="U3261" s="2">
        <v>0</v>
      </c>
      <c r="V3261" s="2">
        <v>26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</row>
    <row r="3262" spans="1:28" hidden="1" x14ac:dyDescent="0.25">
      <c r="A3262" t="s">
        <v>568</v>
      </c>
      <c r="B3262" t="s">
        <v>1323</v>
      </c>
      <c r="C3262" t="s">
        <v>64</v>
      </c>
      <c r="D3262" s="1">
        <v>46080</v>
      </c>
      <c r="E3262" s="1">
        <v>46080</v>
      </c>
      <c r="F3262" s="2">
        <v>62</v>
      </c>
      <c r="G3262" s="3" t="s">
        <v>23</v>
      </c>
      <c r="H3262">
        <v>42</v>
      </c>
      <c r="I3262" s="2">
        <v>16</v>
      </c>
      <c r="J3262" s="2">
        <v>0</v>
      </c>
      <c r="K3262" s="2">
        <v>1</v>
      </c>
      <c r="L3262" s="2">
        <v>0</v>
      </c>
      <c r="M3262">
        <v>0</v>
      </c>
      <c r="N3262">
        <v>0</v>
      </c>
      <c r="O3262" s="2">
        <v>0</v>
      </c>
      <c r="P3262" s="2">
        <v>0</v>
      </c>
      <c r="Q3262">
        <v>0</v>
      </c>
      <c r="R3262" s="2">
        <v>0</v>
      </c>
      <c r="S3262" s="2">
        <v>0</v>
      </c>
      <c r="T3262" t="s">
        <v>1615</v>
      </c>
      <c r="U3262" s="2">
        <v>0</v>
      </c>
      <c r="V3262" s="2">
        <v>22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</row>
    <row r="3263" spans="1:28" hidden="1" x14ac:dyDescent="0.25">
      <c r="A3263" t="s">
        <v>25</v>
      </c>
      <c r="B3263" t="s">
        <v>1237</v>
      </c>
      <c r="C3263" t="s">
        <v>27</v>
      </c>
      <c r="D3263" s="1">
        <v>46080</v>
      </c>
      <c r="E3263" s="1">
        <v>46080</v>
      </c>
      <c r="F3263" s="2">
        <v>20</v>
      </c>
      <c r="G3263" s="3" t="s">
        <v>23</v>
      </c>
      <c r="H3263">
        <v>28</v>
      </c>
      <c r="I3263" s="2">
        <v>0</v>
      </c>
      <c r="J3263" s="2">
        <v>0</v>
      </c>
      <c r="K3263" s="2">
        <v>1</v>
      </c>
      <c r="L3263" s="2">
        <v>0</v>
      </c>
      <c r="M3263">
        <v>0</v>
      </c>
      <c r="N3263">
        <v>0</v>
      </c>
      <c r="O3263" s="2">
        <v>0</v>
      </c>
      <c r="P3263" s="2">
        <v>0</v>
      </c>
      <c r="Q3263">
        <v>0</v>
      </c>
      <c r="R3263" s="2">
        <v>0</v>
      </c>
      <c r="S3263" s="2">
        <v>0</v>
      </c>
      <c r="T3263" t="s">
        <v>1616</v>
      </c>
      <c r="U3263" s="2">
        <v>0</v>
      </c>
      <c r="V3263" s="2">
        <f>20+9+1+2</f>
        <v>32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</row>
    <row r="3264" spans="1:28" hidden="1" x14ac:dyDescent="0.25">
      <c r="A3264" t="s">
        <v>63</v>
      </c>
      <c r="B3264" t="s">
        <v>1160</v>
      </c>
      <c r="C3264" t="s">
        <v>102</v>
      </c>
      <c r="D3264" s="1">
        <v>46080</v>
      </c>
      <c r="E3264" s="1">
        <v>46080</v>
      </c>
      <c r="F3264" s="2">
        <v>33</v>
      </c>
      <c r="G3264" s="3" t="s">
        <v>23</v>
      </c>
      <c r="H3264">
        <v>32</v>
      </c>
      <c r="I3264" s="2">
        <v>0</v>
      </c>
      <c r="J3264" s="2">
        <v>0</v>
      </c>
      <c r="K3264" s="2">
        <v>1</v>
      </c>
      <c r="L3264" s="2">
        <v>0</v>
      </c>
      <c r="M3264">
        <v>0</v>
      </c>
      <c r="N3264">
        <v>0</v>
      </c>
      <c r="O3264" s="2">
        <v>0</v>
      </c>
      <c r="P3264" s="2">
        <v>0</v>
      </c>
      <c r="Q3264">
        <v>0</v>
      </c>
      <c r="R3264" s="2">
        <v>0</v>
      </c>
      <c r="S3264" s="2">
        <v>0</v>
      </c>
      <c r="T3264" t="s">
        <v>1617</v>
      </c>
      <c r="U3264" s="2">
        <v>0</v>
      </c>
      <c r="V3264" s="2">
        <f>22+9+2+3</f>
        <v>36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</row>
    <row r="3265" spans="1:28" hidden="1" x14ac:dyDescent="0.25">
      <c r="A3265" t="s">
        <v>33</v>
      </c>
      <c r="B3265" t="s">
        <v>34</v>
      </c>
      <c r="C3265" t="s">
        <v>35</v>
      </c>
      <c r="D3265" s="1">
        <v>46080</v>
      </c>
      <c r="E3265" s="1">
        <v>46080</v>
      </c>
      <c r="F3265" s="2">
        <v>86</v>
      </c>
      <c r="G3265" s="3" t="s">
        <v>23</v>
      </c>
      <c r="H3265">
        <v>26</v>
      </c>
      <c r="I3265" s="2">
        <v>0</v>
      </c>
      <c r="J3265" s="2">
        <v>0</v>
      </c>
      <c r="K3265" s="2">
        <v>0</v>
      </c>
      <c r="L3265" s="2">
        <v>1</v>
      </c>
      <c r="M3265">
        <v>0</v>
      </c>
      <c r="N3265">
        <v>0</v>
      </c>
      <c r="O3265" s="2">
        <v>0</v>
      </c>
      <c r="P3265" s="2">
        <v>0</v>
      </c>
      <c r="Q3265">
        <v>0</v>
      </c>
      <c r="R3265" s="2">
        <v>0</v>
      </c>
      <c r="S3265" s="2">
        <v>0</v>
      </c>
      <c r="T3265" t="s">
        <v>1618</v>
      </c>
      <c r="U3265" s="2">
        <v>0</v>
      </c>
      <c r="V3265" s="2">
        <v>20</v>
      </c>
      <c r="W3265" s="2">
        <v>3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</row>
    <row r="3266" spans="1:28" hidden="1" x14ac:dyDescent="0.25">
      <c r="A3266" t="s">
        <v>57</v>
      </c>
      <c r="B3266" t="s">
        <v>21</v>
      </c>
      <c r="C3266" t="s">
        <v>173</v>
      </c>
      <c r="D3266" s="1">
        <v>46080</v>
      </c>
      <c r="E3266" s="1">
        <v>46080</v>
      </c>
      <c r="F3266" s="2">
        <v>35</v>
      </c>
      <c r="G3266" s="3" t="s">
        <v>23</v>
      </c>
      <c r="H3266">
        <v>36</v>
      </c>
      <c r="I3266" s="2">
        <v>0</v>
      </c>
      <c r="J3266" s="2">
        <v>0</v>
      </c>
      <c r="K3266" s="2">
        <v>1</v>
      </c>
      <c r="L3266" s="2">
        <v>0</v>
      </c>
      <c r="M3266">
        <v>0</v>
      </c>
      <c r="N3266">
        <v>0</v>
      </c>
      <c r="O3266" s="2">
        <v>0</v>
      </c>
      <c r="P3266" s="2">
        <v>0</v>
      </c>
      <c r="Q3266">
        <v>0</v>
      </c>
      <c r="R3266" s="2">
        <v>0</v>
      </c>
      <c r="S3266" s="2">
        <v>0</v>
      </c>
      <c r="T3266" t="s">
        <v>1619</v>
      </c>
      <c r="U3266" s="2">
        <v>0</v>
      </c>
      <c r="V3266" s="2">
        <v>40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</row>
    <row r="3267" spans="1:28" hidden="1" x14ac:dyDescent="0.25">
      <c r="A3267" t="s">
        <v>29</v>
      </c>
      <c r="B3267" t="s">
        <v>52</v>
      </c>
      <c r="C3267" t="s">
        <v>173</v>
      </c>
      <c r="D3267" s="1">
        <v>46080</v>
      </c>
      <c r="E3267" s="1">
        <v>46080</v>
      </c>
      <c r="F3267" s="2">
        <v>35</v>
      </c>
      <c r="G3267" s="3" t="s">
        <v>23</v>
      </c>
      <c r="H3267">
        <v>8</v>
      </c>
      <c r="I3267" s="2">
        <v>0</v>
      </c>
      <c r="J3267" s="2">
        <v>0</v>
      </c>
      <c r="K3267" s="2">
        <v>0</v>
      </c>
      <c r="L3267" s="2">
        <v>0</v>
      </c>
      <c r="M3267">
        <v>0</v>
      </c>
      <c r="N3267">
        <v>0</v>
      </c>
      <c r="O3267" s="2">
        <v>0</v>
      </c>
      <c r="P3267" s="2">
        <v>0</v>
      </c>
      <c r="Q3267">
        <v>0</v>
      </c>
      <c r="R3267" s="2">
        <v>0</v>
      </c>
      <c r="S3267" s="2">
        <v>0</v>
      </c>
      <c r="T3267" t="s">
        <v>1619</v>
      </c>
      <c r="U3267" s="2">
        <v>0</v>
      </c>
      <c r="V3267" s="2">
        <v>4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</row>
    <row r="3268" spans="1:28" hidden="1" x14ac:dyDescent="0.25">
      <c r="A3268" t="s">
        <v>730</v>
      </c>
      <c r="B3268" t="s">
        <v>1238</v>
      </c>
      <c r="C3268" t="s">
        <v>1370</v>
      </c>
      <c r="D3268" s="1">
        <v>46080</v>
      </c>
      <c r="E3268" s="1">
        <v>46080</v>
      </c>
      <c r="F3268" s="2">
        <v>65</v>
      </c>
      <c r="G3268" s="3" t="s">
        <v>409</v>
      </c>
      <c r="H3268">
        <v>0</v>
      </c>
      <c r="I3268" s="2">
        <v>0</v>
      </c>
      <c r="J3268" s="2">
        <v>0</v>
      </c>
      <c r="K3268" s="2">
        <v>0</v>
      </c>
      <c r="L3268" s="2">
        <v>0</v>
      </c>
      <c r="M3268">
        <v>0</v>
      </c>
      <c r="N3268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t="s">
        <v>1590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</row>
    <row r="3269" spans="1:28" hidden="1" x14ac:dyDescent="0.25">
      <c r="A3269" t="s">
        <v>20</v>
      </c>
      <c r="B3269" t="s">
        <v>47</v>
      </c>
      <c r="C3269" t="s">
        <v>1370</v>
      </c>
      <c r="D3269" s="1">
        <v>46080</v>
      </c>
      <c r="E3269" s="1">
        <v>46080</v>
      </c>
      <c r="F3269" s="2">
        <v>65</v>
      </c>
      <c r="G3269" s="3" t="s">
        <v>129</v>
      </c>
      <c r="H3269">
        <v>0</v>
      </c>
      <c r="I3269" s="2">
        <v>0</v>
      </c>
      <c r="J3269" s="2">
        <v>0</v>
      </c>
      <c r="K3269" s="2">
        <v>0</v>
      </c>
      <c r="L3269" s="2">
        <v>0</v>
      </c>
      <c r="M3269">
        <v>0</v>
      </c>
      <c r="N3269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t="s">
        <v>1590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</row>
    <row r="3270" spans="1:28" hidden="1" x14ac:dyDescent="0.25">
      <c r="A3270" t="s">
        <v>1431</v>
      </c>
      <c r="B3270" t="s">
        <v>47</v>
      </c>
      <c r="C3270" t="s">
        <v>1370</v>
      </c>
      <c r="D3270" s="1">
        <v>46080</v>
      </c>
      <c r="E3270" s="1">
        <v>46080</v>
      </c>
      <c r="F3270" s="2">
        <v>65</v>
      </c>
      <c r="G3270" s="3" t="s">
        <v>409</v>
      </c>
      <c r="H3270">
        <v>0</v>
      </c>
      <c r="I3270" s="2">
        <v>0</v>
      </c>
      <c r="J3270" s="2">
        <v>0</v>
      </c>
      <c r="K3270" s="2">
        <v>0</v>
      </c>
      <c r="L3270" s="2">
        <v>0</v>
      </c>
      <c r="M3270">
        <v>0</v>
      </c>
      <c r="N3270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t="s">
        <v>1590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</row>
    <row r="3271" spans="1:28" hidden="1" x14ac:dyDescent="0.25">
      <c r="A3271" t="s">
        <v>37</v>
      </c>
      <c r="B3271" t="s">
        <v>26</v>
      </c>
      <c r="C3271" t="s">
        <v>1370</v>
      </c>
      <c r="D3271" s="1">
        <v>46080</v>
      </c>
      <c r="E3271" s="1">
        <v>46080</v>
      </c>
      <c r="F3271" s="2">
        <v>65</v>
      </c>
      <c r="G3271" s="3" t="s">
        <v>129</v>
      </c>
      <c r="H3271">
        <v>0</v>
      </c>
      <c r="I3271" s="2">
        <v>0</v>
      </c>
      <c r="J3271" s="2">
        <v>0</v>
      </c>
      <c r="K3271" s="2">
        <v>0</v>
      </c>
      <c r="L3271" s="2">
        <v>0</v>
      </c>
      <c r="M3271">
        <v>0</v>
      </c>
      <c r="N3271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t="s">
        <v>1590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</row>
    <row r="3272" spans="1:28" hidden="1" x14ac:dyDescent="0.25">
      <c r="A3272" t="s">
        <v>53</v>
      </c>
      <c r="B3272" t="s">
        <v>38</v>
      </c>
      <c r="C3272" t="s">
        <v>1370</v>
      </c>
      <c r="D3272" s="1">
        <v>46080</v>
      </c>
      <c r="E3272" s="1">
        <v>46080</v>
      </c>
      <c r="F3272" s="2">
        <v>65</v>
      </c>
      <c r="G3272" s="3" t="s">
        <v>129</v>
      </c>
      <c r="H3272">
        <v>0</v>
      </c>
      <c r="I3272" s="2">
        <v>0</v>
      </c>
      <c r="J3272" s="2">
        <v>0</v>
      </c>
      <c r="K3272" s="2">
        <v>0</v>
      </c>
      <c r="L3272" s="2">
        <v>0</v>
      </c>
      <c r="M3272">
        <v>0</v>
      </c>
      <c r="N327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t="s">
        <v>1590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</row>
    <row r="3273" spans="1:28" hidden="1" x14ac:dyDescent="0.25">
      <c r="A3273" t="s">
        <v>47</v>
      </c>
      <c r="B3273" t="s">
        <v>284</v>
      </c>
      <c r="C3273" t="s">
        <v>1370</v>
      </c>
      <c r="D3273" s="1">
        <v>46080</v>
      </c>
      <c r="E3273" s="1">
        <v>46080</v>
      </c>
      <c r="F3273" s="2">
        <v>65</v>
      </c>
      <c r="G3273" s="3" t="s">
        <v>129</v>
      </c>
      <c r="H3273">
        <v>0</v>
      </c>
      <c r="I3273" s="2">
        <v>0</v>
      </c>
      <c r="J3273" s="2">
        <v>0</v>
      </c>
      <c r="K3273" s="2">
        <v>0</v>
      </c>
      <c r="L3273" s="2">
        <v>0</v>
      </c>
      <c r="M3273">
        <v>0</v>
      </c>
      <c r="N3273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t="s">
        <v>1590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</row>
    <row r="3274" spans="1:28" hidden="1" x14ac:dyDescent="0.25">
      <c r="A3274" t="s">
        <v>1431</v>
      </c>
      <c r="B3274" t="s">
        <v>30</v>
      </c>
      <c r="C3274" t="s">
        <v>1505</v>
      </c>
      <c r="D3274" s="9">
        <v>46081</v>
      </c>
      <c r="E3274" s="9">
        <v>46081</v>
      </c>
      <c r="F3274" s="2">
        <v>44</v>
      </c>
      <c r="G3274" s="3" t="s">
        <v>23</v>
      </c>
      <c r="H3274">
        <v>0</v>
      </c>
      <c r="I3274" s="2">
        <v>0</v>
      </c>
      <c r="J3274" s="2">
        <v>0</v>
      </c>
      <c r="K3274" s="2">
        <v>0</v>
      </c>
      <c r="L3274" s="2">
        <v>0</v>
      </c>
      <c r="M3274">
        <v>0</v>
      </c>
      <c r="N3274">
        <v>0</v>
      </c>
      <c r="O3274" s="2">
        <v>1</v>
      </c>
      <c r="P3274" s="2">
        <v>0</v>
      </c>
      <c r="Q3274">
        <v>0</v>
      </c>
      <c r="R3274" s="2">
        <v>1</v>
      </c>
      <c r="S3274" s="2">
        <v>0</v>
      </c>
      <c r="T3274" t="s">
        <v>1620</v>
      </c>
      <c r="U3274" s="2">
        <v>18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</row>
    <row r="3275" spans="1:28" hidden="1" x14ac:dyDescent="0.25">
      <c r="A3275" t="s">
        <v>25</v>
      </c>
      <c r="B3275" t="s">
        <v>1237</v>
      </c>
      <c r="C3275" t="s">
        <v>27</v>
      </c>
      <c r="D3275" s="9">
        <v>46081</v>
      </c>
      <c r="E3275" s="9">
        <v>46081</v>
      </c>
      <c r="F3275" s="2">
        <v>642</v>
      </c>
      <c r="G3275" s="3" t="s">
        <v>23</v>
      </c>
      <c r="H3275">
        <v>0</v>
      </c>
      <c r="I3275" s="2">
        <v>0</v>
      </c>
      <c r="J3275" s="2">
        <v>0</v>
      </c>
      <c r="K3275" s="2">
        <v>0</v>
      </c>
      <c r="L3275" s="2">
        <v>0</v>
      </c>
      <c r="M3275">
        <v>0</v>
      </c>
      <c r="N3275">
        <v>0</v>
      </c>
      <c r="O3275" s="2">
        <v>1</v>
      </c>
      <c r="P3275" s="2">
        <v>0</v>
      </c>
      <c r="Q3275">
        <v>0</v>
      </c>
      <c r="R3275" s="2">
        <v>1</v>
      </c>
      <c r="S3275" s="2">
        <v>0</v>
      </c>
      <c r="T3275" t="s">
        <v>1621</v>
      </c>
      <c r="U3275" s="2">
        <v>20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</row>
    <row r="3276" spans="1:28" hidden="1" x14ac:dyDescent="0.25">
      <c r="A3276" t="s">
        <v>63</v>
      </c>
      <c r="B3276" t="s">
        <v>1160</v>
      </c>
      <c r="C3276" t="s">
        <v>102</v>
      </c>
      <c r="D3276" s="9">
        <v>46081</v>
      </c>
      <c r="E3276" s="9">
        <v>46081</v>
      </c>
      <c r="F3276" s="2">
        <v>30</v>
      </c>
      <c r="G3276" s="3" t="s">
        <v>23</v>
      </c>
      <c r="H3276">
        <v>0</v>
      </c>
      <c r="I3276" s="2">
        <v>0</v>
      </c>
      <c r="J3276" s="2">
        <v>0</v>
      </c>
      <c r="K3276" s="2">
        <v>0</v>
      </c>
      <c r="L3276" s="2">
        <v>0</v>
      </c>
      <c r="M3276">
        <v>0</v>
      </c>
      <c r="N3276">
        <v>0</v>
      </c>
      <c r="O3276" s="2">
        <v>1</v>
      </c>
      <c r="P3276" s="2">
        <v>0</v>
      </c>
      <c r="Q3276">
        <v>2</v>
      </c>
      <c r="R3276" s="2">
        <v>1</v>
      </c>
      <c r="S3276" s="2">
        <v>0</v>
      </c>
      <c r="T3276" t="s">
        <v>1622</v>
      </c>
      <c r="U3276" s="2">
        <v>14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</row>
    <row r="3277" spans="1:28" hidden="1" x14ac:dyDescent="0.25">
      <c r="A3277" t="s">
        <v>33</v>
      </c>
      <c r="B3277" t="s">
        <v>34</v>
      </c>
      <c r="C3277" t="s">
        <v>35</v>
      </c>
      <c r="D3277" s="9">
        <v>46081</v>
      </c>
      <c r="E3277" s="9">
        <v>46081</v>
      </c>
      <c r="F3277" s="2">
        <v>29</v>
      </c>
      <c r="G3277" s="3" t="s">
        <v>23</v>
      </c>
      <c r="H3277">
        <v>0</v>
      </c>
      <c r="I3277" s="2">
        <v>0</v>
      </c>
      <c r="J3277" s="2">
        <v>0</v>
      </c>
      <c r="K3277" s="2">
        <v>0</v>
      </c>
      <c r="L3277" s="2">
        <v>0</v>
      </c>
      <c r="M3277">
        <v>0</v>
      </c>
      <c r="N3277">
        <v>0</v>
      </c>
      <c r="O3277" s="2">
        <v>1</v>
      </c>
      <c r="P3277" s="2">
        <v>0</v>
      </c>
      <c r="Q3277">
        <v>0</v>
      </c>
      <c r="R3277" s="2">
        <v>1</v>
      </c>
      <c r="S3277" s="2">
        <v>0</v>
      </c>
      <c r="T3277" t="s">
        <v>1623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</row>
    <row r="3278" spans="1:28" hidden="1" x14ac:dyDescent="0.25">
      <c r="A3278" t="s">
        <v>57</v>
      </c>
      <c r="B3278" t="s">
        <v>21</v>
      </c>
      <c r="C3278" t="s">
        <v>173</v>
      </c>
      <c r="D3278" s="9">
        <v>46081</v>
      </c>
      <c r="E3278" s="9">
        <v>46081</v>
      </c>
      <c r="F3278" s="2">
        <v>20</v>
      </c>
      <c r="G3278" s="3" t="s">
        <v>23</v>
      </c>
      <c r="H3278">
        <v>0</v>
      </c>
      <c r="I3278" s="2">
        <v>0</v>
      </c>
      <c r="J3278" s="2">
        <v>0</v>
      </c>
      <c r="K3278" s="2">
        <v>0</v>
      </c>
      <c r="L3278" s="2">
        <v>0</v>
      </c>
      <c r="M3278">
        <v>0</v>
      </c>
      <c r="N3278">
        <v>0</v>
      </c>
      <c r="O3278" s="2">
        <v>1</v>
      </c>
      <c r="P3278" s="2">
        <v>0</v>
      </c>
      <c r="Q3278">
        <v>0</v>
      </c>
      <c r="R3278" s="2">
        <v>1</v>
      </c>
      <c r="S3278" s="2">
        <v>0</v>
      </c>
      <c r="T3278" t="s">
        <v>1624</v>
      </c>
      <c r="U3278" s="2">
        <v>21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</row>
    <row r="3279" spans="1:28" hidden="1" x14ac:dyDescent="0.25">
      <c r="A3279" t="s">
        <v>730</v>
      </c>
      <c r="B3279" t="s">
        <v>1238</v>
      </c>
      <c r="C3279" t="s">
        <v>1370</v>
      </c>
      <c r="D3279" s="9">
        <v>46081</v>
      </c>
      <c r="E3279" s="9">
        <v>46081</v>
      </c>
      <c r="F3279" s="2">
        <v>94</v>
      </c>
      <c r="G3279" s="3" t="s">
        <v>23</v>
      </c>
      <c r="H3279">
        <v>0</v>
      </c>
      <c r="I3279" s="2">
        <v>0</v>
      </c>
      <c r="J3279" s="2">
        <v>0</v>
      </c>
      <c r="K3279" s="2">
        <v>0</v>
      </c>
      <c r="L3279" s="2">
        <v>0</v>
      </c>
      <c r="M3279">
        <v>0</v>
      </c>
      <c r="N3279">
        <v>0</v>
      </c>
      <c r="O3279" s="2">
        <v>0</v>
      </c>
      <c r="P3279" s="2">
        <v>0</v>
      </c>
      <c r="Q3279">
        <v>0</v>
      </c>
      <c r="R3279" s="2">
        <v>1</v>
      </c>
      <c r="S3279" s="2">
        <v>0</v>
      </c>
      <c r="T3279" t="s">
        <v>1625</v>
      </c>
      <c r="U3279" s="2">
        <v>17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1</v>
      </c>
      <c r="AB3279" s="2">
        <v>0</v>
      </c>
    </row>
    <row r="3280" spans="1:28" hidden="1" x14ac:dyDescent="0.25">
      <c r="A3280" t="s">
        <v>29</v>
      </c>
      <c r="B3280" t="s">
        <v>47</v>
      </c>
      <c r="C3280" t="s">
        <v>1370</v>
      </c>
      <c r="D3280" s="9">
        <v>46081</v>
      </c>
      <c r="E3280" s="9">
        <v>46081</v>
      </c>
      <c r="F3280" s="2">
        <v>65</v>
      </c>
      <c r="G3280" s="3" t="s">
        <v>378</v>
      </c>
      <c r="H3280">
        <v>0</v>
      </c>
      <c r="I3280" s="2">
        <v>0</v>
      </c>
      <c r="J3280" s="2">
        <v>0</v>
      </c>
      <c r="K3280" s="2">
        <v>0</v>
      </c>
      <c r="L3280" s="2">
        <v>0</v>
      </c>
      <c r="M3280">
        <v>0</v>
      </c>
      <c r="N3280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t="s">
        <v>1590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</row>
    <row r="3281" spans="1:28" hidden="1" x14ac:dyDescent="0.25">
      <c r="A3281" t="s">
        <v>20</v>
      </c>
      <c r="B3281" t="s">
        <v>57</v>
      </c>
      <c r="C3281" t="s">
        <v>1370</v>
      </c>
      <c r="D3281" s="9">
        <v>46081</v>
      </c>
      <c r="E3281" s="9">
        <v>46081</v>
      </c>
      <c r="F3281" s="2">
        <v>65</v>
      </c>
      <c r="G3281" s="3" t="s">
        <v>378</v>
      </c>
      <c r="H3281">
        <v>0</v>
      </c>
      <c r="I3281" s="2">
        <v>0</v>
      </c>
      <c r="J3281" s="2">
        <v>0</v>
      </c>
      <c r="K3281" s="2">
        <v>0</v>
      </c>
      <c r="L3281" s="2">
        <v>0</v>
      </c>
      <c r="M3281">
        <v>0</v>
      </c>
      <c r="N3281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t="s">
        <v>1590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</row>
    <row r="3282" spans="1:28" hidden="1" x14ac:dyDescent="0.25">
      <c r="A3282" t="s">
        <v>568</v>
      </c>
      <c r="B3282" t="s">
        <v>1323</v>
      </c>
      <c r="C3282" t="s">
        <v>1370</v>
      </c>
      <c r="D3282" s="9">
        <v>46081</v>
      </c>
      <c r="E3282" s="9">
        <v>46081</v>
      </c>
      <c r="F3282" s="2">
        <v>65</v>
      </c>
      <c r="G3282" s="3" t="s">
        <v>378</v>
      </c>
      <c r="H3282">
        <v>0</v>
      </c>
      <c r="I3282" s="2">
        <v>0</v>
      </c>
      <c r="J3282" s="2">
        <v>0</v>
      </c>
      <c r="K3282" s="2">
        <v>0</v>
      </c>
      <c r="L3282" s="2">
        <v>0</v>
      </c>
      <c r="M3282">
        <v>0</v>
      </c>
      <c r="N328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t="s">
        <v>1590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</row>
    <row r="3283" spans="1:28" hidden="1" x14ac:dyDescent="0.25">
      <c r="A3283" t="s">
        <v>37</v>
      </c>
      <c r="B3283" t="s">
        <v>26</v>
      </c>
      <c r="C3283" t="s">
        <v>1370</v>
      </c>
      <c r="D3283" s="9">
        <v>46081</v>
      </c>
      <c r="E3283" s="9">
        <v>46081</v>
      </c>
      <c r="F3283" s="2">
        <v>65</v>
      </c>
      <c r="G3283" s="3" t="s">
        <v>129</v>
      </c>
      <c r="H3283">
        <v>0</v>
      </c>
      <c r="I3283" s="2">
        <v>0</v>
      </c>
      <c r="J3283" s="2">
        <v>0</v>
      </c>
      <c r="K3283" s="2">
        <v>0</v>
      </c>
      <c r="L3283" s="2">
        <v>0</v>
      </c>
      <c r="M3283">
        <v>0</v>
      </c>
      <c r="N3283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t="s">
        <v>1590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</row>
    <row r="3284" spans="1:28" hidden="1" x14ac:dyDescent="0.25">
      <c r="A3284" t="s">
        <v>53</v>
      </c>
      <c r="B3284" t="s">
        <v>38</v>
      </c>
      <c r="C3284" t="s">
        <v>1370</v>
      </c>
      <c r="D3284" s="9">
        <v>46081</v>
      </c>
      <c r="E3284" s="9">
        <v>46081</v>
      </c>
      <c r="F3284" s="2">
        <v>65</v>
      </c>
      <c r="G3284" s="3" t="s">
        <v>129</v>
      </c>
      <c r="H3284">
        <v>0</v>
      </c>
      <c r="I3284" s="2">
        <v>0</v>
      </c>
      <c r="J3284" s="2">
        <v>0</v>
      </c>
      <c r="K3284" s="2">
        <v>0</v>
      </c>
      <c r="L3284" s="2">
        <v>0</v>
      </c>
      <c r="M3284">
        <v>0</v>
      </c>
      <c r="N3284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t="s">
        <v>1590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</row>
    <row r="3285" spans="1:28" hidden="1" x14ac:dyDescent="0.25">
      <c r="A3285" t="s">
        <v>47</v>
      </c>
      <c r="B3285" t="s">
        <v>284</v>
      </c>
      <c r="C3285" t="s">
        <v>1370</v>
      </c>
      <c r="D3285" s="9">
        <v>46081</v>
      </c>
      <c r="E3285" s="9">
        <v>46081</v>
      </c>
      <c r="F3285" s="2">
        <v>65</v>
      </c>
      <c r="G3285" s="3" t="s">
        <v>129</v>
      </c>
      <c r="H3285">
        <v>0</v>
      </c>
      <c r="I3285" s="2">
        <v>0</v>
      </c>
      <c r="J3285" s="2">
        <v>0</v>
      </c>
      <c r="K3285" s="2">
        <v>0</v>
      </c>
      <c r="L3285" s="2">
        <v>0</v>
      </c>
      <c r="M3285">
        <v>0</v>
      </c>
      <c r="N3285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t="s">
        <v>1590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</row>
    <row r="3286" spans="1:28" hidden="1" x14ac:dyDescent="0.25">
      <c r="A3286" t="s">
        <v>63</v>
      </c>
      <c r="B3286" t="s">
        <v>1160</v>
      </c>
      <c r="C3286" t="s">
        <v>102</v>
      </c>
      <c r="D3286" s="9">
        <v>46082</v>
      </c>
      <c r="E3286" s="9">
        <v>46082</v>
      </c>
      <c r="F3286" s="2">
        <v>41</v>
      </c>
      <c r="G3286" s="3" t="s">
        <v>23</v>
      </c>
      <c r="H3286">
        <v>0</v>
      </c>
      <c r="I3286" s="2">
        <v>0</v>
      </c>
      <c r="J3286" s="2">
        <v>0</v>
      </c>
      <c r="K3286" s="2">
        <v>0</v>
      </c>
      <c r="L3286" s="2">
        <v>0</v>
      </c>
      <c r="M3286">
        <v>0</v>
      </c>
      <c r="N3286">
        <v>0</v>
      </c>
      <c r="O3286" s="2">
        <v>0</v>
      </c>
      <c r="P3286" s="2">
        <v>1</v>
      </c>
      <c r="Q3286">
        <v>3</v>
      </c>
      <c r="R3286" s="2">
        <v>0</v>
      </c>
      <c r="S3286" s="2">
        <v>1</v>
      </c>
      <c r="T3286" t="s">
        <v>1626</v>
      </c>
      <c r="U3286" s="2">
        <v>18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</row>
    <row r="3287" spans="1:28" hidden="1" x14ac:dyDescent="0.25">
      <c r="A3287" t="s">
        <v>25</v>
      </c>
      <c r="B3287" t="s">
        <v>1237</v>
      </c>
      <c r="C3287" t="s">
        <v>27</v>
      </c>
      <c r="D3287" s="9">
        <v>46082</v>
      </c>
      <c r="E3287" s="9">
        <v>46082</v>
      </c>
      <c r="F3287" s="2">
        <v>642</v>
      </c>
      <c r="G3287" s="3" t="s">
        <v>23</v>
      </c>
      <c r="H3287">
        <v>0</v>
      </c>
      <c r="I3287" s="2">
        <v>0</v>
      </c>
      <c r="J3287" s="2">
        <v>0</v>
      </c>
      <c r="K3287" s="2">
        <v>0</v>
      </c>
      <c r="L3287" s="2">
        <v>0</v>
      </c>
      <c r="M3287">
        <v>0</v>
      </c>
      <c r="N3287">
        <v>0</v>
      </c>
      <c r="O3287" s="2">
        <v>0</v>
      </c>
      <c r="P3287" s="2">
        <v>1</v>
      </c>
      <c r="Q3287">
        <v>2</v>
      </c>
      <c r="R3287" s="2">
        <v>0</v>
      </c>
      <c r="S3287" s="2">
        <v>1</v>
      </c>
      <c r="T3287" t="s">
        <v>1621</v>
      </c>
      <c r="U3287" s="2">
        <v>20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</row>
    <row r="3288" spans="1:28" hidden="1" x14ac:dyDescent="0.25">
      <c r="A3288" t="s">
        <v>33</v>
      </c>
      <c r="B3288" t="s">
        <v>34</v>
      </c>
      <c r="C3288" t="s">
        <v>35</v>
      </c>
      <c r="D3288" s="9">
        <v>46082</v>
      </c>
      <c r="E3288" s="9">
        <v>46082</v>
      </c>
      <c r="F3288" s="2">
        <v>42</v>
      </c>
      <c r="G3288" s="3" t="s">
        <v>23</v>
      </c>
      <c r="H3288">
        <v>0</v>
      </c>
      <c r="I3288" s="2">
        <v>0</v>
      </c>
      <c r="J3288" s="2">
        <v>0</v>
      </c>
      <c r="K3288" s="2">
        <v>0</v>
      </c>
      <c r="L3288" s="2">
        <v>0</v>
      </c>
      <c r="M3288">
        <v>1</v>
      </c>
      <c r="N3288">
        <v>0</v>
      </c>
      <c r="O3288" s="2">
        <v>0</v>
      </c>
      <c r="P3288" s="2">
        <v>0</v>
      </c>
      <c r="Q3288">
        <v>5</v>
      </c>
      <c r="R3288" s="2">
        <v>0</v>
      </c>
      <c r="S3288" s="2">
        <v>1</v>
      </c>
      <c r="T3288" t="s">
        <v>1627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1</v>
      </c>
    </row>
    <row r="3289" spans="1:28" hidden="1" x14ac:dyDescent="0.25">
      <c r="A3289" t="s">
        <v>57</v>
      </c>
      <c r="B3289" t="s">
        <v>21</v>
      </c>
      <c r="C3289" t="s">
        <v>173</v>
      </c>
      <c r="D3289" s="9">
        <v>46082</v>
      </c>
      <c r="E3289" s="9">
        <v>46082</v>
      </c>
      <c r="F3289" s="2">
        <v>48</v>
      </c>
      <c r="G3289" s="3" t="s">
        <v>23</v>
      </c>
      <c r="H3289">
        <v>0</v>
      </c>
      <c r="I3289" s="2">
        <v>0</v>
      </c>
      <c r="J3289" s="2">
        <v>0</v>
      </c>
      <c r="K3289" s="2">
        <v>0</v>
      </c>
      <c r="L3289" s="2">
        <v>0</v>
      </c>
      <c r="M3289">
        <v>0</v>
      </c>
      <c r="N3289">
        <v>0</v>
      </c>
      <c r="O3289" s="2">
        <v>0</v>
      </c>
      <c r="P3289" s="2">
        <v>1</v>
      </c>
      <c r="Q3289">
        <v>2</v>
      </c>
      <c r="R3289" s="2">
        <v>0</v>
      </c>
      <c r="S3289" s="2">
        <v>1</v>
      </c>
      <c r="T3289" t="s">
        <v>1628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</row>
    <row r="3290" spans="1:28" hidden="1" x14ac:dyDescent="0.25">
      <c r="A3290" t="s">
        <v>730</v>
      </c>
      <c r="B3290" t="s">
        <v>1238</v>
      </c>
      <c r="C3290" t="s">
        <v>1370</v>
      </c>
      <c r="D3290" s="9">
        <v>46082</v>
      </c>
      <c r="E3290" s="9">
        <v>46082</v>
      </c>
      <c r="F3290" s="2">
        <v>44</v>
      </c>
      <c r="G3290" s="3" t="s">
        <v>23</v>
      </c>
      <c r="H3290">
        <v>0</v>
      </c>
      <c r="I3290" s="2">
        <v>0</v>
      </c>
      <c r="J3290" s="2">
        <v>0</v>
      </c>
      <c r="K3290" s="2">
        <v>0</v>
      </c>
      <c r="L3290" s="2">
        <v>0</v>
      </c>
      <c r="M3290">
        <v>0</v>
      </c>
      <c r="N3290">
        <v>0</v>
      </c>
      <c r="O3290" s="2">
        <v>0</v>
      </c>
      <c r="P3290" s="2">
        <v>1</v>
      </c>
      <c r="Q3290">
        <v>2</v>
      </c>
      <c r="R3290" s="2">
        <v>0</v>
      </c>
      <c r="S3290" s="2">
        <v>1</v>
      </c>
      <c r="T3290" t="s">
        <v>1629</v>
      </c>
      <c r="U3290" s="2">
        <v>16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</row>
    <row r="3291" spans="1:28" hidden="1" x14ac:dyDescent="0.25">
      <c r="A3291" t="s">
        <v>1431</v>
      </c>
      <c r="B3291" t="s">
        <v>30</v>
      </c>
      <c r="C3291" t="s">
        <v>1505</v>
      </c>
      <c r="D3291" s="9">
        <v>46082</v>
      </c>
      <c r="E3291" s="9">
        <v>46082</v>
      </c>
      <c r="F3291" s="2">
        <v>44</v>
      </c>
      <c r="G3291" s="3" t="s">
        <v>23</v>
      </c>
      <c r="H3291">
        <v>0</v>
      </c>
      <c r="I3291" s="2">
        <v>0</v>
      </c>
      <c r="J3291" s="2">
        <v>0</v>
      </c>
      <c r="K3291" s="2">
        <v>0</v>
      </c>
      <c r="L3291" s="2">
        <v>0</v>
      </c>
      <c r="M3291">
        <v>0</v>
      </c>
      <c r="N3291">
        <v>0</v>
      </c>
      <c r="O3291" s="2">
        <v>0</v>
      </c>
      <c r="P3291" s="2">
        <v>1</v>
      </c>
      <c r="Q3291">
        <v>2</v>
      </c>
      <c r="R3291" s="2">
        <v>0</v>
      </c>
      <c r="S3291" s="2">
        <v>1</v>
      </c>
      <c r="T3291" t="s">
        <v>1620</v>
      </c>
      <c r="U3291" s="2">
        <v>15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</row>
    <row r="3292" spans="1:28" hidden="1" x14ac:dyDescent="0.25">
      <c r="A3292" t="s">
        <v>29</v>
      </c>
      <c r="B3292" t="s">
        <v>47</v>
      </c>
      <c r="C3292" t="s">
        <v>1370</v>
      </c>
      <c r="D3292" s="9">
        <v>46082</v>
      </c>
      <c r="E3292" s="9">
        <v>46082</v>
      </c>
      <c r="F3292" s="2">
        <v>65</v>
      </c>
      <c r="G3292" s="3" t="s">
        <v>378</v>
      </c>
      <c r="H3292">
        <v>0</v>
      </c>
      <c r="I3292" s="2">
        <v>0</v>
      </c>
      <c r="J3292" s="2">
        <v>0</v>
      </c>
      <c r="K3292" s="2">
        <v>0</v>
      </c>
      <c r="L3292" s="2">
        <v>0</v>
      </c>
      <c r="M3292">
        <v>0</v>
      </c>
      <c r="N329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t="s">
        <v>1590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</row>
    <row r="3293" spans="1:28" hidden="1" x14ac:dyDescent="0.25">
      <c r="A3293" t="s">
        <v>20</v>
      </c>
      <c r="B3293" t="s">
        <v>57</v>
      </c>
      <c r="C3293" t="s">
        <v>1370</v>
      </c>
      <c r="D3293" s="9">
        <v>46082</v>
      </c>
      <c r="E3293" s="9">
        <v>46082</v>
      </c>
      <c r="F3293" s="2">
        <v>65</v>
      </c>
      <c r="G3293" s="3" t="s">
        <v>378</v>
      </c>
      <c r="H3293">
        <v>0</v>
      </c>
      <c r="I3293" s="2">
        <v>0</v>
      </c>
      <c r="J3293" s="2">
        <v>0</v>
      </c>
      <c r="K3293" s="2">
        <v>0</v>
      </c>
      <c r="L3293" s="2">
        <v>0</v>
      </c>
      <c r="M3293">
        <v>0</v>
      </c>
      <c r="N3293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t="s">
        <v>1590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</row>
    <row r="3294" spans="1:28" hidden="1" x14ac:dyDescent="0.25">
      <c r="A3294" t="s">
        <v>568</v>
      </c>
      <c r="B3294" t="s">
        <v>1323</v>
      </c>
      <c r="C3294" t="s">
        <v>1370</v>
      </c>
      <c r="D3294" s="9">
        <v>46082</v>
      </c>
      <c r="E3294" s="9">
        <v>46082</v>
      </c>
      <c r="F3294" s="2">
        <v>65</v>
      </c>
      <c r="G3294" s="3" t="s">
        <v>378</v>
      </c>
      <c r="H3294">
        <v>0</v>
      </c>
      <c r="I3294" s="2">
        <v>0</v>
      </c>
      <c r="J3294" s="2">
        <v>0</v>
      </c>
      <c r="K3294" s="2">
        <v>0</v>
      </c>
      <c r="L3294" s="2">
        <v>0</v>
      </c>
      <c r="M3294">
        <v>0</v>
      </c>
      <c r="N3294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t="s">
        <v>1590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</row>
    <row r="3295" spans="1:28" hidden="1" x14ac:dyDescent="0.25">
      <c r="A3295" t="s">
        <v>37</v>
      </c>
      <c r="B3295" t="s">
        <v>26</v>
      </c>
      <c r="C3295" t="s">
        <v>1370</v>
      </c>
      <c r="D3295" s="9">
        <v>46082</v>
      </c>
      <c r="E3295" s="9">
        <v>46082</v>
      </c>
      <c r="F3295" s="2">
        <v>65</v>
      </c>
      <c r="G3295" s="3" t="s">
        <v>129</v>
      </c>
      <c r="H3295">
        <v>0</v>
      </c>
      <c r="I3295" s="2">
        <v>0</v>
      </c>
      <c r="J3295" s="2">
        <v>0</v>
      </c>
      <c r="K3295" s="2">
        <v>0</v>
      </c>
      <c r="L3295" s="2">
        <v>0</v>
      </c>
      <c r="M3295">
        <v>0</v>
      </c>
      <c r="N3295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t="s">
        <v>1590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</row>
    <row r="3296" spans="1:28" hidden="1" x14ac:dyDescent="0.25">
      <c r="A3296" t="s">
        <v>53</v>
      </c>
      <c r="B3296" t="s">
        <v>38</v>
      </c>
      <c r="C3296" t="s">
        <v>1370</v>
      </c>
      <c r="D3296" s="9">
        <v>46082</v>
      </c>
      <c r="E3296" s="9">
        <v>46082</v>
      </c>
      <c r="F3296" s="2">
        <v>65</v>
      </c>
      <c r="G3296" s="3" t="s">
        <v>129</v>
      </c>
      <c r="H3296">
        <v>0</v>
      </c>
      <c r="I3296" s="2">
        <v>0</v>
      </c>
      <c r="J3296" s="2">
        <v>0</v>
      </c>
      <c r="K3296" s="2">
        <v>0</v>
      </c>
      <c r="L3296" s="2">
        <v>0</v>
      </c>
      <c r="M3296">
        <v>0</v>
      </c>
      <c r="N3296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t="s">
        <v>1590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</row>
    <row r="3297" spans="1:28" hidden="1" x14ac:dyDescent="0.25">
      <c r="A3297" t="s">
        <v>47</v>
      </c>
      <c r="B3297" t="s">
        <v>284</v>
      </c>
      <c r="C3297" t="s">
        <v>1370</v>
      </c>
      <c r="D3297" s="9">
        <v>46082</v>
      </c>
      <c r="E3297" s="9">
        <v>46082</v>
      </c>
      <c r="F3297" s="2">
        <v>65</v>
      </c>
      <c r="G3297" s="3" t="s">
        <v>129</v>
      </c>
      <c r="H3297">
        <v>0</v>
      </c>
      <c r="I3297" s="2">
        <v>0</v>
      </c>
      <c r="J3297" s="2">
        <v>0</v>
      </c>
      <c r="K3297" s="2">
        <v>0</v>
      </c>
      <c r="L3297" s="2">
        <v>0</v>
      </c>
      <c r="M3297">
        <v>0</v>
      </c>
      <c r="N3297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t="s">
        <v>1590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</row>
    <row r="3298" spans="1:28" hidden="1" x14ac:dyDescent="0.25">
      <c r="A3298" t="s">
        <v>56</v>
      </c>
      <c r="B3298" t="s">
        <v>29</v>
      </c>
      <c r="C3298" t="s">
        <v>64</v>
      </c>
      <c r="D3298" s="1">
        <v>46083</v>
      </c>
      <c r="E3298" s="1">
        <v>46083</v>
      </c>
      <c r="F3298" s="2">
        <v>18</v>
      </c>
      <c r="G3298" s="3" t="s">
        <v>23</v>
      </c>
      <c r="H3298">
        <v>0</v>
      </c>
      <c r="I3298" s="2">
        <v>0</v>
      </c>
      <c r="J3298" s="2">
        <v>0</v>
      </c>
      <c r="K3298" s="2">
        <v>0</v>
      </c>
      <c r="L3298" s="2">
        <v>0</v>
      </c>
      <c r="M3298">
        <v>0</v>
      </c>
      <c r="N3298">
        <v>0</v>
      </c>
      <c r="O3298" s="2">
        <v>0</v>
      </c>
      <c r="P3298" s="2">
        <v>0</v>
      </c>
      <c r="Q3298">
        <v>1</v>
      </c>
      <c r="R3298" s="2">
        <v>0</v>
      </c>
      <c r="S3298" s="2">
        <v>0</v>
      </c>
      <c r="T3298" t="s">
        <v>1630</v>
      </c>
      <c r="U3298" s="2">
        <v>0</v>
      </c>
      <c r="V3298" s="2">
        <f>14+9+5</f>
        <v>28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</row>
    <row r="3299" spans="1:28" hidden="1" x14ac:dyDescent="0.25">
      <c r="A3299" t="s">
        <v>20</v>
      </c>
      <c r="B3299" t="s">
        <v>21</v>
      </c>
      <c r="C3299" t="s">
        <v>22</v>
      </c>
      <c r="D3299" s="1">
        <v>46083</v>
      </c>
      <c r="E3299" s="1">
        <v>46083</v>
      </c>
      <c r="F3299" s="2">
        <v>40</v>
      </c>
      <c r="G3299" s="3" t="s">
        <v>23</v>
      </c>
      <c r="H3299">
        <v>0</v>
      </c>
      <c r="I3299" s="2">
        <v>0</v>
      </c>
      <c r="J3299" s="2">
        <v>0</v>
      </c>
      <c r="K3299" s="2">
        <v>0</v>
      </c>
      <c r="L3299" s="2">
        <v>0</v>
      </c>
      <c r="M3299">
        <v>0</v>
      </c>
      <c r="N3299">
        <v>0</v>
      </c>
      <c r="O3299" s="2">
        <v>0</v>
      </c>
      <c r="P3299" s="2">
        <v>0</v>
      </c>
      <c r="Q3299">
        <v>3</v>
      </c>
      <c r="R3299" s="2">
        <v>0</v>
      </c>
      <c r="S3299" s="2">
        <v>0</v>
      </c>
      <c r="T3299" t="s">
        <v>1631</v>
      </c>
      <c r="U3299" s="2">
        <v>0</v>
      </c>
      <c r="V3299" s="2">
        <f>14+4</f>
        <v>18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</row>
    <row r="3300" spans="1:28" hidden="1" x14ac:dyDescent="0.25">
      <c r="A3300" t="s">
        <v>25</v>
      </c>
      <c r="B3300" t="s">
        <v>1237</v>
      </c>
      <c r="C3300" t="s">
        <v>27</v>
      </c>
      <c r="D3300" s="1">
        <v>46083</v>
      </c>
      <c r="E3300" s="1">
        <v>46083</v>
      </c>
      <c r="F3300" s="2">
        <v>36</v>
      </c>
      <c r="G3300" s="3" t="s">
        <v>23</v>
      </c>
      <c r="H3300">
        <v>0</v>
      </c>
      <c r="I3300" s="2">
        <v>0</v>
      </c>
      <c r="J3300" s="2">
        <v>0</v>
      </c>
      <c r="K3300" s="2">
        <v>0</v>
      </c>
      <c r="L3300" s="2">
        <v>0</v>
      </c>
      <c r="M3300">
        <v>0</v>
      </c>
      <c r="N3300">
        <v>0</v>
      </c>
      <c r="O3300" s="2">
        <v>0</v>
      </c>
      <c r="P3300" s="2">
        <v>0</v>
      </c>
      <c r="Q3300">
        <v>1</v>
      </c>
      <c r="R3300" s="2">
        <v>0</v>
      </c>
      <c r="S3300" s="2">
        <v>0</v>
      </c>
      <c r="T3300" t="s">
        <v>1632</v>
      </c>
      <c r="U3300" s="2">
        <v>0</v>
      </c>
      <c r="V3300" s="2">
        <v>14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</row>
    <row r="3301" spans="1:28" hidden="1" x14ac:dyDescent="0.25">
      <c r="A3301" t="s">
        <v>63</v>
      </c>
      <c r="B3301" t="s">
        <v>284</v>
      </c>
      <c r="C3301" t="s">
        <v>102</v>
      </c>
      <c r="D3301" s="1">
        <v>46083</v>
      </c>
      <c r="E3301" s="1">
        <v>46083</v>
      </c>
      <c r="F3301" s="2">
        <v>18</v>
      </c>
      <c r="G3301" s="3" t="s">
        <v>23</v>
      </c>
      <c r="H3301">
        <f>14+2+1+1+2+1</f>
        <v>21</v>
      </c>
      <c r="I3301" s="2">
        <v>0</v>
      </c>
      <c r="J3301" s="2">
        <v>0</v>
      </c>
      <c r="K3301" s="2">
        <v>0</v>
      </c>
      <c r="L3301" s="2">
        <v>0</v>
      </c>
      <c r="M3301">
        <v>1</v>
      </c>
      <c r="N3301">
        <v>0</v>
      </c>
      <c r="O3301" s="2">
        <v>0</v>
      </c>
      <c r="P3301" s="2">
        <v>0</v>
      </c>
      <c r="Q3301">
        <v>1</v>
      </c>
      <c r="R3301" s="2">
        <v>0</v>
      </c>
      <c r="S3301" s="2">
        <v>0</v>
      </c>
      <c r="T3301" t="s">
        <v>1633</v>
      </c>
      <c r="U3301" s="2">
        <v>0</v>
      </c>
      <c r="V3301" s="2">
        <v>4</v>
      </c>
      <c r="W3301" s="2">
        <v>1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</row>
    <row r="3302" spans="1:28" hidden="1" x14ac:dyDescent="0.25">
      <c r="A3302" t="s">
        <v>568</v>
      </c>
      <c r="B3302" t="s">
        <v>1323</v>
      </c>
      <c r="C3302" t="s">
        <v>670</v>
      </c>
      <c r="D3302" s="1">
        <v>46083</v>
      </c>
      <c r="E3302" s="1">
        <v>46083</v>
      </c>
      <c r="F3302" s="2">
        <v>48</v>
      </c>
      <c r="G3302" s="3" t="s">
        <v>23</v>
      </c>
      <c r="H3302">
        <v>5</v>
      </c>
      <c r="I3302" s="2">
        <v>0</v>
      </c>
      <c r="J3302" s="2">
        <v>0</v>
      </c>
      <c r="K3302" s="2">
        <v>0</v>
      </c>
      <c r="L3302" s="2">
        <v>0</v>
      </c>
      <c r="M3302">
        <v>0</v>
      </c>
      <c r="N3302">
        <v>1</v>
      </c>
      <c r="O3302" s="2">
        <v>0</v>
      </c>
      <c r="P3302" s="2">
        <v>0</v>
      </c>
      <c r="Q3302">
        <v>0</v>
      </c>
      <c r="R3302" s="2">
        <v>0</v>
      </c>
      <c r="S3302" s="2">
        <v>0</v>
      </c>
      <c r="T3302" t="s">
        <v>1634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</row>
    <row r="3303" spans="1:28" hidden="1" x14ac:dyDescent="0.25">
      <c r="A3303" t="s">
        <v>33</v>
      </c>
      <c r="B3303" t="s">
        <v>34</v>
      </c>
      <c r="C3303" t="s">
        <v>35</v>
      </c>
      <c r="D3303" s="1">
        <v>46083</v>
      </c>
      <c r="E3303" s="1">
        <v>46083</v>
      </c>
      <c r="F3303" s="2">
        <v>30</v>
      </c>
      <c r="G3303" s="3" t="s">
        <v>23</v>
      </c>
      <c r="H3303">
        <v>0</v>
      </c>
      <c r="I3303" s="2">
        <v>0</v>
      </c>
      <c r="J3303" s="2">
        <v>0</v>
      </c>
      <c r="K3303" s="2">
        <v>0</v>
      </c>
      <c r="L3303" s="2">
        <v>0</v>
      </c>
      <c r="M3303">
        <v>0</v>
      </c>
      <c r="N3303">
        <v>0</v>
      </c>
      <c r="O3303" s="2">
        <v>0</v>
      </c>
      <c r="P3303" s="2">
        <v>0</v>
      </c>
      <c r="Q3303">
        <v>1</v>
      </c>
      <c r="R3303" s="2">
        <v>0</v>
      </c>
      <c r="S3303" s="2">
        <v>0</v>
      </c>
      <c r="T3303" t="s">
        <v>1635</v>
      </c>
      <c r="U3303" s="2">
        <v>0</v>
      </c>
      <c r="V3303" s="2">
        <v>11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</row>
    <row r="3304" spans="1:28" hidden="1" x14ac:dyDescent="0.25">
      <c r="A3304" t="s">
        <v>57</v>
      </c>
      <c r="B3304" t="s">
        <v>1160</v>
      </c>
      <c r="C3304" t="s">
        <v>173</v>
      </c>
      <c r="D3304" s="1">
        <v>46083</v>
      </c>
      <c r="E3304" s="1">
        <v>46083</v>
      </c>
      <c r="F3304" s="2">
        <v>16</v>
      </c>
      <c r="G3304" s="3" t="s">
        <v>23</v>
      </c>
      <c r="H3304">
        <v>4</v>
      </c>
      <c r="I3304" s="2">
        <v>0</v>
      </c>
      <c r="J3304" s="2">
        <v>0</v>
      </c>
      <c r="K3304" s="2">
        <v>0</v>
      </c>
      <c r="L3304" s="2">
        <v>0</v>
      </c>
      <c r="M3304">
        <v>1</v>
      </c>
      <c r="N3304">
        <v>0</v>
      </c>
      <c r="O3304" s="2">
        <v>0</v>
      </c>
      <c r="P3304" s="2">
        <v>0</v>
      </c>
      <c r="Q3304">
        <v>0</v>
      </c>
      <c r="R3304" s="2">
        <v>0</v>
      </c>
      <c r="S3304" s="2">
        <v>0</v>
      </c>
      <c r="T3304" t="s">
        <v>1636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</row>
    <row r="3305" spans="1:28" hidden="1" x14ac:dyDescent="0.25">
      <c r="A3305" t="s">
        <v>47</v>
      </c>
      <c r="B3305" t="s">
        <v>1160</v>
      </c>
      <c r="C3305" t="s">
        <v>173</v>
      </c>
      <c r="D3305" s="1">
        <v>46083</v>
      </c>
      <c r="E3305" s="1">
        <v>46083</v>
      </c>
      <c r="F3305" s="2">
        <v>16</v>
      </c>
      <c r="G3305" s="3" t="s">
        <v>23</v>
      </c>
      <c r="H3305">
        <v>4</v>
      </c>
      <c r="I3305" s="2">
        <v>0</v>
      </c>
      <c r="J3305" s="2">
        <v>0</v>
      </c>
      <c r="K3305" s="2">
        <v>0</v>
      </c>
      <c r="L3305" s="2">
        <v>0</v>
      </c>
      <c r="M3305">
        <v>1</v>
      </c>
      <c r="N3305">
        <v>0</v>
      </c>
      <c r="O3305" s="2">
        <v>0</v>
      </c>
      <c r="P3305" s="2">
        <v>0</v>
      </c>
      <c r="Q3305">
        <v>3</v>
      </c>
      <c r="R3305" s="2">
        <v>0</v>
      </c>
      <c r="S3305" s="2">
        <v>0</v>
      </c>
      <c r="T3305" t="s">
        <v>1636</v>
      </c>
      <c r="U3305" s="2">
        <v>0</v>
      </c>
      <c r="V3305" s="2">
        <v>4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</row>
    <row r="3306" spans="1:28" hidden="1" x14ac:dyDescent="0.25">
      <c r="A3306" t="s">
        <v>730</v>
      </c>
      <c r="B3306" t="s">
        <v>1238</v>
      </c>
      <c r="C3306" t="s">
        <v>1370</v>
      </c>
      <c r="D3306" s="1">
        <v>46083</v>
      </c>
      <c r="E3306" s="1">
        <v>46083</v>
      </c>
      <c r="F3306" s="2">
        <v>65</v>
      </c>
      <c r="G3306" s="3" t="s">
        <v>409</v>
      </c>
      <c r="H3306">
        <v>0</v>
      </c>
      <c r="I3306" s="2">
        <v>0</v>
      </c>
      <c r="J3306" s="2">
        <v>0</v>
      </c>
      <c r="K3306" s="2">
        <v>0</v>
      </c>
      <c r="L3306" s="2">
        <v>0</v>
      </c>
      <c r="M3306">
        <v>0</v>
      </c>
      <c r="N3306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t="s">
        <v>1590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</row>
    <row r="3307" spans="1:28" hidden="1" x14ac:dyDescent="0.25">
      <c r="A3307" t="s">
        <v>47</v>
      </c>
      <c r="B3307" t="s">
        <v>30</v>
      </c>
      <c r="C3307" t="s">
        <v>1370</v>
      </c>
      <c r="D3307" s="1">
        <v>46083</v>
      </c>
      <c r="E3307" s="1">
        <v>46083</v>
      </c>
      <c r="F3307" s="2">
        <v>65</v>
      </c>
      <c r="G3307" s="3" t="s">
        <v>48</v>
      </c>
      <c r="H3307">
        <v>0</v>
      </c>
      <c r="I3307" s="2">
        <v>0</v>
      </c>
      <c r="J3307" s="2">
        <v>0</v>
      </c>
      <c r="K3307" s="2">
        <v>0</v>
      </c>
      <c r="L3307" s="2">
        <v>0</v>
      </c>
      <c r="M3307">
        <v>0</v>
      </c>
      <c r="N3307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t="s">
        <v>1590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</row>
    <row r="3308" spans="1:28" hidden="1" x14ac:dyDescent="0.25">
      <c r="A3308" t="s">
        <v>1431</v>
      </c>
      <c r="B3308" t="s">
        <v>47</v>
      </c>
      <c r="C3308" t="s">
        <v>1370</v>
      </c>
      <c r="D3308" s="1">
        <v>46083</v>
      </c>
      <c r="E3308" s="1">
        <v>46083</v>
      </c>
      <c r="F3308" s="2">
        <v>65</v>
      </c>
      <c r="G3308" s="3" t="s">
        <v>409</v>
      </c>
      <c r="H3308">
        <v>0</v>
      </c>
      <c r="I3308" s="2">
        <v>0</v>
      </c>
      <c r="J3308" s="2">
        <v>0</v>
      </c>
      <c r="K3308" s="2">
        <v>0</v>
      </c>
      <c r="L3308" s="2">
        <v>0</v>
      </c>
      <c r="M3308">
        <v>0</v>
      </c>
      <c r="N3308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t="s">
        <v>1590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</row>
    <row r="3309" spans="1:28" hidden="1" x14ac:dyDescent="0.25">
      <c r="A3309" t="s">
        <v>37</v>
      </c>
      <c r="B3309" t="s">
        <v>26</v>
      </c>
      <c r="C3309" t="s">
        <v>1370</v>
      </c>
      <c r="D3309" s="1">
        <v>46083</v>
      </c>
      <c r="E3309" s="1">
        <v>46083</v>
      </c>
      <c r="F3309" s="2">
        <v>65</v>
      </c>
      <c r="G3309" s="3" t="s">
        <v>129</v>
      </c>
      <c r="H3309">
        <v>0</v>
      </c>
      <c r="I3309" s="2">
        <v>0</v>
      </c>
      <c r="J3309" s="2">
        <v>0</v>
      </c>
      <c r="K3309" s="2">
        <v>0</v>
      </c>
      <c r="L3309" s="2">
        <v>0</v>
      </c>
      <c r="M3309">
        <v>0</v>
      </c>
      <c r="N3309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t="s">
        <v>1590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</row>
    <row r="3310" spans="1:28" hidden="1" x14ac:dyDescent="0.25">
      <c r="A3310" t="s">
        <v>53</v>
      </c>
      <c r="B3310" t="s">
        <v>38</v>
      </c>
      <c r="C3310" t="s">
        <v>1370</v>
      </c>
      <c r="D3310" s="1">
        <v>46083</v>
      </c>
      <c r="E3310" s="1">
        <v>46083</v>
      </c>
      <c r="F3310" s="2">
        <v>65</v>
      </c>
      <c r="G3310" s="3" t="s">
        <v>129</v>
      </c>
      <c r="H3310">
        <v>0</v>
      </c>
      <c r="I3310" s="2">
        <v>0</v>
      </c>
      <c r="J3310" s="2">
        <v>0</v>
      </c>
      <c r="K3310" s="2">
        <v>0</v>
      </c>
      <c r="L3310" s="2">
        <v>0</v>
      </c>
      <c r="M3310">
        <v>0</v>
      </c>
      <c r="N3310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t="s">
        <v>1590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</row>
    <row r="3311" spans="1:28" hidden="1" x14ac:dyDescent="0.25">
      <c r="A3311" t="s">
        <v>568</v>
      </c>
      <c r="B3311" t="s">
        <v>1323</v>
      </c>
      <c r="C3311" t="s">
        <v>670</v>
      </c>
      <c r="D3311" s="1">
        <v>46084</v>
      </c>
      <c r="E3311" s="1">
        <v>46084</v>
      </c>
      <c r="F3311" s="2">
        <v>221</v>
      </c>
      <c r="G3311" s="3" t="s">
        <v>23</v>
      </c>
      <c r="H3311">
        <f>20+4</f>
        <v>24</v>
      </c>
      <c r="I3311" s="2">
        <v>0</v>
      </c>
      <c r="J3311" s="2">
        <v>0</v>
      </c>
      <c r="K3311" s="2">
        <v>0</v>
      </c>
      <c r="L3311" s="2">
        <v>1</v>
      </c>
      <c r="M3311">
        <v>0</v>
      </c>
      <c r="N3311">
        <v>0</v>
      </c>
      <c r="O3311" s="2">
        <v>0</v>
      </c>
      <c r="P3311" s="2">
        <v>0</v>
      </c>
      <c r="Q3311">
        <v>1</v>
      </c>
      <c r="R3311" s="2">
        <v>0</v>
      </c>
      <c r="S3311" s="2">
        <v>0</v>
      </c>
      <c r="T3311" t="s">
        <v>1637</v>
      </c>
      <c r="U3311" s="2">
        <v>0</v>
      </c>
      <c r="V3311" s="2">
        <f>14+4</f>
        <v>18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</row>
    <row r="3312" spans="1:28" hidden="1" x14ac:dyDescent="0.25">
      <c r="A3312" t="s">
        <v>57</v>
      </c>
      <c r="B3312" t="s">
        <v>1160</v>
      </c>
      <c r="C3312" t="s">
        <v>173</v>
      </c>
      <c r="D3312" s="1">
        <v>46084</v>
      </c>
      <c r="E3312" s="1">
        <v>46084</v>
      </c>
      <c r="F3312" s="2">
        <v>43</v>
      </c>
      <c r="G3312" s="3" t="s">
        <v>23</v>
      </c>
      <c r="H3312">
        <v>16</v>
      </c>
      <c r="I3312" s="2">
        <v>0</v>
      </c>
      <c r="J3312" s="2">
        <v>0</v>
      </c>
      <c r="K3312" s="2">
        <v>1</v>
      </c>
      <c r="L3312" s="2">
        <v>0</v>
      </c>
      <c r="M3312">
        <v>0</v>
      </c>
      <c r="N3312">
        <v>0</v>
      </c>
      <c r="O3312" s="2">
        <v>0</v>
      </c>
      <c r="P3312" s="2">
        <v>0</v>
      </c>
      <c r="Q3312">
        <v>0</v>
      </c>
      <c r="R3312" s="2">
        <v>0</v>
      </c>
      <c r="S3312" s="2">
        <v>0</v>
      </c>
      <c r="T3312" t="s">
        <v>1638</v>
      </c>
      <c r="U3312" s="2">
        <v>0</v>
      </c>
      <c r="V3312" s="2">
        <f>14+14</f>
        <v>28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</row>
    <row r="3313" spans="1:28" hidden="1" x14ac:dyDescent="0.25">
      <c r="A3313" t="s">
        <v>25</v>
      </c>
      <c r="B3313" t="s">
        <v>1237</v>
      </c>
      <c r="C3313" t="s">
        <v>27</v>
      </c>
      <c r="D3313" s="1">
        <v>46084</v>
      </c>
      <c r="E3313" s="1">
        <v>46084</v>
      </c>
      <c r="F3313" s="2">
        <v>19</v>
      </c>
      <c r="G3313" s="3" t="s">
        <v>23</v>
      </c>
      <c r="H3313">
        <f>18+18+4+5+1+1+1</f>
        <v>48</v>
      </c>
      <c r="I3313" s="2">
        <v>0</v>
      </c>
      <c r="J3313" s="2">
        <v>0</v>
      </c>
      <c r="K3313" s="2">
        <v>1</v>
      </c>
      <c r="L3313" s="2">
        <v>0</v>
      </c>
      <c r="M3313">
        <v>0</v>
      </c>
      <c r="N3313">
        <v>0</v>
      </c>
      <c r="O3313" s="2">
        <v>0</v>
      </c>
      <c r="P3313" s="2">
        <v>0</v>
      </c>
      <c r="Q3313">
        <v>0</v>
      </c>
      <c r="R3313" s="2">
        <v>0</v>
      </c>
      <c r="S3313" s="2">
        <v>0</v>
      </c>
      <c r="T3313" t="s">
        <v>1639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</row>
    <row r="3314" spans="1:28" hidden="1" x14ac:dyDescent="0.25">
      <c r="A3314" t="s">
        <v>56</v>
      </c>
      <c r="B3314" t="s">
        <v>52</v>
      </c>
      <c r="C3314" t="s">
        <v>64</v>
      </c>
      <c r="D3314" s="1">
        <v>46084</v>
      </c>
      <c r="E3314" s="1">
        <v>46084</v>
      </c>
      <c r="F3314" s="2">
        <v>48</v>
      </c>
      <c r="G3314" s="3" t="s">
        <v>23</v>
      </c>
      <c r="H3314">
        <f>14+14+2</f>
        <v>30</v>
      </c>
      <c r="I3314" s="2">
        <v>0</v>
      </c>
      <c r="J3314" s="2">
        <v>0</v>
      </c>
      <c r="K3314" s="2">
        <v>1</v>
      </c>
      <c r="L3314" s="2">
        <v>0</v>
      </c>
      <c r="M3314">
        <v>0</v>
      </c>
      <c r="N3314">
        <v>0</v>
      </c>
      <c r="O3314" s="2">
        <v>0</v>
      </c>
      <c r="P3314" s="2">
        <v>0</v>
      </c>
      <c r="Q3314">
        <v>0</v>
      </c>
      <c r="R3314" s="2">
        <v>0</v>
      </c>
      <c r="S3314" s="2">
        <v>0</v>
      </c>
      <c r="T3314" t="s">
        <v>1640</v>
      </c>
      <c r="U3314" s="2">
        <v>0</v>
      </c>
      <c r="V3314" s="2">
        <f>4+1+4</f>
        <v>9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</row>
    <row r="3315" spans="1:28" hidden="1" x14ac:dyDescent="0.25">
      <c r="A3315" t="s">
        <v>63</v>
      </c>
      <c r="B3315" t="s">
        <v>284</v>
      </c>
      <c r="C3315" t="s">
        <v>102</v>
      </c>
      <c r="D3315" s="1">
        <v>46084</v>
      </c>
      <c r="E3315" s="1">
        <v>46084</v>
      </c>
      <c r="F3315" s="2">
        <v>76</v>
      </c>
      <c r="G3315" s="3" t="s">
        <v>23</v>
      </c>
      <c r="H3315">
        <f>12+4+12+4</f>
        <v>32</v>
      </c>
      <c r="I3315" s="2">
        <v>0</v>
      </c>
      <c r="J3315" s="2">
        <v>0</v>
      </c>
      <c r="K3315" s="2">
        <v>1</v>
      </c>
      <c r="L3315" s="2">
        <v>0</v>
      </c>
      <c r="M3315">
        <v>0</v>
      </c>
      <c r="N3315">
        <v>0</v>
      </c>
      <c r="O3315" s="2">
        <v>0</v>
      </c>
      <c r="P3315" s="2">
        <v>0</v>
      </c>
      <c r="Q3315">
        <v>0</v>
      </c>
      <c r="R3315" s="2">
        <v>0</v>
      </c>
      <c r="S3315" s="2">
        <v>0</v>
      </c>
      <c r="T3315" t="s">
        <v>1641</v>
      </c>
      <c r="U3315" s="2">
        <v>0</v>
      </c>
      <c r="V3315" s="2">
        <v>18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</row>
    <row r="3316" spans="1:28" hidden="1" x14ac:dyDescent="0.25">
      <c r="A3316" t="s">
        <v>33</v>
      </c>
      <c r="B3316" t="s">
        <v>34</v>
      </c>
      <c r="C3316" t="s">
        <v>35</v>
      </c>
      <c r="D3316" s="1">
        <v>46084</v>
      </c>
      <c r="E3316" s="1">
        <v>46084</v>
      </c>
      <c r="F3316" s="2">
        <v>73</v>
      </c>
      <c r="G3316" s="3" t="s">
        <v>23</v>
      </c>
      <c r="H3316">
        <f>8+4+8+4</f>
        <v>24</v>
      </c>
      <c r="I3316" s="2">
        <v>0</v>
      </c>
      <c r="J3316" s="2">
        <v>0</v>
      </c>
      <c r="K3316" s="2">
        <v>1</v>
      </c>
      <c r="L3316" s="2">
        <v>0</v>
      </c>
      <c r="M3316">
        <v>0</v>
      </c>
      <c r="N3316">
        <v>0</v>
      </c>
      <c r="O3316" s="2">
        <v>0</v>
      </c>
      <c r="P3316" s="2">
        <v>0</v>
      </c>
      <c r="Q3316">
        <v>0</v>
      </c>
      <c r="R3316" s="2">
        <v>0</v>
      </c>
      <c r="S3316" s="2">
        <v>0</v>
      </c>
      <c r="T3316" t="s">
        <v>1642</v>
      </c>
      <c r="U3316" s="2">
        <v>0</v>
      </c>
      <c r="V3316" s="2">
        <f>14+14</f>
        <v>28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</row>
    <row r="3317" spans="1:28" hidden="1" x14ac:dyDescent="0.25">
      <c r="A3317" t="s">
        <v>29</v>
      </c>
      <c r="B3317" t="s">
        <v>30</v>
      </c>
      <c r="C3317" t="s">
        <v>1370</v>
      </c>
      <c r="D3317" s="1">
        <v>46084</v>
      </c>
      <c r="E3317" s="1">
        <v>46084</v>
      </c>
      <c r="F3317" s="2">
        <v>65</v>
      </c>
      <c r="G3317" s="3" t="s">
        <v>48</v>
      </c>
      <c r="H3317">
        <v>0</v>
      </c>
      <c r="I3317" s="2">
        <v>0</v>
      </c>
      <c r="J3317" s="2">
        <v>0</v>
      </c>
      <c r="K3317" s="2">
        <v>0</v>
      </c>
      <c r="L3317" s="2">
        <v>0</v>
      </c>
      <c r="M3317">
        <v>0</v>
      </c>
      <c r="N3317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t="s">
        <v>1590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</row>
    <row r="3318" spans="1:28" hidden="1" x14ac:dyDescent="0.25">
      <c r="A3318" t="s">
        <v>20</v>
      </c>
      <c r="B3318" t="s">
        <v>21</v>
      </c>
      <c r="C3318" t="s">
        <v>1370</v>
      </c>
      <c r="D3318" s="1">
        <v>46084</v>
      </c>
      <c r="E3318" s="1">
        <v>46084</v>
      </c>
      <c r="F3318" s="2">
        <v>65</v>
      </c>
      <c r="G3318" s="3" t="s">
        <v>48</v>
      </c>
      <c r="H3318">
        <v>0</v>
      </c>
      <c r="I3318" s="2">
        <v>0</v>
      </c>
      <c r="J3318" s="2">
        <v>0</v>
      </c>
      <c r="K3318" s="2">
        <v>0</v>
      </c>
      <c r="L3318" s="2">
        <v>0</v>
      </c>
      <c r="M3318">
        <v>0</v>
      </c>
      <c r="N3318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t="s">
        <v>1590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</row>
    <row r="3319" spans="1:28" hidden="1" x14ac:dyDescent="0.25">
      <c r="A3319" t="s">
        <v>730</v>
      </c>
      <c r="B3319" t="s">
        <v>1238</v>
      </c>
      <c r="C3319" t="s">
        <v>1370</v>
      </c>
      <c r="D3319" s="1">
        <v>46084</v>
      </c>
      <c r="E3319" s="1">
        <v>46084</v>
      </c>
      <c r="F3319" s="2">
        <v>65</v>
      </c>
      <c r="G3319" s="3" t="s">
        <v>409</v>
      </c>
      <c r="H3319">
        <v>0</v>
      </c>
      <c r="I3319" s="2">
        <v>0</v>
      </c>
      <c r="J3319" s="2">
        <v>0</v>
      </c>
      <c r="K3319" s="2">
        <v>0</v>
      </c>
      <c r="L3319" s="2">
        <v>0</v>
      </c>
      <c r="M3319">
        <v>0</v>
      </c>
      <c r="N3319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t="s">
        <v>1590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</row>
    <row r="3320" spans="1:28" hidden="1" x14ac:dyDescent="0.25">
      <c r="A3320" t="s">
        <v>1431</v>
      </c>
      <c r="B3320" t="s">
        <v>47</v>
      </c>
      <c r="C3320" t="s">
        <v>1370</v>
      </c>
      <c r="D3320" s="1">
        <v>46084</v>
      </c>
      <c r="E3320" s="1">
        <v>46084</v>
      </c>
      <c r="F3320" s="2">
        <v>65</v>
      </c>
      <c r="G3320" s="3" t="s">
        <v>409</v>
      </c>
      <c r="H3320">
        <v>0</v>
      </c>
      <c r="I3320" s="2">
        <v>0</v>
      </c>
      <c r="J3320" s="2">
        <v>0</v>
      </c>
      <c r="K3320" s="2">
        <v>0</v>
      </c>
      <c r="L3320" s="2">
        <v>0</v>
      </c>
      <c r="M3320">
        <v>0</v>
      </c>
      <c r="N3320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t="s">
        <v>1590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</row>
    <row r="3321" spans="1:28" hidden="1" x14ac:dyDescent="0.25">
      <c r="A3321" t="s">
        <v>37</v>
      </c>
      <c r="B3321" t="s">
        <v>26</v>
      </c>
      <c r="C3321" t="s">
        <v>1370</v>
      </c>
      <c r="D3321" s="1">
        <v>46084</v>
      </c>
      <c r="E3321" s="1">
        <v>46084</v>
      </c>
      <c r="F3321" s="2">
        <v>65</v>
      </c>
      <c r="G3321" s="3" t="s">
        <v>129</v>
      </c>
      <c r="H3321">
        <v>0</v>
      </c>
      <c r="I3321" s="2">
        <v>0</v>
      </c>
      <c r="J3321" s="2">
        <v>0</v>
      </c>
      <c r="K3321" s="2">
        <v>0</v>
      </c>
      <c r="L3321" s="2">
        <v>0</v>
      </c>
      <c r="M3321">
        <v>0</v>
      </c>
      <c r="N3321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t="s">
        <v>1590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</row>
    <row r="3322" spans="1:28" hidden="1" x14ac:dyDescent="0.25">
      <c r="A3322" t="s">
        <v>53</v>
      </c>
      <c r="B3322" t="s">
        <v>38</v>
      </c>
      <c r="C3322" t="s">
        <v>1370</v>
      </c>
      <c r="D3322" s="1">
        <v>46084</v>
      </c>
      <c r="E3322" s="1">
        <v>46084</v>
      </c>
      <c r="F3322" s="2">
        <v>65</v>
      </c>
      <c r="G3322" s="3" t="s">
        <v>129</v>
      </c>
      <c r="H3322">
        <v>0</v>
      </c>
      <c r="I3322" s="2">
        <v>0</v>
      </c>
      <c r="J3322" s="2">
        <v>0</v>
      </c>
      <c r="K3322" s="2">
        <v>0</v>
      </c>
      <c r="L3322" s="2">
        <v>0</v>
      </c>
      <c r="M3322">
        <v>0</v>
      </c>
      <c r="N332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t="s">
        <v>1590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</row>
    <row r="3323" spans="1:28" hidden="1" x14ac:dyDescent="0.25">
      <c r="A3323" t="s">
        <v>57</v>
      </c>
      <c r="B3323" t="s">
        <v>1160</v>
      </c>
      <c r="C3323" t="s">
        <v>173</v>
      </c>
      <c r="D3323" s="1">
        <v>46085</v>
      </c>
      <c r="E3323" s="1">
        <v>46085</v>
      </c>
      <c r="F3323" s="2">
        <v>49</v>
      </c>
      <c r="G3323" s="3" t="s">
        <v>23</v>
      </c>
      <c r="H3323">
        <v>28</v>
      </c>
      <c r="I3323" s="2">
        <v>0</v>
      </c>
      <c r="J3323" s="2">
        <v>0</v>
      </c>
      <c r="K3323" s="2">
        <v>1</v>
      </c>
      <c r="L3323" s="2">
        <v>0</v>
      </c>
      <c r="M3323">
        <v>0</v>
      </c>
      <c r="N3323">
        <v>0</v>
      </c>
      <c r="O3323" s="2">
        <v>0</v>
      </c>
      <c r="P3323" s="2">
        <v>0</v>
      </c>
      <c r="Q3323">
        <v>0</v>
      </c>
      <c r="R3323" s="2">
        <v>0</v>
      </c>
      <c r="S3323" s="2">
        <v>0</v>
      </c>
      <c r="T3323" t="s">
        <v>1643</v>
      </c>
      <c r="U3323" s="2">
        <v>0</v>
      </c>
      <c r="V3323" s="2">
        <v>4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</row>
    <row r="3324" spans="1:28" hidden="1" x14ac:dyDescent="0.25">
      <c r="A3324" t="s">
        <v>25</v>
      </c>
      <c r="B3324" t="s">
        <v>1237</v>
      </c>
      <c r="C3324" t="s">
        <v>27</v>
      </c>
      <c r="D3324" s="1">
        <v>46085</v>
      </c>
      <c r="E3324" s="1">
        <v>46085</v>
      </c>
      <c r="F3324" s="2">
        <v>26</v>
      </c>
      <c r="G3324" s="3" t="s">
        <v>23</v>
      </c>
      <c r="H3324">
        <v>28</v>
      </c>
      <c r="I3324" s="2">
        <v>0</v>
      </c>
      <c r="J3324" s="2">
        <v>0</v>
      </c>
      <c r="K3324" s="2">
        <v>0</v>
      </c>
      <c r="L3324" s="2">
        <v>1</v>
      </c>
      <c r="M3324">
        <v>0</v>
      </c>
      <c r="N3324">
        <v>0</v>
      </c>
      <c r="O3324" s="2">
        <v>0</v>
      </c>
      <c r="P3324" s="2">
        <v>0</v>
      </c>
      <c r="Q3324">
        <v>0</v>
      </c>
      <c r="R3324" s="2">
        <v>0</v>
      </c>
      <c r="S3324" s="2">
        <v>0</v>
      </c>
      <c r="T3324" t="s">
        <v>1644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</row>
    <row r="3325" spans="1:28" hidden="1" x14ac:dyDescent="0.25">
      <c r="A3325" t="s">
        <v>20</v>
      </c>
      <c r="B3325" t="s">
        <v>21</v>
      </c>
      <c r="C3325" t="s">
        <v>22</v>
      </c>
      <c r="D3325" s="1">
        <v>46085</v>
      </c>
      <c r="E3325" s="1">
        <v>46085</v>
      </c>
      <c r="F3325" s="2">
        <v>26</v>
      </c>
      <c r="G3325" s="3" t="s">
        <v>23</v>
      </c>
      <c r="H3325">
        <f>21+21+2+7+2+4+2</f>
        <v>59</v>
      </c>
      <c r="I3325" s="2">
        <v>0</v>
      </c>
      <c r="J3325" s="2">
        <v>0</v>
      </c>
      <c r="K3325" s="2">
        <v>1</v>
      </c>
      <c r="L3325" s="2">
        <v>0</v>
      </c>
      <c r="M3325">
        <v>0</v>
      </c>
      <c r="N3325">
        <v>0</v>
      </c>
      <c r="O3325" s="2">
        <v>0</v>
      </c>
      <c r="P3325" s="2">
        <v>0</v>
      </c>
      <c r="Q3325">
        <v>0</v>
      </c>
      <c r="R3325" s="2">
        <v>0</v>
      </c>
      <c r="S3325" s="2">
        <v>0</v>
      </c>
      <c r="T3325" t="s">
        <v>1645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</row>
    <row r="3326" spans="1:28" hidden="1" x14ac:dyDescent="0.25">
      <c r="A3326" t="s">
        <v>29</v>
      </c>
      <c r="B3326" t="s">
        <v>30</v>
      </c>
      <c r="C3326" t="s">
        <v>31</v>
      </c>
      <c r="D3326" s="1">
        <v>46085</v>
      </c>
      <c r="E3326" s="1">
        <v>46085</v>
      </c>
      <c r="F3326" s="2">
        <v>21</v>
      </c>
      <c r="G3326" s="3" t="s">
        <v>23</v>
      </c>
      <c r="H3326">
        <v>53</v>
      </c>
      <c r="I3326" s="2">
        <v>0</v>
      </c>
      <c r="J3326" s="2">
        <v>0</v>
      </c>
      <c r="K3326" s="2">
        <v>1</v>
      </c>
      <c r="L3326" s="2">
        <v>0</v>
      </c>
      <c r="M3326">
        <v>0</v>
      </c>
      <c r="N3326">
        <v>0</v>
      </c>
      <c r="O3326" s="2">
        <v>0</v>
      </c>
      <c r="P3326" s="2">
        <v>0</v>
      </c>
      <c r="Q3326">
        <v>0</v>
      </c>
      <c r="R3326" s="2">
        <v>0</v>
      </c>
      <c r="S3326" s="2">
        <v>0</v>
      </c>
      <c r="T3326" t="s">
        <v>1646</v>
      </c>
      <c r="U3326" s="2">
        <v>0</v>
      </c>
      <c r="V3326" s="2">
        <v>0</v>
      </c>
      <c r="W3326" s="2">
        <v>4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</row>
    <row r="3327" spans="1:28" hidden="1" x14ac:dyDescent="0.25">
      <c r="A3327" t="s">
        <v>33</v>
      </c>
      <c r="B3327" t="s">
        <v>284</v>
      </c>
      <c r="C3327" t="s">
        <v>35</v>
      </c>
      <c r="D3327" s="1">
        <v>46085</v>
      </c>
      <c r="E3327" s="1">
        <v>46085</v>
      </c>
      <c r="F3327" s="2">
        <v>36</v>
      </c>
      <c r="G3327" s="3" t="s">
        <v>23</v>
      </c>
      <c r="H3327">
        <v>28</v>
      </c>
      <c r="I3327" s="2">
        <v>0</v>
      </c>
      <c r="J3327" s="2">
        <v>0</v>
      </c>
      <c r="K3327" s="2">
        <v>1</v>
      </c>
      <c r="L3327" s="2">
        <v>0</v>
      </c>
      <c r="M3327">
        <v>1</v>
      </c>
      <c r="N3327">
        <v>0</v>
      </c>
      <c r="O3327" s="2">
        <v>0</v>
      </c>
      <c r="P3327" s="2">
        <v>0</v>
      </c>
      <c r="Q3327">
        <v>0</v>
      </c>
      <c r="R3327" s="2">
        <v>0</v>
      </c>
      <c r="S3327" s="2">
        <v>0</v>
      </c>
      <c r="T3327" t="s">
        <v>1647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</row>
    <row r="3328" spans="1:28" hidden="1" x14ac:dyDescent="0.25">
      <c r="A3328" t="s">
        <v>63</v>
      </c>
      <c r="B3328" t="s">
        <v>47</v>
      </c>
      <c r="C3328" t="s">
        <v>1370</v>
      </c>
      <c r="D3328" s="1">
        <v>46085</v>
      </c>
      <c r="E3328" s="1">
        <v>46085</v>
      </c>
      <c r="F3328" s="2">
        <v>65</v>
      </c>
      <c r="G3328" s="3" t="s">
        <v>409</v>
      </c>
      <c r="H3328">
        <v>0</v>
      </c>
      <c r="I3328" s="2">
        <v>0</v>
      </c>
      <c r="J3328" s="2">
        <v>0</v>
      </c>
      <c r="K3328" s="2">
        <v>0</v>
      </c>
      <c r="L3328" s="2">
        <v>0</v>
      </c>
      <c r="M3328">
        <v>0</v>
      </c>
      <c r="N3328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t="s">
        <v>1590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</row>
    <row r="3329" spans="1:28" hidden="1" x14ac:dyDescent="0.25">
      <c r="A3329" t="s">
        <v>568</v>
      </c>
      <c r="B3329" t="s">
        <v>1323</v>
      </c>
      <c r="C3329" t="s">
        <v>1370</v>
      </c>
      <c r="D3329" s="1">
        <v>46085</v>
      </c>
      <c r="E3329" s="1">
        <v>46085</v>
      </c>
      <c r="F3329" s="2">
        <v>65</v>
      </c>
      <c r="G3329" s="3" t="s">
        <v>48</v>
      </c>
      <c r="H3329">
        <v>0</v>
      </c>
      <c r="I3329" s="2">
        <v>0</v>
      </c>
      <c r="J3329" s="2">
        <v>0</v>
      </c>
      <c r="K3329" s="2">
        <v>0</v>
      </c>
      <c r="L3329" s="2">
        <v>0</v>
      </c>
      <c r="M3329">
        <v>0</v>
      </c>
      <c r="N3329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t="s">
        <v>1590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</row>
    <row r="3330" spans="1:28" hidden="1" x14ac:dyDescent="0.25">
      <c r="A3330" t="s">
        <v>56</v>
      </c>
      <c r="B3330" t="s">
        <v>34</v>
      </c>
      <c r="C3330" t="s">
        <v>1370</v>
      </c>
      <c r="D3330" s="1">
        <v>46085</v>
      </c>
      <c r="E3330" s="1">
        <v>46085</v>
      </c>
      <c r="F3330" s="2">
        <v>65</v>
      </c>
      <c r="G3330" s="3" t="s">
        <v>48</v>
      </c>
      <c r="H3330">
        <v>0</v>
      </c>
      <c r="I3330" s="2">
        <v>0</v>
      </c>
      <c r="J3330" s="2">
        <v>0</v>
      </c>
      <c r="K3330" s="2">
        <v>0</v>
      </c>
      <c r="L3330" s="2">
        <v>0</v>
      </c>
      <c r="M3330">
        <v>0</v>
      </c>
      <c r="N3330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t="s">
        <v>1590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</row>
    <row r="3331" spans="1:28" hidden="1" x14ac:dyDescent="0.25">
      <c r="A3331" t="s">
        <v>730</v>
      </c>
      <c r="B3331" t="s">
        <v>47</v>
      </c>
      <c r="C3331" t="s">
        <v>1370</v>
      </c>
      <c r="D3331" s="1">
        <v>46085</v>
      </c>
      <c r="E3331" s="1">
        <v>46085</v>
      </c>
      <c r="F3331" s="2">
        <v>65</v>
      </c>
      <c r="G3331" s="3" t="s">
        <v>48</v>
      </c>
      <c r="H3331">
        <v>0</v>
      </c>
      <c r="I3331" s="2">
        <v>0</v>
      </c>
      <c r="J3331" s="2">
        <v>0</v>
      </c>
      <c r="K3331" s="2">
        <v>0</v>
      </c>
      <c r="L3331" s="2">
        <v>0</v>
      </c>
      <c r="M3331">
        <v>0</v>
      </c>
      <c r="N3331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t="s">
        <v>1590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</row>
    <row r="3332" spans="1:28" hidden="1" x14ac:dyDescent="0.25">
      <c r="A3332" t="s">
        <v>1431</v>
      </c>
      <c r="B3332" t="s">
        <v>47</v>
      </c>
      <c r="C3332" t="s">
        <v>1370</v>
      </c>
      <c r="D3332" s="1">
        <v>46085</v>
      </c>
      <c r="E3332" s="1">
        <v>46085</v>
      </c>
      <c r="F3332" s="2">
        <v>65</v>
      </c>
      <c r="G3332" s="3" t="s">
        <v>409</v>
      </c>
      <c r="H3332">
        <v>0</v>
      </c>
      <c r="I3332" s="2">
        <v>0</v>
      </c>
      <c r="J3332" s="2">
        <v>0</v>
      </c>
      <c r="K3332" s="2">
        <v>0</v>
      </c>
      <c r="L3332" s="2">
        <v>0</v>
      </c>
      <c r="M3332">
        <v>0</v>
      </c>
      <c r="N333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t="s">
        <v>1590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</row>
    <row r="3333" spans="1:28" hidden="1" x14ac:dyDescent="0.25">
      <c r="A3333" t="s">
        <v>37</v>
      </c>
      <c r="B3333" t="s">
        <v>26</v>
      </c>
      <c r="C3333" t="s">
        <v>1370</v>
      </c>
      <c r="D3333" s="1">
        <v>46085</v>
      </c>
      <c r="E3333" s="1">
        <v>46085</v>
      </c>
      <c r="F3333" s="2">
        <v>65</v>
      </c>
      <c r="G3333" s="3" t="s">
        <v>129</v>
      </c>
      <c r="H3333">
        <v>0</v>
      </c>
      <c r="I3333" s="2">
        <v>0</v>
      </c>
      <c r="J3333" s="2">
        <v>0</v>
      </c>
      <c r="K3333" s="2">
        <v>0</v>
      </c>
      <c r="L3333" s="2">
        <v>0</v>
      </c>
      <c r="M3333">
        <v>0</v>
      </c>
      <c r="N3333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t="s">
        <v>1590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</row>
    <row r="3334" spans="1:28" hidden="1" x14ac:dyDescent="0.25">
      <c r="A3334" t="s">
        <v>53</v>
      </c>
      <c r="B3334" t="s">
        <v>38</v>
      </c>
      <c r="C3334" t="s">
        <v>1370</v>
      </c>
      <c r="D3334" s="1">
        <v>46085</v>
      </c>
      <c r="E3334" s="1">
        <v>46085</v>
      </c>
      <c r="F3334" s="2">
        <v>65</v>
      </c>
      <c r="G3334" s="3" t="s">
        <v>129</v>
      </c>
      <c r="H3334">
        <v>0</v>
      </c>
      <c r="I3334" s="2">
        <v>0</v>
      </c>
      <c r="J3334" s="2">
        <v>0</v>
      </c>
      <c r="K3334" s="2">
        <v>0</v>
      </c>
      <c r="L3334" s="2">
        <v>0</v>
      </c>
      <c r="M3334">
        <v>0</v>
      </c>
      <c r="N3334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t="s">
        <v>1590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</row>
    <row r="3335" spans="1:28" hidden="1" x14ac:dyDescent="0.25">
      <c r="A3335" t="s">
        <v>568</v>
      </c>
      <c r="B3335" t="s">
        <v>1323</v>
      </c>
      <c r="C3335" t="s">
        <v>670</v>
      </c>
      <c r="D3335" s="1">
        <v>46086</v>
      </c>
      <c r="E3335" s="1">
        <v>46086</v>
      </c>
      <c r="F3335" s="2">
        <v>80</v>
      </c>
      <c r="G3335" s="3" t="s">
        <v>23</v>
      </c>
      <c r="H3335">
        <v>38</v>
      </c>
      <c r="I3335" s="2">
        <v>0</v>
      </c>
      <c r="J3335" s="2">
        <v>1</v>
      </c>
      <c r="K3335" s="2">
        <v>0</v>
      </c>
      <c r="L3335" s="2">
        <v>1</v>
      </c>
      <c r="M3335">
        <v>1</v>
      </c>
      <c r="N3335">
        <v>0</v>
      </c>
      <c r="O3335" s="2">
        <v>0</v>
      </c>
      <c r="P3335" s="2">
        <v>0</v>
      </c>
      <c r="Q3335">
        <v>1</v>
      </c>
      <c r="R3335" s="2">
        <v>0</v>
      </c>
      <c r="S3335" s="2">
        <v>0</v>
      </c>
      <c r="T3335" t="s">
        <v>1648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</row>
    <row r="3336" spans="1:28" hidden="1" x14ac:dyDescent="0.25">
      <c r="A3336" t="s">
        <v>25</v>
      </c>
      <c r="B3336" t="s">
        <v>1237</v>
      </c>
      <c r="C3336" t="s">
        <v>27</v>
      </c>
      <c r="D3336" s="1">
        <v>46086</v>
      </c>
      <c r="E3336" s="1">
        <v>46086</v>
      </c>
      <c r="F3336" s="2">
        <v>25</v>
      </c>
      <c r="G3336" s="3" t="s">
        <v>23</v>
      </c>
      <c r="H3336">
        <v>43</v>
      </c>
      <c r="I3336" s="2">
        <v>0</v>
      </c>
      <c r="J3336" s="2">
        <v>0</v>
      </c>
      <c r="K3336" s="2">
        <v>1</v>
      </c>
      <c r="L3336" s="2">
        <v>0</v>
      </c>
      <c r="M3336">
        <v>1</v>
      </c>
      <c r="N3336">
        <v>0</v>
      </c>
      <c r="O3336" s="2">
        <v>0</v>
      </c>
      <c r="P3336" s="2">
        <v>0</v>
      </c>
      <c r="Q3336">
        <v>0</v>
      </c>
      <c r="R3336" s="2">
        <v>0</v>
      </c>
      <c r="S3336" s="2">
        <v>0</v>
      </c>
      <c r="T3336" t="s">
        <v>1649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</row>
    <row r="3337" spans="1:28" hidden="1" x14ac:dyDescent="0.25">
      <c r="A3337" t="s">
        <v>20</v>
      </c>
      <c r="B3337" t="s">
        <v>21</v>
      </c>
      <c r="C3337" t="s">
        <v>22</v>
      </c>
      <c r="D3337" s="1">
        <v>46086</v>
      </c>
      <c r="E3337" s="1">
        <v>46086</v>
      </c>
      <c r="F3337" s="2">
        <v>33</v>
      </c>
      <c r="G3337" s="3" t="s">
        <v>23</v>
      </c>
      <c r="H3337">
        <v>36</v>
      </c>
      <c r="I3337" s="2">
        <v>0</v>
      </c>
      <c r="J3337" s="2">
        <v>0</v>
      </c>
      <c r="K3337" s="2">
        <v>1</v>
      </c>
      <c r="L3337" s="2">
        <v>0</v>
      </c>
      <c r="M3337">
        <v>0</v>
      </c>
      <c r="N3337">
        <v>0</v>
      </c>
      <c r="O3337" s="2">
        <v>0</v>
      </c>
      <c r="P3337" s="2">
        <v>0</v>
      </c>
      <c r="Q3337">
        <v>0</v>
      </c>
      <c r="R3337" s="2">
        <v>0</v>
      </c>
      <c r="S3337" s="2">
        <v>0</v>
      </c>
      <c r="T3337" t="s">
        <v>1650</v>
      </c>
      <c r="U3337" s="2">
        <v>0</v>
      </c>
      <c r="V3337" s="2">
        <v>14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</row>
    <row r="3338" spans="1:28" hidden="1" x14ac:dyDescent="0.25">
      <c r="A3338" t="s">
        <v>56</v>
      </c>
      <c r="B3338" t="s">
        <v>34</v>
      </c>
      <c r="C3338" t="s">
        <v>64</v>
      </c>
      <c r="D3338" s="1">
        <v>46086</v>
      </c>
      <c r="E3338" s="1">
        <v>46086</v>
      </c>
      <c r="F3338" s="2">
        <v>24</v>
      </c>
      <c r="G3338" s="3" t="s">
        <v>23</v>
      </c>
      <c r="H3338">
        <v>46</v>
      </c>
      <c r="I3338" s="2">
        <v>0</v>
      </c>
      <c r="J3338" s="2">
        <v>0</v>
      </c>
      <c r="K3338" s="2">
        <v>1</v>
      </c>
      <c r="L3338" s="2">
        <v>0</v>
      </c>
      <c r="M3338">
        <v>0</v>
      </c>
      <c r="N3338">
        <v>0</v>
      </c>
      <c r="O3338" s="2">
        <v>0</v>
      </c>
      <c r="P3338" s="2">
        <v>0</v>
      </c>
      <c r="Q3338">
        <v>0</v>
      </c>
      <c r="R3338" s="2">
        <v>0</v>
      </c>
      <c r="S3338" s="2">
        <v>0</v>
      </c>
      <c r="T3338" t="s">
        <v>1651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</row>
    <row r="3339" spans="1:28" hidden="1" x14ac:dyDescent="0.25">
      <c r="A3339" t="s">
        <v>33</v>
      </c>
      <c r="B3339" t="s">
        <v>57</v>
      </c>
      <c r="C3339" t="s">
        <v>35</v>
      </c>
      <c r="D3339" s="1">
        <v>46086</v>
      </c>
      <c r="E3339" s="1">
        <v>46086</v>
      </c>
      <c r="F3339" s="2">
        <v>36</v>
      </c>
      <c r="G3339" s="3" t="s">
        <v>23</v>
      </c>
      <c r="H3339">
        <v>20</v>
      </c>
      <c r="I3339" s="2">
        <v>0</v>
      </c>
      <c r="J3339" s="2">
        <v>0</v>
      </c>
      <c r="K3339" s="2">
        <v>1</v>
      </c>
      <c r="L3339" s="2">
        <v>0</v>
      </c>
      <c r="M3339">
        <v>0</v>
      </c>
      <c r="N3339">
        <v>0</v>
      </c>
      <c r="O3339" s="2">
        <v>0</v>
      </c>
      <c r="P3339" s="2">
        <v>0</v>
      </c>
      <c r="Q3339">
        <v>1</v>
      </c>
      <c r="R3339" s="2">
        <v>0</v>
      </c>
      <c r="S3339" s="2">
        <v>0</v>
      </c>
      <c r="T3339" t="s">
        <v>1652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</row>
    <row r="3340" spans="1:28" hidden="1" x14ac:dyDescent="0.25">
      <c r="A3340" t="s">
        <v>29</v>
      </c>
      <c r="B3340" t="s">
        <v>30</v>
      </c>
      <c r="C3340" t="s">
        <v>35</v>
      </c>
      <c r="D3340" s="1">
        <v>46086</v>
      </c>
      <c r="E3340" s="1">
        <v>46086</v>
      </c>
      <c r="F3340" s="2">
        <v>36</v>
      </c>
      <c r="G3340" s="3" t="s">
        <v>23</v>
      </c>
      <c r="H3340">
        <v>20</v>
      </c>
      <c r="I3340" s="2">
        <v>0</v>
      </c>
      <c r="J3340" s="2">
        <v>0</v>
      </c>
      <c r="K3340" s="2">
        <v>1</v>
      </c>
      <c r="L3340" s="2">
        <v>0</v>
      </c>
      <c r="M3340">
        <v>0</v>
      </c>
      <c r="N3340">
        <v>0</v>
      </c>
      <c r="O3340" s="2">
        <v>0</v>
      </c>
      <c r="P3340" s="2">
        <v>0</v>
      </c>
      <c r="Q3340">
        <v>1</v>
      </c>
      <c r="R3340" s="2">
        <v>0</v>
      </c>
      <c r="S3340" s="2">
        <v>0</v>
      </c>
      <c r="T3340" t="s">
        <v>1652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</row>
    <row r="3341" spans="1:28" hidden="1" x14ac:dyDescent="0.25">
      <c r="A3341" t="s">
        <v>63</v>
      </c>
      <c r="B3341" t="s">
        <v>284</v>
      </c>
      <c r="C3341" t="s">
        <v>1370</v>
      </c>
      <c r="D3341" s="1">
        <v>46086</v>
      </c>
      <c r="E3341" s="1">
        <v>46086</v>
      </c>
      <c r="F3341" s="2">
        <v>65</v>
      </c>
      <c r="G3341" s="3" t="s">
        <v>48</v>
      </c>
      <c r="H3341">
        <v>0</v>
      </c>
      <c r="I3341" s="2">
        <v>0</v>
      </c>
      <c r="J3341" s="2">
        <v>0</v>
      </c>
      <c r="K3341" s="2">
        <v>0</v>
      </c>
      <c r="L3341" s="2">
        <v>0</v>
      </c>
      <c r="M3341">
        <v>0</v>
      </c>
      <c r="N3341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t="s">
        <v>1590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</row>
    <row r="3342" spans="1:28" hidden="1" x14ac:dyDescent="0.25">
      <c r="A3342" t="s">
        <v>47</v>
      </c>
      <c r="B3342" t="s">
        <v>1160</v>
      </c>
      <c r="C3342" t="s">
        <v>1370</v>
      </c>
      <c r="D3342" s="1">
        <v>46086</v>
      </c>
      <c r="E3342" s="1">
        <v>46086</v>
      </c>
      <c r="F3342" s="2">
        <v>65</v>
      </c>
      <c r="G3342" s="3" t="s">
        <v>48</v>
      </c>
      <c r="H3342">
        <v>0</v>
      </c>
      <c r="I3342" s="2">
        <v>0</v>
      </c>
      <c r="J3342" s="2">
        <v>0</v>
      </c>
      <c r="K3342" s="2">
        <v>0</v>
      </c>
      <c r="L3342" s="2">
        <v>0</v>
      </c>
      <c r="M3342">
        <v>0</v>
      </c>
      <c r="N334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t="s">
        <v>1590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</row>
    <row r="3343" spans="1:28" hidden="1" x14ac:dyDescent="0.25">
      <c r="A3343" t="s">
        <v>730</v>
      </c>
      <c r="B3343" t="s">
        <v>47</v>
      </c>
      <c r="C3343" t="s">
        <v>1370</v>
      </c>
      <c r="D3343" s="1">
        <v>46086</v>
      </c>
      <c r="E3343" s="1">
        <v>46086</v>
      </c>
      <c r="F3343" s="2">
        <v>65</v>
      </c>
      <c r="G3343" s="3" t="s">
        <v>409</v>
      </c>
      <c r="H3343">
        <v>0</v>
      </c>
      <c r="I3343" s="2">
        <v>0</v>
      </c>
      <c r="J3343" s="2">
        <v>0</v>
      </c>
      <c r="K3343" s="2">
        <v>0</v>
      </c>
      <c r="L3343" s="2">
        <v>0</v>
      </c>
      <c r="M3343">
        <v>0</v>
      </c>
      <c r="N3343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t="s">
        <v>1590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</row>
    <row r="3344" spans="1:28" hidden="1" x14ac:dyDescent="0.25">
      <c r="A3344" t="s">
        <v>1431</v>
      </c>
      <c r="B3344" t="s">
        <v>47</v>
      </c>
      <c r="C3344" t="s">
        <v>1370</v>
      </c>
      <c r="D3344" s="1">
        <v>46086</v>
      </c>
      <c r="E3344" s="1">
        <v>46086</v>
      </c>
      <c r="F3344" s="2">
        <v>65</v>
      </c>
      <c r="G3344" s="3" t="s">
        <v>409</v>
      </c>
      <c r="H3344">
        <v>0</v>
      </c>
      <c r="I3344" s="2">
        <v>0</v>
      </c>
      <c r="J3344" s="2">
        <v>0</v>
      </c>
      <c r="K3344" s="2">
        <v>0</v>
      </c>
      <c r="L3344" s="2">
        <v>0</v>
      </c>
      <c r="M3344">
        <v>0</v>
      </c>
      <c r="N3344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t="s">
        <v>1590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</row>
    <row r="3345" spans="1:28" hidden="1" x14ac:dyDescent="0.25">
      <c r="A3345" t="s">
        <v>37</v>
      </c>
      <c r="B3345" t="s">
        <v>26</v>
      </c>
      <c r="C3345" t="s">
        <v>1370</v>
      </c>
      <c r="D3345" s="1">
        <v>46086</v>
      </c>
      <c r="E3345" s="1">
        <v>46086</v>
      </c>
      <c r="F3345" s="2">
        <v>65</v>
      </c>
      <c r="G3345" s="3" t="s">
        <v>129</v>
      </c>
      <c r="H3345">
        <v>0</v>
      </c>
      <c r="I3345" s="2">
        <v>0</v>
      </c>
      <c r="J3345" s="2">
        <v>0</v>
      </c>
      <c r="K3345" s="2">
        <v>0</v>
      </c>
      <c r="L3345" s="2">
        <v>0</v>
      </c>
      <c r="M3345">
        <v>0</v>
      </c>
      <c r="N3345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t="s">
        <v>1590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</row>
    <row r="3346" spans="1:28" hidden="1" x14ac:dyDescent="0.25">
      <c r="A3346" t="s">
        <v>53</v>
      </c>
      <c r="B3346" t="s">
        <v>38</v>
      </c>
      <c r="C3346" t="s">
        <v>1370</v>
      </c>
      <c r="D3346" s="1">
        <v>46086</v>
      </c>
      <c r="E3346" s="1">
        <v>46086</v>
      </c>
      <c r="F3346" s="2">
        <v>65</v>
      </c>
      <c r="G3346" s="3" t="s">
        <v>129</v>
      </c>
      <c r="H3346">
        <v>0</v>
      </c>
      <c r="I3346" s="2">
        <v>0</v>
      </c>
      <c r="J3346" s="2">
        <v>0</v>
      </c>
      <c r="K3346" s="2">
        <v>0</v>
      </c>
      <c r="L3346" s="2">
        <v>0</v>
      </c>
      <c r="M3346">
        <v>0</v>
      </c>
      <c r="N3346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t="s">
        <v>1590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</row>
    <row r="3347" spans="1:28" hidden="1" x14ac:dyDescent="0.25">
      <c r="A3347" t="s">
        <v>568</v>
      </c>
      <c r="B3347" t="s">
        <v>1323</v>
      </c>
      <c r="C3347" t="s">
        <v>670</v>
      </c>
      <c r="D3347" s="1">
        <v>46087</v>
      </c>
      <c r="E3347" s="1">
        <v>46087</v>
      </c>
      <c r="F3347" s="2">
        <v>177</v>
      </c>
      <c r="G3347" s="3" t="s">
        <v>23</v>
      </c>
      <c r="H3347">
        <f>9+4+9+4</f>
        <v>26</v>
      </c>
      <c r="I3347" s="2">
        <v>0</v>
      </c>
      <c r="J3347" s="2">
        <v>0</v>
      </c>
      <c r="K3347" s="2">
        <v>0</v>
      </c>
      <c r="L3347" s="2">
        <v>1</v>
      </c>
      <c r="M3347">
        <v>0</v>
      </c>
      <c r="N3347">
        <v>0</v>
      </c>
      <c r="O3347" s="2">
        <v>0</v>
      </c>
      <c r="P3347" s="2">
        <v>0</v>
      </c>
      <c r="Q3347">
        <v>1</v>
      </c>
      <c r="R3347" s="2">
        <v>0</v>
      </c>
      <c r="S3347" s="2">
        <v>0</v>
      </c>
      <c r="T3347" t="s">
        <v>1653</v>
      </c>
      <c r="U3347" s="2">
        <v>0</v>
      </c>
      <c r="V3347" s="2">
        <f>15+4+8+1</f>
        <v>28</v>
      </c>
      <c r="W3347" s="2">
        <v>1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</row>
    <row r="3348" spans="1:28" hidden="1" x14ac:dyDescent="0.25">
      <c r="A3348" t="s">
        <v>25</v>
      </c>
      <c r="B3348" t="s">
        <v>1237</v>
      </c>
      <c r="C3348" t="s">
        <v>27</v>
      </c>
      <c r="D3348" s="1">
        <v>46087</v>
      </c>
      <c r="E3348" s="1">
        <v>46087</v>
      </c>
      <c r="F3348" s="2">
        <v>24</v>
      </c>
      <c r="G3348" s="3" t="s">
        <v>23</v>
      </c>
      <c r="H3348">
        <v>16</v>
      </c>
      <c r="I3348" s="2">
        <v>0</v>
      </c>
      <c r="J3348" s="2">
        <v>0</v>
      </c>
      <c r="K3348" s="2">
        <v>1</v>
      </c>
      <c r="L3348" s="2">
        <v>0</v>
      </c>
      <c r="M3348">
        <v>0</v>
      </c>
      <c r="N3348">
        <v>0</v>
      </c>
      <c r="O3348" s="2">
        <v>0</v>
      </c>
      <c r="P3348" s="2">
        <v>0</v>
      </c>
      <c r="Q3348">
        <v>0</v>
      </c>
      <c r="R3348" s="2">
        <v>0</v>
      </c>
      <c r="S3348" s="2">
        <v>0</v>
      </c>
      <c r="T3348" t="s">
        <v>1654</v>
      </c>
      <c r="U3348" s="2">
        <v>0</v>
      </c>
      <c r="V3348" s="2">
        <v>40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</row>
    <row r="3349" spans="1:28" hidden="1" x14ac:dyDescent="0.25">
      <c r="A3349" t="s">
        <v>20</v>
      </c>
      <c r="B3349" t="s">
        <v>21</v>
      </c>
      <c r="C3349" t="s">
        <v>22</v>
      </c>
      <c r="D3349" s="1">
        <v>46087</v>
      </c>
      <c r="E3349" s="1">
        <v>46087</v>
      </c>
      <c r="F3349" s="2">
        <v>24</v>
      </c>
      <c r="G3349" s="3" t="s">
        <v>23</v>
      </c>
      <c r="H3349">
        <v>58</v>
      </c>
      <c r="I3349" s="2">
        <v>0</v>
      </c>
      <c r="J3349" s="2">
        <v>0</v>
      </c>
      <c r="K3349" s="2">
        <v>1</v>
      </c>
      <c r="L3349" s="2">
        <v>0</v>
      </c>
      <c r="M3349">
        <v>0</v>
      </c>
      <c r="N3349">
        <v>1</v>
      </c>
      <c r="O3349" s="2">
        <v>0</v>
      </c>
      <c r="P3349" s="2">
        <v>0</v>
      </c>
      <c r="Q3349">
        <v>0</v>
      </c>
      <c r="R3349" s="2">
        <v>0</v>
      </c>
      <c r="S3349" s="2">
        <v>0</v>
      </c>
      <c r="T3349" t="s">
        <v>1655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</row>
    <row r="3350" spans="1:28" hidden="1" x14ac:dyDescent="0.25">
      <c r="A3350" t="s">
        <v>56</v>
      </c>
      <c r="B3350" t="s">
        <v>34</v>
      </c>
      <c r="C3350" t="s">
        <v>64</v>
      </c>
      <c r="D3350" s="1">
        <v>46087</v>
      </c>
      <c r="E3350" s="1">
        <v>46087</v>
      </c>
      <c r="F3350" s="2">
        <v>21</v>
      </c>
      <c r="G3350" s="3" t="s">
        <v>23</v>
      </c>
      <c r="H3350">
        <v>28</v>
      </c>
      <c r="I3350" s="2">
        <v>0</v>
      </c>
      <c r="J3350" s="2">
        <v>0</v>
      </c>
      <c r="K3350" s="2">
        <v>1</v>
      </c>
      <c r="L3350" s="2">
        <v>0</v>
      </c>
      <c r="M3350">
        <v>0</v>
      </c>
      <c r="N3350">
        <v>0</v>
      </c>
      <c r="O3350" s="2">
        <v>0</v>
      </c>
      <c r="P3350" s="2">
        <v>0</v>
      </c>
      <c r="Q3350">
        <v>0</v>
      </c>
      <c r="R3350" s="2">
        <v>0</v>
      </c>
      <c r="S3350" s="2">
        <v>0</v>
      </c>
      <c r="T3350" t="s">
        <v>1656</v>
      </c>
      <c r="U3350" s="2">
        <v>0</v>
      </c>
      <c r="V3350" s="2">
        <v>42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</row>
    <row r="3351" spans="1:28" hidden="1" x14ac:dyDescent="0.25">
      <c r="A3351" t="s">
        <v>63</v>
      </c>
      <c r="B3351" t="s">
        <v>284</v>
      </c>
      <c r="C3351" t="s">
        <v>102</v>
      </c>
      <c r="D3351" s="1">
        <v>46087</v>
      </c>
      <c r="E3351" s="1">
        <v>46087</v>
      </c>
      <c r="F3351" s="2">
        <v>31</v>
      </c>
      <c r="G3351" s="3" t="s">
        <v>23</v>
      </c>
      <c r="H3351">
        <v>38</v>
      </c>
      <c r="I3351" s="2">
        <v>0</v>
      </c>
      <c r="J3351" s="2">
        <v>1</v>
      </c>
      <c r="K3351" s="2">
        <v>1</v>
      </c>
      <c r="L3351" s="2">
        <v>0</v>
      </c>
      <c r="M3351">
        <v>1</v>
      </c>
      <c r="N3351">
        <v>0</v>
      </c>
      <c r="O3351" s="2">
        <v>0</v>
      </c>
      <c r="P3351" s="2">
        <v>0</v>
      </c>
      <c r="Q3351">
        <v>1</v>
      </c>
      <c r="R3351" s="2">
        <v>0</v>
      </c>
      <c r="S3351" s="2">
        <v>0</v>
      </c>
      <c r="T3351" t="s">
        <v>1657</v>
      </c>
      <c r="U3351" s="2">
        <v>0</v>
      </c>
      <c r="V3351" s="2">
        <v>37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</row>
    <row r="3352" spans="1:28" hidden="1" x14ac:dyDescent="0.25">
      <c r="A3352" t="s">
        <v>29</v>
      </c>
      <c r="B3352" t="s">
        <v>30</v>
      </c>
      <c r="C3352" t="s">
        <v>31</v>
      </c>
      <c r="D3352" s="1">
        <v>46087</v>
      </c>
      <c r="E3352" s="1">
        <v>46087</v>
      </c>
      <c r="F3352" s="2">
        <v>32</v>
      </c>
      <c r="G3352" s="3" t="s">
        <v>23</v>
      </c>
      <c r="H3352">
        <v>60</v>
      </c>
      <c r="I3352" s="2">
        <v>0</v>
      </c>
      <c r="J3352" s="2">
        <v>0</v>
      </c>
      <c r="K3352" s="2">
        <v>1</v>
      </c>
      <c r="L3352" s="2">
        <v>0</v>
      </c>
      <c r="M3352">
        <v>0</v>
      </c>
      <c r="N3352">
        <v>2</v>
      </c>
      <c r="O3352" s="2">
        <v>0</v>
      </c>
      <c r="P3352" s="2">
        <v>0</v>
      </c>
      <c r="Q3352">
        <v>1</v>
      </c>
      <c r="R3352" s="2">
        <v>0</v>
      </c>
      <c r="S3352" s="2">
        <v>0</v>
      </c>
      <c r="T3352" t="s">
        <v>1658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</row>
    <row r="3353" spans="1:28" hidden="1" x14ac:dyDescent="0.25">
      <c r="A3353" t="s">
        <v>33</v>
      </c>
      <c r="B3353" t="s">
        <v>1160</v>
      </c>
      <c r="C3353" t="s">
        <v>35</v>
      </c>
      <c r="D3353" s="1">
        <v>46087</v>
      </c>
      <c r="E3353" s="1">
        <v>46087</v>
      </c>
      <c r="F3353" s="2">
        <v>54</v>
      </c>
      <c r="G3353" s="3" t="s">
        <v>23</v>
      </c>
      <c r="H3353">
        <v>20</v>
      </c>
      <c r="I3353" s="2">
        <v>1</v>
      </c>
      <c r="J3353" s="2">
        <v>0</v>
      </c>
      <c r="K3353" s="2">
        <v>0</v>
      </c>
      <c r="L3353" s="2">
        <v>0</v>
      </c>
      <c r="M3353">
        <v>0</v>
      </c>
      <c r="N3353">
        <v>1</v>
      </c>
      <c r="O3353" s="2">
        <v>0</v>
      </c>
      <c r="P3353" s="2">
        <v>0</v>
      </c>
      <c r="Q3353">
        <v>0</v>
      </c>
      <c r="R3353" s="2">
        <v>0</v>
      </c>
      <c r="S3353" s="2">
        <v>0</v>
      </c>
      <c r="T3353" t="s">
        <v>1659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</row>
    <row r="3354" spans="1:28" hidden="1" x14ac:dyDescent="0.25">
      <c r="A3354" t="s">
        <v>47</v>
      </c>
      <c r="B3354" t="s">
        <v>57</v>
      </c>
      <c r="C3354" t="s">
        <v>1370</v>
      </c>
      <c r="D3354" s="1">
        <v>46087</v>
      </c>
      <c r="E3354" s="1">
        <v>46087</v>
      </c>
      <c r="F3354" s="2">
        <v>65</v>
      </c>
      <c r="G3354" s="3" t="s">
        <v>572</v>
      </c>
      <c r="H3354">
        <v>0</v>
      </c>
      <c r="I3354" s="2">
        <v>0</v>
      </c>
      <c r="J3354" s="2">
        <v>0</v>
      </c>
      <c r="K3354" s="2">
        <v>0</v>
      </c>
      <c r="L3354" s="2">
        <v>0</v>
      </c>
      <c r="M3354">
        <v>0</v>
      </c>
      <c r="N3354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t="s">
        <v>1590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</row>
    <row r="3355" spans="1:28" hidden="1" x14ac:dyDescent="0.25">
      <c r="A3355" t="s">
        <v>730</v>
      </c>
      <c r="B3355" t="s">
        <v>47</v>
      </c>
      <c r="C3355" t="s">
        <v>1370</v>
      </c>
      <c r="D3355" s="1">
        <v>46087</v>
      </c>
      <c r="E3355" s="1">
        <v>46087</v>
      </c>
      <c r="F3355" s="2">
        <v>65</v>
      </c>
      <c r="G3355" s="3" t="s">
        <v>409</v>
      </c>
      <c r="H3355">
        <v>0</v>
      </c>
      <c r="I3355" s="2">
        <v>0</v>
      </c>
      <c r="J3355" s="2">
        <v>0</v>
      </c>
      <c r="K3355" s="2">
        <v>0</v>
      </c>
      <c r="L3355" s="2">
        <v>0</v>
      </c>
      <c r="M3355">
        <v>0</v>
      </c>
      <c r="N3355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t="s">
        <v>1590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</row>
    <row r="3356" spans="1:28" hidden="1" x14ac:dyDescent="0.25">
      <c r="A3356" t="s">
        <v>1431</v>
      </c>
      <c r="B3356" t="s">
        <v>47</v>
      </c>
      <c r="C3356" t="s">
        <v>1370</v>
      </c>
      <c r="D3356" s="1">
        <v>46087</v>
      </c>
      <c r="E3356" s="1">
        <v>46087</v>
      </c>
      <c r="F3356" s="2">
        <v>65</v>
      </c>
      <c r="G3356" s="3" t="s">
        <v>409</v>
      </c>
      <c r="H3356">
        <v>0</v>
      </c>
      <c r="I3356" s="2">
        <v>0</v>
      </c>
      <c r="J3356" s="2">
        <v>0</v>
      </c>
      <c r="K3356" s="2">
        <v>0</v>
      </c>
      <c r="L3356" s="2">
        <v>0</v>
      </c>
      <c r="M3356">
        <v>0</v>
      </c>
      <c r="N3356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t="s">
        <v>1590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</row>
    <row r="3357" spans="1:28" hidden="1" x14ac:dyDescent="0.25">
      <c r="A3357" t="s">
        <v>37</v>
      </c>
      <c r="B3357" t="s">
        <v>26</v>
      </c>
      <c r="C3357" t="s">
        <v>1370</v>
      </c>
      <c r="D3357" s="1">
        <v>46087</v>
      </c>
      <c r="E3357" s="1">
        <v>46087</v>
      </c>
      <c r="F3357" s="2">
        <v>65</v>
      </c>
      <c r="G3357" s="3" t="s">
        <v>129</v>
      </c>
      <c r="H3357">
        <v>0</v>
      </c>
      <c r="I3357" s="2">
        <v>0</v>
      </c>
      <c r="J3357" s="2">
        <v>0</v>
      </c>
      <c r="K3357" s="2">
        <v>0</v>
      </c>
      <c r="L3357" s="2">
        <v>0</v>
      </c>
      <c r="M3357">
        <v>0</v>
      </c>
      <c r="N3357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t="s">
        <v>1590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</row>
    <row r="3358" spans="1:28" hidden="1" x14ac:dyDescent="0.25">
      <c r="A3358" t="s">
        <v>53</v>
      </c>
      <c r="B3358" t="s">
        <v>38</v>
      </c>
      <c r="C3358" t="s">
        <v>1370</v>
      </c>
      <c r="D3358" s="1">
        <v>46087</v>
      </c>
      <c r="E3358" s="1">
        <v>46087</v>
      </c>
      <c r="F3358" s="2">
        <v>65</v>
      </c>
      <c r="G3358" s="3" t="s">
        <v>129</v>
      </c>
      <c r="H3358">
        <v>0</v>
      </c>
      <c r="I3358" s="2">
        <v>0</v>
      </c>
      <c r="J3358" s="2">
        <v>0</v>
      </c>
      <c r="K3358" s="2">
        <v>0</v>
      </c>
      <c r="L3358" s="2">
        <v>0</v>
      </c>
      <c r="M3358">
        <v>0</v>
      </c>
      <c r="N3358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t="s">
        <v>1590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</row>
    <row r="3359" spans="1:28" hidden="1" x14ac:dyDescent="0.25">
      <c r="A3359" t="s">
        <v>568</v>
      </c>
      <c r="B3359" t="s">
        <v>1323</v>
      </c>
      <c r="C3359" t="s">
        <v>670</v>
      </c>
      <c r="D3359" s="9">
        <v>46088</v>
      </c>
      <c r="E3359" s="9">
        <v>46088</v>
      </c>
      <c r="F3359" s="2">
        <v>87</v>
      </c>
      <c r="G3359" s="3" t="s">
        <v>23</v>
      </c>
      <c r="H3359">
        <v>0</v>
      </c>
      <c r="I3359" s="2">
        <v>0</v>
      </c>
      <c r="J3359" s="2">
        <v>0</v>
      </c>
      <c r="K3359" s="2">
        <v>0</v>
      </c>
      <c r="L3359" s="2">
        <v>0</v>
      </c>
      <c r="M3359">
        <v>0</v>
      </c>
      <c r="N3359">
        <v>0</v>
      </c>
      <c r="O3359" s="2">
        <v>1</v>
      </c>
      <c r="P3359" s="2">
        <v>0</v>
      </c>
      <c r="Q3359">
        <v>3</v>
      </c>
      <c r="R3359" s="2">
        <v>1</v>
      </c>
      <c r="S3359" s="2">
        <v>0</v>
      </c>
      <c r="T3359" t="s">
        <v>1660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</row>
    <row r="3360" spans="1:28" hidden="1" x14ac:dyDescent="0.25">
      <c r="A3360" t="s">
        <v>730</v>
      </c>
      <c r="B3360" t="s">
        <v>1160</v>
      </c>
      <c r="C3360" t="s">
        <v>1370</v>
      </c>
      <c r="D3360" s="9">
        <v>46088</v>
      </c>
      <c r="E3360" s="9">
        <v>46088</v>
      </c>
      <c r="F3360" s="2">
        <v>47</v>
      </c>
      <c r="G3360" s="3" t="s">
        <v>23</v>
      </c>
      <c r="H3360">
        <v>0</v>
      </c>
      <c r="I3360" s="2">
        <v>0</v>
      </c>
      <c r="J3360" s="2">
        <v>0</v>
      </c>
      <c r="K3360" s="2">
        <v>0</v>
      </c>
      <c r="L3360" s="2">
        <v>0</v>
      </c>
      <c r="M3360">
        <v>0</v>
      </c>
      <c r="N3360">
        <v>0</v>
      </c>
      <c r="O3360" s="2">
        <v>0</v>
      </c>
      <c r="P3360" s="2">
        <v>0</v>
      </c>
      <c r="Q3360">
        <v>3</v>
      </c>
      <c r="R3360" s="2">
        <v>1</v>
      </c>
      <c r="S3360" s="2">
        <v>0</v>
      </c>
      <c r="T3360" t="s">
        <v>1661</v>
      </c>
      <c r="U3360" s="2">
        <v>17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1</v>
      </c>
      <c r="AB3360" s="2">
        <v>0</v>
      </c>
    </row>
    <row r="3361" spans="1:28" hidden="1" x14ac:dyDescent="0.25">
      <c r="A3361" t="s">
        <v>20</v>
      </c>
      <c r="B3361" t="s">
        <v>21</v>
      </c>
      <c r="C3361" t="s">
        <v>22</v>
      </c>
      <c r="D3361" s="9">
        <v>46088</v>
      </c>
      <c r="E3361" s="9">
        <v>46088</v>
      </c>
      <c r="F3361" s="2">
        <v>53</v>
      </c>
      <c r="G3361" s="3" t="s">
        <v>23</v>
      </c>
      <c r="H3361">
        <v>0</v>
      </c>
      <c r="I3361" s="2">
        <v>0</v>
      </c>
      <c r="J3361" s="2">
        <v>0</v>
      </c>
      <c r="K3361" s="2">
        <v>0</v>
      </c>
      <c r="L3361" s="2">
        <v>0</v>
      </c>
      <c r="M3361">
        <v>0</v>
      </c>
      <c r="N3361">
        <v>0</v>
      </c>
      <c r="O3361" s="2">
        <v>1</v>
      </c>
      <c r="P3361" s="2">
        <v>0</v>
      </c>
      <c r="Q3361">
        <v>3</v>
      </c>
      <c r="R3361" s="2">
        <v>1</v>
      </c>
      <c r="S3361" s="2">
        <v>0</v>
      </c>
      <c r="T3361" t="s">
        <v>1662</v>
      </c>
      <c r="U3361" s="2">
        <v>21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</row>
    <row r="3362" spans="1:28" hidden="1" x14ac:dyDescent="0.25">
      <c r="A3362" t="s">
        <v>56</v>
      </c>
      <c r="B3362" t="s">
        <v>34</v>
      </c>
      <c r="C3362" t="s">
        <v>64</v>
      </c>
      <c r="D3362" s="9">
        <v>46088</v>
      </c>
      <c r="E3362" s="9">
        <v>46088</v>
      </c>
      <c r="F3362" s="2">
        <v>31</v>
      </c>
      <c r="G3362" s="3" t="s">
        <v>23</v>
      </c>
      <c r="H3362">
        <v>0</v>
      </c>
      <c r="I3362" s="2">
        <v>0</v>
      </c>
      <c r="J3362" s="2">
        <v>0</v>
      </c>
      <c r="K3362" s="2">
        <v>0</v>
      </c>
      <c r="L3362" s="2">
        <v>0</v>
      </c>
      <c r="M3362">
        <v>0</v>
      </c>
      <c r="N3362">
        <v>0</v>
      </c>
      <c r="O3362" s="2">
        <v>1</v>
      </c>
      <c r="P3362" s="2">
        <v>0</v>
      </c>
      <c r="Q3362">
        <v>3</v>
      </c>
      <c r="R3362" s="2">
        <v>1</v>
      </c>
      <c r="S3362" s="2">
        <v>0</v>
      </c>
      <c r="T3362" t="s">
        <v>1663</v>
      </c>
      <c r="U3362" s="2">
        <v>20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</row>
    <row r="3363" spans="1:28" hidden="1" x14ac:dyDescent="0.25">
      <c r="A3363" t="s">
        <v>63</v>
      </c>
      <c r="B3363" t="s">
        <v>284</v>
      </c>
      <c r="C3363" t="s">
        <v>102</v>
      </c>
      <c r="D3363" s="9">
        <v>46088</v>
      </c>
      <c r="E3363" s="9">
        <v>46088</v>
      </c>
      <c r="F3363" s="2">
        <v>39</v>
      </c>
      <c r="G3363" s="3" t="s">
        <v>23</v>
      </c>
      <c r="H3363">
        <v>0</v>
      </c>
      <c r="I3363" s="2">
        <v>0</v>
      </c>
      <c r="J3363" s="2">
        <v>0</v>
      </c>
      <c r="K3363" s="2">
        <v>0</v>
      </c>
      <c r="L3363" s="2">
        <v>0</v>
      </c>
      <c r="M3363">
        <v>0</v>
      </c>
      <c r="N3363">
        <v>0</v>
      </c>
      <c r="O3363" s="2">
        <v>1</v>
      </c>
      <c r="P3363" s="2">
        <v>0</v>
      </c>
      <c r="Q3363">
        <v>4</v>
      </c>
      <c r="R3363" s="2">
        <v>1</v>
      </c>
      <c r="S3363" s="2">
        <v>0</v>
      </c>
      <c r="T3363" t="s">
        <v>1664</v>
      </c>
      <c r="U3363" s="2">
        <v>14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</row>
    <row r="3364" spans="1:28" hidden="1" x14ac:dyDescent="0.25">
      <c r="A3364" t="s">
        <v>29</v>
      </c>
      <c r="B3364" t="s">
        <v>30</v>
      </c>
      <c r="C3364" t="s">
        <v>102</v>
      </c>
      <c r="D3364" s="9">
        <v>46088</v>
      </c>
      <c r="E3364" s="9">
        <v>46088</v>
      </c>
      <c r="F3364" s="2">
        <v>39</v>
      </c>
      <c r="G3364" s="3" t="s">
        <v>23</v>
      </c>
      <c r="H3364">
        <v>0</v>
      </c>
      <c r="I3364" s="2">
        <v>0</v>
      </c>
      <c r="J3364" s="2">
        <v>0</v>
      </c>
      <c r="K3364" s="2">
        <v>0</v>
      </c>
      <c r="L3364" s="2">
        <v>0</v>
      </c>
      <c r="M3364">
        <v>0</v>
      </c>
      <c r="N3364">
        <v>0</v>
      </c>
      <c r="O3364" s="2">
        <v>1</v>
      </c>
      <c r="P3364" s="2">
        <v>0</v>
      </c>
      <c r="Q3364">
        <v>4</v>
      </c>
      <c r="R3364" s="2">
        <v>1</v>
      </c>
      <c r="S3364" s="2">
        <v>0</v>
      </c>
      <c r="T3364" t="s">
        <v>1664</v>
      </c>
      <c r="U3364" s="2">
        <v>18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</row>
    <row r="3365" spans="1:28" hidden="1" x14ac:dyDescent="0.25">
      <c r="A3365" t="s">
        <v>33</v>
      </c>
      <c r="B3365" t="s">
        <v>57</v>
      </c>
      <c r="C3365" t="s">
        <v>1370</v>
      </c>
      <c r="D3365" s="9">
        <v>46088</v>
      </c>
      <c r="E3365" s="9">
        <v>46088</v>
      </c>
      <c r="F3365" s="2">
        <v>65</v>
      </c>
      <c r="G3365" s="3" t="s">
        <v>378</v>
      </c>
      <c r="H3365">
        <v>0</v>
      </c>
      <c r="I3365" s="2">
        <v>0</v>
      </c>
      <c r="J3365" s="2">
        <v>0</v>
      </c>
      <c r="K3365" s="2">
        <v>0</v>
      </c>
      <c r="L3365" s="2">
        <v>0</v>
      </c>
      <c r="M3365">
        <v>0</v>
      </c>
      <c r="N3365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t="s">
        <v>1590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</row>
    <row r="3366" spans="1:28" hidden="1" x14ac:dyDescent="0.25">
      <c r="A3366" t="s">
        <v>25</v>
      </c>
      <c r="B3366" t="s">
        <v>1237</v>
      </c>
      <c r="C3366" t="s">
        <v>1370</v>
      </c>
      <c r="D3366" s="9">
        <v>46088</v>
      </c>
      <c r="E3366" s="9">
        <v>46088</v>
      </c>
      <c r="F3366" s="2">
        <v>65</v>
      </c>
      <c r="G3366" s="3" t="s">
        <v>378</v>
      </c>
      <c r="H3366">
        <v>0</v>
      </c>
      <c r="I3366" s="2">
        <v>0</v>
      </c>
      <c r="J3366" s="2">
        <v>0</v>
      </c>
      <c r="K3366" s="2">
        <v>0</v>
      </c>
      <c r="L3366" s="2">
        <v>0</v>
      </c>
      <c r="M3366">
        <v>0</v>
      </c>
      <c r="N3366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t="s">
        <v>1590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</row>
    <row r="3367" spans="1:28" hidden="1" x14ac:dyDescent="0.25">
      <c r="A3367" t="s">
        <v>37</v>
      </c>
      <c r="B3367" t="s">
        <v>26</v>
      </c>
      <c r="C3367" t="s">
        <v>1370</v>
      </c>
      <c r="D3367" s="9">
        <v>46088</v>
      </c>
      <c r="E3367" s="9">
        <v>46088</v>
      </c>
      <c r="F3367" s="2">
        <v>65</v>
      </c>
      <c r="G3367" s="3" t="s">
        <v>129</v>
      </c>
      <c r="H3367">
        <v>0</v>
      </c>
      <c r="I3367" s="2">
        <v>0</v>
      </c>
      <c r="J3367" s="2">
        <v>0</v>
      </c>
      <c r="K3367" s="2">
        <v>0</v>
      </c>
      <c r="L3367" s="2">
        <v>0</v>
      </c>
      <c r="M3367">
        <v>0</v>
      </c>
      <c r="N3367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t="s">
        <v>1590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</row>
    <row r="3368" spans="1:28" hidden="1" x14ac:dyDescent="0.25">
      <c r="A3368" t="s">
        <v>53</v>
      </c>
      <c r="B3368" t="s">
        <v>38</v>
      </c>
      <c r="C3368" t="s">
        <v>1370</v>
      </c>
      <c r="D3368" s="9">
        <v>46088</v>
      </c>
      <c r="E3368" s="9">
        <v>46088</v>
      </c>
      <c r="F3368" s="2">
        <v>65</v>
      </c>
      <c r="G3368" s="3" t="s">
        <v>129</v>
      </c>
      <c r="H3368">
        <v>0</v>
      </c>
      <c r="I3368" s="2">
        <v>0</v>
      </c>
      <c r="J3368" s="2">
        <v>0</v>
      </c>
      <c r="K3368" s="2">
        <v>0</v>
      </c>
      <c r="L3368" s="2">
        <v>0</v>
      </c>
      <c r="M3368">
        <v>0</v>
      </c>
      <c r="N3368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t="s">
        <v>1590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</row>
    <row r="3369" spans="1:28" hidden="1" x14ac:dyDescent="0.25">
      <c r="A3369" t="s">
        <v>47</v>
      </c>
      <c r="B3369" t="s">
        <v>284</v>
      </c>
      <c r="C3369" t="s">
        <v>1370</v>
      </c>
      <c r="D3369" s="9">
        <v>46088</v>
      </c>
      <c r="E3369" s="9">
        <v>46088</v>
      </c>
      <c r="F3369" s="2">
        <v>65</v>
      </c>
      <c r="G3369" s="3" t="s">
        <v>129</v>
      </c>
      <c r="H3369">
        <v>0</v>
      </c>
      <c r="I3369" s="2">
        <v>0</v>
      </c>
      <c r="J3369" s="2">
        <v>0</v>
      </c>
      <c r="K3369" s="2">
        <v>0</v>
      </c>
      <c r="L3369" s="2">
        <v>0</v>
      </c>
      <c r="M3369">
        <v>0</v>
      </c>
      <c r="N3369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t="s">
        <v>1590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</row>
    <row r="3370" spans="1:28" ht="15.75" hidden="1" customHeight="1" x14ac:dyDescent="0.25">
      <c r="A3370" t="s">
        <v>105</v>
      </c>
      <c r="B3370" t="s">
        <v>47</v>
      </c>
      <c r="C3370" t="s">
        <v>1370</v>
      </c>
      <c r="D3370" s="9">
        <v>46088</v>
      </c>
      <c r="E3370" s="9">
        <v>46088</v>
      </c>
      <c r="F3370" s="2">
        <v>65</v>
      </c>
      <c r="G3370" s="3" t="s">
        <v>23</v>
      </c>
      <c r="H3370">
        <v>0</v>
      </c>
      <c r="I3370" s="2">
        <v>0</v>
      </c>
      <c r="J3370" s="2">
        <v>0</v>
      </c>
      <c r="K3370" s="2">
        <v>0</v>
      </c>
      <c r="L3370" s="2">
        <v>0</v>
      </c>
      <c r="M3370">
        <v>0</v>
      </c>
      <c r="N3370">
        <v>0</v>
      </c>
      <c r="O3370" s="2">
        <v>0</v>
      </c>
      <c r="P3370" s="2">
        <v>0</v>
      </c>
      <c r="Q3370" s="2">
        <v>2</v>
      </c>
      <c r="R3370" s="2">
        <v>0</v>
      </c>
      <c r="S3370" s="2">
        <v>0</v>
      </c>
      <c r="T3370" t="s">
        <v>1590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</row>
    <row r="3371" spans="1:28" hidden="1" x14ac:dyDescent="0.25">
      <c r="A3371" t="s">
        <v>568</v>
      </c>
      <c r="B3371" t="s">
        <v>1323</v>
      </c>
      <c r="C3371" t="s">
        <v>670</v>
      </c>
      <c r="D3371" s="9">
        <v>46089</v>
      </c>
      <c r="E3371" s="9">
        <v>46089</v>
      </c>
      <c r="F3371" s="2">
        <v>36</v>
      </c>
      <c r="G3371" t="s">
        <v>23</v>
      </c>
      <c r="H3371">
        <v>0</v>
      </c>
      <c r="I3371" s="2">
        <v>0</v>
      </c>
      <c r="J3371" s="2">
        <v>0</v>
      </c>
      <c r="K3371" s="2">
        <v>0</v>
      </c>
      <c r="L3371" s="2">
        <v>0</v>
      </c>
      <c r="M3371">
        <v>0</v>
      </c>
      <c r="N3371">
        <v>0</v>
      </c>
      <c r="O3371" s="2">
        <v>0</v>
      </c>
      <c r="P3371" s="2">
        <v>0</v>
      </c>
      <c r="Q3371">
        <v>2</v>
      </c>
      <c r="R3371" s="2">
        <v>0</v>
      </c>
      <c r="S3371" s="2">
        <v>1</v>
      </c>
      <c r="T3371" t="s">
        <v>1665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1</v>
      </c>
    </row>
    <row r="3372" spans="1:28" hidden="1" x14ac:dyDescent="0.25">
      <c r="A3372" t="s">
        <v>730</v>
      </c>
      <c r="B3372" t="s">
        <v>1160</v>
      </c>
      <c r="C3372" t="s">
        <v>1370</v>
      </c>
      <c r="D3372" s="9">
        <v>46089</v>
      </c>
      <c r="E3372" s="9">
        <v>46089</v>
      </c>
      <c r="F3372" s="2">
        <v>57</v>
      </c>
      <c r="G3372" t="s">
        <v>23</v>
      </c>
      <c r="H3372">
        <v>0</v>
      </c>
      <c r="I3372" s="2">
        <v>0</v>
      </c>
      <c r="J3372" s="2">
        <v>0</v>
      </c>
      <c r="K3372" s="2">
        <v>0</v>
      </c>
      <c r="L3372" s="2">
        <v>0</v>
      </c>
      <c r="M3372">
        <v>0</v>
      </c>
      <c r="N3372">
        <v>0</v>
      </c>
      <c r="O3372" s="2">
        <v>0</v>
      </c>
      <c r="P3372" s="2">
        <v>1</v>
      </c>
      <c r="Q3372">
        <v>4</v>
      </c>
      <c r="R3372" s="2">
        <v>0</v>
      </c>
      <c r="S3372" s="2">
        <v>1</v>
      </c>
      <c r="T3372" t="s">
        <v>1666</v>
      </c>
      <c r="U3372" s="2">
        <v>16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</row>
    <row r="3373" spans="1:28" hidden="1" x14ac:dyDescent="0.25">
      <c r="A3373" t="s">
        <v>20</v>
      </c>
      <c r="B3373" t="s">
        <v>21</v>
      </c>
      <c r="C3373" t="s">
        <v>22</v>
      </c>
      <c r="D3373" s="9">
        <v>46089</v>
      </c>
      <c r="E3373" s="9">
        <v>46089</v>
      </c>
      <c r="F3373" s="2">
        <v>44</v>
      </c>
      <c r="G3373" t="s">
        <v>23</v>
      </c>
      <c r="H3373">
        <v>0</v>
      </c>
      <c r="I3373" s="2">
        <v>0</v>
      </c>
      <c r="J3373" s="2">
        <v>0</v>
      </c>
      <c r="K3373" s="2">
        <v>0</v>
      </c>
      <c r="L3373" s="2">
        <v>0</v>
      </c>
      <c r="M3373">
        <v>0</v>
      </c>
      <c r="N3373">
        <v>0</v>
      </c>
      <c r="O3373" s="2">
        <v>0</v>
      </c>
      <c r="P3373" s="2">
        <v>1</v>
      </c>
      <c r="Q3373">
        <v>2</v>
      </c>
      <c r="R3373" s="2">
        <v>0</v>
      </c>
      <c r="S3373" s="2">
        <v>1</v>
      </c>
      <c r="T3373" t="s">
        <v>1667</v>
      </c>
      <c r="U3373" s="2">
        <v>20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</row>
    <row r="3374" spans="1:28" hidden="1" x14ac:dyDescent="0.25">
      <c r="A3374" t="s">
        <v>56</v>
      </c>
      <c r="B3374" t="s">
        <v>34</v>
      </c>
      <c r="C3374" t="s">
        <v>64</v>
      </c>
      <c r="D3374" s="9">
        <v>46089</v>
      </c>
      <c r="E3374" s="9">
        <v>46089</v>
      </c>
      <c r="F3374" s="2">
        <v>40</v>
      </c>
      <c r="G3374" t="s">
        <v>23</v>
      </c>
      <c r="H3374">
        <v>0</v>
      </c>
      <c r="I3374" s="2">
        <v>0</v>
      </c>
      <c r="J3374" s="2">
        <v>0</v>
      </c>
      <c r="K3374" s="2">
        <v>0</v>
      </c>
      <c r="L3374" s="2">
        <v>0</v>
      </c>
      <c r="M3374">
        <v>0</v>
      </c>
      <c r="N3374">
        <v>0</v>
      </c>
      <c r="O3374" s="2">
        <v>0</v>
      </c>
      <c r="P3374" s="2">
        <v>1</v>
      </c>
      <c r="Q3374">
        <v>2</v>
      </c>
      <c r="R3374" s="2">
        <v>0</v>
      </c>
      <c r="S3374" s="2">
        <v>1</v>
      </c>
      <c r="T3374" t="s">
        <v>1668</v>
      </c>
      <c r="U3374" s="2">
        <v>20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</row>
    <row r="3375" spans="1:28" hidden="1" x14ac:dyDescent="0.25">
      <c r="A3375" t="s">
        <v>63</v>
      </c>
      <c r="B3375" t="s">
        <v>284</v>
      </c>
      <c r="C3375" t="s">
        <v>102</v>
      </c>
      <c r="D3375" s="9">
        <v>46089</v>
      </c>
      <c r="E3375" s="9">
        <v>46089</v>
      </c>
      <c r="F3375" s="2">
        <v>29</v>
      </c>
      <c r="G3375" t="s">
        <v>23</v>
      </c>
      <c r="H3375">
        <v>0</v>
      </c>
      <c r="I3375" s="2">
        <v>0</v>
      </c>
      <c r="J3375" s="2">
        <v>0</v>
      </c>
      <c r="K3375" s="2">
        <v>0</v>
      </c>
      <c r="L3375" s="2">
        <v>0</v>
      </c>
      <c r="M3375">
        <v>0</v>
      </c>
      <c r="N3375">
        <v>0</v>
      </c>
      <c r="O3375" s="2">
        <v>0</v>
      </c>
      <c r="P3375" s="2">
        <v>1</v>
      </c>
      <c r="Q3375">
        <v>2</v>
      </c>
      <c r="R3375" s="2">
        <v>0</v>
      </c>
      <c r="S3375" s="2">
        <v>1</v>
      </c>
      <c r="T3375" t="s">
        <v>1669</v>
      </c>
      <c r="U3375" s="2">
        <v>18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</row>
    <row r="3376" spans="1:28" hidden="1" x14ac:dyDescent="0.25">
      <c r="A3376" t="s">
        <v>29</v>
      </c>
      <c r="B3376" t="s">
        <v>30</v>
      </c>
      <c r="C3376" t="s">
        <v>31</v>
      </c>
      <c r="D3376" s="9">
        <v>46089</v>
      </c>
      <c r="E3376" s="9">
        <v>46089</v>
      </c>
      <c r="F3376" s="2">
        <v>24</v>
      </c>
      <c r="G3376" t="s">
        <v>23</v>
      </c>
      <c r="H3376">
        <v>0</v>
      </c>
      <c r="I3376" s="2">
        <v>0</v>
      </c>
      <c r="J3376" s="2">
        <v>0</v>
      </c>
      <c r="K3376" s="2">
        <v>0</v>
      </c>
      <c r="L3376" s="2">
        <v>0</v>
      </c>
      <c r="M3376">
        <v>0</v>
      </c>
      <c r="N3376">
        <v>0</v>
      </c>
      <c r="O3376" s="2">
        <v>0</v>
      </c>
      <c r="P3376" s="2">
        <v>1</v>
      </c>
      <c r="Q3376">
        <v>2</v>
      </c>
      <c r="R3376" s="2">
        <v>0</v>
      </c>
      <c r="S3376" s="2">
        <v>1</v>
      </c>
      <c r="T3376" t="s">
        <v>1670</v>
      </c>
      <c r="U3376" s="2">
        <v>15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</row>
    <row r="3377" spans="1:28" hidden="1" x14ac:dyDescent="0.25">
      <c r="A3377" t="s">
        <v>33</v>
      </c>
      <c r="B3377" t="s">
        <v>57</v>
      </c>
      <c r="C3377" t="s">
        <v>1370</v>
      </c>
      <c r="D3377" s="9">
        <v>46089</v>
      </c>
      <c r="E3377" s="9">
        <v>46089</v>
      </c>
      <c r="F3377" s="2">
        <v>65</v>
      </c>
      <c r="G3377" s="3" t="s">
        <v>378</v>
      </c>
      <c r="H3377">
        <v>0</v>
      </c>
      <c r="I3377" s="2">
        <v>0</v>
      </c>
      <c r="J3377" s="2">
        <v>0</v>
      </c>
      <c r="K3377" s="2">
        <v>0</v>
      </c>
      <c r="L3377" s="2">
        <v>0</v>
      </c>
      <c r="M3377">
        <v>0</v>
      </c>
      <c r="N3377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t="s">
        <v>1590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</row>
    <row r="3378" spans="1:28" hidden="1" x14ac:dyDescent="0.25">
      <c r="A3378" t="s">
        <v>25</v>
      </c>
      <c r="B3378" t="s">
        <v>1237</v>
      </c>
      <c r="C3378" t="s">
        <v>1370</v>
      </c>
      <c r="D3378" s="9">
        <v>46089</v>
      </c>
      <c r="E3378" s="9">
        <v>46089</v>
      </c>
      <c r="F3378" s="2">
        <v>65</v>
      </c>
      <c r="G3378" s="3" t="s">
        <v>378</v>
      </c>
      <c r="H3378">
        <v>0</v>
      </c>
      <c r="I3378" s="2">
        <v>0</v>
      </c>
      <c r="J3378" s="2">
        <v>0</v>
      </c>
      <c r="K3378" s="2">
        <v>0</v>
      </c>
      <c r="L3378" s="2">
        <v>0</v>
      </c>
      <c r="M3378">
        <v>0</v>
      </c>
      <c r="N3378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t="s">
        <v>1590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</row>
    <row r="3379" spans="1:28" hidden="1" x14ac:dyDescent="0.25">
      <c r="A3379" t="s">
        <v>37</v>
      </c>
      <c r="B3379" t="s">
        <v>26</v>
      </c>
      <c r="C3379" t="s">
        <v>1370</v>
      </c>
      <c r="D3379" s="9">
        <v>46089</v>
      </c>
      <c r="E3379" s="9">
        <v>46089</v>
      </c>
      <c r="F3379" s="2">
        <v>65</v>
      </c>
      <c r="G3379" s="3" t="s">
        <v>129</v>
      </c>
      <c r="H3379">
        <v>0</v>
      </c>
      <c r="I3379" s="2">
        <v>0</v>
      </c>
      <c r="J3379" s="2">
        <v>0</v>
      </c>
      <c r="K3379" s="2">
        <v>0</v>
      </c>
      <c r="L3379" s="2">
        <v>0</v>
      </c>
      <c r="M3379">
        <v>0</v>
      </c>
      <c r="N3379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t="s">
        <v>1590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</row>
    <row r="3380" spans="1:28" hidden="1" x14ac:dyDescent="0.25">
      <c r="A3380" t="s">
        <v>53</v>
      </c>
      <c r="B3380" t="s">
        <v>38</v>
      </c>
      <c r="C3380" t="s">
        <v>1370</v>
      </c>
      <c r="D3380" s="9">
        <v>46089</v>
      </c>
      <c r="E3380" s="9">
        <v>46089</v>
      </c>
      <c r="F3380" s="2">
        <v>65</v>
      </c>
      <c r="G3380" s="3" t="s">
        <v>129</v>
      </c>
      <c r="H3380">
        <v>0</v>
      </c>
      <c r="I3380" s="2">
        <v>0</v>
      </c>
      <c r="J3380" s="2">
        <v>0</v>
      </c>
      <c r="K3380" s="2">
        <v>0</v>
      </c>
      <c r="L3380" s="2">
        <v>0</v>
      </c>
      <c r="M3380">
        <v>0</v>
      </c>
      <c r="N3380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t="s">
        <v>1590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</row>
    <row r="3381" spans="1:28" hidden="1" x14ac:dyDescent="0.25">
      <c r="A3381" t="s">
        <v>47</v>
      </c>
      <c r="B3381" t="s">
        <v>284</v>
      </c>
      <c r="C3381" t="s">
        <v>1370</v>
      </c>
      <c r="D3381" s="9">
        <v>46089</v>
      </c>
      <c r="E3381" s="9">
        <v>46089</v>
      </c>
      <c r="F3381" s="2">
        <v>65</v>
      </c>
      <c r="G3381" s="3" t="s">
        <v>129</v>
      </c>
      <c r="H3381">
        <v>0</v>
      </c>
      <c r="I3381" s="2">
        <v>0</v>
      </c>
      <c r="J3381" s="2">
        <v>0</v>
      </c>
      <c r="K3381" s="2">
        <v>0</v>
      </c>
      <c r="L3381" s="2">
        <v>0</v>
      </c>
      <c r="M3381">
        <v>0</v>
      </c>
      <c r="N3381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t="s">
        <v>1590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</row>
    <row r="3382" spans="1:28" hidden="1" x14ac:dyDescent="0.25">
      <c r="A3382" t="s">
        <v>56</v>
      </c>
      <c r="B3382" t="s">
        <v>1160</v>
      </c>
      <c r="C3382" t="s">
        <v>64</v>
      </c>
      <c r="D3382" s="1">
        <v>46090</v>
      </c>
      <c r="E3382" s="1">
        <v>46090</v>
      </c>
      <c r="F3382" s="2">
        <v>17</v>
      </c>
      <c r="G3382" s="3" t="s">
        <v>23</v>
      </c>
      <c r="H3382" s="2">
        <v>0</v>
      </c>
      <c r="I3382" s="2">
        <v>0</v>
      </c>
      <c r="J3382" s="2">
        <v>1</v>
      </c>
      <c r="K3382" s="2">
        <v>0</v>
      </c>
      <c r="L3382" s="2">
        <v>0</v>
      </c>
      <c r="M3382">
        <v>0</v>
      </c>
      <c r="N3382">
        <v>0</v>
      </c>
      <c r="O3382" s="2">
        <v>0</v>
      </c>
      <c r="P3382" s="2">
        <v>0</v>
      </c>
      <c r="Q3382">
        <v>0</v>
      </c>
      <c r="R3382" s="2">
        <v>0</v>
      </c>
      <c r="S3382" s="2">
        <v>0</v>
      </c>
      <c r="T3382" t="s">
        <v>1671</v>
      </c>
      <c r="U3382" s="2">
        <v>0</v>
      </c>
      <c r="V3382">
        <v>44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</row>
    <row r="3383" spans="1:28" hidden="1" x14ac:dyDescent="0.25">
      <c r="A3383" t="s">
        <v>20</v>
      </c>
      <c r="B3383" t="s">
        <v>1237</v>
      </c>
      <c r="C3383" t="s">
        <v>22</v>
      </c>
      <c r="D3383" s="1">
        <v>46090</v>
      </c>
      <c r="E3383" s="1">
        <v>46090</v>
      </c>
      <c r="F3383" s="2">
        <v>30</v>
      </c>
      <c r="G3383" s="3" t="s">
        <v>23</v>
      </c>
      <c r="H3383" s="2">
        <v>0</v>
      </c>
      <c r="I3383" s="2">
        <v>0</v>
      </c>
      <c r="J3383" s="2">
        <v>1</v>
      </c>
      <c r="K3383" s="2">
        <v>0</v>
      </c>
      <c r="L3383" s="2">
        <v>0</v>
      </c>
      <c r="M3383">
        <v>0</v>
      </c>
      <c r="N3383">
        <v>0</v>
      </c>
      <c r="O3383" s="2">
        <v>0</v>
      </c>
      <c r="P3383" s="2">
        <v>0</v>
      </c>
      <c r="Q3383">
        <v>0</v>
      </c>
      <c r="R3383" s="2">
        <v>0</v>
      </c>
      <c r="S3383" s="2">
        <v>0</v>
      </c>
      <c r="T3383" t="s">
        <v>1672</v>
      </c>
      <c r="U3383" s="2">
        <v>0</v>
      </c>
      <c r="V3383">
        <v>22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</row>
    <row r="3384" spans="1:28" hidden="1" x14ac:dyDescent="0.25">
      <c r="A3384" t="s">
        <v>25</v>
      </c>
      <c r="B3384" t="s">
        <v>26</v>
      </c>
      <c r="C3384" t="s">
        <v>27</v>
      </c>
      <c r="D3384" s="1">
        <v>46090</v>
      </c>
      <c r="E3384" s="1">
        <v>46090</v>
      </c>
      <c r="F3384" s="2">
        <v>24</v>
      </c>
      <c r="G3384" s="3" t="s">
        <v>23</v>
      </c>
      <c r="H3384" s="2">
        <v>0</v>
      </c>
      <c r="I3384" s="2">
        <v>0</v>
      </c>
      <c r="J3384" s="2">
        <v>1</v>
      </c>
      <c r="K3384" s="2">
        <v>0</v>
      </c>
      <c r="L3384" s="2">
        <v>0</v>
      </c>
      <c r="M3384">
        <v>0</v>
      </c>
      <c r="N3384">
        <v>0</v>
      </c>
      <c r="O3384" s="2">
        <v>0</v>
      </c>
      <c r="P3384" s="2">
        <v>0</v>
      </c>
      <c r="Q3384">
        <v>0</v>
      </c>
      <c r="R3384" s="2">
        <v>0</v>
      </c>
      <c r="S3384" s="2">
        <v>0</v>
      </c>
      <c r="T3384" t="s">
        <v>1673</v>
      </c>
      <c r="U3384" s="2">
        <v>0</v>
      </c>
      <c r="V3384">
        <v>40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</row>
    <row r="3385" spans="1:28" hidden="1" x14ac:dyDescent="0.25">
      <c r="A3385" t="s">
        <v>63</v>
      </c>
      <c r="B3385" t="s">
        <v>284</v>
      </c>
      <c r="C3385" t="s">
        <v>102</v>
      </c>
      <c r="D3385" s="1">
        <v>46090</v>
      </c>
      <c r="E3385" s="1">
        <v>46090</v>
      </c>
      <c r="F3385" s="2">
        <v>15</v>
      </c>
      <c r="G3385" s="3" t="s">
        <v>23</v>
      </c>
      <c r="H3385" s="2">
        <v>0</v>
      </c>
      <c r="I3385" s="2">
        <v>0</v>
      </c>
      <c r="J3385" s="2">
        <v>1</v>
      </c>
      <c r="K3385" s="2">
        <v>0</v>
      </c>
      <c r="L3385" s="2">
        <v>0</v>
      </c>
      <c r="M3385">
        <v>0</v>
      </c>
      <c r="N3385">
        <v>0</v>
      </c>
      <c r="O3385" s="2">
        <v>0</v>
      </c>
      <c r="P3385" s="2">
        <v>0</v>
      </c>
      <c r="Q3385">
        <v>0</v>
      </c>
      <c r="R3385" s="2">
        <v>0</v>
      </c>
      <c r="S3385" s="2">
        <v>0</v>
      </c>
      <c r="T3385" t="s">
        <v>1674</v>
      </c>
      <c r="U3385" s="2">
        <v>0</v>
      </c>
      <c r="V3385">
        <v>22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</row>
    <row r="3386" spans="1:28" hidden="1" x14ac:dyDescent="0.25">
      <c r="A3386" t="s">
        <v>29</v>
      </c>
      <c r="B3386" t="s">
        <v>30</v>
      </c>
      <c r="C3386" t="s">
        <v>31</v>
      </c>
      <c r="D3386" s="1">
        <v>46090</v>
      </c>
      <c r="E3386" s="1">
        <v>46090</v>
      </c>
      <c r="F3386" s="2">
        <v>21</v>
      </c>
      <c r="G3386" s="3" t="s">
        <v>23</v>
      </c>
      <c r="H3386" s="2">
        <v>0</v>
      </c>
      <c r="I3386" s="2">
        <v>0</v>
      </c>
      <c r="J3386" s="2">
        <v>1</v>
      </c>
      <c r="K3386" s="2">
        <v>0</v>
      </c>
      <c r="L3386" s="2">
        <v>0</v>
      </c>
      <c r="M3386">
        <v>0</v>
      </c>
      <c r="N3386">
        <v>0</v>
      </c>
      <c r="O3386" s="2">
        <v>0</v>
      </c>
      <c r="P3386" s="2">
        <v>0</v>
      </c>
      <c r="Q3386">
        <v>0</v>
      </c>
      <c r="R3386" s="2">
        <v>0</v>
      </c>
      <c r="S3386" s="2">
        <v>0</v>
      </c>
      <c r="T3386" t="s">
        <v>1675</v>
      </c>
      <c r="U3386" s="2">
        <v>0</v>
      </c>
      <c r="V3386">
        <f>20+2+2</f>
        <v>24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</row>
    <row r="3387" spans="1:28" hidden="1" x14ac:dyDescent="0.25">
      <c r="A3387" t="s">
        <v>568</v>
      </c>
      <c r="B3387" t="s">
        <v>1323</v>
      </c>
      <c r="C3387" t="s">
        <v>670</v>
      </c>
      <c r="D3387" s="1">
        <v>46090</v>
      </c>
      <c r="E3387" s="1">
        <v>46090</v>
      </c>
      <c r="F3387" s="2">
        <v>41</v>
      </c>
      <c r="G3387" s="3" t="s">
        <v>23</v>
      </c>
      <c r="H3387" s="2">
        <v>0</v>
      </c>
      <c r="I3387" s="2">
        <v>0</v>
      </c>
      <c r="J3387" s="2">
        <v>1</v>
      </c>
      <c r="K3387" s="2">
        <v>0</v>
      </c>
      <c r="L3387" s="2">
        <v>0</v>
      </c>
      <c r="M3387">
        <v>0</v>
      </c>
      <c r="N3387">
        <v>0</v>
      </c>
      <c r="O3387" s="2">
        <v>0</v>
      </c>
      <c r="P3387" s="2">
        <v>0</v>
      </c>
      <c r="Q3387">
        <v>0</v>
      </c>
      <c r="R3387" s="2">
        <v>0</v>
      </c>
      <c r="S3387" s="2">
        <v>0</v>
      </c>
      <c r="T3387" t="s">
        <v>1676</v>
      </c>
      <c r="U3387" s="2">
        <v>0</v>
      </c>
      <c r="V3387">
        <v>14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</row>
    <row r="3388" spans="1:28" hidden="1" x14ac:dyDescent="0.25">
      <c r="A3388" t="s">
        <v>33</v>
      </c>
      <c r="B3388" t="s">
        <v>34</v>
      </c>
      <c r="C3388" t="s">
        <v>35</v>
      </c>
      <c r="D3388" s="1">
        <v>46090</v>
      </c>
      <c r="E3388" s="1">
        <v>46090</v>
      </c>
      <c r="F3388" s="2">
        <v>29</v>
      </c>
      <c r="G3388" s="3" t="s">
        <v>23</v>
      </c>
      <c r="H3388" s="2">
        <v>0</v>
      </c>
      <c r="I3388" s="2">
        <v>0</v>
      </c>
      <c r="J3388" s="2">
        <v>1</v>
      </c>
      <c r="K3388" s="2">
        <v>0</v>
      </c>
      <c r="L3388" s="2">
        <v>0</v>
      </c>
      <c r="M3388">
        <v>0</v>
      </c>
      <c r="N3388">
        <v>0</v>
      </c>
      <c r="O3388" s="2">
        <v>0</v>
      </c>
      <c r="P3388" s="2">
        <v>0</v>
      </c>
      <c r="Q3388">
        <v>0</v>
      </c>
      <c r="R3388" s="2">
        <v>0</v>
      </c>
      <c r="S3388" s="2">
        <v>0</v>
      </c>
      <c r="T3388" t="s">
        <v>1677</v>
      </c>
      <c r="U3388" s="2">
        <v>0</v>
      </c>
      <c r="V3388">
        <v>40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</row>
    <row r="3389" spans="1:28" hidden="1" x14ac:dyDescent="0.25">
      <c r="A3389" t="s">
        <v>37</v>
      </c>
      <c r="B3389" t="s">
        <v>57</v>
      </c>
      <c r="C3389" t="s">
        <v>173</v>
      </c>
      <c r="D3389" s="1">
        <v>46090</v>
      </c>
      <c r="E3389" s="1">
        <v>46090</v>
      </c>
      <c r="F3389" s="2">
        <v>15</v>
      </c>
      <c r="G3389" s="3" t="s">
        <v>23</v>
      </c>
      <c r="H3389" s="2">
        <v>0</v>
      </c>
      <c r="I3389" s="2">
        <v>0</v>
      </c>
      <c r="J3389" s="2">
        <v>1</v>
      </c>
      <c r="K3389" s="2">
        <v>0</v>
      </c>
      <c r="L3389" s="2">
        <v>0</v>
      </c>
      <c r="M3389">
        <v>0</v>
      </c>
      <c r="N3389">
        <v>0</v>
      </c>
      <c r="O3389" s="2">
        <v>0</v>
      </c>
      <c r="P3389" s="2">
        <v>0</v>
      </c>
      <c r="Q3389">
        <v>0</v>
      </c>
      <c r="R3389" s="2">
        <v>0</v>
      </c>
      <c r="S3389" s="2">
        <v>0</v>
      </c>
      <c r="T3389" t="s">
        <v>1678</v>
      </c>
      <c r="U3389" s="2">
        <v>0</v>
      </c>
      <c r="V3389">
        <v>22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</row>
    <row r="3390" spans="1:28" hidden="1" x14ac:dyDescent="0.25">
      <c r="A3390" t="s">
        <v>53</v>
      </c>
      <c r="B3390" t="s">
        <v>38</v>
      </c>
      <c r="C3390" t="s">
        <v>173</v>
      </c>
      <c r="D3390" s="1">
        <v>46090</v>
      </c>
      <c r="E3390" s="1">
        <v>46090</v>
      </c>
      <c r="F3390" s="2">
        <v>15</v>
      </c>
      <c r="G3390" s="3" t="s">
        <v>23</v>
      </c>
      <c r="H3390" s="2">
        <v>0</v>
      </c>
      <c r="I3390" s="2">
        <v>0</v>
      </c>
      <c r="J3390" s="2">
        <v>1</v>
      </c>
      <c r="K3390" s="2">
        <v>0</v>
      </c>
      <c r="L3390" s="2">
        <v>0</v>
      </c>
      <c r="M3390">
        <v>0</v>
      </c>
      <c r="N3390">
        <v>0</v>
      </c>
      <c r="O3390" s="2">
        <v>0</v>
      </c>
      <c r="P3390" s="2">
        <v>0</v>
      </c>
      <c r="Q3390">
        <v>0</v>
      </c>
      <c r="R3390" s="2">
        <v>0</v>
      </c>
      <c r="S3390" s="2">
        <v>0</v>
      </c>
      <c r="T3390" t="s">
        <v>1678</v>
      </c>
      <c r="U3390" s="2">
        <v>0</v>
      </c>
      <c r="V3390">
        <f>14+6</f>
        <v>20</v>
      </c>
      <c r="W3390" s="2">
        <v>2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</row>
    <row r="3391" spans="1:28" hidden="1" x14ac:dyDescent="0.25">
      <c r="A3391" t="s">
        <v>1679</v>
      </c>
      <c r="B3391" t="s">
        <v>1680</v>
      </c>
      <c r="C3391" t="s">
        <v>1370</v>
      </c>
      <c r="D3391" s="1">
        <v>46090</v>
      </c>
      <c r="E3391" s="1">
        <v>46090</v>
      </c>
      <c r="F3391" s="2">
        <v>65</v>
      </c>
      <c r="G3391" s="3" t="s">
        <v>23</v>
      </c>
      <c r="H3391">
        <v>0</v>
      </c>
      <c r="I3391" s="2">
        <v>0</v>
      </c>
      <c r="J3391" s="2">
        <v>0</v>
      </c>
      <c r="K3391" s="2">
        <v>0</v>
      </c>
      <c r="L3391" s="2">
        <v>0</v>
      </c>
      <c r="M3391">
        <v>0</v>
      </c>
      <c r="N3391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t="s">
        <v>1590</v>
      </c>
      <c r="U3391" s="2">
        <v>0</v>
      </c>
      <c r="V3391" s="2">
        <v>10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</row>
    <row r="3392" spans="1:28" hidden="1" x14ac:dyDescent="0.25">
      <c r="A3392" t="s">
        <v>47</v>
      </c>
      <c r="B3392" t="s">
        <v>21</v>
      </c>
      <c r="C3392" t="s">
        <v>1370</v>
      </c>
      <c r="D3392" s="1">
        <v>46090</v>
      </c>
      <c r="E3392" s="1">
        <v>46090</v>
      </c>
      <c r="F3392" s="2">
        <v>65</v>
      </c>
      <c r="G3392" s="3" t="s">
        <v>48</v>
      </c>
      <c r="H3392">
        <v>0</v>
      </c>
      <c r="I3392" s="2">
        <v>0</v>
      </c>
      <c r="J3392" s="2">
        <v>0</v>
      </c>
      <c r="K3392" s="2">
        <v>0</v>
      </c>
      <c r="L3392" s="2">
        <v>0</v>
      </c>
      <c r="M3392">
        <v>0</v>
      </c>
      <c r="N339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t="s">
        <v>1590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</row>
    <row r="3393" spans="1:28" hidden="1" x14ac:dyDescent="0.25">
      <c r="A3393" t="s">
        <v>25</v>
      </c>
      <c r="B3393" t="s">
        <v>26</v>
      </c>
      <c r="C3393" t="s">
        <v>27</v>
      </c>
      <c r="D3393" s="1">
        <v>46091</v>
      </c>
      <c r="E3393" s="1">
        <v>46091</v>
      </c>
      <c r="F3393" s="2">
        <v>27</v>
      </c>
      <c r="G3393" s="3" t="s">
        <v>23</v>
      </c>
      <c r="H3393">
        <v>20</v>
      </c>
      <c r="I3393" s="2">
        <v>0</v>
      </c>
      <c r="J3393" s="2">
        <v>0</v>
      </c>
      <c r="K3393" s="2">
        <v>0</v>
      </c>
      <c r="L3393" s="2">
        <v>1</v>
      </c>
      <c r="M3393">
        <v>0</v>
      </c>
      <c r="N3393">
        <v>0</v>
      </c>
      <c r="O3393" s="2">
        <v>0</v>
      </c>
      <c r="P3393" s="2">
        <v>0</v>
      </c>
      <c r="Q3393">
        <v>0</v>
      </c>
      <c r="R3393" s="2">
        <v>0</v>
      </c>
      <c r="S3393" s="2">
        <v>0</v>
      </c>
      <c r="T3393" t="s">
        <v>1681</v>
      </c>
      <c r="U3393" s="2">
        <v>0</v>
      </c>
      <c r="V3393" s="2">
        <v>25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</row>
    <row r="3394" spans="1:28" hidden="1" x14ac:dyDescent="0.25">
      <c r="A3394" t="s">
        <v>37</v>
      </c>
      <c r="B3394" t="s">
        <v>57</v>
      </c>
      <c r="C3394" t="s">
        <v>173</v>
      </c>
      <c r="D3394" s="1">
        <v>46091</v>
      </c>
      <c r="E3394" s="1">
        <v>46091</v>
      </c>
      <c r="F3394" s="2">
        <v>18</v>
      </c>
      <c r="G3394" s="3" t="s">
        <v>23</v>
      </c>
      <c r="H3394">
        <v>16</v>
      </c>
      <c r="I3394" s="2">
        <v>0</v>
      </c>
      <c r="J3394" s="2">
        <v>0</v>
      </c>
      <c r="K3394" s="2">
        <v>0</v>
      </c>
      <c r="L3394" s="2">
        <v>1</v>
      </c>
      <c r="M3394">
        <v>0</v>
      </c>
      <c r="N3394">
        <v>0</v>
      </c>
      <c r="O3394" s="2">
        <v>0</v>
      </c>
      <c r="P3394" s="2">
        <v>0</v>
      </c>
      <c r="Q3394">
        <v>1</v>
      </c>
      <c r="R3394" s="2">
        <v>0</v>
      </c>
      <c r="S3394" s="2">
        <v>0</v>
      </c>
      <c r="T3394" t="s">
        <v>1682</v>
      </c>
      <c r="U3394" s="2">
        <v>0</v>
      </c>
      <c r="V3394" s="2">
        <v>64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</row>
    <row r="3395" spans="1:28" hidden="1" x14ac:dyDescent="0.25">
      <c r="A3395" t="s">
        <v>33</v>
      </c>
      <c r="B3395" t="s">
        <v>34</v>
      </c>
      <c r="C3395" t="s">
        <v>35</v>
      </c>
      <c r="D3395" s="1">
        <v>46091</v>
      </c>
      <c r="E3395" s="1">
        <v>46091</v>
      </c>
      <c r="F3395" s="2">
        <v>68</v>
      </c>
      <c r="G3395" s="3" t="s">
        <v>23</v>
      </c>
      <c r="H3395">
        <v>36</v>
      </c>
      <c r="I3395" s="2">
        <v>0</v>
      </c>
      <c r="J3395" s="2">
        <v>1</v>
      </c>
      <c r="K3395" s="2">
        <v>1</v>
      </c>
      <c r="L3395" s="2">
        <v>0</v>
      </c>
      <c r="M3395">
        <v>0</v>
      </c>
      <c r="N3395">
        <v>0</v>
      </c>
      <c r="O3395" s="2">
        <v>0</v>
      </c>
      <c r="P3395" s="2">
        <v>0</v>
      </c>
      <c r="Q3395">
        <v>0</v>
      </c>
      <c r="R3395" s="2">
        <v>0</v>
      </c>
      <c r="S3395" s="2">
        <v>0</v>
      </c>
      <c r="T3395" t="s">
        <v>1683</v>
      </c>
      <c r="U3395" s="2">
        <v>0</v>
      </c>
      <c r="V3395" s="2">
        <v>69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</row>
    <row r="3396" spans="1:28" hidden="1" x14ac:dyDescent="0.25">
      <c r="A3396" t="s">
        <v>20</v>
      </c>
      <c r="B3396" t="s">
        <v>21</v>
      </c>
      <c r="C3396" t="s">
        <v>22</v>
      </c>
      <c r="D3396" s="1">
        <v>46091</v>
      </c>
      <c r="E3396" s="1">
        <v>46091</v>
      </c>
      <c r="F3396" s="2">
        <v>43</v>
      </c>
      <c r="G3396" s="3" t="s">
        <v>23</v>
      </c>
      <c r="H3396">
        <v>28</v>
      </c>
      <c r="I3396" s="2">
        <v>0</v>
      </c>
      <c r="J3396" s="2">
        <v>0</v>
      </c>
      <c r="K3396" s="2">
        <v>1</v>
      </c>
      <c r="L3396" s="2">
        <v>0</v>
      </c>
      <c r="M3396">
        <v>0</v>
      </c>
      <c r="N3396">
        <v>0</v>
      </c>
      <c r="O3396" s="2">
        <v>0</v>
      </c>
      <c r="P3396" s="2">
        <v>0</v>
      </c>
      <c r="Q3396">
        <v>1</v>
      </c>
      <c r="R3396" s="2">
        <v>0</v>
      </c>
      <c r="S3396" s="2">
        <v>0</v>
      </c>
      <c r="T3396" t="s">
        <v>1684</v>
      </c>
      <c r="U3396" s="2">
        <v>0</v>
      </c>
      <c r="V3396" s="2">
        <v>44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</row>
    <row r="3397" spans="1:28" hidden="1" x14ac:dyDescent="0.25">
      <c r="A3397" t="s">
        <v>63</v>
      </c>
      <c r="B3397" t="s">
        <v>284</v>
      </c>
      <c r="C3397" t="s">
        <v>102</v>
      </c>
      <c r="D3397" s="1">
        <v>46091</v>
      </c>
      <c r="E3397" s="1">
        <v>46091</v>
      </c>
      <c r="F3397" s="2">
        <v>18</v>
      </c>
      <c r="G3397" s="3" t="s">
        <v>23</v>
      </c>
      <c r="H3397">
        <v>32</v>
      </c>
      <c r="I3397" s="2">
        <v>0</v>
      </c>
      <c r="J3397" s="2">
        <v>0</v>
      </c>
      <c r="K3397" s="2">
        <v>1</v>
      </c>
      <c r="L3397" s="2">
        <v>0</v>
      </c>
      <c r="M3397">
        <v>0</v>
      </c>
      <c r="N3397">
        <v>0</v>
      </c>
      <c r="O3397" s="2">
        <v>0</v>
      </c>
      <c r="P3397" s="2">
        <v>0</v>
      </c>
      <c r="Q3397">
        <v>0</v>
      </c>
      <c r="R3397" s="2">
        <v>0</v>
      </c>
      <c r="S3397" s="2">
        <v>0</v>
      </c>
      <c r="T3397" t="s">
        <v>1685</v>
      </c>
      <c r="U3397" s="2">
        <v>0</v>
      </c>
      <c r="V3397" s="2">
        <v>88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</row>
    <row r="3398" spans="1:28" hidden="1" x14ac:dyDescent="0.25">
      <c r="A3398" t="s">
        <v>56</v>
      </c>
      <c r="B3398" t="s">
        <v>1160</v>
      </c>
      <c r="C3398" t="s">
        <v>64</v>
      </c>
      <c r="D3398" s="1">
        <v>46091</v>
      </c>
      <c r="E3398" s="1">
        <v>46091</v>
      </c>
      <c r="F3398" s="2">
        <v>38</v>
      </c>
      <c r="G3398" s="3" t="s">
        <v>23</v>
      </c>
      <c r="H3398">
        <v>24</v>
      </c>
      <c r="I3398" s="2">
        <v>0</v>
      </c>
      <c r="J3398" s="2">
        <v>1</v>
      </c>
      <c r="K3398" s="2">
        <v>1</v>
      </c>
      <c r="L3398" s="2">
        <v>0</v>
      </c>
      <c r="M3398">
        <v>0</v>
      </c>
      <c r="N3398">
        <v>0</v>
      </c>
      <c r="O3398" s="2">
        <v>0</v>
      </c>
      <c r="P3398" s="2">
        <v>0</v>
      </c>
      <c r="Q3398">
        <v>1</v>
      </c>
      <c r="R3398" s="2">
        <v>0</v>
      </c>
      <c r="S3398" s="2">
        <v>0</v>
      </c>
      <c r="T3398" t="s">
        <v>1686</v>
      </c>
      <c r="U3398" s="2">
        <v>0</v>
      </c>
      <c r="V3398" s="2">
        <v>46</v>
      </c>
      <c r="W3398" s="2">
        <v>12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</row>
    <row r="3399" spans="1:28" hidden="1" x14ac:dyDescent="0.25">
      <c r="A3399" t="s">
        <v>53</v>
      </c>
      <c r="B3399" t="s">
        <v>38</v>
      </c>
      <c r="C3399" t="s">
        <v>54</v>
      </c>
      <c r="D3399" s="1">
        <v>46091</v>
      </c>
      <c r="E3399" s="1">
        <v>46091</v>
      </c>
      <c r="F3399" s="2">
        <v>36</v>
      </c>
      <c r="G3399" s="3" t="s">
        <v>23</v>
      </c>
      <c r="H3399">
        <v>0</v>
      </c>
      <c r="I3399" s="2">
        <v>0</v>
      </c>
      <c r="J3399" s="2">
        <v>1</v>
      </c>
      <c r="K3399" s="2">
        <v>0</v>
      </c>
      <c r="L3399" s="2">
        <v>0</v>
      </c>
      <c r="M3399">
        <v>0</v>
      </c>
      <c r="N3399">
        <v>0</v>
      </c>
      <c r="O3399" s="2">
        <v>0</v>
      </c>
      <c r="P3399" s="2">
        <v>0</v>
      </c>
      <c r="Q3399">
        <v>0</v>
      </c>
      <c r="R3399" s="2">
        <v>0</v>
      </c>
      <c r="S3399" s="2">
        <v>0</v>
      </c>
      <c r="T3399" t="s">
        <v>1687</v>
      </c>
      <c r="U3399" s="2">
        <v>0</v>
      </c>
      <c r="V3399" s="2">
        <v>30</v>
      </c>
      <c r="W3399" s="2">
        <v>2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</row>
    <row r="3400" spans="1:28" hidden="1" x14ac:dyDescent="0.25">
      <c r="A3400" t="s">
        <v>29</v>
      </c>
      <c r="B3400" t="s">
        <v>30</v>
      </c>
      <c r="C3400" t="s">
        <v>31</v>
      </c>
      <c r="D3400" s="1">
        <v>46091</v>
      </c>
      <c r="E3400" s="1">
        <v>46091</v>
      </c>
      <c r="F3400" s="2">
        <v>15</v>
      </c>
      <c r="G3400" s="3" t="s">
        <v>23</v>
      </c>
      <c r="H3400">
        <v>0</v>
      </c>
      <c r="I3400" s="2">
        <v>0</v>
      </c>
      <c r="J3400" s="2">
        <v>0</v>
      </c>
      <c r="K3400" s="2">
        <v>1</v>
      </c>
      <c r="L3400" s="2">
        <v>0</v>
      </c>
      <c r="M3400">
        <v>0</v>
      </c>
      <c r="N3400">
        <v>0</v>
      </c>
      <c r="O3400" s="2">
        <v>0</v>
      </c>
      <c r="P3400" s="2">
        <v>0</v>
      </c>
      <c r="Q3400">
        <v>0</v>
      </c>
      <c r="R3400" s="2">
        <v>0</v>
      </c>
      <c r="S3400" s="2">
        <v>0</v>
      </c>
      <c r="T3400" t="s">
        <v>1688</v>
      </c>
      <c r="U3400" s="2">
        <v>0</v>
      </c>
      <c r="V3400" s="2">
        <v>90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</row>
    <row r="3401" spans="1:28" hidden="1" x14ac:dyDescent="0.25">
      <c r="A3401" t="s">
        <v>568</v>
      </c>
      <c r="B3401" t="s">
        <v>1323</v>
      </c>
      <c r="C3401" t="s">
        <v>54</v>
      </c>
      <c r="D3401" s="1">
        <v>46091</v>
      </c>
      <c r="E3401" s="1">
        <v>46091</v>
      </c>
      <c r="F3401" s="2">
        <v>36</v>
      </c>
      <c r="G3401" s="3" t="s">
        <v>23</v>
      </c>
      <c r="H3401">
        <v>0</v>
      </c>
      <c r="I3401" s="2">
        <v>0</v>
      </c>
      <c r="J3401" s="2">
        <v>1</v>
      </c>
      <c r="K3401" s="2">
        <v>0</v>
      </c>
      <c r="L3401" s="2">
        <v>0</v>
      </c>
      <c r="M3401">
        <v>0</v>
      </c>
      <c r="N3401">
        <v>0</v>
      </c>
      <c r="O3401" s="2">
        <v>0</v>
      </c>
      <c r="P3401" s="2">
        <v>0</v>
      </c>
      <c r="Q3401">
        <v>0</v>
      </c>
      <c r="R3401" s="2">
        <v>0</v>
      </c>
      <c r="S3401" s="2">
        <v>0</v>
      </c>
      <c r="T3401" t="s">
        <v>1687</v>
      </c>
      <c r="U3401" s="2">
        <v>0</v>
      </c>
      <c r="V3401" s="2">
        <f>14+6+6</f>
        <v>26</v>
      </c>
      <c r="W3401" s="2">
        <f>1+2</f>
        <v>3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</row>
    <row r="3402" spans="1:28" hidden="1" x14ac:dyDescent="0.25">
      <c r="A3402" t="s">
        <v>1679</v>
      </c>
      <c r="B3402" t="s">
        <v>1680</v>
      </c>
      <c r="C3402" t="s">
        <v>1370</v>
      </c>
      <c r="D3402" s="1">
        <v>46091</v>
      </c>
      <c r="E3402" s="1">
        <v>46091</v>
      </c>
      <c r="F3402" s="2">
        <v>65</v>
      </c>
      <c r="G3402" s="3" t="s">
        <v>23</v>
      </c>
      <c r="H3402">
        <v>0</v>
      </c>
      <c r="I3402" s="2">
        <v>0</v>
      </c>
      <c r="J3402" s="2">
        <v>0</v>
      </c>
      <c r="K3402" s="2">
        <v>0</v>
      </c>
      <c r="L3402" s="2">
        <v>0</v>
      </c>
      <c r="M3402">
        <v>0</v>
      </c>
      <c r="N340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t="s">
        <v>1590</v>
      </c>
      <c r="U3402" s="2">
        <v>0</v>
      </c>
      <c r="V3402">
        <v>10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</row>
    <row r="3403" spans="1:28" hidden="1" x14ac:dyDescent="0.25">
      <c r="A3403" t="s">
        <v>47</v>
      </c>
      <c r="B3403" t="s">
        <v>1237</v>
      </c>
      <c r="C3403" t="s">
        <v>1370</v>
      </c>
      <c r="D3403" s="1">
        <v>46091</v>
      </c>
      <c r="E3403" s="1">
        <v>46091</v>
      </c>
      <c r="F3403" s="2">
        <v>65</v>
      </c>
      <c r="G3403" s="3" t="s">
        <v>572</v>
      </c>
      <c r="H3403">
        <v>0</v>
      </c>
      <c r="I3403" s="2">
        <v>0</v>
      </c>
      <c r="J3403" s="2">
        <v>0</v>
      </c>
      <c r="K3403" s="2">
        <v>0</v>
      </c>
      <c r="L3403" s="2">
        <v>0</v>
      </c>
      <c r="M3403">
        <v>0</v>
      </c>
      <c r="N3403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t="s">
        <v>1590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</row>
    <row r="3404" spans="1:28" hidden="1" x14ac:dyDescent="0.25">
      <c r="A3404" t="s">
        <v>730</v>
      </c>
      <c r="B3404" t="s">
        <v>47</v>
      </c>
      <c r="C3404" t="s">
        <v>1370</v>
      </c>
      <c r="D3404" s="1">
        <v>46091</v>
      </c>
      <c r="E3404" s="1">
        <v>46091</v>
      </c>
      <c r="F3404" s="2">
        <v>65</v>
      </c>
      <c r="G3404" s="3" t="s">
        <v>409</v>
      </c>
      <c r="H3404">
        <v>0</v>
      </c>
      <c r="I3404" s="2">
        <v>0</v>
      </c>
      <c r="J3404" s="2">
        <v>0</v>
      </c>
      <c r="K3404" s="2">
        <v>0</v>
      </c>
      <c r="L3404" s="2">
        <v>0</v>
      </c>
      <c r="M3404">
        <v>0</v>
      </c>
      <c r="N3404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t="s">
        <v>1590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</row>
    <row r="3405" spans="1:28" hidden="1" x14ac:dyDescent="0.25">
      <c r="A3405" t="s">
        <v>1431</v>
      </c>
      <c r="B3405" t="s">
        <v>47</v>
      </c>
      <c r="C3405" t="s">
        <v>1370</v>
      </c>
      <c r="D3405" s="1">
        <v>46091</v>
      </c>
      <c r="E3405" s="1">
        <v>46091</v>
      </c>
      <c r="F3405" s="2">
        <v>65</v>
      </c>
      <c r="G3405" s="3" t="s">
        <v>409</v>
      </c>
      <c r="H3405">
        <v>0</v>
      </c>
      <c r="I3405" s="2">
        <v>0</v>
      </c>
      <c r="J3405" s="2">
        <v>0</v>
      </c>
      <c r="K3405" s="2">
        <v>0</v>
      </c>
      <c r="L3405" s="2">
        <v>0</v>
      </c>
      <c r="M3405">
        <v>0</v>
      </c>
      <c r="N3405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t="s">
        <v>1590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</row>
    <row r="3406" spans="1:28" hidden="1" x14ac:dyDescent="0.25">
      <c r="A3406" t="s">
        <v>29</v>
      </c>
      <c r="B3406" t="s">
        <v>30</v>
      </c>
      <c r="C3406" t="s">
        <v>22</v>
      </c>
      <c r="D3406" s="1">
        <v>46092</v>
      </c>
      <c r="E3406" s="1">
        <v>46092</v>
      </c>
      <c r="F3406" s="2">
        <v>32</v>
      </c>
      <c r="G3406" s="3" t="s">
        <v>23</v>
      </c>
      <c r="H3406">
        <v>28</v>
      </c>
      <c r="I3406" s="2">
        <v>0</v>
      </c>
      <c r="J3406" s="2">
        <v>1</v>
      </c>
      <c r="K3406" s="2">
        <v>1</v>
      </c>
      <c r="L3406" s="2">
        <v>0</v>
      </c>
      <c r="M3406">
        <v>0</v>
      </c>
      <c r="N3406">
        <v>0</v>
      </c>
      <c r="O3406" s="2">
        <v>0</v>
      </c>
      <c r="P3406" s="2">
        <v>0</v>
      </c>
      <c r="Q3406">
        <v>0</v>
      </c>
      <c r="R3406" s="2">
        <v>0</v>
      </c>
      <c r="S3406" s="2">
        <v>0</v>
      </c>
      <c r="T3406" t="s">
        <v>1689</v>
      </c>
      <c r="U3406" s="2">
        <v>0</v>
      </c>
      <c r="V3406" s="2">
        <v>33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</row>
    <row r="3407" spans="1:28" hidden="1" x14ac:dyDescent="0.25">
      <c r="A3407" t="s">
        <v>47</v>
      </c>
      <c r="B3407" t="s">
        <v>1237</v>
      </c>
      <c r="C3407" t="s">
        <v>22</v>
      </c>
      <c r="D3407" s="1">
        <v>46092</v>
      </c>
      <c r="E3407" s="1">
        <v>46092</v>
      </c>
      <c r="F3407" s="2">
        <v>32</v>
      </c>
      <c r="G3407" s="3" t="s">
        <v>23</v>
      </c>
      <c r="H3407">
        <v>28</v>
      </c>
      <c r="I3407" s="2">
        <v>0</v>
      </c>
      <c r="J3407" s="2">
        <v>1</v>
      </c>
      <c r="K3407" s="2">
        <v>1</v>
      </c>
      <c r="L3407" s="2">
        <v>0</v>
      </c>
      <c r="M3407">
        <v>0</v>
      </c>
      <c r="N3407">
        <v>0</v>
      </c>
      <c r="O3407" s="2">
        <v>0</v>
      </c>
      <c r="P3407" s="2">
        <v>0</v>
      </c>
      <c r="Q3407">
        <v>0</v>
      </c>
      <c r="R3407" s="2">
        <v>0</v>
      </c>
      <c r="S3407" s="2">
        <v>0</v>
      </c>
      <c r="T3407" t="s">
        <v>1689</v>
      </c>
      <c r="U3407" s="2">
        <v>0</v>
      </c>
      <c r="V3407" s="2">
        <v>33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</row>
    <row r="3408" spans="1:28" hidden="1" x14ac:dyDescent="0.25">
      <c r="A3408" t="s">
        <v>37</v>
      </c>
      <c r="B3408" t="s">
        <v>57</v>
      </c>
      <c r="C3408" t="s">
        <v>173</v>
      </c>
      <c r="D3408" s="1">
        <v>46092</v>
      </c>
      <c r="E3408" s="1">
        <v>46092</v>
      </c>
      <c r="F3408" s="2">
        <v>34</v>
      </c>
      <c r="G3408" s="3" t="s">
        <v>23</v>
      </c>
      <c r="H3408">
        <v>64</v>
      </c>
      <c r="I3408" s="2">
        <v>0</v>
      </c>
      <c r="J3408" s="2">
        <v>0</v>
      </c>
      <c r="K3408" s="2">
        <v>0</v>
      </c>
      <c r="L3408" s="2">
        <v>1</v>
      </c>
      <c r="M3408">
        <v>0</v>
      </c>
      <c r="N3408">
        <v>0</v>
      </c>
      <c r="O3408" s="2">
        <v>0</v>
      </c>
      <c r="P3408" s="2">
        <v>0</v>
      </c>
      <c r="Q3408">
        <v>0</v>
      </c>
      <c r="R3408" s="2">
        <v>0</v>
      </c>
      <c r="S3408" s="2">
        <v>0</v>
      </c>
      <c r="T3408" t="s">
        <v>1690</v>
      </c>
      <c r="U3408" s="2">
        <v>0</v>
      </c>
      <c r="V3408" s="2">
        <v>38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</row>
    <row r="3409" spans="1:28" hidden="1" x14ac:dyDescent="0.25">
      <c r="A3409" t="s">
        <v>33</v>
      </c>
      <c r="B3409" t="s">
        <v>34</v>
      </c>
      <c r="C3409" t="s">
        <v>35</v>
      </c>
      <c r="D3409" s="1">
        <v>46092</v>
      </c>
      <c r="E3409" s="1">
        <v>46092</v>
      </c>
      <c r="F3409" s="2">
        <v>26</v>
      </c>
      <c r="G3409" s="3" t="s">
        <v>23</v>
      </c>
      <c r="H3409">
        <v>42</v>
      </c>
      <c r="I3409" s="2">
        <v>0</v>
      </c>
      <c r="J3409" s="2">
        <v>0</v>
      </c>
      <c r="K3409" s="2">
        <v>1</v>
      </c>
      <c r="L3409" s="2">
        <v>0</v>
      </c>
      <c r="M3409">
        <v>0</v>
      </c>
      <c r="N3409">
        <v>0</v>
      </c>
      <c r="O3409" s="2">
        <v>0</v>
      </c>
      <c r="P3409" s="2">
        <v>0</v>
      </c>
      <c r="Q3409">
        <v>0</v>
      </c>
      <c r="R3409" s="2">
        <v>0</v>
      </c>
      <c r="S3409" s="2">
        <v>0</v>
      </c>
      <c r="T3409" t="s">
        <v>1691</v>
      </c>
      <c r="U3409" s="2">
        <v>0</v>
      </c>
      <c r="V3409" s="2">
        <v>20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</row>
    <row r="3410" spans="1:28" hidden="1" x14ac:dyDescent="0.25">
      <c r="A3410" t="s">
        <v>20</v>
      </c>
      <c r="B3410" t="s">
        <v>21</v>
      </c>
      <c r="C3410" t="s">
        <v>22</v>
      </c>
      <c r="D3410" s="1">
        <v>46092</v>
      </c>
      <c r="E3410" s="1">
        <v>46092</v>
      </c>
      <c r="F3410" s="2">
        <v>32</v>
      </c>
      <c r="G3410" s="3" t="s">
        <v>23</v>
      </c>
      <c r="H3410">
        <v>40</v>
      </c>
      <c r="I3410" s="2">
        <v>0</v>
      </c>
      <c r="J3410" s="2">
        <v>1</v>
      </c>
      <c r="K3410" s="2">
        <v>1</v>
      </c>
      <c r="L3410" s="2">
        <v>0</v>
      </c>
      <c r="M3410">
        <v>0</v>
      </c>
      <c r="N3410">
        <v>0</v>
      </c>
      <c r="O3410" s="2">
        <v>0</v>
      </c>
      <c r="P3410" s="2">
        <v>0</v>
      </c>
      <c r="Q3410">
        <v>0</v>
      </c>
      <c r="R3410" s="2">
        <v>0</v>
      </c>
      <c r="S3410" s="2">
        <v>0</v>
      </c>
      <c r="T3410" t="s">
        <v>1689</v>
      </c>
      <c r="U3410" s="2">
        <v>0</v>
      </c>
      <c r="V3410" s="2">
        <v>21</v>
      </c>
      <c r="W3410" s="2">
        <v>9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</row>
    <row r="3411" spans="1:28" hidden="1" x14ac:dyDescent="0.25">
      <c r="A3411" t="s">
        <v>63</v>
      </c>
      <c r="B3411" t="s">
        <v>284</v>
      </c>
      <c r="C3411" t="s">
        <v>102</v>
      </c>
      <c r="D3411" s="1">
        <v>46092</v>
      </c>
      <c r="E3411" s="1">
        <v>46092</v>
      </c>
      <c r="F3411" s="2">
        <v>17</v>
      </c>
      <c r="G3411" s="3" t="s">
        <v>23</v>
      </c>
      <c r="H3411">
        <v>18</v>
      </c>
      <c r="I3411" s="2">
        <v>0</v>
      </c>
      <c r="J3411" s="2">
        <v>1</v>
      </c>
      <c r="K3411" s="2">
        <v>1</v>
      </c>
      <c r="L3411" s="2">
        <v>0</v>
      </c>
      <c r="M3411">
        <v>0</v>
      </c>
      <c r="N3411">
        <v>0</v>
      </c>
      <c r="O3411" s="2">
        <v>0</v>
      </c>
      <c r="P3411" s="2">
        <v>0</v>
      </c>
      <c r="Q3411">
        <v>1</v>
      </c>
      <c r="R3411" s="2">
        <v>0</v>
      </c>
      <c r="S3411" s="2">
        <v>0</v>
      </c>
      <c r="T3411" t="s">
        <v>1692</v>
      </c>
      <c r="U3411" s="2">
        <v>0</v>
      </c>
      <c r="V3411" s="2">
        <v>67</v>
      </c>
      <c r="W3411" s="2">
        <v>2</v>
      </c>
      <c r="X3411" s="2">
        <v>0</v>
      </c>
      <c r="Y3411" s="2">
        <v>0</v>
      </c>
      <c r="Z3411" s="2">
        <v>2</v>
      </c>
      <c r="AA3411" s="2">
        <v>0</v>
      </c>
      <c r="AB3411" s="2">
        <v>0</v>
      </c>
    </row>
    <row r="3412" spans="1:28" hidden="1" x14ac:dyDescent="0.25">
      <c r="A3412" t="s">
        <v>53</v>
      </c>
      <c r="B3412" t="s">
        <v>38</v>
      </c>
      <c r="C3412" t="s">
        <v>1370</v>
      </c>
      <c r="D3412" s="1">
        <v>46092</v>
      </c>
      <c r="E3412" s="1">
        <v>46092</v>
      </c>
      <c r="F3412" s="2">
        <v>65</v>
      </c>
      <c r="G3412" s="3" t="s">
        <v>23</v>
      </c>
      <c r="H3412">
        <v>0</v>
      </c>
      <c r="I3412" s="2">
        <v>0</v>
      </c>
      <c r="J3412" s="2">
        <v>0</v>
      </c>
      <c r="K3412" s="2">
        <v>0</v>
      </c>
      <c r="L3412" s="2">
        <v>0</v>
      </c>
      <c r="M3412">
        <v>0</v>
      </c>
      <c r="N3412">
        <v>0</v>
      </c>
      <c r="O3412" s="2">
        <v>0</v>
      </c>
      <c r="P3412" s="2">
        <v>0</v>
      </c>
      <c r="Q3412" s="2">
        <v>1</v>
      </c>
      <c r="R3412" s="2">
        <v>0</v>
      </c>
      <c r="S3412" s="2">
        <v>0</v>
      </c>
      <c r="T3412" t="s">
        <v>1590</v>
      </c>
      <c r="U3412" s="2">
        <v>0</v>
      </c>
      <c r="V3412" s="2">
        <f>4+4+1</f>
        <v>9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</row>
    <row r="3413" spans="1:28" hidden="1" x14ac:dyDescent="0.25">
      <c r="A3413" t="s">
        <v>25</v>
      </c>
      <c r="B3413" t="s">
        <v>26</v>
      </c>
      <c r="C3413" t="s">
        <v>1370</v>
      </c>
      <c r="D3413" s="1">
        <v>46092</v>
      </c>
      <c r="E3413" s="1">
        <v>46092</v>
      </c>
      <c r="F3413" s="2">
        <v>65</v>
      </c>
      <c r="G3413" s="3" t="s">
        <v>48</v>
      </c>
      <c r="H3413">
        <v>0</v>
      </c>
      <c r="I3413" s="2">
        <v>0</v>
      </c>
      <c r="J3413" s="2">
        <v>0</v>
      </c>
      <c r="K3413" s="2">
        <v>0</v>
      </c>
      <c r="L3413" s="2">
        <v>0</v>
      </c>
      <c r="M3413">
        <v>0</v>
      </c>
      <c r="N3413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t="s">
        <v>1590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</row>
    <row r="3414" spans="1:28" hidden="1" x14ac:dyDescent="0.25">
      <c r="A3414" t="s">
        <v>56</v>
      </c>
      <c r="B3414" t="s">
        <v>1160</v>
      </c>
      <c r="C3414" t="s">
        <v>1370</v>
      </c>
      <c r="D3414" s="1">
        <v>46092</v>
      </c>
      <c r="E3414" s="1">
        <v>46092</v>
      </c>
      <c r="F3414" s="2">
        <v>65</v>
      </c>
      <c r="G3414" s="3" t="s">
        <v>48</v>
      </c>
      <c r="H3414">
        <v>0</v>
      </c>
      <c r="I3414" s="2">
        <v>0</v>
      </c>
      <c r="J3414" s="2">
        <v>0</v>
      </c>
      <c r="K3414" s="2">
        <v>0</v>
      </c>
      <c r="L3414" s="2">
        <v>0</v>
      </c>
      <c r="M3414">
        <v>0</v>
      </c>
      <c r="N3414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t="s">
        <v>1590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</row>
    <row r="3415" spans="1:28" hidden="1" x14ac:dyDescent="0.25">
      <c r="A3415" t="s">
        <v>568</v>
      </c>
      <c r="B3415" t="s">
        <v>1323</v>
      </c>
      <c r="C3415" t="s">
        <v>1370</v>
      </c>
      <c r="D3415" s="1">
        <v>46092</v>
      </c>
      <c r="E3415" s="1">
        <v>46092</v>
      </c>
      <c r="F3415" s="2">
        <v>65</v>
      </c>
      <c r="G3415" s="3" t="s">
        <v>48</v>
      </c>
      <c r="H3415">
        <v>0</v>
      </c>
      <c r="I3415" s="2">
        <v>0</v>
      </c>
      <c r="J3415" s="2">
        <v>0</v>
      </c>
      <c r="K3415" s="2">
        <v>0</v>
      </c>
      <c r="L3415" s="2">
        <v>0</v>
      </c>
      <c r="M3415">
        <v>0</v>
      </c>
      <c r="N3415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t="s">
        <v>1590</v>
      </c>
      <c r="U3415" s="2">
        <v>0</v>
      </c>
      <c r="V3415" s="2">
        <v>0</v>
      </c>
      <c r="W3415" s="2">
        <v>2</v>
      </c>
      <c r="X3415" s="2">
        <v>0</v>
      </c>
      <c r="Y3415" s="2">
        <v>0</v>
      </c>
      <c r="Z3415" s="2">
        <v>2</v>
      </c>
      <c r="AA3415" s="2">
        <v>0</v>
      </c>
      <c r="AB3415" s="2">
        <v>0</v>
      </c>
    </row>
    <row r="3416" spans="1:28" hidden="1" x14ac:dyDescent="0.25">
      <c r="A3416" t="s">
        <v>730</v>
      </c>
      <c r="B3416" t="s">
        <v>47</v>
      </c>
      <c r="C3416" t="s">
        <v>1370</v>
      </c>
      <c r="D3416" s="1">
        <v>46092</v>
      </c>
      <c r="E3416" s="1">
        <v>46092</v>
      </c>
      <c r="F3416" s="2">
        <v>65</v>
      </c>
      <c r="G3416" s="3" t="s">
        <v>409</v>
      </c>
      <c r="H3416">
        <v>0</v>
      </c>
      <c r="I3416" s="2">
        <v>0</v>
      </c>
      <c r="J3416" s="2">
        <v>0</v>
      </c>
      <c r="K3416" s="2">
        <v>0</v>
      </c>
      <c r="L3416" s="2">
        <v>0</v>
      </c>
      <c r="M3416">
        <v>0</v>
      </c>
      <c r="N3416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t="s">
        <v>1590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</row>
    <row r="3417" spans="1:28" hidden="1" x14ac:dyDescent="0.25">
      <c r="A3417" t="s">
        <v>1431</v>
      </c>
      <c r="B3417" t="s">
        <v>47</v>
      </c>
      <c r="C3417" t="s">
        <v>1370</v>
      </c>
      <c r="D3417" s="1">
        <v>46092</v>
      </c>
      <c r="E3417" s="1">
        <v>46092</v>
      </c>
      <c r="F3417" s="2">
        <v>65</v>
      </c>
      <c r="G3417" s="3" t="s">
        <v>409</v>
      </c>
      <c r="H3417">
        <v>0</v>
      </c>
      <c r="I3417" s="2">
        <v>0</v>
      </c>
      <c r="J3417" s="2">
        <v>0</v>
      </c>
      <c r="K3417" s="2">
        <v>0</v>
      </c>
      <c r="L3417" s="2">
        <v>0</v>
      </c>
      <c r="M3417">
        <v>0</v>
      </c>
      <c r="N3417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t="s">
        <v>1590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</row>
    <row r="3418" spans="1:28" hidden="1" x14ac:dyDescent="0.25">
      <c r="A3418" t="s">
        <v>25</v>
      </c>
      <c r="B3418" t="s">
        <v>26</v>
      </c>
      <c r="C3418" t="s">
        <v>27</v>
      </c>
      <c r="D3418" s="1">
        <v>46093</v>
      </c>
      <c r="E3418" s="1">
        <v>46093</v>
      </c>
      <c r="F3418" s="2">
        <v>22</v>
      </c>
      <c r="G3418" s="3" t="s">
        <v>23</v>
      </c>
      <c r="H3418">
        <v>22</v>
      </c>
      <c r="I3418" s="2">
        <v>0</v>
      </c>
      <c r="J3418" s="2">
        <v>0</v>
      </c>
      <c r="K3418" s="2">
        <v>0</v>
      </c>
      <c r="L3418" s="2">
        <v>1</v>
      </c>
      <c r="M3418">
        <v>0</v>
      </c>
      <c r="N3418">
        <v>0</v>
      </c>
      <c r="O3418" s="2">
        <v>0</v>
      </c>
      <c r="P3418" s="2">
        <v>0</v>
      </c>
      <c r="Q3418">
        <v>0</v>
      </c>
      <c r="R3418" s="2">
        <v>0</v>
      </c>
      <c r="S3418" s="2">
        <v>0</v>
      </c>
      <c r="T3418" t="s">
        <v>1693</v>
      </c>
      <c r="U3418" s="2">
        <v>0</v>
      </c>
      <c r="V3418" s="2">
        <f>20+20+20+20+12+2</f>
        <v>94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</row>
    <row r="3419" spans="1:28" hidden="1" x14ac:dyDescent="0.25">
      <c r="A3419" t="s">
        <v>29</v>
      </c>
      <c r="B3419" t="s">
        <v>30</v>
      </c>
      <c r="C3419" t="s">
        <v>27</v>
      </c>
      <c r="D3419" s="1">
        <v>46093</v>
      </c>
      <c r="E3419" s="1">
        <v>46093</v>
      </c>
      <c r="F3419" s="2">
        <v>22</v>
      </c>
      <c r="G3419" s="3" t="s">
        <v>23</v>
      </c>
      <c r="H3419">
        <v>32</v>
      </c>
      <c r="I3419" s="2">
        <v>0</v>
      </c>
      <c r="J3419" s="2">
        <v>0</v>
      </c>
      <c r="K3419" s="2">
        <v>1</v>
      </c>
      <c r="L3419" s="2">
        <v>0</v>
      </c>
      <c r="M3419">
        <v>0</v>
      </c>
      <c r="N3419">
        <v>0</v>
      </c>
      <c r="O3419" s="2">
        <v>0</v>
      </c>
      <c r="P3419" s="2">
        <v>0</v>
      </c>
      <c r="Q3419">
        <v>0</v>
      </c>
      <c r="R3419" s="2">
        <v>0</v>
      </c>
      <c r="S3419" s="2">
        <v>0</v>
      </c>
      <c r="T3419" t="s">
        <v>1693</v>
      </c>
      <c r="U3419" s="2">
        <v>0</v>
      </c>
      <c r="V3419" s="2">
        <f>22+20+22+20</f>
        <v>84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</row>
    <row r="3420" spans="1:28" hidden="1" x14ac:dyDescent="0.25">
      <c r="A3420" t="s">
        <v>33</v>
      </c>
      <c r="B3420" t="s">
        <v>34</v>
      </c>
      <c r="C3420" t="s">
        <v>35</v>
      </c>
      <c r="D3420" s="1">
        <v>46093</v>
      </c>
      <c r="E3420" s="1">
        <v>46093</v>
      </c>
      <c r="F3420" s="2">
        <v>31</v>
      </c>
      <c r="G3420" s="3" t="s">
        <v>23</v>
      </c>
      <c r="H3420">
        <v>36</v>
      </c>
      <c r="I3420" s="2">
        <v>0</v>
      </c>
      <c r="J3420" s="2">
        <v>0</v>
      </c>
      <c r="K3420" s="2">
        <v>1</v>
      </c>
      <c r="L3420" s="2">
        <v>0</v>
      </c>
      <c r="M3420">
        <v>0</v>
      </c>
      <c r="N3420">
        <v>0</v>
      </c>
      <c r="O3420" s="2">
        <v>0</v>
      </c>
      <c r="P3420" s="2">
        <v>0</v>
      </c>
      <c r="Q3420">
        <v>1</v>
      </c>
      <c r="R3420" s="2">
        <v>0</v>
      </c>
      <c r="S3420" s="2">
        <v>0</v>
      </c>
      <c r="T3420" t="s">
        <v>1694</v>
      </c>
      <c r="U3420" s="2">
        <v>0</v>
      </c>
      <c r="V3420" s="2">
        <f>20+20+20+20+14</f>
        <v>94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</row>
    <row r="3421" spans="1:28" hidden="1" x14ac:dyDescent="0.25">
      <c r="A3421" t="s">
        <v>53</v>
      </c>
      <c r="B3421" t="s">
        <v>21</v>
      </c>
      <c r="C3421" t="s">
        <v>54</v>
      </c>
      <c r="D3421" s="1">
        <v>46093</v>
      </c>
      <c r="E3421" s="1">
        <v>46093</v>
      </c>
      <c r="F3421" s="2">
        <v>107</v>
      </c>
      <c r="G3421" s="3" t="s">
        <v>23</v>
      </c>
      <c r="H3421">
        <v>40</v>
      </c>
      <c r="I3421" s="2">
        <v>0</v>
      </c>
      <c r="J3421" s="2">
        <v>0</v>
      </c>
      <c r="K3421" s="2">
        <v>1</v>
      </c>
      <c r="L3421" s="2">
        <v>0</v>
      </c>
      <c r="M3421">
        <v>0</v>
      </c>
      <c r="N3421">
        <v>0</v>
      </c>
      <c r="O3421" s="2">
        <v>0</v>
      </c>
      <c r="P3421" s="2">
        <v>0</v>
      </c>
      <c r="Q3421">
        <v>0</v>
      </c>
      <c r="R3421" s="2">
        <v>0</v>
      </c>
      <c r="S3421" s="2">
        <v>0</v>
      </c>
      <c r="T3421" t="s">
        <v>1695</v>
      </c>
      <c r="U3421" s="2">
        <v>0</v>
      </c>
      <c r="V3421" s="2">
        <f>22+20+22+20+18</f>
        <v>102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</row>
    <row r="3422" spans="1:28" hidden="1" x14ac:dyDescent="0.25">
      <c r="A3422" t="s">
        <v>63</v>
      </c>
      <c r="B3422" t="s">
        <v>1237</v>
      </c>
      <c r="C3422" t="s">
        <v>54</v>
      </c>
      <c r="D3422" s="1">
        <v>46093</v>
      </c>
      <c r="E3422" s="1">
        <v>46093</v>
      </c>
      <c r="F3422" s="2">
        <v>107</v>
      </c>
      <c r="G3422" s="3" t="s">
        <v>23</v>
      </c>
      <c r="H3422">
        <v>20</v>
      </c>
      <c r="I3422" s="2">
        <v>0</v>
      </c>
      <c r="J3422" s="2">
        <v>0</v>
      </c>
      <c r="K3422" s="2">
        <v>1</v>
      </c>
      <c r="L3422" s="2">
        <v>0</v>
      </c>
      <c r="M3422">
        <v>0</v>
      </c>
      <c r="N3422">
        <v>0</v>
      </c>
      <c r="O3422" s="2">
        <v>0</v>
      </c>
      <c r="P3422" s="2">
        <v>0</v>
      </c>
      <c r="Q3422">
        <v>0</v>
      </c>
      <c r="R3422" s="2">
        <v>0</v>
      </c>
      <c r="S3422" s="2">
        <v>0</v>
      </c>
      <c r="T3422" t="s">
        <v>1695</v>
      </c>
      <c r="U3422" s="2">
        <v>0</v>
      </c>
      <c r="V3422" s="2">
        <f>22+20+22+20</f>
        <v>84</v>
      </c>
      <c r="W3422" s="2">
        <v>0</v>
      </c>
      <c r="X3422" s="2">
        <v>18</v>
      </c>
      <c r="Y3422" s="2">
        <v>0</v>
      </c>
      <c r="Z3422" s="2">
        <v>0</v>
      </c>
      <c r="AA3422" s="2">
        <v>0</v>
      </c>
      <c r="AB3422" s="2">
        <v>0</v>
      </c>
    </row>
    <row r="3423" spans="1:28" hidden="1" x14ac:dyDescent="0.25">
      <c r="A3423" t="s">
        <v>568</v>
      </c>
      <c r="B3423" t="s">
        <v>1323</v>
      </c>
      <c r="C3423" t="s">
        <v>54</v>
      </c>
      <c r="D3423" s="1">
        <v>46093</v>
      </c>
      <c r="E3423" s="1">
        <v>46093</v>
      </c>
      <c r="F3423" s="2">
        <v>107</v>
      </c>
      <c r="G3423" s="3" t="s">
        <v>23</v>
      </c>
      <c r="H3423">
        <v>20</v>
      </c>
      <c r="I3423" s="2">
        <v>0</v>
      </c>
      <c r="J3423" s="2">
        <v>0</v>
      </c>
      <c r="K3423" s="2">
        <v>1</v>
      </c>
      <c r="L3423" s="2">
        <v>0</v>
      </c>
      <c r="M3423">
        <v>0</v>
      </c>
      <c r="N3423">
        <v>0</v>
      </c>
      <c r="O3423" s="2">
        <v>0</v>
      </c>
      <c r="P3423" s="2">
        <v>0</v>
      </c>
      <c r="Q3423">
        <v>0</v>
      </c>
      <c r="R3423" s="2">
        <v>0</v>
      </c>
      <c r="S3423" s="2">
        <v>0</v>
      </c>
      <c r="T3423" t="s">
        <v>1695</v>
      </c>
      <c r="U3423" s="2">
        <v>0</v>
      </c>
      <c r="V3423" s="2">
        <v>0</v>
      </c>
      <c r="W3423" s="2">
        <v>0</v>
      </c>
      <c r="X3423" s="2">
        <v>18</v>
      </c>
      <c r="Y3423" s="2">
        <v>0</v>
      </c>
      <c r="Z3423" s="2">
        <v>0</v>
      </c>
      <c r="AA3423" s="2">
        <v>0</v>
      </c>
      <c r="AB3423" s="2">
        <v>0</v>
      </c>
    </row>
    <row r="3424" spans="1:28" hidden="1" x14ac:dyDescent="0.25">
      <c r="A3424" t="s">
        <v>47</v>
      </c>
      <c r="B3424" t="s">
        <v>38</v>
      </c>
      <c r="C3424" t="s">
        <v>54</v>
      </c>
      <c r="D3424" s="1">
        <v>46093</v>
      </c>
      <c r="E3424" s="1">
        <v>46093</v>
      </c>
      <c r="F3424" s="2">
        <v>107</v>
      </c>
      <c r="G3424" s="3" t="s">
        <v>23</v>
      </c>
      <c r="H3424">
        <v>20</v>
      </c>
      <c r="I3424" s="2">
        <v>0</v>
      </c>
      <c r="J3424" s="2">
        <v>0</v>
      </c>
      <c r="K3424" s="2">
        <v>1</v>
      </c>
      <c r="L3424" s="2">
        <v>0</v>
      </c>
      <c r="M3424">
        <v>0</v>
      </c>
      <c r="N3424">
        <v>0</v>
      </c>
      <c r="O3424" s="2">
        <v>0</v>
      </c>
      <c r="P3424" s="2">
        <v>0</v>
      </c>
      <c r="Q3424">
        <v>0</v>
      </c>
      <c r="R3424" s="2">
        <v>0</v>
      </c>
      <c r="S3424" s="2">
        <v>0</v>
      </c>
      <c r="T3424" t="s">
        <v>1695</v>
      </c>
      <c r="U3424" s="2">
        <v>0</v>
      </c>
      <c r="V3424" s="2">
        <v>0</v>
      </c>
      <c r="W3424" s="2">
        <v>0</v>
      </c>
      <c r="X3424" s="2">
        <v>18</v>
      </c>
      <c r="Y3424" s="2">
        <v>0</v>
      </c>
      <c r="Z3424" s="2">
        <v>0</v>
      </c>
      <c r="AA3424" s="2">
        <v>0</v>
      </c>
      <c r="AB3424" s="2">
        <v>0</v>
      </c>
    </row>
    <row r="3425" spans="1:28" hidden="1" x14ac:dyDescent="0.25">
      <c r="A3425" t="s">
        <v>56</v>
      </c>
      <c r="B3425" t="s">
        <v>1160</v>
      </c>
      <c r="C3425" t="s">
        <v>64</v>
      </c>
      <c r="D3425" s="1">
        <v>46093</v>
      </c>
      <c r="E3425" s="1">
        <v>46093</v>
      </c>
      <c r="F3425" s="2">
        <v>36</v>
      </c>
      <c r="G3425" s="3" t="s">
        <v>23</v>
      </c>
      <c r="H3425">
        <v>20</v>
      </c>
      <c r="I3425" s="2">
        <v>0</v>
      </c>
      <c r="J3425" s="2">
        <v>0</v>
      </c>
      <c r="K3425" s="2">
        <v>1</v>
      </c>
      <c r="L3425" s="2">
        <v>0</v>
      </c>
      <c r="M3425">
        <v>0</v>
      </c>
      <c r="N3425">
        <v>0</v>
      </c>
      <c r="O3425" s="2">
        <v>0</v>
      </c>
      <c r="P3425" s="2">
        <v>0</v>
      </c>
      <c r="Q3425">
        <v>0</v>
      </c>
      <c r="R3425" s="2">
        <v>0</v>
      </c>
      <c r="S3425" s="2">
        <v>0</v>
      </c>
      <c r="T3425" t="s">
        <v>1696</v>
      </c>
      <c r="U3425" s="2">
        <v>0</v>
      </c>
      <c r="V3425" s="2">
        <f>44+44</f>
        <v>88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</row>
    <row r="3426" spans="1:28" hidden="1" x14ac:dyDescent="0.25">
      <c r="A3426" t="s">
        <v>1679</v>
      </c>
      <c r="B3426" t="s">
        <v>1680</v>
      </c>
      <c r="C3426" t="s">
        <v>1370</v>
      </c>
      <c r="D3426" s="1">
        <v>46093</v>
      </c>
      <c r="E3426" s="1">
        <v>46093</v>
      </c>
      <c r="F3426" s="2">
        <v>65</v>
      </c>
      <c r="G3426" s="3" t="s">
        <v>23</v>
      </c>
      <c r="H3426">
        <v>0</v>
      </c>
      <c r="I3426" s="2">
        <v>0</v>
      </c>
      <c r="J3426" s="2">
        <v>0</v>
      </c>
      <c r="K3426" s="2">
        <v>0</v>
      </c>
      <c r="L3426" s="2">
        <v>0</v>
      </c>
      <c r="M3426">
        <v>0</v>
      </c>
      <c r="N3426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t="s">
        <v>1590</v>
      </c>
      <c r="U3426" s="2">
        <v>0</v>
      </c>
      <c r="V3426" s="2">
        <v>8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</row>
    <row r="3427" spans="1:28" hidden="1" x14ac:dyDescent="0.25">
      <c r="A3427" t="s">
        <v>37</v>
      </c>
      <c r="B3427" t="s">
        <v>57</v>
      </c>
      <c r="C3427" t="s">
        <v>1370</v>
      </c>
      <c r="D3427" s="1">
        <v>46093</v>
      </c>
      <c r="E3427" s="1">
        <v>46093</v>
      </c>
      <c r="F3427" s="2">
        <v>65</v>
      </c>
      <c r="G3427" s="3" t="s">
        <v>48</v>
      </c>
      <c r="H3427">
        <v>0</v>
      </c>
      <c r="I3427" s="2">
        <v>0</v>
      </c>
      <c r="J3427" s="2">
        <v>0</v>
      </c>
      <c r="K3427" s="2">
        <v>0</v>
      </c>
      <c r="L3427" s="2">
        <v>0</v>
      </c>
      <c r="M3427">
        <v>0</v>
      </c>
      <c r="N3427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t="s">
        <v>1590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</row>
    <row r="3428" spans="1:28" hidden="1" x14ac:dyDescent="0.25">
      <c r="A3428" t="s">
        <v>20</v>
      </c>
      <c r="B3428" t="s">
        <v>47</v>
      </c>
      <c r="C3428" t="s">
        <v>1370</v>
      </c>
      <c r="D3428" s="1">
        <v>46093</v>
      </c>
      <c r="E3428" s="1">
        <v>46093</v>
      </c>
      <c r="F3428" s="2">
        <v>65</v>
      </c>
      <c r="G3428" s="3" t="s">
        <v>48</v>
      </c>
      <c r="H3428">
        <v>0</v>
      </c>
      <c r="I3428" s="2">
        <v>0</v>
      </c>
      <c r="J3428" s="2">
        <v>0</v>
      </c>
      <c r="K3428" s="2">
        <v>0</v>
      </c>
      <c r="L3428" s="2">
        <v>0</v>
      </c>
      <c r="M3428">
        <v>0</v>
      </c>
      <c r="N3428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t="s">
        <v>1590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</row>
    <row r="3429" spans="1:28" hidden="1" x14ac:dyDescent="0.25">
      <c r="A3429" t="s">
        <v>47</v>
      </c>
      <c r="B3429" t="s">
        <v>284</v>
      </c>
      <c r="C3429" t="s">
        <v>1370</v>
      </c>
      <c r="D3429" s="1">
        <v>46093</v>
      </c>
      <c r="E3429" s="1">
        <v>46093</v>
      </c>
      <c r="F3429" s="2">
        <v>65</v>
      </c>
      <c r="G3429" s="3" t="s">
        <v>48</v>
      </c>
      <c r="H3429">
        <v>0</v>
      </c>
      <c r="I3429" s="2">
        <v>0</v>
      </c>
      <c r="J3429" s="2">
        <v>0</v>
      </c>
      <c r="K3429" s="2">
        <v>0</v>
      </c>
      <c r="L3429" s="2">
        <v>0</v>
      </c>
      <c r="M3429">
        <v>0</v>
      </c>
      <c r="N3429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t="s">
        <v>1590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</row>
    <row r="3430" spans="1:28" hidden="1" x14ac:dyDescent="0.25">
      <c r="A3430" t="s">
        <v>730</v>
      </c>
      <c r="B3430" t="s">
        <v>47</v>
      </c>
      <c r="C3430" t="s">
        <v>1370</v>
      </c>
      <c r="D3430" s="1">
        <v>46093</v>
      </c>
      <c r="E3430" s="1">
        <v>46093</v>
      </c>
      <c r="F3430" s="2">
        <v>65</v>
      </c>
      <c r="G3430" s="3" t="s">
        <v>409</v>
      </c>
      <c r="H3430">
        <v>0</v>
      </c>
      <c r="I3430" s="2">
        <v>0</v>
      </c>
      <c r="J3430" s="2">
        <v>0</v>
      </c>
      <c r="K3430" s="2">
        <v>0</v>
      </c>
      <c r="L3430" s="2">
        <v>0</v>
      </c>
      <c r="M3430">
        <v>0</v>
      </c>
      <c r="N3430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t="s">
        <v>1590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</row>
    <row r="3431" spans="1:28" hidden="1" x14ac:dyDescent="0.25">
      <c r="A3431" t="s">
        <v>1431</v>
      </c>
      <c r="B3431" t="s">
        <v>47</v>
      </c>
      <c r="C3431" t="s">
        <v>1370</v>
      </c>
      <c r="D3431" s="1">
        <v>46093</v>
      </c>
      <c r="E3431" s="1">
        <v>46093</v>
      </c>
      <c r="F3431" s="2">
        <v>65</v>
      </c>
      <c r="G3431" s="3" t="s">
        <v>409</v>
      </c>
      <c r="H3431">
        <v>0</v>
      </c>
      <c r="I3431" s="2">
        <v>0</v>
      </c>
      <c r="J3431" s="2">
        <v>0</v>
      </c>
      <c r="K3431" s="2">
        <v>0</v>
      </c>
      <c r="L3431" s="2">
        <v>0</v>
      </c>
      <c r="M3431">
        <v>0</v>
      </c>
      <c r="N3431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t="s">
        <v>1590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</row>
    <row r="3432" spans="1:28" hidden="1" x14ac:dyDescent="0.25">
      <c r="A3432" t="s">
        <v>25</v>
      </c>
      <c r="B3432" t="s">
        <v>26</v>
      </c>
      <c r="C3432" t="s">
        <v>27</v>
      </c>
      <c r="D3432" s="1">
        <v>46094</v>
      </c>
      <c r="E3432" s="1">
        <v>46094</v>
      </c>
      <c r="F3432" s="2">
        <v>28</v>
      </c>
      <c r="G3432" s="3" t="s">
        <v>23</v>
      </c>
      <c r="H3432">
        <v>26</v>
      </c>
      <c r="I3432" s="2">
        <v>0</v>
      </c>
      <c r="J3432" s="2">
        <v>0</v>
      </c>
      <c r="K3432" s="2">
        <v>0</v>
      </c>
      <c r="L3432" s="2">
        <v>1</v>
      </c>
      <c r="M3432">
        <v>0</v>
      </c>
      <c r="N3432">
        <v>0</v>
      </c>
      <c r="O3432" s="2">
        <v>0</v>
      </c>
      <c r="P3432" s="2">
        <v>0</v>
      </c>
      <c r="Q3432">
        <v>0</v>
      </c>
      <c r="R3432" s="2">
        <v>0</v>
      </c>
      <c r="S3432" s="2">
        <v>0</v>
      </c>
      <c r="T3432" t="s">
        <v>1697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</row>
    <row r="3433" spans="1:28" hidden="1" x14ac:dyDescent="0.25">
      <c r="A3433" t="s">
        <v>37</v>
      </c>
      <c r="B3433" t="s">
        <v>57</v>
      </c>
      <c r="C3433" t="s">
        <v>173</v>
      </c>
      <c r="D3433" s="1">
        <v>46094</v>
      </c>
      <c r="E3433" s="1">
        <v>46094</v>
      </c>
      <c r="F3433" s="2">
        <v>18</v>
      </c>
      <c r="G3433" s="3" t="s">
        <v>23</v>
      </c>
      <c r="H3433">
        <v>16</v>
      </c>
      <c r="I3433" s="2">
        <v>0</v>
      </c>
      <c r="J3433" s="2">
        <v>0</v>
      </c>
      <c r="K3433" s="2">
        <v>1</v>
      </c>
      <c r="L3433" s="2">
        <v>0</v>
      </c>
      <c r="M3433">
        <v>0</v>
      </c>
      <c r="N3433">
        <v>0</v>
      </c>
      <c r="O3433" s="2">
        <v>0</v>
      </c>
      <c r="P3433" s="2">
        <v>0</v>
      </c>
      <c r="Q3433">
        <v>2</v>
      </c>
      <c r="R3433" s="2">
        <v>0</v>
      </c>
      <c r="S3433" s="2">
        <v>0</v>
      </c>
      <c r="T3433" t="s">
        <v>1698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</row>
    <row r="3434" spans="1:28" hidden="1" x14ac:dyDescent="0.25">
      <c r="A3434" t="s">
        <v>53</v>
      </c>
      <c r="B3434" t="s">
        <v>38</v>
      </c>
      <c r="C3434" t="s">
        <v>54</v>
      </c>
      <c r="D3434" s="1">
        <v>46094</v>
      </c>
      <c r="E3434" s="1">
        <v>46094</v>
      </c>
      <c r="F3434" s="2">
        <v>50</v>
      </c>
      <c r="G3434" s="3" t="s">
        <v>23</v>
      </c>
      <c r="H3434">
        <v>36</v>
      </c>
      <c r="I3434" s="2">
        <v>0</v>
      </c>
      <c r="J3434" s="2">
        <v>0</v>
      </c>
      <c r="K3434" s="2">
        <v>1</v>
      </c>
      <c r="L3434" s="2">
        <v>0</v>
      </c>
      <c r="M3434">
        <v>0</v>
      </c>
      <c r="N3434">
        <v>0</v>
      </c>
      <c r="O3434" s="2">
        <v>0</v>
      </c>
      <c r="P3434" s="2">
        <v>0</v>
      </c>
      <c r="Q3434">
        <v>0</v>
      </c>
      <c r="R3434" s="2">
        <v>0</v>
      </c>
      <c r="S3434" s="2">
        <v>0</v>
      </c>
      <c r="T3434" t="s">
        <v>1699</v>
      </c>
      <c r="U3434" s="2">
        <v>0</v>
      </c>
      <c r="V3434" s="2">
        <v>3</v>
      </c>
      <c r="W3434" s="2">
        <v>0</v>
      </c>
      <c r="X3434" s="2">
        <v>0</v>
      </c>
      <c r="Y3434" s="2">
        <v>0</v>
      </c>
      <c r="Z3434" s="2">
        <v>1</v>
      </c>
      <c r="AA3434" s="2">
        <v>0</v>
      </c>
      <c r="AB3434" s="2">
        <v>0</v>
      </c>
    </row>
    <row r="3435" spans="1:28" hidden="1" x14ac:dyDescent="0.25">
      <c r="A3435" t="s">
        <v>20</v>
      </c>
      <c r="B3435" t="s">
        <v>21</v>
      </c>
      <c r="C3435" t="s">
        <v>22</v>
      </c>
      <c r="D3435" s="1">
        <v>46094</v>
      </c>
      <c r="E3435" s="1">
        <v>46094</v>
      </c>
      <c r="F3435" s="2">
        <v>25</v>
      </c>
      <c r="G3435" s="3" t="s">
        <v>23</v>
      </c>
      <c r="H3435">
        <v>28</v>
      </c>
      <c r="I3435" s="2">
        <v>0</v>
      </c>
      <c r="J3435" s="2">
        <v>1</v>
      </c>
      <c r="K3435" s="2">
        <v>1</v>
      </c>
      <c r="L3435" s="2">
        <v>0</v>
      </c>
      <c r="M3435">
        <v>0</v>
      </c>
      <c r="N3435">
        <v>0</v>
      </c>
      <c r="O3435" s="2">
        <v>0</v>
      </c>
      <c r="P3435" s="2">
        <v>0</v>
      </c>
      <c r="Q3435">
        <v>0</v>
      </c>
      <c r="R3435" s="2">
        <v>0</v>
      </c>
      <c r="S3435" s="2">
        <v>0</v>
      </c>
      <c r="T3435" t="s">
        <v>1700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</row>
    <row r="3436" spans="1:28" hidden="1" x14ac:dyDescent="0.25">
      <c r="A3436" t="s">
        <v>568</v>
      </c>
      <c r="B3436" t="s">
        <v>284</v>
      </c>
      <c r="C3436" t="s">
        <v>670</v>
      </c>
      <c r="D3436" s="1">
        <v>46094</v>
      </c>
      <c r="E3436" s="1">
        <v>46094</v>
      </c>
      <c r="F3436" s="2">
        <v>184</v>
      </c>
      <c r="G3436" s="3" t="s">
        <v>23</v>
      </c>
      <c r="H3436">
        <v>32</v>
      </c>
      <c r="I3436" s="2">
        <v>0</v>
      </c>
      <c r="J3436" s="2">
        <v>1</v>
      </c>
      <c r="K3436" s="2">
        <v>0</v>
      </c>
      <c r="L3436" s="2">
        <v>0</v>
      </c>
      <c r="M3436">
        <v>0</v>
      </c>
      <c r="N3436">
        <v>0</v>
      </c>
      <c r="O3436" s="2">
        <v>0</v>
      </c>
      <c r="P3436" s="2">
        <v>0</v>
      </c>
      <c r="Q3436">
        <v>1</v>
      </c>
      <c r="R3436" s="2">
        <v>0</v>
      </c>
      <c r="S3436" s="2">
        <v>0</v>
      </c>
      <c r="T3436" t="s">
        <v>1701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</row>
    <row r="3437" spans="1:28" hidden="1" x14ac:dyDescent="0.25">
      <c r="A3437" t="s">
        <v>47</v>
      </c>
      <c r="B3437" t="s">
        <v>1323</v>
      </c>
      <c r="C3437" t="s">
        <v>670</v>
      </c>
      <c r="D3437" s="1">
        <v>46094</v>
      </c>
      <c r="E3437" s="1">
        <v>46094</v>
      </c>
      <c r="F3437" s="2">
        <v>184</v>
      </c>
      <c r="G3437" s="3" t="s">
        <v>23</v>
      </c>
      <c r="H3437">
        <v>32</v>
      </c>
      <c r="I3437" s="2">
        <v>0</v>
      </c>
      <c r="J3437" s="2">
        <v>1</v>
      </c>
      <c r="K3437" s="2">
        <v>0</v>
      </c>
      <c r="L3437" s="2">
        <v>0</v>
      </c>
      <c r="M3437">
        <v>0</v>
      </c>
      <c r="N3437">
        <v>0</v>
      </c>
      <c r="O3437" s="2">
        <v>0</v>
      </c>
      <c r="P3437" s="2">
        <v>0</v>
      </c>
      <c r="Q3437">
        <v>1</v>
      </c>
      <c r="R3437" s="2">
        <v>0</v>
      </c>
      <c r="S3437" s="2">
        <v>0</v>
      </c>
      <c r="T3437" t="s">
        <v>1701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</row>
    <row r="3438" spans="1:28" hidden="1" x14ac:dyDescent="0.25">
      <c r="A3438" t="s">
        <v>56</v>
      </c>
      <c r="B3438" t="s">
        <v>1160</v>
      </c>
      <c r="C3438" t="s">
        <v>64</v>
      </c>
      <c r="D3438" s="1">
        <v>46094</v>
      </c>
      <c r="E3438" s="1">
        <v>46094</v>
      </c>
      <c r="F3438" s="2">
        <v>36</v>
      </c>
      <c r="G3438" s="3" t="s">
        <v>23</v>
      </c>
      <c r="H3438">
        <v>16</v>
      </c>
      <c r="I3438" s="2">
        <v>0</v>
      </c>
      <c r="J3438" s="2">
        <v>1</v>
      </c>
      <c r="K3438" s="2">
        <v>1</v>
      </c>
      <c r="L3438" s="2">
        <v>0</v>
      </c>
      <c r="M3438">
        <v>0</v>
      </c>
      <c r="N3438">
        <v>0</v>
      </c>
      <c r="O3438" s="2">
        <v>0</v>
      </c>
      <c r="P3438" s="2">
        <v>0</v>
      </c>
      <c r="Q3438">
        <v>0</v>
      </c>
      <c r="R3438" s="2">
        <v>0</v>
      </c>
      <c r="S3438" s="2">
        <v>0</v>
      </c>
      <c r="T3438" t="s">
        <v>1702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</row>
    <row r="3439" spans="1:28" hidden="1" x14ac:dyDescent="0.25">
      <c r="A3439" t="s">
        <v>29</v>
      </c>
      <c r="B3439" t="s">
        <v>30</v>
      </c>
      <c r="C3439" t="s">
        <v>64</v>
      </c>
      <c r="D3439" s="19">
        <v>46094</v>
      </c>
      <c r="E3439" s="19">
        <v>46094</v>
      </c>
      <c r="F3439" s="2">
        <v>36</v>
      </c>
      <c r="G3439" s="3" t="s">
        <v>23</v>
      </c>
      <c r="H3439">
        <v>0</v>
      </c>
      <c r="I3439" s="2">
        <v>0</v>
      </c>
      <c r="J3439" s="2">
        <v>0</v>
      </c>
      <c r="K3439" s="2">
        <v>0</v>
      </c>
      <c r="L3439" s="2">
        <v>0</v>
      </c>
      <c r="M3439">
        <v>0</v>
      </c>
      <c r="N3439">
        <v>0</v>
      </c>
      <c r="O3439" s="2">
        <v>0</v>
      </c>
      <c r="P3439" s="2">
        <v>0</v>
      </c>
      <c r="Q3439">
        <v>0</v>
      </c>
      <c r="R3439" s="2">
        <v>0</v>
      </c>
      <c r="S3439" s="2">
        <v>0</v>
      </c>
      <c r="T3439" t="s">
        <v>1702</v>
      </c>
      <c r="U3439" s="2">
        <v>0</v>
      </c>
      <c r="V3439" s="2">
        <v>22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</row>
    <row r="3440" spans="1:28" hidden="1" x14ac:dyDescent="0.25">
      <c r="A3440" t="s">
        <v>47</v>
      </c>
      <c r="B3440" t="s">
        <v>47</v>
      </c>
      <c r="C3440" t="s">
        <v>1370</v>
      </c>
      <c r="D3440" s="1">
        <v>46094</v>
      </c>
      <c r="E3440" s="1">
        <v>46094</v>
      </c>
      <c r="F3440" s="2">
        <v>65</v>
      </c>
      <c r="G3440" s="3" t="s">
        <v>572</v>
      </c>
      <c r="H3440">
        <v>0</v>
      </c>
      <c r="I3440" s="2">
        <v>0</v>
      </c>
      <c r="J3440" s="2">
        <v>0</v>
      </c>
      <c r="K3440" s="2">
        <v>0</v>
      </c>
      <c r="L3440" s="2">
        <v>0</v>
      </c>
      <c r="M3440">
        <v>0</v>
      </c>
      <c r="N3440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t="s">
        <v>1590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</row>
    <row r="3441" spans="1:28" hidden="1" x14ac:dyDescent="0.25">
      <c r="A3441" t="s">
        <v>33</v>
      </c>
      <c r="B3441" t="s">
        <v>34</v>
      </c>
      <c r="C3441" t="s">
        <v>1370</v>
      </c>
      <c r="D3441" s="1">
        <v>46094</v>
      </c>
      <c r="E3441" s="1">
        <v>46094</v>
      </c>
      <c r="F3441" s="2">
        <v>65</v>
      </c>
      <c r="G3441" s="3" t="s">
        <v>48</v>
      </c>
      <c r="H3441">
        <v>0</v>
      </c>
      <c r="I3441" s="2">
        <v>0</v>
      </c>
      <c r="J3441" s="2">
        <v>0</v>
      </c>
      <c r="K3441" s="2">
        <v>0</v>
      </c>
      <c r="L3441" s="2">
        <v>0</v>
      </c>
      <c r="M3441">
        <v>0</v>
      </c>
      <c r="N3441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t="s">
        <v>1590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</row>
    <row r="3442" spans="1:28" hidden="1" x14ac:dyDescent="0.25">
      <c r="A3442" t="s">
        <v>47</v>
      </c>
      <c r="B3442" t="s">
        <v>47</v>
      </c>
      <c r="C3442" t="s">
        <v>1370</v>
      </c>
      <c r="D3442" s="1">
        <v>46094</v>
      </c>
      <c r="E3442" s="1">
        <v>46094</v>
      </c>
      <c r="F3442" s="2">
        <v>65</v>
      </c>
      <c r="G3442" s="3" t="s">
        <v>48</v>
      </c>
      <c r="H3442">
        <v>0</v>
      </c>
      <c r="I3442" s="2">
        <v>0</v>
      </c>
      <c r="J3442" s="2">
        <v>0</v>
      </c>
      <c r="K3442" s="2">
        <v>0</v>
      </c>
      <c r="L3442" s="2">
        <v>0</v>
      </c>
      <c r="M3442">
        <v>0</v>
      </c>
      <c r="N344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t="s">
        <v>1590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</row>
    <row r="3443" spans="1:28" hidden="1" x14ac:dyDescent="0.25">
      <c r="A3443" t="s">
        <v>63</v>
      </c>
      <c r="B3443" t="s">
        <v>47</v>
      </c>
      <c r="C3443" t="s">
        <v>1370</v>
      </c>
      <c r="D3443" s="1">
        <v>46094</v>
      </c>
      <c r="E3443" s="1">
        <v>46094</v>
      </c>
      <c r="F3443" s="2">
        <v>65</v>
      </c>
      <c r="G3443" s="3" t="s">
        <v>48</v>
      </c>
      <c r="H3443">
        <v>0</v>
      </c>
      <c r="I3443" s="2">
        <v>0</v>
      </c>
      <c r="J3443" s="2">
        <v>0</v>
      </c>
      <c r="K3443" s="2">
        <v>0</v>
      </c>
      <c r="L3443" s="2">
        <v>0</v>
      </c>
      <c r="M3443">
        <v>0</v>
      </c>
      <c r="N3443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t="s">
        <v>1590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</row>
    <row r="3444" spans="1:28" hidden="1" x14ac:dyDescent="0.25">
      <c r="A3444" t="s">
        <v>730</v>
      </c>
      <c r="B3444" t="s">
        <v>47</v>
      </c>
      <c r="C3444" t="s">
        <v>1370</v>
      </c>
      <c r="D3444" s="1">
        <v>46094</v>
      </c>
      <c r="E3444" s="1">
        <v>46094</v>
      </c>
      <c r="F3444" s="2">
        <v>65</v>
      </c>
      <c r="G3444" s="3" t="s">
        <v>23</v>
      </c>
      <c r="H3444">
        <v>0</v>
      </c>
      <c r="I3444" s="2">
        <v>0</v>
      </c>
      <c r="J3444" s="2">
        <v>0</v>
      </c>
      <c r="K3444" s="2">
        <v>0</v>
      </c>
      <c r="L3444" s="2">
        <v>0</v>
      </c>
      <c r="M3444">
        <v>0</v>
      </c>
      <c r="N3444">
        <v>0</v>
      </c>
      <c r="O3444" s="2">
        <v>0</v>
      </c>
      <c r="P3444" s="2">
        <v>0</v>
      </c>
      <c r="Q3444" s="2">
        <v>2</v>
      </c>
      <c r="R3444" s="2">
        <v>0</v>
      </c>
      <c r="S3444" s="2">
        <v>0</v>
      </c>
      <c r="T3444" t="s">
        <v>1590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</row>
    <row r="3445" spans="1:28" hidden="1" x14ac:dyDescent="0.25">
      <c r="A3445" t="s">
        <v>1431</v>
      </c>
      <c r="B3445" t="s">
        <v>47</v>
      </c>
      <c r="C3445" t="s">
        <v>1370</v>
      </c>
      <c r="D3445" s="1">
        <v>46094</v>
      </c>
      <c r="E3445" s="1">
        <v>46094</v>
      </c>
      <c r="F3445" s="2">
        <v>65</v>
      </c>
      <c r="G3445" s="3" t="s">
        <v>409</v>
      </c>
      <c r="H3445">
        <v>0</v>
      </c>
      <c r="I3445" s="2">
        <v>0</v>
      </c>
      <c r="J3445" s="2">
        <v>0</v>
      </c>
      <c r="K3445" s="2">
        <v>0</v>
      </c>
      <c r="L3445" s="2">
        <v>0</v>
      </c>
      <c r="M3445">
        <v>0</v>
      </c>
      <c r="N3445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t="s">
        <v>1590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</row>
    <row r="3446" spans="1:28" hidden="1" x14ac:dyDescent="0.25">
      <c r="A3446" t="s">
        <v>25</v>
      </c>
      <c r="B3446" t="s">
        <v>26</v>
      </c>
      <c r="C3446" t="s">
        <v>27</v>
      </c>
      <c r="D3446" s="9">
        <v>46095</v>
      </c>
      <c r="E3446" s="9">
        <v>46095</v>
      </c>
      <c r="F3446" s="2">
        <v>24</v>
      </c>
      <c r="G3446" s="3" t="s">
        <v>23</v>
      </c>
      <c r="H3446">
        <v>0</v>
      </c>
      <c r="I3446" s="2">
        <v>0</v>
      </c>
      <c r="J3446" s="2">
        <v>0</v>
      </c>
      <c r="K3446" s="2">
        <v>0</v>
      </c>
      <c r="L3446" s="2">
        <v>0</v>
      </c>
      <c r="M3446">
        <v>0</v>
      </c>
      <c r="N3446">
        <v>0</v>
      </c>
      <c r="O3446" s="2">
        <v>1</v>
      </c>
      <c r="P3446" s="2">
        <v>0</v>
      </c>
      <c r="Q3446">
        <v>0</v>
      </c>
      <c r="R3446" s="2">
        <v>1</v>
      </c>
      <c r="S3446" s="2">
        <v>0</v>
      </c>
      <c r="T3446" t="s">
        <v>1703</v>
      </c>
      <c r="U3446" s="2">
        <v>14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</row>
    <row r="3447" spans="1:28" hidden="1" x14ac:dyDescent="0.25">
      <c r="A3447" t="s">
        <v>37</v>
      </c>
      <c r="B3447" t="s">
        <v>57</v>
      </c>
      <c r="C3447" t="s">
        <v>64</v>
      </c>
      <c r="D3447" s="9">
        <v>46095</v>
      </c>
      <c r="E3447" s="9">
        <v>46095</v>
      </c>
      <c r="F3447" s="2">
        <v>169</v>
      </c>
      <c r="G3447" s="3" t="s">
        <v>23</v>
      </c>
      <c r="H3447">
        <v>0</v>
      </c>
      <c r="I3447" s="2">
        <v>0</v>
      </c>
      <c r="J3447" s="2">
        <v>0</v>
      </c>
      <c r="K3447" s="2">
        <v>0</v>
      </c>
      <c r="L3447" s="2">
        <v>0</v>
      </c>
      <c r="M3447">
        <v>0</v>
      </c>
      <c r="N3447">
        <v>0</v>
      </c>
      <c r="O3447" s="2">
        <v>0</v>
      </c>
      <c r="P3447" s="2">
        <v>0</v>
      </c>
      <c r="Q3447">
        <v>4</v>
      </c>
      <c r="R3447" s="2">
        <v>1</v>
      </c>
      <c r="S3447" s="2">
        <v>0</v>
      </c>
      <c r="T3447" t="s">
        <v>1704</v>
      </c>
      <c r="U3447" s="2">
        <f>12+5</f>
        <v>17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1</v>
      </c>
      <c r="AB3447" s="2">
        <v>0</v>
      </c>
    </row>
    <row r="3448" spans="1:28" hidden="1" x14ac:dyDescent="0.25">
      <c r="A3448" t="s">
        <v>33</v>
      </c>
      <c r="B3448" t="s">
        <v>34</v>
      </c>
      <c r="C3448" t="s">
        <v>35</v>
      </c>
      <c r="D3448" s="9">
        <v>46095</v>
      </c>
      <c r="E3448" s="9">
        <v>46095</v>
      </c>
      <c r="F3448" s="2">
        <v>39</v>
      </c>
      <c r="G3448" s="3" t="s">
        <v>23</v>
      </c>
      <c r="H3448">
        <v>0</v>
      </c>
      <c r="I3448" s="2">
        <v>0</v>
      </c>
      <c r="J3448" s="2">
        <v>0</v>
      </c>
      <c r="K3448" s="2">
        <v>0</v>
      </c>
      <c r="L3448" s="2">
        <v>0</v>
      </c>
      <c r="M3448">
        <v>0</v>
      </c>
      <c r="N3448">
        <v>0</v>
      </c>
      <c r="O3448" s="2">
        <v>1</v>
      </c>
      <c r="P3448" s="2">
        <v>0</v>
      </c>
      <c r="Q3448">
        <v>0</v>
      </c>
      <c r="R3448" s="2">
        <v>1</v>
      </c>
      <c r="S3448" s="2">
        <v>0</v>
      </c>
      <c r="T3448" t="s">
        <v>1705</v>
      </c>
      <c r="U3448" s="2">
        <v>21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</row>
    <row r="3449" spans="1:28" hidden="1" x14ac:dyDescent="0.25">
      <c r="A3449" t="s">
        <v>20</v>
      </c>
      <c r="B3449" t="s">
        <v>21</v>
      </c>
      <c r="C3449" t="s">
        <v>22</v>
      </c>
      <c r="D3449" s="9">
        <v>46095</v>
      </c>
      <c r="E3449" s="9">
        <v>46095</v>
      </c>
      <c r="F3449" s="2">
        <v>61</v>
      </c>
      <c r="G3449" s="3" t="s">
        <v>23</v>
      </c>
      <c r="H3449">
        <v>0</v>
      </c>
      <c r="I3449" s="2">
        <v>0</v>
      </c>
      <c r="J3449" s="2">
        <v>0</v>
      </c>
      <c r="K3449" s="2">
        <v>0</v>
      </c>
      <c r="L3449" s="2">
        <v>0</v>
      </c>
      <c r="M3449">
        <v>0</v>
      </c>
      <c r="N3449">
        <v>0</v>
      </c>
      <c r="O3449" s="2">
        <v>1</v>
      </c>
      <c r="P3449" s="2">
        <v>0</v>
      </c>
      <c r="Q3449">
        <v>2</v>
      </c>
      <c r="R3449" s="2">
        <v>1</v>
      </c>
      <c r="S3449" s="2">
        <v>0</v>
      </c>
      <c r="T3449" t="s">
        <v>1706</v>
      </c>
      <c r="U3449" s="2">
        <v>20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</row>
    <row r="3450" spans="1:28" hidden="1" x14ac:dyDescent="0.25">
      <c r="A3450" t="s">
        <v>47</v>
      </c>
      <c r="B3450" t="s">
        <v>38</v>
      </c>
      <c r="C3450" t="s">
        <v>22</v>
      </c>
      <c r="D3450" s="9">
        <v>46095</v>
      </c>
      <c r="E3450" s="9">
        <v>46095</v>
      </c>
      <c r="F3450" s="2">
        <v>61</v>
      </c>
      <c r="G3450" s="3" t="s">
        <v>23</v>
      </c>
      <c r="H3450">
        <v>0</v>
      </c>
      <c r="I3450" s="2">
        <v>0</v>
      </c>
      <c r="J3450" s="2">
        <v>0</v>
      </c>
      <c r="K3450" s="2">
        <v>0</v>
      </c>
      <c r="L3450" s="2">
        <v>0</v>
      </c>
      <c r="M3450">
        <v>0</v>
      </c>
      <c r="N3450">
        <v>0</v>
      </c>
      <c r="O3450" s="2">
        <v>1</v>
      </c>
      <c r="P3450" s="2">
        <v>0</v>
      </c>
      <c r="Q3450">
        <v>2</v>
      </c>
      <c r="R3450" s="2">
        <v>1</v>
      </c>
      <c r="S3450" s="2">
        <v>0</v>
      </c>
      <c r="T3450" t="s">
        <v>1706</v>
      </c>
      <c r="U3450" s="2">
        <v>20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</row>
    <row r="3451" spans="1:28" hidden="1" x14ac:dyDescent="0.25">
      <c r="A3451" t="s">
        <v>63</v>
      </c>
      <c r="B3451" t="s">
        <v>284</v>
      </c>
      <c r="C3451" t="s">
        <v>102</v>
      </c>
      <c r="D3451" s="9">
        <v>46095</v>
      </c>
      <c r="E3451" s="9">
        <v>46095</v>
      </c>
      <c r="F3451" s="2">
        <v>28</v>
      </c>
      <c r="G3451" s="3" t="s">
        <v>23</v>
      </c>
      <c r="H3451">
        <v>0</v>
      </c>
      <c r="I3451" s="2">
        <v>0</v>
      </c>
      <c r="J3451" s="2">
        <v>0</v>
      </c>
      <c r="K3451" s="2">
        <v>0</v>
      </c>
      <c r="L3451" s="2">
        <v>0</v>
      </c>
      <c r="M3451">
        <v>1</v>
      </c>
      <c r="N3451">
        <v>0</v>
      </c>
      <c r="O3451" s="2">
        <v>1</v>
      </c>
      <c r="P3451" s="2">
        <v>0</v>
      </c>
      <c r="Q3451">
        <v>10</v>
      </c>
      <c r="R3451" s="2">
        <v>1</v>
      </c>
      <c r="S3451" s="2">
        <v>0</v>
      </c>
      <c r="T3451" t="s">
        <v>1707</v>
      </c>
      <c r="U3451" s="2">
        <v>15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</row>
    <row r="3452" spans="1:28" hidden="1" x14ac:dyDescent="0.25">
      <c r="A3452" t="s">
        <v>56</v>
      </c>
      <c r="B3452" t="s">
        <v>1160</v>
      </c>
      <c r="C3452" t="s">
        <v>64</v>
      </c>
      <c r="D3452" s="9">
        <v>46095</v>
      </c>
      <c r="E3452" s="9">
        <v>46095</v>
      </c>
      <c r="F3452" s="2">
        <v>50</v>
      </c>
      <c r="G3452" s="3" t="s">
        <v>23</v>
      </c>
      <c r="H3452">
        <v>0</v>
      </c>
      <c r="I3452" s="2">
        <v>0</v>
      </c>
      <c r="J3452" s="2">
        <v>0</v>
      </c>
      <c r="K3452" s="2">
        <v>0</v>
      </c>
      <c r="L3452" s="2">
        <v>0</v>
      </c>
      <c r="M3452">
        <v>0</v>
      </c>
      <c r="N3452">
        <v>0</v>
      </c>
      <c r="O3452" s="2">
        <v>1</v>
      </c>
      <c r="P3452" s="2">
        <v>0</v>
      </c>
      <c r="Q3452">
        <v>4</v>
      </c>
      <c r="R3452" s="2">
        <v>1</v>
      </c>
      <c r="S3452" s="2">
        <v>0</v>
      </c>
      <c r="T3452" t="s">
        <v>1708</v>
      </c>
      <c r="U3452" s="2">
        <v>18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</row>
    <row r="3453" spans="1:28" hidden="1" x14ac:dyDescent="0.25">
      <c r="A3453" t="s">
        <v>47</v>
      </c>
      <c r="B3453" t="s">
        <v>1323</v>
      </c>
      <c r="C3453" t="s">
        <v>64</v>
      </c>
      <c r="D3453" s="9">
        <v>46095</v>
      </c>
      <c r="E3453" s="9">
        <v>46095</v>
      </c>
      <c r="F3453" s="2">
        <v>50</v>
      </c>
      <c r="G3453" s="3" t="s">
        <v>23</v>
      </c>
      <c r="H3453">
        <v>0</v>
      </c>
      <c r="I3453" s="2">
        <v>0</v>
      </c>
      <c r="J3453" s="2">
        <v>0</v>
      </c>
      <c r="K3453" s="2">
        <v>0</v>
      </c>
      <c r="L3453" s="2">
        <v>0</v>
      </c>
      <c r="M3453">
        <v>0</v>
      </c>
      <c r="N3453">
        <v>0</v>
      </c>
      <c r="O3453" s="2">
        <v>1</v>
      </c>
      <c r="P3453" s="2">
        <v>0</v>
      </c>
      <c r="Q3453">
        <v>4</v>
      </c>
      <c r="R3453" s="2">
        <v>1</v>
      </c>
      <c r="S3453" s="2">
        <v>0</v>
      </c>
      <c r="T3453" t="s">
        <v>1708</v>
      </c>
      <c r="U3453" s="2">
        <v>18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</row>
    <row r="3454" spans="1:28" hidden="1" x14ac:dyDescent="0.25">
      <c r="A3454" t="s">
        <v>568</v>
      </c>
      <c r="B3454" t="s">
        <v>47</v>
      </c>
      <c r="C3454" t="s">
        <v>1370</v>
      </c>
      <c r="D3454" s="9">
        <v>46095</v>
      </c>
      <c r="E3454" s="9">
        <v>46095</v>
      </c>
      <c r="F3454" s="2">
        <v>65</v>
      </c>
      <c r="G3454" s="3" t="s">
        <v>378</v>
      </c>
      <c r="H3454">
        <v>0</v>
      </c>
      <c r="I3454" s="2">
        <v>0</v>
      </c>
      <c r="J3454" s="2">
        <v>0</v>
      </c>
      <c r="K3454" s="2">
        <v>0</v>
      </c>
      <c r="L3454" s="2">
        <v>0</v>
      </c>
      <c r="M3454">
        <v>0</v>
      </c>
      <c r="N3454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t="s">
        <v>1590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</row>
    <row r="3455" spans="1:28" hidden="1" x14ac:dyDescent="0.25">
      <c r="A3455" t="s">
        <v>53</v>
      </c>
      <c r="B3455" t="s">
        <v>47</v>
      </c>
      <c r="C3455" t="s">
        <v>1370</v>
      </c>
      <c r="D3455" s="9">
        <v>46095</v>
      </c>
      <c r="E3455" s="9">
        <v>46095</v>
      </c>
      <c r="F3455" s="2">
        <v>65</v>
      </c>
      <c r="G3455" s="3" t="s">
        <v>378</v>
      </c>
      <c r="H3455">
        <v>0</v>
      </c>
      <c r="I3455" s="2">
        <v>0</v>
      </c>
      <c r="J3455" s="2">
        <v>0</v>
      </c>
      <c r="K3455" s="2">
        <v>0</v>
      </c>
      <c r="L3455" s="2">
        <v>0</v>
      </c>
      <c r="M3455">
        <v>0</v>
      </c>
      <c r="N3455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t="s">
        <v>1590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</row>
    <row r="3456" spans="1:28" hidden="1" x14ac:dyDescent="0.25">
      <c r="A3456" t="s">
        <v>29</v>
      </c>
      <c r="B3456" t="s">
        <v>30</v>
      </c>
      <c r="C3456" t="s">
        <v>1370</v>
      </c>
      <c r="D3456" s="9">
        <v>46095</v>
      </c>
      <c r="E3456" s="9">
        <v>46095</v>
      </c>
      <c r="F3456" s="2">
        <v>65</v>
      </c>
      <c r="G3456" s="3" t="s">
        <v>378</v>
      </c>
      <c r="H3456">
        <v>0</v>
      </c>
      <c r="I3456" s="2">
        <v>0</v>
      </c>
      <c r="J3456" s="2">
        <v>0</v>
      </c>
      <c r="K3456" s="2">
        <v>0</v>
      </c>
      <c r="L3456" s="2">
        <v>0</v>
      </c>
      <c r="M3456">
        <v>0</v>
      </c>
      <c r="N3456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t="s">
        <v>1590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</row>
    <row r="3457" spans="1:28" hidden="1" x14ac:dyDescent="0.25">
      <c r="A3457" t="s">
        <v>25</v>
      </c>
      <c r="B3457" t="s">
        <v>26</v>
      </c>
      <c r="C3457" t="s">
        <v>27</v>
      </c>
      <c r="D3457" s="9">
        <v>46096</v>
      </c>
      <c r="E3457" s="9">
        <v>46096</v>
      </c>
      <c r="F3457" s="2">
        <v>29</v>
      </c>
      <c r="G3457" s="3" t="s">
        <v>23</v>
      </c>
      <c r="H3457">
        <v>0</v>
      </c>
      <c r="I3457" s="2">
        <v>0</v>
      </c>
      <c r="J3457" s="2">
        <v>0</v>
      </c>
      <c r="K3457" s="2">
        <v>0</v>
      </c>
      <c r="L3457" s="2">
        <v>0</v>
      </c>
      <c r="M3457">
        <v>0</v>
      </c>
      <c r="N3457">
        <v>0</v>
      </c>
      <c r="O3457" s="2">
        <v>0</v>
      </c>
      <c r="P3457" s="2">
        <v>0</v>
      </c>
      <c r="Q3457">
        <v>2</v>
      </c>
      <c r="R3457" s="2">
        <v>0</v>
      </c>
      <c r="S3457" s="2">
        <v>1</v>
      </c>
      <c r="T3457" t="s">
        <v>1709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1</v>
      </c>
    </row>
    <row r="3458" spans="1:28" hidden="1" x14ac:dyDescent="0.25">
      <c r="A3458" t="s">
        <v>37</v>
      </c>
      <c r="B3458" t="s">
        <v>57</v>
      </c>
      <c r="C3458" t="s">
        <v>173</v>
      </c>
      <c r="D3458" s="9">
        <v>46096</v>
      </c>
      <c r="E3458" s="9">
        <v>46096</v>
      </c>
      <c r="F3458" s="2">
        <v>22</v>
      </c>
      <c r="G3458" s="3" t="s">
        <v>23</v>
      </c>
      <c r="H3458">
        <v>0</v>
      </c>
      <c r="I3458" s="2">
        <v>0</v>
      </c>
      <c r="J3458" s="2">
        <v>0</v>
      </c>
      <c r="K3458" s="2">
        <v>0</v>
      </c>
      <c r="L3458" s="2">
        <v>0</v>
      </c>
      <c r="M3458">
        <v>0</v>
      </c>
      <c r="N3458">
        <v>0</v>
      </c>
      <c r="O3458" s="2">
        <v>0</v>
      </c>
      <c r="P3458" s="2">
        <v>1</v>
      </c>
      <c r="Q3458">
        <v>0</v>
      </c>
      <c r="R3458" s="2">
        <v>0</v>
      </c>
      <c r="S3458" s="2">
        <v>1</v>
      </c>
      <c r="T3458" t="s">
        <v>1710</v>
      </c>
      <c r="U3458" s="2">
        <v>16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</row>
    <row r="3459" spans="1:28" hidden="1" x14ac:dyDescent="0.25">
      <c r="A3459" t="s">
        <v>33</v>
      </c>
      <c r="B3459" t="s">
        <v>34</v>
      </c>
      <c r="C3459" t="s">
        <v>35</v>
      </c>
      <c r="D3459" s="9">
        <v>46096</v>
      </c>
      <c r="E3459" s="9">
        <v>46096</v>
      </c>
      <c r="F3459" s="2">
        <v>38</v>
      </c>
      <c r="G3459" s="3" t="s">
        <v>23</v>
      </c>
      <c r="H3459">
        <v>0</v>
      </c>
      <c r="I3459" s="2">
        <v>0</v>
      </c>
      <c r="J3459" s="2">
        <v>0</v>
      </c>
      <c r="K3459" s="2">
        <v>0</v>
      </c>
      <c r="L3459" s="2">
        <v>0</v>
      </c>
      <c r="M3459">
        <v>0</v>
      </c>
      <c r="N3459">
        <v>0</v>
      </c>
      <c r="O3459" s="2">
        <v>0</v>
      </c>
      <c r="P3459" s="2">
        <v>1</v>
      </c>
      <c r="Q3459">
        <v>0</v>
      </c>
      <c r="R3459" s="2">
        <v>0</v>
      </c>
      <c r="S3459" s="2">
        <v>1</v>
      </c>
      <c r="T3459" t="s">
        <v>1711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</row>
    <row r="3460" spans="1:28" hidden="1" x14ac:dyDescent="0.25">
      <c r="A3460" t="s">
        <v>20</v>
      </c>
      <c r="B3460" t="s">
        <v>21</v>
      </c>
      <c r="C3460" t="s">
        <v>22</v>
      </c>
      <c r="D3460" s="9">
        <v>46096</v>
      </c>
      <c r="E3460" s="9">
        <v>46096</v>
      </c>
      <c r="F3460" s="2">
        <v>48</v>
      </c>
      <c r="G3460" s="3" t="s">
        <v>23</v>
      </c>
      <c r="H3460">
        <v>0</v>
      </c>
      <c r="I3460" s="2">
        <v>0</v>
      </c>
      <c r="J3460" s="2">
        <v>0</v>
      </c>
      <c r="K3460" s="2">
        <v>0</v>
      </c>
      <c r="L3460" s="2">
        <v>0</v>
      </c>
      <c r="M3460">
        <v>0</v>
      </c>
      <c r="N3460">
        <v>0</v>
      </c>
      <c r="O3460" s="2">
        <v>0</v>
      </c>
      <c r="P3460" s="2">
        <v>1</v>
      </c>
      <c r="Q3460">
        <v>0</v>
      </c>
      <c r="R3460" s="2">
        <v>0</v>
      </c>
      <c r="S3460" s="2">
        <v>1</v>
      </c>
      <c r="T3460" t="s">
        <v>1712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</row>
    <row r="3461" spans="1:28" hidden="1" x14ac:dyDescent="0.25">
      <c r="A3461" t="s">
        <v>63</v>
      </c>
      <c r="B3461" t="s">
        <v>284</v>
      </c>
      <c r="C3461" t="s">
        <v>102</v>
      </c>
      <c r="D3461" s="9">
        <v>46096</v>
      </c>
      <c r="E3461" s="9">
        <v>46096</v>
      </c>
      <c r="F3461" s="2">
        <v>33</v>
      </c>
      <c r="G3461" s="3" t="s">
        <v>23</v>
      </c>
      <c r="H3461">
        <v>0</v>
      </c>
      <c r="I3461" s="2">
        <v>0</v>
      </c>
      <c r="J3461" s="2">
        <v>0</v>
      </c>
      <c r="K3461" s="2">
        <v>0</v>
      </c>
      <c r="L3461" s="2">
        <v>0</v>
      </c>
      <c r="M3461">
        <v>0</v>
      </c>
      <c r="N3461">
        <v>0</v>
      </c>
      <c r="O3461" s="2">
        <v>0</v>
      </c>
      <c r="P3461" s="2">
        <v>1</v>
      </c>
      <c r="Q3461">
        <v>7</v>
      </c>
      <c r="R3461" s="2">
        <v>0</v>
      </c>
      <c r="S3461" s="2">
        <v>1</v>
      </c>
      <c r="T3461" t="s">
        <v>1713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</row>
    <row r="3462" spans="1:28" hidden="1" x14ac:dyDescent="0.25">
      <c r="A3462" t="s">
        <v>56</v>
      </c>
      <c r="B3462" t="s">
        <v>1160</v>
      </c>
      <c r="C3462" t="s">
        <v>64</v>
      </c>
      <c r="D3462" s="9">
        <v>46096</v>
      </c>
      <c r="E3462" s="9">
        <v>46096</v>
      </c>
      <c r="F3462" s="2">
        <v>37</v>
      </c>
      <c r="G3462" s="3" t="s">
        <v>23</v>
      </c>
      <c r="H3462">
        <v>0</v>
      </c>
      <c r="I3462" s="2">
        <v>0</v>
      </c>
      <c r="J3462" s="2">
        <v>0</v>
      </c>
      <c r="K3462" s="2">
        <v>0</v>
      </c>
      <c r="L3462" s="2">
        <v>0</v>
      </c>
      <c r="M3462">
        <v>0</v>
      </c>
      <c r="N3462">
        <v>0</v>
      </c>
      <c r="O3462" s="2">
        <v>0</v>
      </c>
      <c r="P3462" s="2">
        <v>1</v>
      </c>
      <c r="Q3462">
        <v>2</v>
      </c>
      <c r="R3462" s="2">
        <v>0</v>
      </c>
      <c r="S3462" s="2">
        <v>1</v>
      </c>
      <c r="T3462" t="s">
        <v>1714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</row>
    <row r="3463" spans="1:28" hidden="1" x14ac:dyDescent="0.25">
      <c r="A3463" t="s">
        <v>568</v>
      </c>
      <c r="B3463" t="s">
        <v>1323</v>
      </c>
      <c r="C3463" t="s">
        <v>1370</v>
      </c>
      <c r="D3463" s="9">
        <v>46096</v>
      </c>
      <c r="E3463" s="9">
        <v>46096</v>
      </c>
      <c r="F3463" s="2">
        <v>65</v>
      </c>
      <c r="G3463" s="3" t="s">
        <v>378</v>
      </c>
      <c r="H3463">
        <v>0</v>
      </c>
      <c r="I3463" s="2">
        <v>0</v>
      </c>
      <c r="J3463" s="2">
        <v>0</v>
      </c>
      <c r="K3463" s="2">
        <v>0</v>
      </c>
      <c r="L3463" s="2">
        <v>0</v>
      </c>
      <c r="M3463">
        <v>0</v>
      </c>
      <c r="N3463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t="s">
        <v>1590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</row>
    <row r="3464" spans="1:28" hidden="1" x14ac:dyDescent="0.25">
      <c r="A3464" t="s">
        <v>53</v>
      </c>
      <c r="B3464" t="s">
        <v>38</v>
      </c>
      <c r="C3464" t="s">
        <v>1370</v>
      </c>
      <c r="D3464" s="9">
        <v>46096</v>
      </c>
      <c r="E3464" s="9">
        <v>46096</v>
      </c>
      <c r="F3464" s="2">
        <v>65</v>
      </c>
      <c r="G3464" s="3" t="s">
        <v>378</v>
      </c>
      <c r="H3464">
        <v>0</v>
      </c>
      <c r="I3464" s="2">
        <v>0</v>
      </c>
      <c r="J3464" s="2">
        <v>0</v>
      </c>
      <c r="K3464" s="2">
        <v>0</v>
      </c>
      <c r="L3464" s="2">
        <v>0</v>
      </c>
      <c r="M3464">
        <v>0</v>
      </c>
      <c r="N3464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t="s">
        <v>1590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</row>
    <row r="3465" spans="1:28" hidden="1" x14ac:dyDescent="0.25">
      <c r="A3465" t="s">
        <v>29</v>
      </c>
      <c r="B3465" t="s">
        <v>30</v>
      </c>
      <c r="C3465" t="s">
        <v>1370</v>
      </c>
      <c r="D3465" s="9">
        <v>46096</v>
      </c>
      <c r="E3465" s="9">
        <v>46096</v>
      </c>
      <c r="F3465" s="2">
        <v>65</v>
      </c>
      <c r="G3465" s="3" t="s">
        <v>378</v>
      </c>
      <c r="H3465">
        <v>0</v>
      </c>
      <c r="I3465" s="2">
        <v>0</v>
      </c>
      <c r="J3465" s="2">
        <v>0</v>
      </c>
      <c r="K3465" s="2">
        <v>0</v>
      </c>
      <c r="L3465" s="2">
        <v>0</v>
      </c>
      <c r="M3465">
        <v>0</v>
      </c>
      <c r="N3465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t="s">
        <v>1590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</row>
    <row r="3466" spans="1:28" hidden="1" x14ac:dyDescent="0.25">
      <c r="A3466" t="s">
        <v>25</v>
      </c>
      <c r="B3466" t="s">
        <v>26</v>
      </c>
      <c r="C3466" t="s">
        <v>27</v>
      </c>
      <c r="D3466" s="1">
        <v>46097</v>
      </c>
      <c r="E3466" s="1">
        <v>46097</v>
      </c>
      <c r="F3466" s="2">
        <v>20</v>
      </c>
      <c r="G3466" s="3" t="s">
        <v>23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>
        <v>0</v>
      </c>
      <c r="N3466">
        <v>0</v>
      </c>
      <c r="O3466" s="2">
        <v>0</v>
      </c>
      <c r="P3466" s="2">
        <v>0</v>
      </c>
      <c r="Q3466">
        <v>0</v>
      </c>
      <c r="R3466" s="2">
        <v>0</v>
      </c>
      <c r="S3466" s="2">
        <v>0</v>
      </c>
      <c r="T3466" t="s">
        <v>1715</v>
      </c>
      <c r="U3466" s="2">
        <v>0</v>
      </c>
      <c r="V3466">
        <v>60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</row>
    <row r="3467" spans="1:28" hidden="1" x14ac:dyDescent="0.25">
      <c r="A3467" t="s">
        <v>37</v>
      </c>
      <c r="B3467" t="s">
        <v>57</v>
      </c>
      <c r="C3467" t="s">
        <v>173</v>
      </c>
      <c r="D3467" s="1">
        <v>46097</v>
      </c>
      <c r="E3467" s="1">
        <v>46097</v>
      </c>
      <c r="F3467" s="2">
        <v>47</v>
      </c>
      <c r="G3467" s="3" t="s">
        <v>23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>
        <v>0</v>
      </c>
      <c r="N3467">
        <v>0</v>
      </c>
      <c r="O3467" s="2">
        <v>0</v>
      </c>
      <c r="P3467" s="2">
        <v>0</v>
      </c>
      <c r="Q3467">
        <v>0</v>
      </c>
      <c r="R3467" s="2">
        <v>0</v>
      </c>
      <c r="S3467" s="2">
        <v>0</v>
      </c>
      <c r="T3467" t="s">
        <v>1716</v>
      </c>
      <c r="U3467" s="2">
        <v>0</v>
      </c>
      <c r="V3467">
        <v>66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</row>
    <row r="3468" spans="1:28" hidden="1" x14ac:dyDescent="0.25">
      <c r="A3468" t="s">
        <v>56</v>
      </c>
      <c r="B3468" t="s">
        <v>1160</v>
      </c>
      <c r="C3468" t="s">
        <v>64</v>
      </c>
      <c r="D3468" s="1">
        <v>46097</v>
      </c>
      <c r="E3468" s="1">
        <v>46097</v>
      </c>
      <c r="F3468" s="2">
        <v>45</v>
      </c>
      <c r="G3468" s="3" t="s">
        <v>23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>
        <v>0</v>
      </c>
      <c r="N3468">
        <v>0</v>
      </c>
      <c r="O3468" s="2">
        <v>0</v>
      </c>
      <c r="P3468" s="2">
        <v>0</v>
      </c>
      <c r="Q3468">
        <v>0</v>
      </c>
      <c r="R3468" s="2">
        <v>0</v>
      </c>
      <c r="S3468" s="2">
        <v>0</v>
      </c>
      <c r="T3468" t="s">
        <v>1717</v>
      </c>
      <c r="U3468" s="2">
        <v>0</v>
      </c>
      <c r="V3468">
        <v>72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</row>
    <row r="3469" spans="1:28" hidden="1" x14ac:dyDescent="0.25">
      <c r="A3469" t="s">
        <v>20</v>
      </c>
      <c r="B3469" t="s">
        <v>21</v>
      </c>
      <c r="C3469" t="s">
        <v>22</v>
      </c>
      <c r="D3469" s="1">
        <v>46097</v>
      </c>
      <c r="E3469" s="1">
        <v>46097</v>
      </c>
      <c r="F3469" s="2">
        <v>25</v>
      </c>
      <c r="G3469" s="3" t="s">
        <v>23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>
        <v>0</v>
      </c>
      <c r="N3469">
        <v>0</v>
      </c>
      <c r="O3469" s="2">
        <v>0</v>
      </c>
      <c r="P3469" s="2">
        <v>0</v>
      </c>
      <c r="Q3469">
        <v>0</v>
      </c>
      <c r="R3469" s="2">
        <v>0</v>
      </c>
      <c r="S3469" s="2">
        <v>0</v>
      </c>
      <c r="T3469" t="s">
        <v>1718</v>
      </c>
      <c r="U3469" s="2">
        <v>0</v>
      </c>
      <c r="V3469">
        <v>62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</row>
    <row r="3470" spans="1:28" hidden="1" x14ac:dyDescent="0.25">
      <c r="A3470" t="s">
        <v>33</v>
      </c>
      <c r="B3470" t="s">
        <v>34</v>
      </c>
      <c r="C3470" t="s">
        <v>35</v>
      </c>
      <c r="D3470" s="1">
        <v>46097</v>
      </c>
      <c r="E3470" s="1">
        <v>46097</v>
      </c>
      <c r="F3470" s="2">
        <v>23</v>
      </c>
      <c r="G3470" s="3" t="s">
        <v>23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>
        <v>0</v>
      </c>
      <c r="N3470">
        <v>0</v>
      </c>
      <c r="O3470" s="2">
        <v>0</v>
      </c>
      <c r="P3470" s="2">
        <v>0</v>
      </c>
      <c r="Q3470">
        <v>0</v>
      </c>
      <c r="R3470" s="2">
        <v>0</v>
      </c>
      <c r="S3470" s="2">
        <v>0</v>
      </c>
      <c r="T3470" t="s">
        <v>1719</v>
      </c>
      <c r="U3470" s="2">
        <v>0</v>
      </c>
      <c r="V3470">
        <v>40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</row>
    <row r="3471" spans="1:28" hidden="1" x14ac:dyDescent="0.25">
      <c r="A3471" t="s">
        <v>568</v>
      </c>
      <c r="B3471" t="s">
        <v>1323</v>
      </c>
      <c r="C3471" t="s">
        <v>670</v>
      </c>
      <c r="D3471" s="1">
        <v>46097</v>
      </c>
      <c r="E3471" s="1">
        <v>46097</v>
      </c>
      <c r="F3471" s="2">
        <v>35</v>
      </c>
      <c r="G3471" s="3" t="s">
        <v>23</v>
      </c>
      <c r="H3471" s="2">
        <v>0</v>
      </c>
      <c r="I3471" s="2">
        <v>0</v>
      </c>
      <c r="J3471" s="2">
        <v>1</v>
      </c>
      <c r="K3471" s="2">
        <v>0</v>
      </c>
      <c r="L3471" s="2">
        <v>0</v>
      </c>
      <c r="M3471">
        <v>0</v>
      </c>
      <c r="N3471">
        <v>0</v>
      </c>
      <c r="O3471" s="2">
        <v>0</v>
      </c>
      <c r="P3471" s="2">
        <v>0</v>
      </c>
      <c r="Q3471">
        <v>1</v>
      </c>
      <c r="R3471" s="2">
        <v>0</v>
      </c>
      <c r="S3471" s="2">
        <v>0</v>
      </c>
      <c r="T3471" t="s">
        <v>1720</v>
      </c>
      <c r="U3471" s="2">
        <v>0</v>
      </c>
      <c r="V3471">
        <v>80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</row>
    <row r="3472" spans="1:28" hidden="1" x14ac:dyDescent="0.25">
      <c r="A3472" t="s">
        <v>47</v>
      </c>
      <c r="B3472" t="s">
        <v>1323</v>
      </c>
      <c r="C3472" t="s">
        <v>670</v>
      </c>
      <c r="D3472" s="1">
        <v>46097</v>
      </c>
      <c r="E3472" s="1">
        <v>46097</v>
      </c>
      <c r="F3472" s="2">
        <v>35</v>
      </c>
      <c r="G3472" s="3" t="s">
        <v>23</v>
      </c>
      <c r="H3472" s="2">
        <v>0</v>
      </c>
      <c r="I3472" s="2">
        <v>0</v>
      </c>
      <c r="J3472" s="2">
        <v>1</v>
      </c>
      <c r="K3472" s="2">
        <v>0</v>
      </c>
      <c r="L3472" s="2">
        <v>0</v>
      </c>
      <c r="M3472">
        <v>0</v>
      </c>
      <c r="N3472">
        <v>0</v>
      </c>
      <c r="O3472" s="2">
        <v>0</v>
      </c>
      <c r="P3472" s="2">
        <v>0</v>
      </c>
      <c r="Q3472">
        <v>1</v>
      </c>
      <c r="R3472" s="2">
        <v>0</v>
      </c>
      <c r="S3472" s="2">
        <v>0</v>
      </c>
      <c r="T3472" t="s">
        <v>1720</v>
      </c>
      <c r="U3472" s="2">
        <v>0</v>
      </c>
      <c r="V3472">
        <f>80+14</f>
        <v>94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</row>
    <row r="3473" spans="1:28" hidden="1" x14ac:dyDescent="0.25">
      <c r="A3473" t="s">
        <v>53</v>
      </c>
      <c r="B3473" t="s">
        <v>38</v>
      </c>
      <c r="C3473" t="s">
        <v>54</v>
      </c>
      <c r="D3473" s="1">
        <v>46097</v>
      </c>
      <c r="E3473" s="1">
        <v>46097</v>
      </c>
      <c r="F3473" s="2">
        <v>38</v>
      </c>
      <c r="G3473" s="3" t="s">
        <v>23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>
        <v>0</v>
      </c>
      <c r="N3473">
        <v>0</v>
      </c>
      <c r="O3473" s="2">
        <v>0</v>
      </c>
      <c r="P3473" s="2">
        <v>0</v>
      </c>
      <c r="Q3473">
        <v>0</v>
      </c>
      <c r="R3473" s="2">
        <v>0</v>
      </c>
      <c r="S3473" s="2">
        <v>0</v>
      </c>
      <c r="T3473" t="s">
        <v>1721</v>
      </c>
      <c r="U3473" s="2">
        <v>0</v>
      </c>
      <c r="V3473">
        <v>42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</row>
    <row r="3474" spans="1:28" hidden="1" x14ac:dyDescent="0.25">
      <c r="A3474" t="s">
        <v>63</v>
      </c>
      <c r="B3474" t="s">
        <v>284</v>
      </c>
      <c r="C3474" t="s">
        <v>102</v>
      </c>
      <c r="D3474" s="1">
        <v>46097</v>
      </c>
      <c r="E3474" s="1">
        <v>46097</v>
      </c>
      <c r="F3474" s="2">
        <v>27</v>
      </c>
      <c r="G3474" s="3" t="s">
        <v>23</v>
      </c>
      <c r="H3474" s="2">
        <v>8</v>
      </c>
      <c r="I3474" s="2">
        <v>0</v>
      </c>
      <c r="J3474" s="2">
        <v>1</v>
      </c>
      <c r="K3474" s="2">
        <v>0</v>
      </c>
      <c r="L3474" s="2">
        <v>0</v>
      </c>
      <c r="M3474">
        <v>0</v>
      </c>
      <c r="N3474">
        <v>0</v>
      </c>
      <c r="O3474" s="2">
        <v>0</v>
      </c>
      <c r="P3474" s="2">
        <v>0</v>
      </c>
      <c r="Q3474">
        <v>0</v>
      </c>
      <c r="R3474" s="2">
        <v>0</v>
      </c>
      <c r="S3474" s="2">
        <v>0</v>
      </c>
      <c r="T3474" t="s">
        <v>1722</v>
      </c>
      <c r="U3474" s="2">
        <v>0</v>
      </c>
      <c r="V3474">
        <v>88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</row>
    <row r="3475" spans="1:28" hidden="1" x14ac:dyDescent="0.25">
      <c r="A3475" t="s">
        <v>29</v>
      </c>
      <c r="B3475" t="s">
        <v>30</v>
      </c>
      <c r="C3475" t="s">
        <v>173</v>
      </c>
      <c r="D3475" s="1">
        <v>46097</v>
      </c>
      <c r="E3475" s="1">
        <v>46097</v>
      </c>
      <c r="F3475" s="2">
        <v>47</v>
      </c>
      <c r="G3475" s="3" t="s">
        <v>23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>
        <v>0</v>
      </c>
      <c r="N3475">
        <v>0</v>
      </c>
      <c r="O3475" s="2">
        <v>0</v>
      </c>
      <c r="P3475" s="2">
        <v>0</v>
      </c>
      <c r="Q3475">
        <v>0</v>
      </c>
      <c r="R3475" s="2">
        <v>0</v>
      </c>
      <c r="S3475" s="2">
        <v>0</v>
      </c>
      <c r="T3475" t="s">
        <v>1716</v>
      </c>
      <c r="U3475" s="2">
        <v>0</v>
      </c>
      <c r="V3475">
        <v>66</v>
      </c>
      <c r="W3475" s="2">
        <v>11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</row>
    <row r="3476" spans="1:28" hidden="1" x14ac:dyDescent="0.25">
      <c r="A3476" t="s">
        <v>25</v>
      </c>
      <c r="B3476" t="s">
        <v>26</v>
      </c>
      <c r="C3476" t="s">
        <v>27</v>
      </c>
      <c r="D3476" s="1">
        <v>46098</v>
      </c>
      <c r="E3476" s="1">
        <v>46098</v>
      </c>
      <c r="F3476" s="2">
        <v>23</v>
      </c>
      <c r="G3476" s="3" t="s">
        <v>23</v>
      </c>
      <c r="H3476">
        <v>20</v>
      </c>
      <c r="I3476" s="2">
        <v>0</v>
      </c>
      <c r="J3476" s="2">
        <v>0</v>
      </c>
      <c r="K3476" s="2">
        <v>0</v>
      </c>
      <c r="L3476" s="2">
        <v>1</v>
      </c>
      <c r="M3476">
        <v>0</v>
      </c>
      <c r="N3476">
        <v>0</v>
      </c>
      <c r="O3476" s="2">
        <v>0</v>
      </c>
      <c r="P3476" s="2">
        <v>0</v>
      </c>
      <c r="Q3476">
        <v>0</v>
      </c>
      <c r="R3476" s="2">
        <v>0</v>
      </c>
      <c r="S3476" s="2">
        <v>0</v>
      </c>
      <c r="T3476" t="s">
        <v>1723</v>
      </c>
      <c r="U3476" s="2">
        <v>0</v>
      </c>
      <c r="V3476" s="2">
        <f>20+13+4</f>
        <v>37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</row>
    <row r="3477" spans="1:28" hidden="1" x14ac:dyDescent="0.25">
      <c r="A3477" t="s">
        <v>56</v>
      </c>
      <c r="B3477" t="s">
        <v>47</v>
      </c>
      <c r="C3477" t="s">
        <v>64</v>
      </c>
      <c r="D3477" s="1">
        <v>46098</v>
      </c>
      <c r="E3477" s="1">
        <v>46098</v>
      </c>
      <c r="F3477" s="2">
        <v>48</v>
      </c>
      <c r="G3477" s="3" t="s">
        <v>23</v>
      </c>
      <c r="H3477">
        <v>16</v>
      </c>
      <c r="I3477" s="2">
        <v>0</v>
      </c>
      <c r="J3477" s="2">
        <v>0</v>
      </c>
      <c r="K3477" s="2">
        <v>1</v>
      </c>
      <c r="L3477" s="2">
        <v>0</v>
      </c>
      <c r="M3477">
        <v>0</v>
      </c>
      <c r="N3477">
        <v>0</v>
      </c>
      <c r="O3477" s="2">
        <v>0</v>
      </c>
      <c r="P3477" s="2">
        <v>0</v>
      </c>
      <c r="Q3477">
        <v>0</v>
      </c>
      <c r="R3477" s="2">
        <v>0</v>
      </c>
      <c r="S3477" s="2">
        <v>0</v>
      </c>
      <c r="T3477" t="s">
        <v>1724</v>
      </c>
      <c r="U3477" s="2">
        <v>0</v>
      </c>
      <c r="V3477" s="2">
        <f>66+10</f>
        <v>76</v>
      </c>
      <c r="W3477" s="2">
        <v>12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</row>
    <row r="3478" spans="1:28" hidden="1" x14ac:dyDescent="0.25">
      <c r="A3478" t="s">
        <v>47</v>
      </c>
      <c r="B3478" t="s">
        <v>1160</v>
      </c>
      <c r="C3478" t="s">
        <v>64</v>
      </c>
      <c r="D3478" s="1">
        <v>46098</v>
      </c>
      <c r="E3478" s="1">
        <v>46098</v>
      </c>
      <c r="F3478" s="2">
        <v>48</v>
      </c>
      <c r="G3478" s="3" t="s">
        <v>23</v>
      </c>
      <c r="H3478">
        <v>16</v>
      </c>
      <c r="I3478" s="2">
        <v>0</v>
      </c>
      <c r="J3478" s="2">
        <v>0</v>
      </c>
      <c r="K3478" s="2">
        <v>1</v>
      </c>
      <c r="L3478" s="2">
        <v>0</v>
      </c>
      <c r="M3478">
        <v>0</v>
      </c>
      <c r="N3478">
        <v>0</v>
      </c>
      <c r="O3478" s="2">
        <v>0</v>
      </c>
      <c r="P3478" s="2">
        <v>0</v>
      </c>
      <c r="Q3478">
        <v>0</v>
      </c>
      <c r="R3478" s="2">
        <v>0</v>
      </c>
      <c r="S3478" s="2">
        <v>0</v>
      </c>
      <c r="T3478" t="s">
        <v>1724</v>
      </c>
      <c r="U3478" s="2">
        <v>0</v>
      </c>
      <c r="V3478" s="2">
        <v>66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</row>
    <row r="3479" spans="1:28" hidden="1" x14ac:dyDescent="0.25">
      <c r="A3479" t="s">
        <v>568</v>
      </c>
      <c r="B3479" t="s">
        <v>1323</v>
      </c>
      <c r="C3479" t="s">
        <v>670</v>
      </c>
      <c r="D3479" s="1">
        <v>46098</v>
      </c>
      <c r="E3479" s="1">
        <v>46098</v>
      </c>
      <c r="F3479" s="2">
        <v>49</v>
      </c>
      <c r="G3479" s="3" t="s">
        <v>23</v>
      </c>
      <c r="H3479">
        <v>36</v>
      </c>
      <c r="I3479" s="2">
        <v>0</v>
      </c>
      <c r="J3479" s="2">
        <v>1</v>
      </c>
      <c r="K3479" s="2">
        <v>1</v>
      </c>
      <c r="L3479" s="2">
        <v>0</v>
      </c>
      <c r="M3479">
        <v>0</v>
      </c>
      <c r="N3479">
        <v>0</v>
      </c>
      <c r="O3479" s="2">
        <v>0</v>
      </c>
      <c r="P3479" s="2">
        <v>0</v>
      </c>
      <c r="Q3479">
        <v>0</v>
      </c>
      <c r="R3479" s="2">
        <v>0</v>
      </c>
      <c r="S3479" s="2">
        <v>0</v>
      </c>
      <c r="T3479" t="s">
        <v>1725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</row>
    <row r="3480" spans="1:28" hidden="1" x14ac:dyDescent="0.25">
      <c r="A3480" t="s">
        <v>33</v>
      </c>
      <c r="B3480" t="s">
        <v>34</v>
      </c>
      <c r="C3480" t="s">
        <v>35</v>
      </c>
      <c r="D3480" s="1">
        <v>46098</v>
      </c>
      <c r="E3480" s="1">
        <v>46098</v>
      </c>
      <c r="F3480" s="2">
        <v>31</v>
      </c>
      <c r="G3480" s="3" t="s">
        <v>23</v>
      </c>
      <c r="H3480">
        <f>14+14</f>
        <v>28</v>
      </c>
      <c r="I3480" s="2">
        <v>0</v>
      </c>
      <c r="J3480" s="2">
        <v>0</v>
      </c>
      <c r="K3480" s="2">
        <v>1</v>
      </c>
      <c r="L3480" s="2">
        <v>0</v>
      </c>
      <c r="M3480">
        <v>0</v>
      </c>
      <c r="N3480">
        <v>0</v>
      </c>
      <c r="O3480" s="2">
        <v>0</v>
      </c>
      <c r="P3480" s="2">
        <v>0</v>
      </c>
      <c r="Q3480">
        <v>0</v>
      </c>
      <c r="R3480" s="2">
        <v>0</v>
      </c>
      <c r="S3480" s="2">
        <v>0</v>
      </c>
      <c r="T3480" t="s">
        <v>1726</v>
      </c>
      <c r="U3480" s="2">
        <v>0</v>
      </c>
      <c r="V3480" s="2">
        <v>41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</row>
    <row r="3481" spans="1:28" hidden="1" x14ac:dyDescent="0.25">
      <c r="A3481" t="s">
        <v>63</v>
      </c>
      <c r="B3481" t="s">
        <v>284</v>
      </c>
      <c r="C3481" t="s">
        <v>102</v>
      </c>
      <c r="D3481" s="1">
        <v>46098</v>
      </c>
      <c r="E3481" s="1">
        <v>46098</v>
      </c>
      <c r="F3481" s="2">
        <v>19</v>
      </c>
      <c r="G3481" s="3" t="s">
        <v>23</v>
      </c>
      <c r="H3481">
        <f>32+5</f>
        <v>37</v>
      </c>
      <c r="I3481" s="2">
        <v>0</v>
      </c>
      <c r="J3481" s="2">
        <v>0</v>
      </c>
      <c r="K3481" s="2">
        <v>1</v>
      </c>
      <c r="L3481" s="2">
        <v>0</v>
      </c>
      <c r="M3481">
        <v>0</v>
      </c>
      <c r="N3481">
        <v>0</v>
      </c>
      <c r="O3481" s="2">
        <v>0</v>
      </c>
      <c r="P3481" s="2">
        <v>0</v>
      </c>
      <c r="Q3481">
        <v>0</v>
      </c>
      <c r="R3481" s="2">
        <v>0</v>
      </c>
      <c r="S3481" s="2">
        <v>0</v>
      </c>
      <c r="T3481" t="s">
        <v>1727</v>
      </c>
      <c r="U3481" s="2">
        <v>0</v>
      </c>
      <c r="V3481" s="2">
        <v>36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</row>
    <row r="3482" spans="1:28" hidden="1" x14ac:dyDescent="0.25">
      <c r="A3482" t="s">
        <v>53</v>
      </c>
      <c r="B3482" t="s">
        <v>38</v>
      </c>
      <c r="C3482" t="s">
        <v>54</v>
      </c>
      <c r="D3482" s="1">
        <v>46098</v>
      </c>
      <c r="E3482" s="1">
        <v>46098</v>
      </c>
      <c r="F3482" s="2">
        <v>44</v>
      </c>
      <c r="G3482" s="3" t="s">
        <v>23</v>
      </c>
      <c r="H3482">
        <f>8+4+8+4</f>
        <v>24</v>
      </c>
      <c r="I3482" s="2">
        <v>0</v>
      </c>
      <c r="J3482" s="2">
        <v>0</v>
      </c>
      <c r="K3482" s="2">
        <v>1</v>
      </c>
      <c r="L3482" s="2">
        <v>0</v>
      </c>
      <c r="M3482">
        <v>0</v>
      </c>
      <c r="N3482">
        <v>0</v>
      </c>
      <c r="O3482" s="2">
        <v>0</v>
      </c>
      <c r="P3482" s="2">
        <v>0</v>
      </c>
      <c r="Q3482">
        <v>0</v>
      </c>
      <c r="R3482" s="2">
        <v>0</v>
      </c>
      <c r="S3482" s="2">
        <v>0</v>
      </c>
      <c r="T3482" t="s">
        <v>1728</v>
      </c>
      <c r="U3482" s="2">
        <v>0</v>
      </c>
      <c r="V3482" s="2">
        <f>14+14+14+12+2</f>
        <v>56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</row>
    <row r="3483" spans="1:28" hidden="1" x14ac:dyDescent="0.25">
      <c r="A3483" t="s">
        <v>20</v>
      </c>
      <c r="B3483" t="s">
        <v>47</v>
      </c>
      <c r="C3483" t="s">
        <v>173</v>
      </c>
      <c r="D3483" s="1">
        <v>46098</v>
      </c>
      <c r="E3483" s="1">
        <v>46098</v>
      </c>
      <c r="F3483" s="2">
        <v>16</v>
      </c>
      <c r="G3483" s="3" t="s">
        <v>23</v>
      </c>
      <c r="H3483">
        <v>0</v>
      </c>
      <c r="I3483" s="2">
        <v>0</v>
      </c>
      <c r="J3483" s="2">
        <v>0</v>
      </c>
      <c r="K3483" s="2">
        <v>0</v>
      </c>
      <c r="L3483" s="2">
        <v>0</v>
      </c>
      <c r="M3483">
        <v>0</v>
      </c>
      <c r="N3483">
        <v>0</v>
      </c>
      <c r="O3483" s="2">
        <v>0</v>
      </c>
      <c r="P3483" s="2">
        <v>0</v>
      </c>
      <c r="Q3483">
        <v>0</v>
      </c>
      <c r="R3483" s="2">
        <v>0</v>
      </c>
      <c r="S3483" s="2">
        <v>0</v>
      </c>
      <c r="T3483" t="s">
        <v>1729</v>
      </c>
      <c r="U3483" s="2">
        <v>0</v>
      </c>
      <c r="V3483" s="2">
        <v>32</v>
      </c>
      <c r="W3483" s="2">
        <v>12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</row>
    <row r="3484" spans="1:28" hidden="1" x14ac:dyDescent="0.25">
      <c r="A3484" t="s">
        <v>47</v>
      </c>
      <c r="B3484" t="s">
        <v>21</v>
      </c>
      <c r="C3484" t="s">
        <v>173</v>
      </c>
      <c r="D3484" s="1">
        <v>46098</v>
      </c>
      <c r="E3484" s="1">
        <v>46098</v>
      </c>
      <c r="F3484" s="2">
        <v>16</v>
      </c>
      <c r="G3484" s="3" t="s">
        <v>23</v>
      </c>
      <c r="H3484">
        <v>0</v>
      </c>
      <c r="I3484" s="2">
        <v>0</v>
      </c>
      <c r="J3484" s="2">
        <v>0</v>
      </c>
      <c r="K3484" s="2">
        <v>0</v>
      </c>
      <c r="L3484" s="2">
        <v>0</v>
      </c>
      <c r="M3484">
        <v>0</v>
      </c>
      <c r="N3484">
        <v>0</v>
      </c>
      <c r="O3484" s="2">
        <v>0</v>
      </c>
      <c r="P3484" s="2">
        <v>0</v>
      </c>
      <c r="Q3484">
        <v>0</v>
      </c>
      <c r="R3484" s="2">
        <v>0</v>
      </c>
      <c r="S3484" s="2">
        <v>0</v>
      </c>
      <c r="T3484" t="s">
        <v>1729</v>
      </c>
      <c r="U3484" s="2">
        <v>0</v>
      </c>
      <c r="V3484">
        <v>22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</row>
    <row r="3485" spans="1:28" hidden="1" x14ac:dyDescent="0.25">
      <c r="A3485" t="s">
        <v>37</v>
      </c>
      <c r="B3485" t="s">
        <v>57</v>
      </c>
      <c r="C3485" t="s">
        <v>173</v>
      </c>
      <c r="D3485" s="1">
        <v>46098</v>
      </c>
      <c r="E3485" s="1">
        <v>46098</v>
      </c>
      <c r="F3485" s="2">
        <v>16</v>
      </c>
      <c r="G3485" s="3" t="s">
        <v>23</v>
      </c>
      <c r="H3485">
        <v>0</v>
      </c>
      <c r="I3485" s="2">
        <v>0</v>
      </c>
      <c r="J3485" s="2">
        <v>0</v>
      </c>
      <c r="K3485" s="2">
        <v>0</v>
      </c>
      <c r="L3485" s="2">
        <v>0</v>
      </c>
      <c r="M3485">
        <v>0</v>
      </c>
      <c r="N3485">
        <v>0</v>
      </c>
      <c r="O3485" s="2">
        <v>0</v>
      </c>
      <c r="P3485" s="2">
        <v>0</v>
      </c>
      <c r="Q3485">
        <v>0</v>
      </c>
      <c r="R3485" s="2">
        <v>0</v>
      </c>
      <c r="S3485" s="2">
        <v>0</v>
      </c>
      <c r="T3485" t="s">
        <v>1729</v>
      </c>
      <c r="U3485" s="2">
        <v>0</v>
      </c>
      <c r="V3485">
        <v>22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</row>
    <row r="3486" spans="1:28" hidden="1" x14ac:dyDescent="0.25">
      <c r="A3486" t="s">
        <v>29</v>
      </c>
      <c r="B3486" t="s">
        <v>30</v>
      </c>
      <c r="C3486" t="s">
        <v>1370</v>
      </c>
      <c r="D3486" s="1">
        <v>46098</v>
      </c>
      <c r="E3486" s="1">
        <v>46098</v>
      </c>
      <c r="F3486" s="2">
        <v>65</v>
      </c>
      <c r="G3486" s="3" t="s">
        <v>129</v>
      </c>
      <c r="H3486">
        <v>0</v>
      </c>
      <c r="I3486" s="2">
        <v>0</v>
      </c>
      <c r="J3486" s="2">
        <v>0</v>
      </c>
      <c r="K3486" s="2">
        <v>0</v>
      </c>
      <c r="L3486" s="2">
        <v>0</v>
      </c>
      <c r="M3486">
        <v>0</v>
      </c>
      <c r="N3486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t="s">
        <v>1590</v>
      </c>
      <c r="U3486" s="2">
        <v>0</v>
      </c>
      <c r="V3486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</row>
    <row r="3487" spans="1:28" hidden="1" x14ac:dyDescent="0.25">
      <c r="A3487" t="s">
        <v>1679</v>
      </c>
      <c r="B3487" t="s">
        <v>1680</v>
      </c>
      <c r="C3487" t="s">
        <v>1370</v>
      </c>
      <c r="D3487" s="1">
        <v>46098</v>
      </c>
      <c r="E3487" s="1">
        <v>46098</v>
      </c>
      <c r="F3487" s="2">
        <v>65</v>
      </c>
      <c r="G3487" s="3" t="s">
        <v>23</v>
      </c>
      <c r="H3487">
        <v>0</v>
      </c>
      <c r="I3487" s="2">
        <v>0</v>
      </c>
      <c r="J3487" s="2">
        <v>0</v>
      </c>
      <c r="K3487" s="2">
        <v>0</v>
      </c>
      <c r="L3487" s="2">
        <v>0</v>
      </c>
      <c r="M3487">
        <v>0</v>
      </c>
      <c r="N3487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t="s">
        <v>1590</v>
      </c>
      <c r="U3487" s="2">
        <v>0</v>
      </c>
      <c r="V3487">
        <v>10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</row>
    <row r="3488" spans="1:28" hidden="1" x14ac:dyDescent="0.25">
      <c r="A3488" t="s">
        <v>37</v>
      </c>
      <c r="B3488" t="s">
        <v>57</v>
      </c>
      <c r="C3488" t="s">
        <v>173</v>
      </c>
      <c r="D3488" s="1">
        <v>46099</v>
      </c>
      <c r="E3488" s="1">
        <v>46099</v>
      </c>
      <c r="F3488" s="2">
        <v>22</v>
      </c>
      <c r="G3488" s="3" t="s">
        <v>23</v>
      </c>
      <c r="H3488">
        <f>14+14</f>
        <v>28</v>
      </c>
      <c r="I3488" s="2">
        <v>0</v>
      </c>
      <c r="J3488" s="2">
        <v>0</v>
      </c>
      <c r="K3488" s="2">
        <v>1</v>
      </c>
      <c r="L3488" s="2">
        <v>0</v>
      </c>
      <c r="M3488">
        <v>0</v>
      </c>
      <c r="N3488">
        <v>0</v>
      </c>
      <c r="O3488" s="2">
        <v>0</v>
      </c>
      <c r="P3488" s="2">
        <v>0</v>
      </c>
      <c r="Q3488">
        <v>2</v>
      </c>
      <c r="R3488" s="2">
        <v>0</v>
      </c>
      <c r="S3488" s="2">
        <v>0</v>
      </c>
      <c r="T3488" t="s">
        <v>1730</v>
      </c>
      <c r="U3488" s="2">
        <v>0</v>
      </c>
      <c r="V3488" s="2">
        <f>14+20+20</f>
        <v>54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</row>
    <row r="3489" spans="1:28" hidden="1" x14ac:dyDescent="0.25">
      <c r="A3489" t="s">
        <v>53</v>
      </c>
      <c r="B3489" t="s">
        <v>38</v>
      </c>
      <c r="C3489" t="s">
        <v>54</v>
      </c>
      <c r="D3489" s="1">
        <v>46099</v>
      </c>
      <c r="E3489" s="1">
        <v>46099</v>
      </c>
      <c r="F3489" s="2">
        <v>47</v>
      </c>
      <c r="G3489" s="3" t="s">
        <v>23</v>
      </c>
      <c r="H3489">
        <v>28</v>
      </c>
      <c r="I3489" s="2">
        <v>0</v>
      </c>
      <c r="J3489" s="2">
        <v>1</v>
      </c>
      <c r="K3489" s="2">
        <v>0</v>
      </c>
      <c r="L3489" s="2">
        <v>1</v>
      </c>
      <c r="M3489">
        <v>0</v>
      </c>
      <c r="N3489">
        <v>0</v>
      </c>
      <c r="O3489" s="2">
        <v>0</v>
      </c>
      <c r="P3489" s="2">
        <v>0</v>
      </c>
      <c r="Q3489">
        <v>2</v>
      </c>
      <c r="R3489" s="2">
        <v>0</v>
      </c>
      <c r="S3489" s="2">
        <v>0</v>
      </c>
      <c r="T3489" t="s">
        <v>1731</v>
      </c>
      <c r="U3489" s="2">
        <v>0</v>
      </c>
      <c r="V3489" s="2">
        <f>14+14+14+14+8</f>
        <v>64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</row>
    <row r="3490" spans="1:28" hidden="1" x14ac:dyDescent="0.25">
      <c r="A3490" t="s">
        <v>568</v>
      </c>
      <c r="B3490" t="s">
        <v>1323</v>
      </c>
      <c r="C3490" t="s">
        <v>670</v>
      </c>
      <c r="D3490" s="1">
        <v>46099</v>
      </c>
      <c r="E3490" s="1">
        <v>46099</v>
      </c>
      <c r="F3490" s="2">
        <v>95</v>
      </c>
      <c r="G3490" s="3" t="s">
        <v>23</v>
      </c>
      <c r="H3490">
        <v>42</v>
      </c>
      <c r="I3490" s="2">
        <v>0</v>
      </c>
      <c r="J3490" s="2">
        <v>1</v>
      </c>
      <c r="K3490" s="2">
        <v>1</v>
      </c>
      <c r="L3490" s="2">
        <v>0</v>
      </c>
      <c r="M3490">
        <v>0</v>
      </c>
      <c r="N3490">
        <v>0</v>
      </c>
      <c r="O3490" s="2">
        <v>0</v>
      </c>
      <c r="P3490" s="2">
        <v>0</v>
      </c>
      <c r="Q3490">
        <v>2</v>
      </c>
      <c r="R3490" s="2">
        <v>0</v>
      </c>
      <c r="S3490" s="2">
        <v>0</v>
      </c>
      <c r="T3490" t="s">
        <v>1732</v>
      </c>
      <c r="U3490" s="2">
        <v>0</v>
      </c>
      <c r="V3490" s="2">
        <f>21+22+17+2</f>
        <v>62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</row>
    <row r="3491" spans="1:28" hidden="1" x14ac:dyDescent="0.25">
      <c r="A3491" t="s">
        <v>20</v>
      </c>
      <c r="B3491" t="s">
        <v>34</v>
      </c>
      <c r="C3491" t="s">
        <v>22</v>
      </c>
      <c r="D3491" s="1">
        <v>46099</v>
      </c>
      <c r="E3491" s="1">
        <v>46099</v>
      </c>
      <c r="F3491" s="2">
        <v>23</v>
      </c>
      <c r="G3491" s="3" t="s">
        <v>23</v>
      </c>
      <c r="H3491">
        <v>40</v>
      </c>
      <c r="I3491" s="2">
        <v>0</v>
      </c>
      <c r="J3491" s="2">
        <v>0</v>
      </c>
      <c r="K3491" s="2">
        <v>1</v>
      </c>
      <c r="L3491" s="2">
        <v>0</v>
      </c>
      <c r="M3491">
        <v>0</v>
      </c>
      <c r="N3491">
        <v>0</v>
      </c>
      <c r="O3491" s="2">
        <v>0</v>
      </c>
      <c r="P3491" s="2">
        <v>0</v>
      </c>
      <c r="Q3491">
        <v>0</v>
      </c>
      <c r="R3491" s="2">
        <v>0</v>
      </c>
      <c r="S3491" s="2">
        <v>0</v>
      </c>
      <c r="T3491" t="s">
        <v>1733</v>
      </c>
      <c r="U3491" s="2">
        <v>0</v>
      </c>
      <c r="V3491" s="2">
        <v>40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</row>
    <row r="3492" spans="1:28" hidden="1" x14ac:dyDescent="0.25">
      <c r="A3492" t="s">
        <v>63</v>
      </c>
      <c r="B3492" t="s">
        <v>284</v>
      </c>
      <c r="C3492" t="s">
        <v>102</v>
      </c>
      <c r="D3492" s="1">
        <v>46099</v>
      </c>
      <c r="E3492" s="1">
        <v>46099</v>
      </c>
      <c r="F3492" s="2">
        <v>20</v>
      </c>
      <c r="G3492" s="3" t="s">
        <v>23</v>
      </c>
      <c r="H3492">
        <f>16+1+1+1+2</f>
        <v>21</v>
      </c>
      <c r="I3492" s="2">
        <v>0</v>
      </c>
      <c r="J3492" s="2">
        <v>0</v>
      </c>
      <c r="K3492" s="2">
        <v>1</v>
      </c>
      <c r="L3492" s="2">
        <v>0</v>
      </c>
      <c r="M3492">
        <v>0</v>
      </c>
      <c r="N3492">
        <v>0</v>
      </c>
      <c r="O3492" s="2">
        <v>0</v>
      </c>
      <c r="P3492" s="2">
        <v>0</v>
      </c>
      <c r="Q3492">
        <v>0</v>
      </c>
      <c r="R3492" s="2">
        <v>0</v>
      </c>
      <c r="S3492" s="2">
        <v>0</v>
      </c>
      <c r="T3492" t="s">
        <v>1734</v>
      </c>
      <c r="U3492" s="2">
        <v>0</v>
      </c>
      <c r="V3492" s="2">
        <f>21+2</f>
        <v>23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</row>
    <row r="3493" spans="1:28" hidden="1" x14ac:dyDescent="0.25">
      <c r="A3493" t="s">
        <v>25</v>
      </c>
      <c r="B3493" t="s">
        <v>26</v>
      </c>
      <c r="C3493" t="s">
        <v>27</v>
      </c>
      <c r="D3493" s="1">
        <v>46099</v>
      </c>
      <c r="E3493" s="1">
        <v>46099</v>
      </c>
      <c r="F3493" s="2">
        <v>42</v>
      </c>
      <c r="G3493" s="3" t="s">
        <v>23</v>
      </c>
      <c r="H3493">
        <v>0</v>
      </c>
      <c r="I3493" s="2">
        <v>0</v>
      </c>
      <c r="J3493" s="2">
        <v>0</v>
      </c>
      <c r="K3493" s="2">
        <v>0</v>
      </c>
      <c r="L3493" s="2">
        <v>0</v>
      </c>
      <c r="M3493">
        <v>0</v>
      </c>
      <c r="N3493">
        <v>0</v>
      </c>
      <c r="O3493" s="2">
        <v>0</v>
      </c>
      <c r="P3493" s="2">
        <v>0</v>
      </c>
      <c r="Q3493">
        <v>0</v>
      </c>
      <c r="R3493" s="2">
        <v>0</v>
      </c>
      <c r="S3493" s="2">
        <v>0</v>
      </c>
      <c r="T3493" t="s">
        <v>1735</v>
      </c>
      <c r="U3493" s="2">
        <v>0</v>
      </c>
      <c r="V3493" s="2">
        <f>2+4+2+8</f>
        <v>16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</row>
    <row r="3494" spans="1:28" hidden="1" x14ac:dyDescent="0.25">
      <c r="A3494" t="s">
        <v>33</v>
      </c>
      <c r="B3494" t="s">
        <v>21</v>
      </c>
      <c r="C3494" t="s">
        <v>35</v>
      </c>
      <c r="D3494" s="1">
        <v>46099</v>
      </c>
      <c r="E3494" s="1">
        <v>46099</v>
      </c>
      <c r="F3494" s="2">
        <v>22</v>
      </c>
      <c r="G3494" s="3" t="s">
        <v>23</v>
      </c>
      <c r="H3494">
        <v>0</v>
      </c>
      <c r="I3494" s="2">
        <v>0</v>
      </c>
      <c r="J3494" s="2">
        <v>0</v>
      </c>
      <c r="K3494" s="2">
        <v>0</v>
      </c>
      <c r="L3494" s="2">
        <v>0</v>
      </c>
      <c r="M3494">
        <v>0</v>
      </c>
      <c r="N3494">
        <v>0</v>
      </c>
      <c r="O3494" s="2">
        <v>0</v>
      </c>
      <c r="P3494" s="2">
        <v>0</v>
      </c>
      <c r="Q3494">
        <v>0</v>
      </c>
      <c r="R3494" s="2">
        <v>0</v>
      </c>
      <c r="S3494" s="2">
        <v>0</v>
      </c>
      <c r="T3494" t="s">
        <v>1736</v>
      </c>
      <c r="U3494" s="2">
        <v>0</v>
      </c>
      <c r="V3494" s="2">
        <v>22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</row>
    <row r="3495" spans="1:28" hidden="1" x14ac:dyDescent="0.25">
      <c r="A3495" t="s">
        <v>56</v>
      </c>
      <c r="B3495" t="s">
        <v>1160</v>
      </c>
      <c r="C3495" t="s">
        <v>1370</v>
      </c>
      <c r="D3495" s="1">
        <v>46099</v>
      </c>
      <c r="E3495" s="1">
        <v>46099</v>
      </c>
      <c r="F3495" s="2">
        <v>65</v>
      </c>
      <c r="G3495" s="3" t="s">
        <v>48</v>
      </c>
      <c r="H3495">
        <v>0</v>
      </c>
      <c r="I3495" s="2">
        <v>0</v>
      </c>
      <c r="J3495" s="2">
        <v>0</v>
      </c>
      <c r="K3495" s="2">
        <v>0</v>
      </c>
      <c r="L3495" s="2">
        <v>0</v>
      </c>
      <c r="M3495">
        <v>0</v>
      </c>
      <c r="N3495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t="s">
        <v>1590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</row>
    <row r="3496" spans="1:28" ht="14.25" hidden="1" customHeight="1" x14ac:dyDescent="0.25">
      <c r="A3496" t="s">
        <v>47</v>
      </c>
      <c r="B3496" t="s">
        <v>47</v>
      </c>
      <c r="C3496" t="s">
        <v>1370</v>
      </c>
      <c r="D3496" s="1">
        <v>46099</v>
      </c>
      <c r="E3496" s="1">
        <v>46099</v>
      </c>
      <c r="F3496" s="2">
        <v>65</v>
      </c>
      <c r="G3496" s="3" t="s">
        <v>48</v>
      </c>
      <c r="H3496">
        <v>0</v>
      </c>
      <c r="I3496" s="2">
        <v>0</v>
      </c>
      <c r="J3496" s="2">
        <v>0</v>
      </c>
      <c r="K3496" s="2">
        <v>0</v>
      </c>
      <c r="L3496" s="2">
        <v>0</v>
      </c>
      <c r="M3496">
        <v>0</v>
      </c>
      <c r="N3496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t="s">
        <v>1590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</row>
    <row r="3497" spans="1:28" hidden="1" x14ac:dyDescent="0.25">
      <c r="A3497" t="s">
        <v>47</v>
      </c>
      <c r="B3497" t="s">
        <v>47</v>
      </c>
      <c r="C3497" t="s">
        <v>1370</v>
      </c>
      <c r="D3497" s="1">
        <v>46099</v>
      </c>
      <c r="E3497" s="1">
        <v>46099</v>
      </c>
      <c r="F3497" s="2">
        <v>65</v>
      </c>
      <c r="G3497" s="3" t="s">
        <v>48</v>
      </c>
      <c r="H3497">
        <v>0</v>
      </c>
      <c r="I3497" s="2">
        <v>0</v>
      </c>
      <c r="J3497" s="2">
        <v>0</v>
      </c>
      <c r="K3497" s="2">
        <v>0</v>
      </c>
      <c r="L3497" s="2">
        <v>0</v>
      </c>
      <c r="M3497">
        <v>0</v>
      </c>
      <c r="N3497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t="s">
        <v>1590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</row>
    <row r="3498" spans="1:28" hidden="1" x14ac:dyDescent="0.25">
      <c r="A3498" t="s">
        <v>29</v>
      </c>
      <c r="B3498" t="s">
        <v>30</v>
      </c>
      <c r="C3498" t="s">
        <v>1370</v>
      </c>
      <c r="D3498" s="1">
        <v>46099</v>
      </c>
      <c r="E3498" s="1">
        <v>46099</v>
      </c>
      <c r="F3498" s="2">
        <v>65</v>
      </c>
      <c r="G3498" s="3" t="s">
        <v>129</v>
      </c>
      <c r="H3498">
        <v>0</v>
      </c>
      <c r="I3498" s="2">
        <v>0</v>
      </c>
      <c r="J3498" s="2">
        <v>0</v>
      </c>
      <c r="K3498" s="2">
        <v>0</v>
      </c>
      <c r="L3498" s="2">
        <v>0</v>
      </c>
      <c r="M3498">
        <v>0</v>
      </c>
      <c r="N3498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t="s">
        <v>1590</v>
      </c>
      <c r="U3498" s="2">
        <v>0</v>
      </c>
      <c r="V3498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</row>
    <row r="3499" spans="1:28" hidden="1" x14ac:dyDescent="0.25">
      <c r="A3499" t="s">
        <v>730</v>
      </c>
      <c r="B3499" t="s">
        <v>47</v>
      </c>
      <c r="C3499" t="s">
        <v>1370</v>
      </c>
      <c r="D3499" s="1">
        <v>46099</v>
      </c>
      <c r="E3499" s="1">
        <v>46099</v>
      </c>
      <c r="F3499" s="2">
        <v>65</v>
      </c>
      <c r="G3499" s="3" t="s">
        <v>409</v>
      </c>
      <c r="H3499">
        <v>0</v>
      </c>
      <c r="I3499" s="2">
        <v>0</v>
      </c>
      <c r="J3499" s="2">
        <v>0</v>
      </c>
      <c r="K3499" s="2">
        <v>0</v>
      </c>
      <c r="L3499" s="2">
        <v>0</v>
      </c>
      <c r="M3499">
        <v>0</v>
      </c>
      <c r="N3499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t="s">
        <v>1590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</row>
    <row r="3500" spans="1:28" hidden="1" x14ac:dyDescent="0.25">
      <c r="A3500" t="s">
        <v>1431</v>
      </c>
      <c r="B3500" t="s">
        <v>47</v>
      </c>
      <c r="C3500" t="s">
        <v>1370</v>
      </c>
      <c r="D3500" s="1">
        <v>46099</v>
      </c>
      <c r="E3500" s="1">
        <v>46099</v>
      </c>
      <c r="F3500" s="2">
        <v>65</v>
      </c>
      <c r="G3500" s="3" t="s">
        <v>409</v>
      </c>
      <c r="H3500">
        <v>0</v>
      </c>
      <c r="I3500" s="2">
        <v>0</v>
      </c>
      <c r="J3500" s="2">
        <v>0</v>
      </c>
      <c r="K3500" s="2">
        <v>0</v>
      </c>
      <c r="L3500" s="2">
        <v>0</v>
      </c>
      <c r="M3500">
        <v>0</v>
      </c>
      <c r="N3500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t="s">
        <v>1590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</row>
    <row r="3501" spans="1:28" hidden="1" x14ac:dyDescent="0.25">
      <c r="A3501" t="s">
        <v>25</v>
      </c>
      <c r="B3501" t="s">
        <v>26</v>
      </c>
      <c r="C3501" t="s">
        <v>27</v>
      </c>
      <c r="D3501" s="1">
        <v>46100</v>
      </c>
      <c r="E3501" s="1">
        <v>46100</v>
      </c>
      <c r="F3501" s="2">
        <v>26</v>
      </c>
      <c r="G3501" s="3" t="s">
        <v>23</v>
      </c>
      <c r="H3501">
        <f>7+4+7+4+2+1+1+2+3</f>
        <v>31</v>
      </c>
      <c r="I3501" s="2">
        <v>0</v>
      </c>
      <c r="J3501" s="2">
        <v>0</v>
      </c>
      <c r="K3501" s="2">
        <v>0</v>
      </c>
      <c r="L3501" s="2">
        <v>1</v>
      </c>
      <c r="M3501">
        <v>1</v>
      </c>
      <c r="N3501">
        <v>0</v>
      </c>
      <c r="O3501" s="2">
        <v>0</v>
      </c>
      <c r="P3501" s="2">
        <v>0</v>
      </c>
      <c r="Q3501">
        <v>0</v>
      </c>
      <c r="R3501" s="2">
        <v>0</v>
      </c>
      <c r="S3501" s="2">
        <v>0</v>
      </c>
      <c r="T3501" t="s">
        <v>1737</v>
      </c>
      <c r="U3501" s="2">
        <v>0</v>
      </c>
      <c r="V3501" s="2">
        <f>19+2</f>
        <v>21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</row>
    <row r="3502" spans="1:28" hidden="1" x14ac:dyDescent="0.25">
      <c r="A3502" t="s">
        <v>56</v>
      </c>
      <c r="B3502" t="s">
        <v>1160</v>
      </c>
      <c r="C3502" t="s">
        <v>64</v>
      </c>
      <c r="D3502" s="1">
        <v>46100</v>
      </c>
      <c r="E3502" s="1">
        <v>46100</v>
      </c>
      <c r="F3502" s="2">
        <v>18</v>
      </c>
      <c r="G3502" s="3" t="s">
        <v>23</v>
      </c>
      <c r="H3502">
        <f>16+16</f>
        <v>32</v>
      </c>
      <c r="I3502" s="2">
        <v>0</v>
      </c>
      <c r="J3502" s="2">
        <v>1</v>
      </c>
      <c r="K3502" s="2">
        <v>1</v>
      </c>
      <c r="L3502" s="2">
        <v>0</v>
      </c>
      <c r="M3502">
        <v>0</v>
      </c>
      <c r="N3502">
        <v>0</v>
      </c>
      <c r="O3502" s="2">
        <v>0</v>
      </c>
      <c r="P3502" s="2">
        <v>0</v>
      </c>
      <c r="Q3502">
        <v>0</v>
      </c>
      <c r="R3502" s="2">
        <v>0</v>
      </c>
      <c r="S3502" s="2">
        <v>0</v>
      </c>
      <c r="T3502" t="s">
        <v>1738</v>
      </c>
      <c r="U3502" s="2">
        <v>0</v>
      </c>
      <c r="V3502" s="2">
        <f>22+8+18+4+16+2+4+2</f>
        <v>76</v>
      </c>
      <c r="W3502" s="2">
        <v>3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</row>
    <row r="3503" spans="1:28" hidden="1" x14ac:dyDescent="0.25">
      <c r="A3503" t="s">
        <v>568</v>
      </c>
      <c r="B3503" t="s">
        <v>1323</v>
      </c>
      <c r="C3503" t="s">
        <v>670</v>
      </c>
      <c r="D3503" s="1">
        <v>46100</v>
      </c>
      <c r="E3503" s="1">
        <v>46100</v>
      </c>
      <c r="F3503" s="2">
        <v>37</v>
      </c>
      <c r="G3503" s="3" t="s">
        <v>23</v>
      </c>
      <c r="H3503">
        <f>18+18+3+1+1+3+1+1+1</f>
        <v>47</v>
      </c>
      <c r="I3503" s="2">
        <v>0</v>
      </c>
      <c r="J3503" s="2">
        <v>1</v>
      </c>
      <c r="K3503" s="2">
        <v>1</v>
      </c>
      <c r="L3503" s="2">
        <v>0</v>
      </c>
      <c r="M3503">
        <v>0</v>
      </c>
      <c r="N3503">
        <v>0</v>
      </c>
      <c r="O3503" s="2">
        <v>0</v>
      </c>
      <c r="P3503" s="2">
        <v>0</v>
      </c>
      <c r="Q3503">
        <v>0</v>
      </c>
      <c r="R3503" s="2">
        <v>0</v>
      </c>
      <c r="S3503" s="2">
        <v>0</v>
      </c>
      <c r="T3503" t="s">
        <v>1739</v>
      </c>
      <c r="U3503" s="2">
        <v>0</v>
      </c>
      <c r="V3503" s="2">
        <v>22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</row>
    <row r="3504" spans="1:28" hidden="1" x14ac:dyDescent="0.25">
      <c r="A3504" t="s">
        <v>37</v>
      </c>
      <c r="B3504" t="s">
        <v>57</v>
      </c>
      <c r="C3504" t="s">
        <v>173</v>
      </c>
      <c r="D3504" s="1">
        <v>46100</v>
      </c>
      <c r="E3504" s="1">
        <v>46100</v>
      </c>
      <c r="F3504" s="2">
        <v>23</v>
      </c>
      <c r="G3504" s="3" t="s">
        <v>23</v>
      </c>
      <c r="H3504">
        <f>40+1+3+7+1+1+1</f>
        <v>54</v>
      </c>
      <c r="I3504" s="2">
        <v>0</v>
      </c>
      <c r="J3504" s="2">
        <v>0</v>
      </c>
      <c r="K3504" s="2">
        <v>1</v>
      </c>
      <c r="L3504" s="2">
        <v>0</v>
      </c>
      <c r="M3504">
        <v>0</v>
      </c>
      <c r="N3504">
        <v>1</v>
      </c>
      <c r="O3504" s="2">
        <v>0</v>
      </c>
      <c r="P3504" s="2">
        <v>0</v>
      </c>
      <c r="Q3504">
        <v>0</v>
      </c>
      <c r="R3504" s="2">
        <v>0</v>
      </c>
      <c r="S3504" s="2">
        <v>0</v>
      </c>
      <c r="T3504" t="s">
        <v>1740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</row>
    <row r="3505" spans="1:28" hidden="1" x14ac:dyDescent="0.25">
      <c r="A3505" t="s">
        <v>33</v>
      </c>
      <c r="B3505" t="s">
        <v>34</v>
      </c>
      <c r="C3505" t="s">
        <v>35</v>
      </c>
      <c r="D3505" s="1">
        <v>46100</v>
      </c>
      <c r="E3505" s="1">
        <v>46100</v>
      </c>
      <c r="F3505" s="2">
        <v>74</v>
      </c>
      <c r="G3505" s="3" t="s">
        <v>23</v>
      </c>
      <c r="H3505">
        <f>6+4+6+4+2+2+2+3+2</f>
        <v>31</v>
      </c>
      <c r="I3505" s="2">
        <v>0</v>
      </c>
      <c r="J3505" s="2">
        <v>0</v>
      </c>
      <c r="K3505" s="2">
        <v>1</v>
      </c>
      <c r="L3505" s="2">
        <v>0</v>
      </c>
      <c r="M3505">
        <v>0</v>
      </c>
      <c r="N3505">
        <v>0</v>
      </c>
      <c r="O3505" s="2">
        <v>0</v>
      </c>
      <c r="P3505" s="2">
        <v>0</v>
      </c>
      <c r="Q3505">
        <v>0</v>
      </c>
      <c r="R3505" s="2">
        <v>0</v>
      </c>
      <c r="S3505" s="2">
        <v>0</v>
      </c>
      <c r="T3505" t="s">
        <v>1741</v>
      </c>
      <c r="U3505" s="2">
        <v>0</v>
      </c>
      <c r="V3505" s="2">
        <f>22+14</f>
        <v>36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</row>
    <row r="3506" spans="1:28" hidden="1" x14ac:dyDescent="0.25">
      <c r="A3506" t="s">
        <v>20</v>
      </c>
      <c r="B3506" t="s">
        <v>21</v>
      </c>
      <c r="C3506" t="s">
        <v>22</v>
      </c>
      <c r="D3506" s="1">
        <v>46100</v>
      </c>
      <c r="E3506" s="1">
        <v>46100</v>
      </c>
      <c r="F3506" s="2">
        <v>40</v>
      </c>
      <c r="G3506" s="3" t="s">
        <v>23</v>
      </c>
      <c r="H3506">
        <f>6+4+6+4+1+2+2+2+3+1+1+1+7</f>
        <v>40</v>
      </c>
      <c r="I3506" s="2">
        <v>0</v>
      </c>
      <c r="J3506" s="2">
        <v>0</v>
      </c>
      <c r="K3506" s="2">
        <v>1</v>
      </c>
      <c r="L3506" s="2">
        <v>0</v>
      </c>
      <c r="M3506">
        <v>0</v>
      </c>
      <c r="N3506">
        <v>0</v>
      </c>
      <c r="O3506" s="2">
        <v>0</v>
      </c>
      <c r="P3506" s="2">
        <v>0</v>
      </c>
      <c r="Q3506">
        <v>0</v>
      </c>
      <c r="R3506" s="2">
        <v>0</v>
      </c>
      <c r="S3506" s="2">
        <v>0</v>
      </c>
      <c r="T3506" t="s">
        <v>1742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</row>
    <row r="3507" spans="1:28" hidden="1" x14ac:dyDescent="0.25">
      <c r="A3507" t="s">
        <v>53</v>
      </c>
      <c r="B3507" t="s">
        <v>38</v>
      </c>
      <c r="C3507" t="s">
        <v>1370</v>
      </c>
      <c r="D3507" s="1">
        <v>46100</v>
      </c>
      <c r="E3507" s="1">
        <v>46100</v>
      </c>
      <c r="F3507" s="2">
        <v>65</v>
      </c>
      <c r="G3507" s="3" t="s">
        <v>48</v>
      </c>
      <c r="H3507">
        <v>0</v>
      </c>
      <c r="I3507" s="2">
        <v>0</v>
      </c>
      <c r="J3507" s="2">
        <v>0</v>
      </c>
      <c r="K3507" s="2">
        <v>0</v>
      </c>
      <c r="L3507" s="2">
        <v>0</v>
      </c>
      <c r="M3507">
        <v>0</v>
      </c>
      <c r="N3507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t="s">
        <v>1590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</row>
    <row r="3508" spans="1:28" ht="14.25" hidden="1" customHeight="1" x14ac:dyDescent="0.25">
      <c r="A3508" t="s">
        <v>63</v>
      </c>
      <c r="B3508" t="s">
        <v>284</v>
      </c>
      <c r="C3508" t="s">
        <v>1370</v>
      </c>
      <c r="D3508" s="1">
        <v>46100</v>
      </c>
      <c r="E3508" s="1">
        <v>46100</v>
      </c>
      <c r="F3508" s="2">
        <v>65</v>
      </c>
      <c r="G3508" s="3" t="s">
        <v>48</v>
      </c>
      <c r="H3508">
        <v>0</v>
      </c>
      <c r="I3508" s="2">
        <v>0</v>
      </c>
      <c r="J3508" s="2">
        <v>0</v>
      </c>
      <c r="K3508" s="2">
        <v>0</v>
      </c>
      <c r="L3508" s="2">
        <v>0</v>
      </c>
      <c r="M3508">
        <v>0</v>
      </c>
      <c r="N3508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t="s">
        <v>1590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</row>
    <row r="3509" spans="1:28" hidden="1" x14ac:dyDescent="0.25">
      <c r="A3509" t="s">
        <v>47</v>
      </c>
      <c r="B3509" t="s">
        <v>47</v>
      </c>
      <c r="C3509" t="s">
        <v>1370</v>
      </c>
      <c r="D3509" s="1">
        <v>46100</v>
      </c>
      <c r="E3509" s="1">
        <v>46100</v>
      </c>
      <c r="F3509" s="2">
        <v>65</v>
      </c>
      <c r="G3509" s="3" t="s">
        <v>48</v>
      </c>
      <c r="H3509">
        <v>0</v>
      </c>
      <c r="I3509" s="2">
        <v>0</v>
      </c>
      <c r="J3509" s="2">
        <v>0</v>
      </c>
      <c r="K3509" s="2">
        <v>0</v>
      </c>
      <c r="L3509" s="2">
        <v>0</v>
      </c>
      <c r="M3509">
        <v>0</v>
      </c>
      <c r="N3509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t="s">
        <v>1590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</row>
    <row r="3510" spans="1:28" hidden="1" x14ac:dyDescent="0.25">
      <c r="A3510" t="s">
        <v>730</v>
      </c>
      <c r="B3510" t="s">
        <v>47</v>
      </c>
      <c r="C3510" t="s">
        <v>1370</v>
      </c>
      <c r="D3510" s="1">
        <v>46100</v>
      </c>
      <c r="E3510" s="1">
        <v>46100</v>
      </c>
      <c r="F3510" s="2">
        <v>65</v>
      </c>
      <c r="G3510" s="3" t="s">
        <v>409</v>
      </c>
      <c r="H3510">
        <v>0</v>
      </c>
      <c r="I3510" s="2">
        <v>0</v>
      </c>
      <c r="J3510" s="2">
        <v>0</v>
      </c>
      <c r="K3510" s="2">
        <v>0</v>
      </c>
      <c r="L3510" s="2">
        <v>0</v>
      </c>
      <c r="M3510">
        <v>0</v>
      </c>
      <c r="N3510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t="s">
        <v>1590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</row>
    <row r="3511" spans="1:28" hidden="1" x14ac:dyDescent="0.25">
      <c r="A3511" t="s">
        <v>1431</v>
      </c>
      <c r="B3511" t="s">
        <v>47</v>
      </c>
      <c r="C3511" t="s">
        <v>1370</v>
      </c>
      <c r="D3511" s="1">
        <v>46100</v>
      </c>
      <c r="E3511" s="1">
        <v>46100</v>
      </c>
      <c r="F3511" s="2">
        <v>65</v>
      </c>
      <c r="G3511" s="3" t="s">
        <v>409</v>
      </c>
      <c r="H3511">
        <v>0</v>
      </c>
      <c r="I3511" s="2">
        <v>0</v>
      </c>
      <c r="J3511" s="2">
        <v>0</v>
      </c>
      <c r="K3511" s="2">
        <v>0</v>
      </c>
      <c r="L3511" s="2">
        <v>0</v>
      </c>
      <c r="M3511">
        <v>0</v>
      </c>
      <c r="N3511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t="s">
        <v>1590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</row>
    <row r="3512" spans="1:28" hidden="1" x14ac:dyDescent="0.25">
      <c r="A3512" t="s">
        <v>29</v>
      </c>
      <c r="B3512" t="s">
        <v>30</v>
      </c>
      <c r="C3512" t="s">
        <v>1370</v>
      </c>
      <c r="D3512" s="1">
        <v>46100</v>
      </c>
      <c r="E3512" s="1">
        <v>46100</v>
      </c>
      <c r="F3512" s="2">
        <v>65</v>
      </c>
      <c r="G3512" s="3" t="s">
        <v>129</v>
      </c>
      <c r="H3512">
        <v>0</v>
      </c>
      <c r="I3512" s="2">
        <v>0</v>
      </c>
      <c r="J3512" s="2">
        <v>0</v>
      </c>
      <c r="K3512" s="2">
        <v>0</v>
      </c>
      <c r="L3512" s="2">
        <v>0</v>
      </c>
      <c r="M3512">
        <v>0</v>
      </c>
      <c r="N351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t="s">
        <v>1590</v>
      </c>
      <c r="U3512" s="2">
        <v>0</v>
      </c>
      <c r="V351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</row>
    <row r="3513" spans="1:28" hidden="1" x14ac:dyDescent="0.25">
      <c r="A3513" t="s">
        <v>25</v>
      </c>
      <c r="B3513" t="s">
        <v>26</v>
      </c>
      <c r="C3513" t="s">
        <v>27</v>
      </c>
      <c r="D3513" s="1">
        <v>46101</v>
      </c>
      <c r="E3513" s="1">
        <v>46101</v>
      </c>
      <c r="F3513" s="2">
        <v>26</v>
      </c>
      <c r="G3513" s="3" t="s">
        <v>23</v>
      </c>
      <c r="H3513">
        <f>9+4+9+4</f>
        <v>26</v>
      </c>
      <c r="I3513" s="2">
        <v>0</v>
      </c>
      <c r="J3513" s="2">
        <v>0</v>
      </c>
      <c r="K3513" s="2">
        <v>0</v>
      </c>
      <c r="L3513" s="2">
        <v>1</v>
      </c>
      <c r="M3513">
        <v>0</v>
      </c>
      <c r="N3513">
        <v>0</v>
      </c>
      <c r="O3513" s="2">
        <v>0</v>
      </c>
      <c r="P3513" s="2">
        <v>0</v>
      </c>
      <c r="Q3513">
        <v>0</v>
      </c>
      <c r="R3513" s="2">
        <v>0</v>
      </c>
      <c r="S3513" s="2">
        <v>0</v>
      </c>
      <c r="T3513" t="s">
        <v>1743</v>
      </c>
      <c r="U3513" s="2">
        <v>0</v>
      </c>
      <c r="V3513">
        <f>63-26</f>
        <v>37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</row>
    <row r="3514" spans="1:28" hidden="1" x14ac:dyDescent="0.25">
      <c r="A3514" t="s">
        <v>56</v>
      </c>
      <c r="B3514" t="s">
        <v>1160</v>
      </c>
      <c r="C3514" t="s">
        <v>64</v>
      </c>
      <c r="D3514" s="1">
        <v>46101</v>
      </c>
      <c r="E3514" s="1">
        <v>46101</v>
      </c>
      <c r="F3514" s="2">
        <v>41</v>
      </c>
      <c r="G3514" s="3" t="s">
        <v>23</v>
      </c>
      <c r="H3514">
        <f>8+8+9+9</f>
        <v>34</v>
      </c>
      <c r="I3514" s="2">
        <v>0</v>
      </c>
      <c r="J3514" s="2">
        <v>0</v>
      </c>
      <c r="K3514" s="2">
        <v>1</v>
      </c>
      <c r="L3514" s="2">
        <v>0</v>
      </c>
      <c r="M3514">
        <v>1</v>
      </c>
      <c r="N3514">
        <v>1</v>
      </c>
      <c r="O3514" s="2">
        <v>0</v>
      </c>
      <c r="P3514" s="2">
        <v>0</v>
      </c>
      <c r="Q3514">
        <v>0</v>
      </c>
      <c r="R3514" s="2">
        <v>0</v>
      </c>
      <c r="S3514" s="2">
        <v>0</v>
      </c>
      <c r="T3514" t="s">
        <v>1744</v>
      </c>
      <c r="U3514" s="2">
        <v>0</v>
      </c>
      <c r="V3514">
        <f>44-16-9</f>
        <v>19</v>
      </c>
      <c r="W3514" s="2">
        <v>7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</row>
    <row r="3515" spans="1:28" hidden="1" x14ac:dyDescent="0.25">
      <c r="A3515" t="s">
        <v>20</v>
      </c>
      <c r="B3515" t="s">
        <v>21</v>
      </c>
      <c r="C3515" t="s">
        <v>22</v>
      </c>
      <c r="D3515" s="1">
        <v>46101</v>
      </c>
      <c r="E3515" s="1">
        <v>46101</v>
      </c>
      <c r="F3515" s="2">
        <v>36</v>
      </c>
      <c r="G3515" s="3" t="s">
        <v>23</v>
      </c>
      <c r="H3515">
        <f>18+18+22</f>
        <v>58</v>
      </c>
      <c r="I3515" s="2">
        <v>0</v>
      </c>
      <c r="J3515" s="2">
        <v>1</v>
      </c>
      <c r="K3515" s="2">
        <v>1</v>
      </c>
      <c r="L3515" s="2">
        <v>0</v>
      </c>
      <c r="M3515">
        <v>1</v>
      </c>
      <c r="N3515">
        <v>1</v>
      </c>
      <c r="O3515" s="2">
        <v>0</v>
      </c>
      <c r="P3515" s="2">
        <v>0</v>
      </c>
      <c r="Q3515">
        <v>0</v>
      </c>
      <c r="R3515" s="2">
        <v>0</v>
      </c>
      <c r="S3515" s="2">
        <v>0</v>
      </c>
      <c r="T3515" t="s">
        <v>1745</v>
      </c>
      <c r="U3515" s="2">
        <v>0</v>
      </c>
      <c r="V3515" s="2">
        <f>84-36</f>
        <v>48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</row>
    <row r="3516" spans="1:28" hidden="1" x14ac:dyDescent="0.25">
      <c r="A3516" t="s">
        <v>47</v>
      </c>
      <c r="B3516" t="s">
        <v>34</v>
      </c>
      <c r="C3516" t="s">
        <v>22</v>
      </c>
      <c r="D3516" s="1">
        <v>46101</v>
      </c>
      <c r="E3516" s="1">
        <v>46101</v>
      </c>
      <c r="F3516" s="2">
        <v>36</v>
      </c>
      <c r="G3516" s="3" t="s">
        <v>23</v>
      </c>
      <c r="H3516">
        <f>18+18</f>
        <v>36</v>
      </c>
      <c r="I3516" s="2">
        <v>0</v>
      </c>
      <c r="J3516" s="2">
        <v>1</v>
      </c>
      <c r="K3516" s="2">
        <v>1</v>
      </c>
      <c r="L3516" s="2">
        <v>0</v>
      </c>
      <c r="M3516">
        <v>0</v>
      </c>
      <c r="N3516">
        <v>1</v>
      </c>
      <c r="O3516" s="2">
        <v>0</v>
      </c>
      <c r="P3516" s="2">
        <v>0</v>
      </c>
      <c r="Q3516">
        <v>0</v>
      </c>
      <c r="R3516" s="2">
        <v>0</v>
      </c>
      <c r="S3516" s="2">
        <v>0</v>
      </c>
      <c r="T3516" t="s">
        <v>1745</v>
      </c>
      <c r="U3516" s="2">
        <v>0</v>
      </c>
      <c r="V3516" s="2">
        <f>84-36</f>
        <v>48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</row>
    <row r="3517" spans="1:28" hidden="1" x14ac:dyDescent="0.25">
      <c r="A3517" t="s">
        <v>37</v>
      </c>
      <c r="B3517" t="s">
        <v>57</v>
      </c>
      <c r="C3517" t="s">
        <v>173</v>
      </c>
      <c r="D3517" s="1">
        <v>46101</v>
      </c>
      <c r="E3517" s="1">
        <v>46101</v>
      </c>
      <c r="F3517" s="2">
        <v>22</v>
      </c>
      <c r="G3517" s="3" t="s">
        <v>23</v>
      </c>
      <c r="H3517">
        <v>28</v>
      </c>
      <c r="I3517" s="2">
        <v>0</v>
      </c>
      <c r="J3517" s="2">
        <v>0</v>
      </c>
      <c r="K3517" s="2">
        <v>1</v>
      </c>
      <c r="L3517" s="2">
        <v>0</v>
      </c>
      <c r="M3517">
        <v>0</v>
      </c>
      <c r="N3517">
        <v>1</v>
      </c>
      <c r="O3517" s="2">
        <v>0</v>
      </c>
      <c r="P3517" s="2">
        <v>0</v>
      </c>
      <c r="Q3517">
        <v>0</v>
      </c>
      <c r="R3517" s="2">
        <v>0</v>
      </c>
      <c r="S3517" s="2">
        <v>0</v>
      </c>
      <c r="T3517" t="s">
        <v>1746</v>
      </c>
      <c r="U3517" s="2">
        <v>0</v>
      </c>
      <c r="V3517" s="2">
        <v>10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</row>
    <row r="3518" spans="1:28" hidden="1" x14ac:dyDescent="0.25">
      <c r="A3518" t="s">
        <v>63</v>
      </c>
      <c r="B3518" t="s">
        <v>284</v>
      </c>
      <c r="C3518" t="s">
        <v>102</v>
      </c>
      <c r="D3518" s="1">
        <v>46101</v>
      </c>
      <c r="E3518" s="1">
        <v>46101</v>
      </c>
      <c r="F3518" s="2">
        <v>25</v>
      </c>
      <c r="G3518" s="3" t="s">
        <v>23</v>
      </c>
      <c r="H3518">
        <f>12+4+12+4+1+1+1+1+2+2+1+1+2+1+1+2</f>
        <v>48</v>
      </c>
      <c r="I3518" s="2">
        <v>0</v>
      </c>
      <c r="J3518" s="2">
        <v>1</v>
      </c>
      <c r="K3518" s="2">
        <v>1</v>
      </c>
      <c r="L3518" s="2">
        <v>0</v>
      </c>
      <c r="M3518">
        <v>1</v>
      </c>
      <c r="N3518">
        <v>0</v>
      </c>
      <c r="O3518" s="2">
        <v>0</v>
      </c>
      <c r="P3518" s="2">
        <v>0</v>
      </c>
      <c r="Q3518">
        <v>2</v>
      </c>
      <c r="R3518" s="2">
        <v>0</v>
      </c>
      <c r="S3518" s="2">
        <v>0</v>
      </c>
      <c r="T3518" t="s">
        <v>1747</v>
      </c>
      <c r="U3518" s="2">
        <v>0</v>
      </c>
      <c r="V3518" s="2">
        <f>2+19+2+22</f>
        <v>45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</row>
    <row r="3519" spans="1:28" hidden="1" x14ac:dyDescent="0.25">
      <c r="A3519" t="s">
        <v>53</v>
      </c>
      <c r="B3519" t="s">
        <v>38</v>
      </c>
      <c r="C3519" t="s">
        <v>54</v>
      </c>
      <c r="D3519" s="1">
        <v>46101</v>
      </c>
      <c r="E3519" s="1">
        <v>46101</v>
      </c>
      <c r="F3519" s="2">
        <v>79</v>
      </c>
      <c r="G3519" s="3" t="s">
        <v>23</v>
      </c>
      <c r="H3519">
        <v>33</v>
      </c>
      <c r="I3519" s="2">
        <v>0</v>
      </c>
      <c r="J3519" s="2">
        <v>0</v>
      </c>
      <c r="K3519" s="2">
        <v>1</v>
      </c>
      <c r="L3519" s="2">
        <v>0</v>
      </c>
      <c r="M3519">
        <v>0</v>
      </c>
      <c r="N3519">
        <v>0</v>
      </c>
      <c r="O3519" s="2">
        <v>0</v>
      </c>
      <c r="P3519" s="2">
        <v>0</v>
      </c>
      <c r="Q3519">
        <v>0</v>
      </c>
      <c r="R3519" s="2">
        <v>0</v>
      </c>
      <c r="S3519" s="2">
        <v>0</v>
      </c>
      <c r="T3519" t="s">
        <v>1748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</row>
    <row r="3520" spans="1:28" hidden="1" x14ac:dyDescent="0.25">
      <c r="A3520" t="s">
        <v>1431</v>
      </c>
      <c r="B3520" t="s">
        <v>1237</v>
      </c>
      <c r="C3520" t="s">
        <v>1370</v>
      </c>
      <c r="D3520" s="1">
        <v>46101</v>
      </c>
      <c r="E3520" s="1">
        <v>46101</v>
      </c>
      <c r="F3520" s="2">
        <v>65</v>
      </c>
      <c r="G3520" s="3" t="s">
        <v>23</v>
      </c>
      <c r="H3520">
        <v>10</v>
      </c>
      <c r="I3520" s="2">
        <v>0</v>
      </c>
      <c r="J3520" s="2">
        <v>0</v>
      </c>
      <c r="K3520" s="2">
        <v>0</v>
      </c>
      <c r="L3520" s="2">
        <v>0</v>
      </c>
      <c r="M3520">
        <v>0</v>
      </c>
      <c r="N3520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t="s">
        <v>1590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</row>
    <row r="3521" spans="1:28" hidden="1" x14ac:dyDescent="0.25">
      <c r="A3521" t="s">
        <v>29</v>
      </c>
      <c r="B3521" t="s">
        <v>30</v>
      </c>
      <c r="C3521" t="s">
        <v>1370</v>
      </c>
      <c r="D3521" s="1">
        <v>46101</v>
      </c>
      <c r="E3521" s="1">
        <v>46101</v>
      </c>
      <c r="F3521" s="2">
        <v>65</v>
      </c>
      <c r="G3521" s="3" t="s">
        <v>129</v>
      </c>
      <c r="H3521">
        <v>0</v>
      </c>
      <c r="I3521" s="2">
        <v>0</v>
      </c>
      <c r="J3521" s="2">
        <v>0</v>
      </c>
      <c r="K3521" s="2">
        <v>0</v>
      </c>
      <c r="L3521" s="2">
        <v>0</v>
      </c>
      <c r="M3521">
        <v>0</v>
      </c>
      <c r="N3521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t="s">
        <v>1590</v>
      </c>
      <c r="U3521" s="2">
        <v>0</v>
      </c>
      <c r="V3521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</row>
    <row r="3522" spans="1:28" hidden="1" x14ac:dyDescent="0.25">
      <c r="A3522" t="s">
        <v>568</v>
      </c>
      <c r="B3522" t="s">
        <v>1323</v>
      </c>
      <c r="C3522" t="s">
        <v>1370</v>
      </c>
      <c r="D3522" s="1">
        <v>46101</v>
      </c>
      <c r="E3522" s="1">
        <v>46101</v>
      </c>
      <c r="F3522" s="2">
        <v>65</v>
      </c>
      <c r="G3522" s="3" t="s">
        <v>48</v>
      </c>
      <c r="H3522">
        <v>0</v>
      </c>
      <c r="I3522" s="2">
        <v>0</v>
      </c>
      <c r="J3522" s="2">
        <v>0</v>
      </c>
      <c r="K3522" s="2">
        <v>0</v>
      </c>
      <c r="L3522" s="2">
        <v>0</v>
      </c>
      <c r="M3522">
        <v>0</v>
      </c>
      <c r="N352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t="s">
        <v>1590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</row>
    <row r="3523" spans="1:28" ht="14.25" hidden="1" customHeight="1" x14ac:dyDescent="0.25">
      <c r="A3523" t="s">
        <v>33</v>
      </c>
      <c r="B3523" t="s">
        <v>47</v>
      </c>
      <c r="C3523" t="s">
        <v>1370</v>
      </c>
      <c r="D3523" s="1">
        <v>46101</v>
      </c>
      <c r="E3523" s="1">
        <v>46101</v>
      </c>
      <c r="F3523" s="2">
        <v>65</v>
      </c>
      <c r="G3523" s="3" t="s">
        <v>614</v>
      </c>
      <c r="H3523">
        <v>0</v>
      </c>
      <c r="I3523" s="2">
        <v>0</v>
      </c>
      <c r="J3523" s="2">
        <v>0</v>
      </c>
      <c r="K3523" s="2">
        <v>0</v>
      </c>
      <c r="L3523" s="2">
        <v>0</v>
      </c>
      <c r="M3523">
        <v>0</v>
      </c>
      <c r="N3523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t="s">
        <v>1590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</row>
    <row r="3524" spans="1:28" hidden="1" x14ac:dyDescent="0.25">
      <c r="A3524" t="s">
        <v>47</v>
      </c>
      <c r="B3524" t="s">
        <v>47</v>
      </c>
      <c r="C3524" t="s">
        <v>1370</v>
      </c>
      <c r="D3524" s="1">
        <v>46101</v>
      </c>
      <c r="E3524" s="1">
        <v>46101</v>
      </c>
      <c r="F3524" s="2">
        <v>65</v>
      </c>
      <c r="G3524" s="3" t="s">
        <v>48</v>
      </c>
      <c r="H3524">
        <v>0</v>
      </c>
      <c r="I3524" s="2">
        <v>0</v>
      </c>
      <c r="J3524" s="2">
        <v>0</v>
      </c>
      <c r="K3524" s="2">
        <v>0</v>
      </c>
      <c r="L3524" s="2">
        <v>0</v>
      </c>
      <c r="M3524">
        <v>0</v>
      </c>
      <c r="N3524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t="s">
        <v>1590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</row>
    <row r="3525" spans="1:28" hidden="1" x14ac:dyDescent="0.25">
      <c r="A3525" t="s">
        <v>730</v>
      </c>
      <c r="B3525" t="s">
        <v>47</v>
      </c>
      <c r="C3525" t="s">
        <v>1370</v>
      </c>
      <c r="D3525" s="1">
        <v>46101</v>
      </c>
      <c r="E3525" s="1">
        <v>46101</v>
      </c>
      <c r="F3525" s="2">
        <v>65</v>
      </c>
      <c r="G3525" s="3" t="s">
        <v>409</v>
      </c>
      <c r="H3525">
        <v>0</v>
      </c>
      <c r="I3525" s="2">
        <v>0</v>
      </c>
      <c r="J3525" s="2">
        <v>0</v>
      </c>
      <c r="K3525" s="2">
        <v>0</v>
      </c>
      <c r="L3525" s="2">
        <v>0</v>
      </c>
      <c r="M3525">
        <v>0</v>
      </c>
      <c r="N3525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t="s">
        <v>1590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</row>
    <row r="3526" spans="1:28" hidden="1" x14ac:dyDescent="0.25">
      <c r="A3526" t="s">
        <v>730</v>
      </c>
      <c r="B3526" t="s">
        <v>1238</v>
      </c>
      <c r="C3526" t="s">
        <v>1370</v>
      </c>
      <c r="D3526" s="9">
        <v>46102</v>
      </c>
      <c r="E3526" s="9">
        <v>46102</v>
      </c>
      <c r="F3526" s="2">
        <v>94</v>
      </c>
      <c r="G3526" s="3" t="s">
        <v>23</v>
      </c>
      <c r="H3526">
        <v>0</v>
      </c>
      <c r="I3526" s="2">
        <v>0</v>
      </c>
      <c r="J3526" s="2">
        <v>0</v>
      </c>
      <c r="K3526" s="2">
        <v>0</v>
      </c>
      <c r="L3526" s="2">
        <v>0</v>
      </c>
      <c r="M3526">
        <v>0</v>
      </c>
      <c r="N3526">
        <v>0</v>
      </c>
      <c r="O3526" s="2">
        <v>1</v>
      </c>
      <c r="P3526" s="2">
        <v>0</v>
      </c>
      <c r="Q3526">
        <v>7</v>
      </c>
      <c r="R3526" s="2">
        <v>1</v>
      </c>
      <c r="S3526" s="2">
        <v>0</v>
      </c>
      <c r="T3526" t="s">
        <v>1749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</row>
    <row r="3527" spans="1:28" hidden="1" x14ac:dyDescent="0.25">
      <c r="A3527" t="s">
        <v>56</v>
      </c>
      <c r="B3527" t="s">
        <v>1160</v>
      </c>
      <c r="C3527" t="s">
        <v>64</v>
      </c>
      <c r="D3527" s="9">
        <v>46102</v>
      </c>
      <c r="E3527" s="9">
        <v>46102</v>
      </c>
      <c r="F3527" s="2">
        <v>62</v>
      </c>
      <c r="G3527" s="3" t="s">
        <v>23</v>
      </c>
      <c r="H3527">
        <v>0</v>
      </c>
      <c r="I3527" s="2">
        <v>0</v>
      </c>
      <c r="J3527" s="2">
        <v>0</v>
      </c>
      <c r="K3527" s="2">
        <v>0</v>
      </c>
      <c r="L3527" s="2">
        <v>0</v>
      </c>
      <c r="M3527">
        <v>0</v>
      </c>
      <c r="N3527">
        <v>0</v>
      </c>
      <c r="O3527" s="2">
        <v>0</v>
      </c>
      <c r="P3527" s="2">
        <v>0</v>
      </c>
      <c r="Q3527">
        <v>5</v>
      </c>
      <c r="R3527" s="2">
        <v>0</v>
      </c>
      <c r="S3527" s="2">
        <v>1</v>
      </c>
      <c r="T3527" t="s">
        <v>1750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</v>
      </c>
    </row>
    <row r="3528" spans="1:28" hidden="1" x14ac:dyDescent="0.25">
      <c r="A3528" t="s">
        <v>568</v>
      </c>
      <c r="B3528" t="s">
        <v>1323</v>
      </c>
      <c r="C3528" t="s">
        <v>670</v>
      </c>
      <c r="D3528" s="9">
        <v>46102</v>
      </c>
      <c r="E3528" s="9">
        <v>46102</v>
      </c>
      <c r="F3528" s="2">
        <v>57</v>
      </c>
      <c r="G3528" s="3" t="s">
        <v>23</v>
      </c>
      <c r="H3528">
        <v>0</v>
      </c>
      <c r="I3528" s="2">
        <v>0</v>
      </c>
      <c r="J3528" s="2">
        <v>0</v>
      </c>
      <c r="K3528" s="2">
        <v>0</v>
      </c>
      <c r="L3528" s="2">
        <v>0</v>
      </c>
      <c r="M3528">
        <v>0</v>
      </c>
      <c r="N3528">
        <v>0</v>
      </c>
      <c r="O3528" s="2">
        <v>1</v>
      </c>
      <c r="P3528" s="2">
        <v>0</v>
      </c>
      <c r="Q3528">
        <v>5</v>
      </c>
      <c r="R3528" s="2">
        <v>1</v>
      </c>
      <c r="S3528" s="2">
        <v>0</v>
      </c>
      <c r="T3528" t="s">
        <v>1751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</row>
    <row r="3529" spans="1:28" hidden="1" x14ac:dyDescent="0.25">
      <c r="A3529" t="s">
        <v>193</v>
      </c>
      <c r="B3529" t="s">
        <v>1237</v>
      </c>
      <c r="C3529" t="s">
        <v>670</v>
      </c>
      <c r="D3529" s="9">
        <v>46102</v>
      </c>
      <c r="E3529" s="9">
        <v>46102</v>
      </c>
      <c r="F3529" s="2">
        <v>57</v>
      </c>
      <c r="G3529" s="3" t="s">
        <v>23</v>
      </c>
      <c r="H3529">
        <v>0</v>
      </c>
      <c r="I3529" s="2">
        <v>0</v>
      </c>
      <c r="J3529" s="2">
        <v>0</v>
      </c>
      <c r="K3529" s="2">
        <v>0</v>
      </c>
      <c r="L3529" s="2">
        <v>0</v>
      </c>
      <c r="M3529">
        <v>0</v>
      </c>
      <c r="N3529">
        <v>0</v>
      </c>
      <c r="O3529" s="2">
        <v>1</v>
      </c>
      <c r="P3529" s="2">
        <v>0</v>
      </c>
      <c r="Q3529">
        <v>5</v>
      </c>
      <c r="R3529" s="2">
        <v>1</v>
      </c>
      <c r="S3529" s="2">
        <v>0</v>
      </c>
      <c r="T3529" t="s">
        <v>1751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</row>
    <row r="3530" spans="1:28" hidden="1" x14ac:dyDescent="0.25">
      <c r="A3530" t="s">
        <v>63</v>
      </c>
      <c r="B3530" t="s">
        <v>284</v>
      </c>
      <c r="C3530" t="s">
        <v>102</v>
      </c>
      <c r="D3530" s="9">
        <v>46102</v>
      </c>
      <c r="E3530" s="9">
        <v>46102</v>
      </c>
      <c r="F3530" s="2">
        <v>28</v>
      </c>
      <c r="G3530" s="3" t="s">
        <v>23</v>
      </c>
      <c r="H3530">
        <v>0</v>
      </c>
      <c r="I3530" s="2">
        <v>0</v>
      </c>
      <c r="J3530" s="2">
        <v>0</v>
      </c>
      <c r="K3530" s="2">
        <v>0</v>
      </c>
      <c r="L3530" s="2">
        <v>0</v>
      </c>
      <c r="M3530">
        <v>1</v>
      </c>
      <c r="N3530">
        <v>0</v>
      </c>
      <c r="O3530" s="2">
        <v>1</v>
      </c>
      <c r="P3530" s="2">
        <v>0</v>
      </c>
      <c r="Q3530">
        <v>6</v>
      </c>
      <c r="R3530" s="2">
        <v>1</v>
      </c>
      <c r="S3530" s="2">
        <v>0</v>
      </c>
      <c r="T3530" t="s">
        <v>1752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</row>
    <row r="3531" spans="1:28" hidden="1" x14ac:dyDescent="0.25">
      <c r="A3531" t="s">
        <v>53</v>
      </c>
      <c r="B3531" t="s">
        <v>38</v>
      </c>
      <c r="C3531" t="s">
        <v>54</v>
      </c>
      <c r="D3531" s="9">
        <v>46102</v>
      </c>
      <c r="E3531" s="9">
        <v>46102</v>
      </c>
      <c r="F3531" s="2">
        <v>50</v>
      </c>
      <c r="G3531" s="3" t="s">
        <v>23</v>
      </c>
      <c r="H3531">
        <v>0</v>
      </c>
      <c r="I3531" s="2">
        <v>0</v>
      </c>
      <c r="J3531" s="2">
        <v>0</v>
      </c>
      <c r="K3531" s="2">
        <v>0</v>
      </c>
      <c r="L3531" s="2">
        <v>0</v>
      </c>
      <c r="M3531">
        <v>0</v>
      </c>
      <c r="N3531">
        <v>0</v>
      </c>
      <c r="O3531" s="2">
        <v>1</v>
      </c>
      <c r="P3531" s="2">
        <v>0</v>
      </c>
      <c r="Q3531">
        <v>4</v>
      </c>
      <c r="R3531" s="2">
        <v>1</v>
      </c>
      <c r="S3531" s="2">
        <v>0</v>
      </c>
      <c r="T3531" t="s">
        <v>1753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</row>
    <row r="3532" spans="1:28" hidden="1" x14ac:dyDescent="0.25">
      <c r="A3532" t="s">
        <v>37</v>
      </c>
      <c r="B3532" t="s">
        <v>57</v>
      </c>
      <c r="C3532" t="s">
        <v>1370</v>
      </c>
      <c r="D3532" s="9">
        <v>46102</v>
      </c>
      <c r="E3532" s="9">
        <v>46102</v>
      </c>
      <c r="F3532" s="2">
        <v>65</v>
      </c>
      <c r="G3532" s="3" t="s">
        <v>378</v>
      </c>
      <c r="H3532">
        <v>0</v>
      </c>
      <c r="I3532" s="2">
        <v>0</v>
      </c>
      <c r="J3532" s="2">
        <v>0</v>
      </c>
      <c r="K3532" s="2">
        <v>0</v>
      </c>
      <c r="L3532" s="2">
        <v>0</v>
      </c>
      <c r="M3532">
        <v>0</v>
      </c>
      <c r="N353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t="s">
        <v>1590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</row>
    <row r="3533" spans="1:28" hidden="1" x14ac:dyDescent="0.25">
      <c r="A3533" t="s">
        <v>33</v>
      </c>
      <c r="B3533" t="s">
        <v>34</v>
      </c>
      <c r="C3533" t="s">
        <v>1370</v>
      </c>
      <c r="D3533" s="9">
        <v>46102</v>
      </c>
      <c r="E3533" s="9">
        <v>46102</v>
      </c>
      <c r="F3533" s="2">
        <v>65</v>
      </c>
      <c r="G3533" s="3" t="s">
        <v>378</v>
      </c>
      <c r="H3533">
        <v>0</v>
      </c>
      <c r="I3533" s="2">
        <v>0</v>
      </c>
      <c r="J3533" s="2">
        <v>0</v>
      </c>
      <c r="K3533" s="2">
        <v>0</v>
      </c>
      <c r="L3533" s="2">
        <v>0</v>
      </c>
      <c r="M3533">
        <v>0</v>
      </c>
      <c r="N3533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t="s">
        <v>1590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</row>
    <row r="3534" spans="1:28" hidden="1" x14ac:dyDescent="0.25">
      <c r="A3534" t="s">
        <v>1754</v>
      </c>
      <c r="B3534" t="s">
        <v>26</v>
      </c>
      <c r="C3534" t="s">
        <v>1370</v>
      </c>
      <c r="D3534" s="9">
        <v>46102</v>
      </c>
      <c r="E3534" s="9">
        <v>46102</v>
      </c>
      <c r="F3534" s="2">
        <v>65</v>
      </c>
      <c r="G3534" s="3" t="s">
        <v>378</v>
      </c>
      <c r="H3534">
        <v>0</v>
      </c>
      <c r="I3534" s="2">
        <v>0</v>
      </c>
      <c r="J3534" s="2">
        <v>0</v>
      </c>
      <c r="K3534" s="2">
        <v>0</v>
      </c>
      <c r="L3534" s="2">
        <v>0</v>
      </c>
      <c r="M3534">
        <v>0</v>
      </c>
      <c r="N3534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t="s">
        <v>1590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</row>
    <row r="3535" spans="1:28" hidden="1" x14ac:dyDescent="0.25">
      <c r="A3535" t="s">
        <v>20</v>
      </c>
      <c r="B3535" t="s">
        <v>21</v>
      </c>
      <c r="C3535" t="s">
        <v>1370</v>
      </c>
      <c r="D3535" s="9">
        <v>46102</v>
      </c>
      <c r="E3535" s="9">
        <v>46102</v>
      </c>
      <c r="F3535" s="2">
        <v>65</v>
      </c>
      <c r="G3535" s="3" t="s">
        <v>378</v>
      </c>
      <c r="H3535">
        <v>0</v>
      </c>
      <c r="I3535" s="2">
        <v>0</v>
      </c>
      <c r="J3535" s="2">
        <v>0</v>
      </c>
      <c r="K3535" s="2">
        <v>0</v>
      </c>
      <c r="L3535" s="2">
        <v>0</v>
      </c>
      <c r="M3535">
        <v>0</v>
      </c>
      <c r="N3535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t="s">
        <v>1590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</row>
    <row r="3536" spans="1:28" hidden="1" x14ac:dyDescent="0.25">
      <c r="A3536" t="s">
        <v>29</v>
      </c>
      <c r="B3536" t="s">
        <v>30</v>
      </c>
      <c r="C3536" t="s">
        <v>1370</v>
      </c>
      <c r="D3536" s="9">
        <v>46102</v>
      </c>
      <c r="E3536" s="9">
        <v>46102</v>
      </c>
      <c r="F3536" s="2">
        <v>65</v>
      </c>
      <c r="G3536" s="3" t="s">
        <v>129</v>
      </c>
      <c r="H3536">
        <v>0</v>
      </c>
      <c r="I3536" s="2">
        <v>0</v>
      </c>
      <c r="J3536" s="2">
        <v>0</v>
      </c>
      <c r="K3536" s="2">
        <v>0</v>
      </c>
      <c r="L3536" s="2">
        <v>0</v>
      </c>
      <c r="M3536">
        <v>0</v>
      </c>
      <c r="N3536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t="s">
        <v>1590</v>
      </c>
      <c r="U3536" s="2">
        <v>0</v>
      </c>
      <c r="V3536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</row>
    <row r="3537" spans="1:28" hidden="1" x14ac:dyDescent="0.25">
      <c r="A3537" t="s">
        <v>730</v>
      </c>
      <c r="B3537" t="s">
        <v>1238</v>
      </c>
      <c r="C3537" t="s">
        <v>1370</v>
      </c>
      <c r="D3537" s="9">
        <v>46103</v>
      </c>
      <c r="E3537" s="9">
        <v>46103</v>
      </c>
      <c r="F3537" s="2">
        <v>68</v>
      </c>
      <c r="G3537" s="3" t="s">
        <v>23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>
        <v>0</v>
      </c>
      <c r="N3537">
        <v>0</v>
      </c>
      <c r="O3537" s="2">
        <v>0</v>
      </c>
      <c r="P3537" s="2">
        <v>0</v>
      </c>
      <c r="Q3537">
        <v>4</v>
      </c>
      <c r="R3537" s="2">
        <v>0</v>
      </c>
      <c r="S3537" s="2">
        <v>1</v>
      </c>
      <c r="T3537" t="s">
        <v>1762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1</v>
      </c>
    </row>
    <row r="3538" spans="1:28" hidden="1" x14ac:dyDescent="0.25">
      <c r="A3538" t="s">
        <v>56</v>
      </c>
      <c r="B3538" t="s">
        <v>1160</v>
      </c>
      <c r="C3538" t="s">
        <v>64</v>
      </c>
      <c r="D3538" s="9">
        <v>46103</v>
      </c>
      <c r="E3538" s="9">
        <v>46103</v>
      </c>
      <c r="F3538" s="2">
        <v>21</v>
      </c>
      <c r="G3538" s="3" t="s">
        <v>23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>
        <v>0</v>
      </c>
      <c r="N3538">
        <v>0</v>
      </c>
      <c r="O3538" s="2">
        <v>0</v>
      </c>
      <c r="P3538" s="2">
        <v>1</v>
      </c>
      <c r="Q3538">
        <v>2</v>
      </c>
      <c r="R3538" s="2">
        <v>0</v>
      </c>
      <c r="S3538" s="2">
        <v>1</v>
      </c>
      <c r="T3538" t="s">
        <v>1763</v>
      </c>
      <c r="U3538" s="2">
        <v>16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</row>
    <row r="3539" spans="1:28" hidden="1" x14ac:dyDescent="0.25">
      <c r="A3539" t="s">
        <v>568</v>
      </c>
      <c r="B3539" t="s">
        <v>1323</v>
      </c>
      <c r="C3539" t="s">
        <v>670</v>
      </c>
      <c r="D3539" s="9">
        <v>46103</v>
      </c>
      <c r="E3539" s="9">
        <v>46103</v>
      </c>
      <c r="F3539" s="2">
        <v>55</v>
      </c>
      <c r="G3539" s="3" t="s">
        <v>23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>
        <v>0</v>
      </c>
      <c r="N3539">
        <v>0</v>
      </c>
      <c r="O3539" s="2">
        <v>0</v>
      </c>
      <c r="P3539" s="2">
        <v>0</v>
      </c>
      <c r="Q3539">
        <v>1</v>
      </c>
      <c r="R3539" s="2">
        <v>0</v>
      </c>
      <c r="S3539" s="2">
        <v>1</v>
      </c>
      <c r="T3539" t="s">
        <v>1755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1</v>
      </c>
    </row>
    <row r="3540" spans="1:28" hidden="1" x14ac:dyDescent="0.25">
      <c r="A3540" t="s">
        <v>193</v>
      </c>
      <c r="B3540" t="s">
        <v>1237</v>
      </c>
      <c r="C3540" t="s">
        <v>54</v>
      </c>
      <c r="D3540" s="9">
        <v>46103</v>
      </c>
      <c r="E3540" s="9">
        <v>46103</v>
      </c>
      <c r="F3540" s="2">
        <v>45</v>
      </c>
      <c r="G3540" s="3" t="s">
        <v>23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>
        <v>0</v>
      </c>
      <c r="N3540">
        <v>0</v>
      </c>
      <c r="O3540" s="2">
        <v>0</v>
      </c>
      <c r="P3540" s="2">
        <v>1</v>
      </c>
      <c r="Q3540">
        <v>2</v>
      </c>
      <c r="R3540" s="2">
        <v>0</v>
      </c>
      <c r="S3540" s="2">
        <v>1</v>
      </c>
      <c r="T3540" t="s">
        <v>1761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</row>
    <row r="3541" spans="1:28" hidden="1" x14ac:dyDescent="0.25">
      <c r="A3541" t="s">
        <v>63</v>
      </c>
      <c r="B3541" t="s">
        <v>284</v>
      </c>
      <c r="C3541" t="s">
        <v>102</v>
      </c>
      <c r="D3541" s="9">
        <v>46103</v>
      </c>
      <c r="E3541" s="9">
        <v>46103</v>
      </c>
      <c r="F3541" s="2">
        <v>22</v>
      </c>
      <c r="G3541" s="3" t="s">
        <v>23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>
        <v>1</v>
      </c>
      <c r="N3541">
        <v>0</v>
      </c>
      <c r="O3541" s="2">
        <v>0</v>
      </c>
      <c r="P3541" s="2">
        <v>1</v>
      </c>
      <c r="Q3541">
        <v>2</v>
      </c>
      <c r="R3541" s="2">
        <v>0</v>
      </c>
      <c r="S3541" s="2">
        <v>1</v>
      </c>
      <c r="T3541" t="s">
        <v>1764</v>
      </c>
      <c r="U3541" s="2">
        <v>18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</row>
    <row r="3542" spans="1:28" hidden="1" x14ac:dyDescent="0.25">
      <c r="A3542" t="s">
        <v>53</v>
      </c>
      <c r="B3542" t="s">
        <v>38</v>
      </c>
      <c r="C3542" t="s">
        <v>54</v>
      </c>
      <c r="D3542" s="9">
        <v>46103</v>
      </c>
      <c r="E3542" s="9">
        <v>46103</v>
      </c>
      <c r="F3542" s="2">
        <v>45</v>
      </c>
      <c r="G3542" s="3" t="s">
        <v>23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>
        <v>0</v>
      </c>
      <c r="N3542">
        <v>0</v>
      </c>
      <c r="O3542" s="2">
        <v>0</v>
      </c>
      <c r="P3542" s="2">
        <v>1</v>
      </c>
      <c r="Q3542">
        <v>2</v>
      </c>
      <c r="R3542" s="2">
        <v>0</v>
      </c>
      <c r="S3542" s="2">
        <v>1</v>
      </c>
      <c r="T3542" t="s">
        <v>1761</v>
      </c>
      <c r="U3542" s="2">
        <v>15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</row>
    <row r="3543" spans="1:28" hidden="1" x14ac:dyDescent="0.25">
      <c r="A3543" t="s">
        <v>37</v>
      </c>
      <c r="B3543" t="s">
        <v>57</v>
      </c>
      <c r="C3543" t="s">
        <v>212</v>
      </c>
      <c r="D3543" s="9">
        <v>46103</v>
      </c>
      <c r="E3543" s="9">
        <v>46103</v>
      </c>
      <c r="F3543" s="2">
        <v>0</v>
      </c>
      <c r="G3543" s="3" t="s">
        <v>378</v>
      </c>
      <c r="H3543">
        <v>0</v>
      </c>
      <c r="I3543" s="2">
        <v>0</v>
      </c>
      <c r="J3543" s="2">
        <v>0</v>
      </c>
      <c r="K3543" s="2">
        <v>0</v>
      </c>
      <c r="L3543" s="2">
        <v>0</v>
      </c>
      <c r="M3543">
        <v>0</v>
      </c>
      <c r="N3543">
        <v>0</v>
      </c>
      <c r="O3543" s="2">
        <v>0</v>
      </c>
      <c r="P3543" s="2">
        <v>0</v>
      </c>
      <c r="Q3543">
        <v>0</v>
      </c>
      <c r="R3543" s="2">
        <v>0</v>
      </c>
      <c r="S3543" s="2">
        <v>0</v>
      </c>
      <c r="T3543" t="s">
        <v>377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</row>
    <row r="3544" spans="1:28" hidden="1" x14ac:dyDescent="0.25">
      <c r="A3544" t="s">
        <v>33</v>
      </c>
      <c r="B3544" t="s">
        <v>34</v>
      </c>
      <c r="C3544" t="s">
        <v>27</v>
      </c>
      <c r="D3544" s="9">
        <v>46103</v>
      </c>
      <c r="E3544" s="9">
        <v>46103</v>
      </c>
      <c r="F3544" s="2">
        <v>25</v>
      </c>
      <c r="G3544" s="3" t="s">
        <v>378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 t="s">
        <v>1150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</row>
    <row r="3545" spans="1:28" hidden="1" x14ac:dyDescent="0.25">
      <c r="A3545" t="s">
        <v>25</v>
      </c>
      <c r="B3545" t="s">
        <v>26</v>
      </c>
      <c r="C3545" t="s">
        <v>27</v>
      </c>
      <c r="D3545" s="9">
        <v>46103</v>
      </c>
      <c r="E3545" s="9">
        <v>46103</v>
      </c>
      <c r="F3545" s="2">
        <v>25</v>
      </c>
      <c r="G3545" s="3" t="s">
        <v>378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t="s">
        <v>1150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</row>
    <row r="3546" spans="1:28" hidden="1" x14ac:dyDescent="0.25">
      <c r="A3546" t="s">
        <v>20</v>
      </c>
      <c r="B3546" t="s">
        <v>21</v>
      </c>
      <c r="C3546" t="s">
        <v>27</v>
      </c>
      <c r="D3546" s="9">
        <v>46103</v>
      </c>
      <c r="E3546" s="9">
        <v>46103</v>
      </c>
      <c r="F3546" s="2">
        <v>25</v>
      </c>
      <c r="G3546" s="3" t="s">
        <v>378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 t="s">
        <v>1150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</row>
    <row r="3547" spans="1:28" hidden="1" x14ac:dyDescent="0.25">
      <c r="A3547" t="s">
        <v>29</v>
      </c>
      <c r="B3547" t="s">
        <v>30</v>
      </c>
      <c r="C3547" t="s">
        <v>212</v>
      </c>
      <c r="D3547" s="9">
        <v>46103</v>
      </c>
      <c r="E3547" s="9">
        <v>46103</v>
      </c>
      <c r="F3547" s="2">
        <v>0</v>
      </c>
      <c r="G3547" s="3" t="s">
        <v>129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377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</row>
    <row r="3548" spans="1:28" hidden="1" x14ac:dyDescent="0.25">
      <c r="A3548" t="s">
        <v>63</v>
      </c>
      <c r="B3548" t="s">
        <v>284</v>
      </c>
      <c r="C3548" t="s">
        <v>102</v>
      </c>
      <c r="D3548" s="1">
        <v>46104</v>
      </c>
      <c r="E3548" s="1">
        <v>46104</v>
      </c>
      <c r="F3548" s="2">
        <v>38</v>
      </c>
      <c r="G3548" s="3" t="s">
        <v>23</v>
      </c>
      <c r="H3548">
        <v>6</v>
      </c>
      <c r="I3548" s="2">
        <v>0</v>
      </c>
      <c r="J3548" s="2">
        <v>0</v>
      </c>
      <c r="K3548" s="2">
        <v>0</v>
      </c>
      <c r="L3548" s="2">
        <v>0</v>
      </c>
      <c r="M3548">
        <v>1</v>
      </c>
      <c r="N3548">
        <v>0</v>
      </c>
      <c r="O3548" s="2">
        <v>0</v>
      </c>
      <c r="P3548" s="2">
        <v>0</v>
      </c>
      <c r="Q3548">
        <v>2</v>
      </c>
      <c r="R3548" s="2">
        <v>0</v>
      </c>
      <c r="S3548" s="2">
        <v>0</v>
      </c>
      <c r="T3548" t="s">
        <v>1765</v>
      </c>
      <c r="U3548" s="2">
        <v>0</v>
      </c>
      <c r="V3548" s="2">
        <f>14+5</f>
        <v>19</v>
      </c>
      <c r="W3548" s="2">
        <v>1</v>
      </c>
      <c r="X3548" s="2">
        <v>7</v>
      </c>
      <c r="Y3548" s="2">
        <v>0</v>
      </c>
      <c r="Z3548" s="2">
        <v>1</v>
      </c>
      <c r="AA3548" s="2">
        <v>0</v>
      </c>
      <c r="AB3548" s="2">
        <v>0</v>
      </c>
    </row>
    <row r="3549" spans="1:28" hidden="1" x14ac:dyDescent="0.25">
      <c r="A3549" t="s">
        <v>56</v>
      </c>
      <c r="B3549" t="s">
        <v>1160</v>
      </c>
      <c r="C3549" t="s">
        <v>64</v>
      </c>
      <c r="D3549" s="1">
        <v>46104</v>
      </c>
      <c r="E3549" s="1">
        <v>46104</v>
      </c>
      <c r="F3549" s="2">
        <v>35</v>
      </c>
      <c r="G3549" s="3" t="s">
        <v>23</v>
      </c>
      <c r="H3549">
        <v>1</v>
      </c>
      <c r="I3549" s="2">
        <v>0</v>
      </c>
      <c r="J3549" s="2">
        <v>0</v>
      </c>
      <c r="K3549" s="2">
        <v>0</v>
      </c>
      <c r="L3549" s="2">
        <v>0</v>
      </c>
      <c r="M3549">
        <v>0</v>
      </c>
      <c r="N3549">
        <v>0</v>
      </c>
      <c r="O3549" s="2">
        <v>0</v>
      </c>
      <c r="P3549" s="2">
        <v>0</v>
      </c>
      <c r="Q3549">
        <v>0</v>
      </c>
      <c r="R3549" s="2">
        <v>0</v>
      </c>
      <c r="S3549" s="2">
        <v>0</v>
      </c>
      <c r="T3549" t="s">
        <v>1766</v>
      </c>
      <c r="U3549" s="2">
        <v>0</v>
      </c>
      <c r="V3549" s="2">
        <v>8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</row>
    <row r="3550" spans="1:28" hidden="1" x14ac:dyDescent="0.25">
      <c r="A3550" t="s">
        <v>25</v>
      </c>
      <c r="B3550" t="s">
        <v>26</v>
      </c>
      <c r="C3550" t="s">
        <v>27</v>
      </c>
      <c r="D3550" s="1">
        <v>46104</v>
      </c>
      <c r="E3550" s="1">
        <v>46104</v>
      </c>
      <c r="F3550" s="2">
        <v>30</v>
      </c>
      <c r="G3550" s="3" t="s">
        <v>23</v>
      </c>
      <c r="H3550">
        <v>0</v>
      </c>
      <c r="I3550" s="2">
        <v>0</v>
      </c>
      <c r="J3550" s="2">
        <v>0</v>
      </c>
      <c r="K3550" s="2">
        <v>0</v>
      </c>
      <c r="L3550" s="2">
        <v>0</v>
      </c>
      <c r="M3550">
        <v>0</v>
      </c>
      <c r="N3550">
        <v>0</v>
      </c>
      <c r="O3550" s="2">
        <v>0</v>
      </c>
      <c r="P3550" s="2">
        <v>0</v>
      </c>
      <c r="Q3550">
        <v>0</v>
      </c>
      <c r="R3550" s="2">
        <v>0</v>
      </c>
      <c r="S3550" s="2">
        <v>0</v>
      </c>
      <c r="T3550" t="s">
        <v>1767</v>
      </c>
      <c r="U3550" s="2">
        <v>0</v>
      </c>
      <c r="V3550" s="2">
        <v>21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</row>
    <row r="3551" spans="1:28" hidden="1" x14ac:dyDescent="0.25">
      <c r="A3551" t="s">
        <v>37</v>
      </c>
      <c r="B3551" t="s">
        <v>57</v>
      </c>
      <c r="C3551" t="s">
        <v>173</v>
      </c>
      <c r="D3551" s="1">
        <v>46104</v>
      </c>
      <c r="E3551" s="1">
        <v>46104</v>
      </c>
      <c r="F3551" s="2">
        <v>19</v>
      </c>
      <c r="G3551" s="3" t="s">
        <v>23</v>
      </c>
      <c r="H3551">
        <v>0</v>
      </c>
      <c r="I3551" s="2">
        <v>0</v>
      </c>
      <c r="J3551" s="2">
        <v>0</v>
      </c>
      <c r="K3551" s="2">
        <v>0</v>
      </c>
      <c r="L3551" s="2">
        <v>0</v>
      </c>
      <c r="M3551">
        <v>0</v>
      </c>
      <c r="N3551">
        <v>1</v>
      </c>
      <c r="O3551" s="2">
        <v>0</v>
      </c>
      <c r="P3551" s="2">
        <v>0</v>
      </c>
      <c r="Q3551">
        <v>0</v>
      </c>
      <c r="R3551" s="2">
        <v>0</v>
      </c>
      <c r="S3551" s="2">
        <v>0</v>
      </c>
      <c r="T3551" t="s">
        <v>1768</v>
      </c>
      <c r="U3551" s="2">
        <v>0</v>
      </c>
      <c r="V3551" s="2">
        <v>10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</row>
    <row r="3552" spans="1:28" hidden="1" x14ac:dyDescent="0.25">
      <c r="A3552" t="s">
        <v>33</v>
      </c>
      <c r="B3552" t="s">
        <v>34</v>
      </c>
      <c r="C3552" t="s">
        <v>35</v>
      </c>
      <c r="D3552" s="1">
        <v>46104</v>
      </c>
      <c r="E3552" s="1">
        <v>46104</v>
      </c>
      <c r="F3552" s="2">
        <v>23</v>
      </c>
      <c r="G3552" s="3" t="s">
        <v>23</v>
      </c>
      <c r="H3552">
        <v>9</v>
      </c>
      <c r="I3552" s="2">
        <v>0</v>
      </c>
      <c r="J3552" s="2">
        <v>0</v>
      </c>
      <c r="K3552" s="2">
        <v>0</v>
      </c>
      <c r="L3552" s="2">
        <v>0</v>
      </c>
      <c r="M3552">
        <v>1</v>
      </c>
      <c r="N3552">
        <v>0</v>
      </c>
      <c r="O3552" s="2">
        <v>0</v>
      </c>
      <c r="P3552" s="2">
        <v>0</v>
      </c>
      <c r="Q3552">
        <v>0</v>
      </c>
      <c r="R3552" s="2">
        <v>0</v>
      </c>
      <c r="S3552" s="2">
        <v>0</v>
      </c>
      <c r="T3552" t="s">
        <v>1769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</row>
    <row r="3553" spans="1:28" hidden="1" x14ac:dyDescent="0.25">
      <c r="A3553" t="s">
        <v>568</v>
      </c>
      <c r="B3553" t="s">
        <v>1323</v>
      </c>
      <c r="C3553" t="s">
        <v>670</v>
      </c>
      <c r="D3553" s="1">
        <v>46104</v>
      </c>
      <c r="E3553" s="1">
        <v>46104</v>
      </c>
      <c r="F3553" s="2">
        <v>53</v>
      </c>
      <c r="G3553" s="3" t="s">
        <v>23</v>
      </c>
      <c r="H3553">
        <v>7</v>
      </c>
      <c r="I3553" s="2">
        <v>0</v>
      </c>
      <c r="J3553" s="2">
        <v>0</v>
      </c>
      <c r="K3553" s="2">
        <v>0</v>
      </c>
      <c r="L3553" s="2">
        <v>0</v>
      </c>
      <c r="M3553">
        <v>0</v>
      </c>
      <c r="N3553">
        <v>0</v>
      </c>
      <c r="O3553" s="2">
        <v>0</v>
      </c>
      <c r="P3553" s="2">
        <v>0</v>
      </c>
      <c r="Q3553">
        <v>0</v>
      </c>
      <c r="R3553" s="2">
        <v>0</v>
      </c>
      <c r="S3553" s="2">
        <v>0</v>
      </c>
      <c r="T3553" t="s">
        <v>1756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</row>
    <row r="3554" spans="1:28" hidden="1" x14ac:dyDescent="0.25">
      <c r="A3554" t="s">
        <v>1431</v>
      </c>
      <c r="B3554" t="s">
        <v>47</v>
      </c>
      <c r="C3554" t="s">
        <v>670</v>
      </c>
      <c r="D3554" s="1">
        <v>46104</v>
      </c>
      <c r="E3554" s="1">
        <v>46104</v>
      </c>
      <c r="F3554" s="2">
        <v>53</v>
      </c>
      <c r="G3554" s="3" t="s">
        <v>23</v>
      </c>
      <c r="H3554">
        <v>7</v>
      </c>
      <c r="I3554" s="2">
        <v>0</v>
      </c>
      <c r="J3554" s="2">
        <v>0</v>
      </c>
      <c r="K3554" s="2">
        <v>0</v>
      </c>
      <c r="L3554" s="2">
        <v>0</v>
      </c>
      <c r="M3554">
        <v>0</v>
      </c>
      <c r="N3554">
        <v>0</v>
      </c>
      <c r="O3554" s="2">
        <v>0</v>
      </c>
      <c r="P3554" s="2">
        <v>0</v>
      </c>
      <c r="Q3554">
        <v>0</v>
      </c>
      <c r="R3554" s="2">
        <v>0</v>
      </c>
      <c r="S3554" s="2">
        <v>0</v>
      </c>
      <c r="T3554" t="s">
        <v>1756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</row>
    <row r="3555" spans="1:28" hidden="1" x14ac:dyDescent="0.25">
      <c r="A3555" t="s">
        <v>20</v>
      </c>
      <c r="B3555" t="s">
        <v>21</v>
      </c>
      <c r="C3555" t="s">
        <v>212</v>
      </c>
      <c r="D3555" s="1">
        <v>46104</v>
      </c>
      <c r="E3555" s="1">
        <v>46104</v>
      </c>
      <c r="F3555" s="2">
        <v>0</v>
      </c>
      <c r="G3555" s="3" t="s">
        <v>572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 t="s">
        <v>377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</row>
    <row r="3556" spans="1:28" hidden="1" x14ac:dyDescent="0.25">
      <c r="A3556" t="s">
        <v>53</v>
      </c>
      <c r="B3556" t="s">
        <v>47</v>
      </c>
      <c r="C3556" t="s">
        <v>212</v>
      </c>
      <c r="D3556" s="1">
        <v>46104</v>
      </c>
      <c r="E3556" s="1">
        <v>46104</v>
      </c>
      <c r="F3556" s="2">
        <v>0</v>
      </c>
      <c r="G3556" s="3" t="s">
        <v>572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 t="s">
        <v>377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</row>
    <row r="3557" spans="1:28" hidden="1" x14ac:dyDescent="0.25">
      <c r="A3557" t="s">
        <v>730</v>
      </c>
      <c r="B3557" t="s">
        <v>38</v>
      </c>
      <c r="C3557" t="s">
        <v>212</v>
      </c>
      <c r="D3557" s="1">
        <v>46104</v>
      </c>
      <c r="E3557" s="1">
        <v>46104</v>
      </c>
      <c r="F3557" s="2">
        <v>0</v>
      </c>
      <c r="G3557" s="3" t="s">
        <v>409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 t="s">
        <v>377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</row>
    <row r="3558" spans="1:28" hidden="1" x14ac:dyDescent="0.25">
      <c r="A3558" t="s">
        <v>29</v>
      </c>
      <c r="B3558" t="s">
        <v>30</v>
      </c>
      <c r="C3558" t="s">
        <v>212</v>
      </c>
      <c r="D3558" s="1">
        <v>46104</v>
      </c>
      <c r="E3558" s="1">
        <v>46104</v>
      </c>
      <c r="F3558" s="2">
        <v>0</v>
      </c>
      <c r="G3558" s="3" t="s">
        <v>129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 t="s">
        <v>377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</row>
    <row r="3559" spans="1:28" hidden="1" x14ac:dyDescent="0.25">
      <c r="A3559" t="s">
        <v>56</v>
      </c>
      <c r="B3559" t="s">
        <v>1160</v>
      </c>
      <c r="C3559" t="s">
        <v>64</v>
      </c>
      <c r="D3559" s="1">
        <v>46105</v>
      </c>
      <c r="E3559" s="1">
        <v>46105</v>
      </c>
      <c r="F3559" s="2">
        <v>33</v>
      </c>
      <c r="G3559" s="3" t="s">
        <v>23</v>
      </c>
      <c r="H3559">
        <v>43</v>
      </c>
      <c r="I3559" s="2">
        <v>0</v>
      </c>
      <c r="J3559" s="2">
        <v>0</v>
      </c>
      <c r="K3559" s="2">
        <v>0</v>
      </c>
      <c r="L3559" s="2">
        <v>1</v>
      </c>
      <c r="M3559">
        <v>0</v>
      </c>
      <c r="N3559">
        <v>1</v>
      </c>
      <c r="O3559" s="2">
        <v>0</v>
      </c>
      <c r="P3559" s="2">
        <v>0</v>
      </c>
      <c r="Q3559">
        <v>0</v>
      </c>
      <c r="R3559" s="2">
        <v>0</v>
      </c>
      <c r="S3559" s="2">
        <v>0</v>
      </c>
      <c r="T3559" t="s">
        <v>1770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</row>
    <row r="3560" spans="1:28" hidden="1" x14ac:dyDescent="0.25">
      <c r="A3560" t="s">
        <v>20</v>
      </c>
      <c r="B3560" t="s">
        <v>21</v>
      </c>
      <c r="C3560" t="s">
        <v>212</v>
      </c>
      <c r="D3560" s="1">
        <v>46105</v>
      </c>
      <c r="E3560" s="1">
        <v>46105</v>
      </c>
      <c r="F3560" s="2">
        <v>0</v>
      </c>
      <c r="G3560" s="3" t="s">
        <v>1771</v>
      </c>
      <c r="H3560">
        <f>22+1+1+2+2+2</f>
        <v>30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377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</row>
    <row r="3561" spans="1:28" hidden="1" x14ac:dyDescent="0.25">
      <c r="A3561" t="s">
        <v>568</v>
      </c>
      <c r="B3561" t="s">
        <v>1323</v>
      </c>
      <c r="C3561" t="s">
        <v>670</v>
      </c>
      <c r="D3561" s="1">
        <v>46105</v>
      </c>
      <c r="E3561" s="1">
        <v>46105</v>
      </c>
      <c r="F3561" s="2">
        <v>206</v>
      </c>
      <c r="G3561" s="3" t="s">
        <v>23</v>
      </c>
      <c r="H3561">
        <f>18+18+5</f>
        <v>41</v>
      </c>
      <c r="I3561" s="2">
        <v>0</v>
      </c>
      <c r="J3561" s="2">
        <v>0</v>
      </c>
      <c r="K3561" s="2">
        <v>1</v>
      </c>
      <c r="L3561" s="2">
        <v>0</v>
      </c>
      <c r="M3561">
        <v>1</v>
      </c>
      <c r="N3561">
        <v>0</v>
      </c>
      <c r="O3561" s="2">
        <v>0</v>
      </c>
      <c r="P3561" s="2">
        <v>0</v>
      </c>
      <c r="Q3561">
        <v>1</v>
      </c>
      <c r="R3561" s="2">
        <v>0</v>
      </c>
      <c r="S3561" s="2">
        <v>0</v>
      </c>
      <c r="T3561" t="s">
        <v>1757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</row>
    <row r="3562" spans="1:28" hidden="1" x14ac:dyDescent="0.25">
      <c r="A3562" t="s">
        <v>37</v>
      </c>
      <c r="B3562" t="s">
        <v>57</v>
      </c>
      <c r="C3562" t="s">
        <v>173</v>
      </c>
      <c r="D3562" s="1">
        <v>46105</v>
      </c>
      <c r="E3562" s="1">
        <v>46105</v>
      </c>
      <c r="F3562" s="2">
        <v>17</v>
      </c>
      <c r="G3562" s="3" t="s">
        <v>23</v>
      </c>
      <c r="H3562">
        <v>36</v>
      </c>
      <c r="I3562" s="2">
        <v>0</v>
      </c>
      <c r="J3562" s="2">
        <v>0</v>
      </c>
      <c r="K3562" s="2">
        <v>1</v>
      </c>
      <c r="L3562" s="2">
        <v>0</v>
      </c>
      <c r="M3562">
        <v>0</v>
      </c>
      <c r="N3562">
        <v>0</v>
      </c>
      <c r="O3562" s="2">
        <v>0</v>
      </c>
      <c r="P3562" s="2">
        <v>0</v>
      </c>
      <c r="Q3562">
        <v>0</v>
      </c>
      <c r="R3562" s="2">
        <v>0</v>
      </c>
      <c r="S3562" s="2">
        <v>0</v>
      </c>
      <c r="T3562" t="s">
        <v>1772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</row>
    <row r="3563" spans="1:28" hidden="1" x14ac:dyDescent="0.25">
      <c r="A3563" t="s">
        <v>47</v>
      </c>
      <c r="B3563" t="s">
        <v>38</v>
      </c>
      <c r="C3563" t="s">
        <v>173</v>
      </c>
      <c r="D3563" s="1">
        <v>46105</v>
      </c>
      <c r="E3563" s="1">
        <v>46105</v>
      </c>
      <c r="F3563" s="2">
        <v>17</v>
      </c>
      <c r="G3563" s="3" t="s">
        <v>23</v>
      </c>
      <c r="H3563">
        <v>0</v>
      </c>
      <c r="I3563" s="2">
        <v>0</v>
      </c>
      <c r="J3563" s="2">
        <v>0</v>
      </c>
      <c r="K3563" s="2">
        <v>0</v>
      </c>
      <c r="L3563" s="2">
        <v>0</v>
      </c>
      <c r="M3563">
        <v>0</v>
      </c>
      <c r="N3563">
        <v>0</v>
      </c>
      <c r="O3563" s="2">
        <v>0</v>
      </c>
      <c r="P3563" s="2">
        <v>0</v>
      </c>
      <c r="Q3563">
        <v>0</v>
      </c>
      <c r="R3563" s="2">
        <v>0</v>
      </c>
      <c r="S3563" s="2">
        <v>0</v>
      </c>
      <c r="T3563" t="s">
        <v>1772</v>
      </c>
      <c r="U3563" s="2">
        <v>0</v>
      </c>
      <c r="V3563" s="2">
        <v>14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</row>
    <row r="3564" spans="1:28" hidden="1" x14ac:dyDescent="0.25">
      <c r="A3564" t="s">
        <v>53</v>
      </c>
      <c r="B3564" t="s">
        <v>47</v>
      </c>
      <c r="C3564" t="s">
        <v>173</v>
      </c>
      <c r="D3564" s="1">
        <v>46105</v>
      </c>
      <c r="E3564" s="1">
        <v>46105</v>
      </c>
      <c r="F3564" s="2">
        <v>17</v>
      </c>
      <c r="G3564" s="3" t="s">
        <v>23</v>
      </c>
      <c r="H3564">
        <v>36</v>
      </c>
      <c r="I3564" s="2">
        <v>0</v>
      </c>
      <c r="J3564" s="2">
        <v>0</v>
      </c>
      <c r="K3564" s="2">
        <v>1</v>
      </c>
      <c r="L3564" s="2">
        <v>0</v>
      </c>
      <c r="M3564">
        <v>0</v>
      </c>
      <c r="N3564">
        <v>0</v>
      </c>
      <c r="O3564" s="2">
        <v>0</v>
      </c>
      <c r="P3564" s="2">
        <v>0</v>
      </c>
      <c r="Q3564">
        <v>0</v>
      </c>
      <c r="R3564" s="2">
        <v>0</v>
      </c>
      <c r="S3564" s="2">
        <v>0</v>
      </c>
      <c r="T3564" t="s">
        <v>1772</v>
      </c>
      <c r="U3564" s="2">
        <v>0</v>
      </c>
      <c r="V3564" s="2">
        <v>14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</row>
    <row r="3565" spans="1:28" hidden="1" x14ac:dyDescent="0.25">
      <c r="A3565" t="s">
        <v>63</v>
      </c>
      <c r="B3565" t="s">
        <v>284</v>
      </c>
      <c r="C3565" t="s">
        <v>102</v>
      </c>
      <c r="D3565" s="1">
        <v>46105</v>
      </c>
      <c r="E3565" s="1">
        <v>46105</v>
      </c>
      <c r="F3565" s="2">
        <v>19</v>
      </c>
      <c r="G3565" s="3" t="s">
        <v>23</v>
      </c>
      <c r="H3565">
        <f>12+4+12+4+2</f>
        <v>34</v>
      </c>
      <c r="I3565" s="2">
        <v>0</v>
      </c>
      <c r="J3565" s="2">
        <v>0</v>
      </c>
      <c r="K3565" s="2">
        <v>1</v>
      </c>
      <c r="L3565" s="2">
        <v>0</v>
      </c>
      <c r="M3565">
        <v>1</v>
      </c>
      <c r="N3565">
        <v>0</v>
      </c>
      <c r="O3565" s="2">
        <v>0</v>
      </c>
      <c r="P3565" s="2">
        <v>0</v>
      </c>
      <c r="Q3565">
        <v>0</v>
      </c>
      <c r="R3565" s="2">
        <v>0</v>
      </c>
      <c r="S3565" s="2">
        <v>0</v>
      </c>
      <c r="T3565" t="s">
        <v>1773</v>
      </c>
      <c r="U3565" s="2">
        <v>0</v>
      </c>
      <c r="V3565" s="2">
        <f>19+11</f>
        <v>30</v>
      </c>
      <c r="W3565" s="2">
        <v>2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</row>
    <row r="3566" spans="1:28" hidden="1" x14ac:dyDescent="0.25">
      <c r="A3566" t="s">
        <v>33</v>
      </c>
      <c r="B3566" t="s">
        <v>34</v>
      </c>
      <c r="C3566" t="s">
        <v>35</v>
      </c>
      <c r="D3566" s="1">
        <v>46105</v>
      </c>
      <c r="E3566" s="1">
        <v>46105</v>
      </c>
      <c r="F3566" s="2">
        <v>26</v>
      </c>
      <c r="G3566" s="3" t="s">
        <v>23</v>
      </c>
      <c r="H3566">
        <f>8+4+8+4</f>
        <v>24</v>
      </c>
      <c r="I3566" s="2">
        <v>0</v>
      </c>
      <c r="J3566" s="2">
        <v>0</v>
      </c>
      <c r="K3566" s="2">
        <v>1</v>
      </c>
      <c r="L3566" s="2">
        <v>0</v>
      </c>
      <c r="M3566">
        <v>0</v>
      </c>
      <c r="N3566">
        <v>0</v>
      </c>
      <c r="O3566" s="2">
        <v>0</v>
      </c>
      <c r="P3566" s="2">
        <v>0</v>
      </c>
      <c r="Q3566">
        <v>0</v>
      </c>
      <c r="R3566" s="2">
        <v>0</v>
      </c>
      <c r="S3566" s="2">
        <v>0</v>
      </c>
      <c r="T3566" t="s">
        <v>1774</v>
      </c>
      <c r="U3566" s="2">
        <v>0</v>
      </c>
      <c r="V3566" s="2">
        <v>19</v>
      </c>
      <c r="W3566" s="2">
        <v>1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</row>
    <row r="3567" spans="1:28" hidden="1" x14ac:dyDescent="0.25">
      <c r="A3567" t="s">
        <v>25</v>
      </c>
      <c r="B3567" t="s">
        <v>26</v>
      </c>
      <c r="C3567" t="s">
        <v>212</v>
      </c>
      <c r="D3567" s="1">
        <v>46105</v>
      </c>
      <c r="E3567" s="1">
        <v>46105</v>
      </c>
      <c r="F3567" s="2">
        <v>0</v>
      </c>
      <c r="G3567" s="3" t="s">
        <v>1030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t="s">
        <v>377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</row>
    <row r="3568" spans="1:28" hidden="1" x14ac:dyDescent="0.25">
      <c r="A3568" t="s">
        <v>730</v>
      </c>
      <c r="B3568" t="s">
        <v>47</v>
      </c>
      <c r="C3568" t="s">
        <v>212</v>
      </c>
      <c r="D3568" s="1">
        <v>46105</v>
      </c>
      <c r="E3568" s="1">
        <v>46105</v>
      </c>
      <c r="F3568" s="2">
        <v>0</v>
      </c>
      <c r="G3568" s="3" t="s">
        <v>409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 t="s">
        <v>377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</row>
    <row r="3569" spans="1:28" hidden="1" x14ac:dyDescent="0.25">
      <c r="A3569" t="s">
        <v>29</v>
      </c>
      <c r="B3569" t="s">
        <v>30</v>
      </c>
      <c r="C3569" t="s">
        <v>212</v>
      </c>
      <c r="D3569" s="1">
        <v>46105</v>
      </c>
      <c r="E3569" s="1">
        <v>46105</v>
      </c>
      <c r="F3569" s="2">
        <v>0</v>
      </c>
      <c r="G3569" s="3" t="s">
        <v>129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 t="s">
        <v>377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</row>
    <row r="3570" spans="1:28" hidden="1" x14ac:dyDescent="0.25">
      <c r="A3570" t="s">
        <v>56</v>
      </c>
      <c r="B3570" t="s">
        <v>1160</v>
      </c>
      <c r="C3570" t="s">
        <v>64</v>
      </c>
      <c r="D3570" s="1">
        <v>46106</v>
      </c>
      <c r="E3570" s="1">
        <v>46106</v>
      </c>
      <c r="F3570" s="2">
        <v>58</v>
      </c>
      <c r="G3570" s="3" t="s">
        <v>23</v>
      </c>
      <c r="H3570">
        <f>14+14+1+4+3</f>
        <v>36</v>
      </c>
      <c r="I3570" s="2">
        <v>0</v>
      </c>
      <c r="J3570" s="2">
        <v>0</v>
      </c>
      <c r="K3570" s="2">
        <v>1</v>
      </c>
      <c r="L3570" s="2">
        <v>0</v>
      </c>
      <c r="M3570">
        <v>0</v>
      </c>
      <c r="N3570">
        <v>0</v>
      </c>
      <c r="O3570" s="2">
        <v>0</v>
      </c>
      <c r="P3570" s="2">
        <v>0</v>
      </c>
      <c r="Q3570">
        <v>0</v>
      </c>
      <c r="R3570" s="2">
        <v>0</v>
      </c>
      <c r="S3570" s="2">
        <v>0</v>
      </c>
      <c r="T3570" t="s">
        <v>1775</v>
      </c>
      <c r="U3570" s="2">
        <v>0</v>
      </c>
      <c r="V3570" s="2">
        <v>14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</row>
    <row r="3571" spans="1:28" hidden="1" x14ac:dyDescent="0.25">
      <c r="A3571" t="s">
        <v>53</v>
      </c>
      <c r="B3571" t="s">
        <v>38</v>
      </c>
      <c r="C3571" t="s">
        <v>54</v>
      </c>
      <c r="D3571" s="1">
        <v>46106</v>
      </c>
      <c r="E3571" s="1">
        <v>46106</v>
      </c>
      <c r="F3571" s="2">
        <v>59</v>
      </c>
      <c r="G3571" s="3" t="s">
        <v>23</v>
      </c>
      <c r="H3571">
        <v>36</v>
      </c>
      <c r="I3571" s="2">
        <v>0</v>
      </c>
      <c r="J3571" s="2">
        <v>0</v>
      </c>
      <c r="K3571" s="2">
        <v>0</v>
      </c>
      <c r="L3571" s="2">
        <v>1</v>
      </c>
      <c r="M3571">
        <v>0</v>
      </c>
      <c r="N3571">
        <v>0</v>
      </c>
      <c r="O3571" s="2">
        <v>0</v>
      </c>
      <c r="P3571" s="2">
        <v>0</v>
      </c>
      <c r="Q3571">
        <v>0</v>
      </c>
      <c r="R3571" s="2">
        <v>0</v>
      </c>
      <c r="S3571" s="2">
        <v>0</v>
      </c>
      <c r="T3571" t="s">
        <v>1776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</row>
    <row r="3572" spans="1:28" hidden="1" x14ac:dyDescent="0.25">
      <c r="A3572" t="s">
        <v>25</v>
      </c>
      <c r="B3572" t="s">
        <v>26</v>
      </c>
      <c r="C3572" t="s">
        <v>27</v>
      </c>
      <c r="D3572" s="1">
        <v>46106</v>
      </c>
      <c r="E3572" s="1">
        <v>46106</v>
      </c>
      <c r="F3572" s="2">
        <v>28</v>
      </c>
      <c r="G3572" s="3" t="s">
        <v>23</v>
      </c>
      <c r="H3572">
        <v>54</v>
      </c>
      <c r="I3572" s="2">
        <v>0</v>
      </c>
      <c r="J3572" s="2">
        <v>0</v>
      </c>
      <c r="K3572" s="2">
        <v>1</v>
      </c>
      <c r="L3572" s="2">
        <v>0</v>
      </c>
      <c r="M3572">
        <v>0</v>
      </c>
      <c r="N3572">
        <v>1</v>
      </c>
      <c r="O3572" s="2">
        <v>0</v>
      </c>
      <c r="P3572" s="2">
        <v>0</v>
      </c>
      <c r="Q3572">
        <v>0</v>
      </c>
      <c r="R3572" s="2">
        <v>0</v>
      </c>
      <c r="S3572" s="2">
        <v>0</v>
      </c>
      <c r="T3572" t="s">
        <v>1777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</row>
    <row r="3573" spans="1:28" hidden="1" x14ac:dyDescent="0.25">
      <c r="A3573" t="s">
        <v>568</v>
      </c>
      <c r="B3573" t="s">
        <v>1323</v>
      </c>
      <c r="C3573" t="s">
        <v>102</v>
      </c>
      <c r="D3573" s="1">
        <v>46106</v>
      </c>
      <c r="E3573" s="1">
        <v>46106</v>
      </c>
      <c r="F3573" s="2">
        <v>26</v>
      </c>
      <c r="G3573" s="3" t="s">
        <v>23</v>
      </c>
      <c r="H3573">
        <v>40</v>
      </c>
      <c r="I3573" s="2">
        <v>0</v>
      </c>
      <c r="J3573" s="2">
        <v>0</v>
      </c>
      <c r="K3573" s="2">
        <v>1</v>
      </c>
      <c r="L3573" s="2">
        <v>0</v>
      </c>
      <c r="M3573">
        <v>0</v>
      </c>
      <c r="N3573">
        <v>0</v>
      </c>
      <c r="O3573" s="2">
        <v>0</v>
      </c>
      <c r="P3573" s="2">
        <v>0</v>
      </c>
      <c r="Q3573">
        <v>0</v>
      </c>
      <c r="R3573" s="2">
        <v>0</v>
      </c>
      <c r="S3573" s="2">
        <v>0</v>
      </c>
      <c r="T3573" t="s">
        <v>1758</v>
      </c>
      <c r="U3573" s="2">
        <v>0</v>
      </c>
      <c r="V3573" s="2">
        <v>19</v>
      </c>
      <c r="W3573" s="2">
        <v>1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</row>
    <row r="3574" spans="1:28" hidden="1" x14ac:dyDescent="0.25">
      <c r="A3574" t="s">
        <v>63</v>
      </c>
      <c r="B3574" t="s">
        <v>284</v>
      </c>
      <c r="C3574" t="s">
        <v>102</v>
      </c>
      <c r="D3574" s="1">
        <v>46106</v>
      </c>
      <c r="E3574" s="1">
        <v>46106</v>
      </c>
      <c r="F3574" s="2">
        <v>26</v>
      </c>
      <c r="G3574" s="3" t="s">
        <v>23</v>
      </c>
      <c r="H3574">
        <v>15</v>
      </c>
      <c r="I3574" s="2">
        <v>0</v>
      </c>
      <c r="J3574" s="2">
        <v>0</v>
      </c>
      <c r="K3574" s="2">
        <v>1</v>
      </c>
      <c r="L3574" s="2">
        <v>0</v>
      </c>
      <c r="M3574">
        <v>0</v>
      </c>
      <c r="N3574">
        <v>0</v>
      </c>
      <c r="O3574" s="2">
        <v>0</v>
      </c>
      <c r="P3574" s="2">
        <v>0</v>
      </c>
      <c r="Q3574">
        <v>1</v>
      </c>
      <c r="R3574" s="2">
        <v>0</v>
      </c>
      <c r="S3574" s="2">
        <v>0</v>
      </c>
      <c r="T3574" t="s">
        <v>1758</v>
      </c>
      <c r="U3574" s="2">
        <v>0</v>
      </c>
      <c r="V3574" s="2">
        <v>30</v>
      </c>
      <c r="W3574" s="2">
        <v>2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</row>
    <row r="3575" spans="1:28" hidden="1" x14ac:dyDescent="0.25">
      <c r="A3575" t="s">
        <v>37</v>
      </c>
      <c r="B3575" t="s">
        <v>57</v>
      </c>
      <c r="C3575" t="s">
        <v>212</v>
      </c>
      <c r="D3575" s="1">
        <v>46106</v>
      </c>
      <c r="E3575" s="1">
        <v>46106</v>
      </c>
      <c r="F3575" s="2">
        <v>0</v>
      </c>
      <c r="G3575" s="3" t="s">
        <v>1030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 t="s">
        <v>377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</row>
    <row r="3576" spans="1:28" hidden="1" x14ac:dyDescent="0.25">
      <c r="A3576" t="s">
        <v>20</v>
      </c>
      <c r="B3576" t="s">
        <v>21</v>
      </c>
      <c r="C3576" t="s">
        <v>212</v>
      </c>
      <c r="D3576" s="1">
        <v>46106</v>
      </c>
      <c r="E3576" s="1">
        <v>46106</v>
      </c>
      <c r="F3576" s="2">
        <v>0</v>
      </c>
      <c r="G3576" s="3" t="s">
        <v>1030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 t="s">
        <v>377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</row>
    <row r="3577" spans="1:28" hidden="1" x14ac:dyDescent="0.25">
      <c r="A3577" t="s">
        <v>33</v>
      </c>
      <c r="B3577" t="s">
        <v>34</v>
      </c>
      <c r="C3577" t="s">
        <v>212</v>
      </c>
      <c r="D3577" s="1">
        <v>46106</v>
      </c>
      <c r="E3577" s="1">
        <v>46106</v>
      </c>
      <c r="F3577" s="2">
        <v>0</v>
      </c>
      <c r="G3577" s="3" t="s">
        <v>1030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 t="s">
        <v>377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</row>
    <row r="3578" spans="1:28" hidden="1" x14ac:dyDescent="0.25">
      <c r="A3578" t="s">
        <v>730</v>
      </c>
      <c r="B3578" t="s">
        <v>47</v>
      </c>
      <c r="C3578" t="s">
        <v>212</v>
      </c>
      <c r="D3578" s="1">
        <v>46106</v>
      </c>
      <c r="E3578" s="1">
        <v>46106</v>
      </c>
      <c r="F3578" s="2">
        <v>0</v>
      </c>
      <c r="G3578" s="3" t="s">
        <v>409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 t="s">
        <v>377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</row>
    <row r="3579" spans="1:28" hidden="1" x14ac:dyDescent="0.25">
      <c r="A3579" t="s">
        <v>29</v>
      </c>
      <c r="B3579" t="s">
        <v>30</v>
      </c>
      <c r="C3579" t="s">
        <v>212</v>
      </c>
      <c r="D3579" s="1">
        <v>46106</v>
      </c>
      <c r="E3579" s="1">
        <v>46106</v>
      </c>
      <c r="F3579" s="2">
        <v>0</v>
      </c>
      <c r="G3579" s="3" t="s">
        <v>129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 t="s">
        <v>377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</row>
    <row r="3580" spans="1:28" hidden="1" x14ac:dyDescent="0.25">
      <c r="A3580" t="s">
        <v>56</v>
      </c>
      <c r="B3580" t="s">
        <v>1160</v>
      </c>
      <c r="C3580" t="s">
        <v>64</v>
      </c>
      <c r="D3580" s="1">
        <v>46107</v>
      </c>
      <c r="E3580" s="1">
        <v>46107</v>
      </c>
      <c r="F3580" s="2">
        <v>71</v>
      </c>
      <c r="G3580" s="3" t="s">
        <v>23</v>
      </c>
      <c r="H3580">
        <v>30</v>
      </c>
      <c r="I3580" s="2">
        <v>0</v>
      </c>
      <c r="J3580" s="2">
        <v>0</v>
      </c>
      <c r="K3580" s="2">
        <v>0</v>
      </c>
      <c r="L3580" s="2">
        <v>1</v>
      </c>
      <c r="M3580">
        <v>0</v>
      </c>
      <c r="N3580">
        <v>2</v>
      </c>
      <c r="O3580" s="2">
        <v>0</v>
      </c>
      <c r="P3580" s="2">
        <v>0</v>
      </c>
      <c r="Q3580">
        <v>0</v>
      </c>
      <c r="R3580" s="2">
        <v>0</v>
      </c>
      <c r="S3580" s="2">
        <v>0</v>
      </c>
      <c r="T3580" t="s">
        <v>1778</v>
      </c>
      <c r="U3580" s="2">
        <v>0</v>
      </c>
      <c r="V3580" s="2">
        <v>1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</row>
    <row r="3581" spans="1:28" hidden="1" x14ac:dyDescent="0.25">
      <c r="A3581" t="s">
        <v>568</v>
      </c>
      <c r="B3581" t="s">
        <v>1323</v>
      </c>
      <c r="C3581" t="s">
        <v>670</v>
      </c>
      <c r="D3581" s="1">
        <v>46107</v>
      </c>
      <c r="E3581" s="1">
        <v>46107</v>
      </c>
      <c r="F3581" s="2">
        <v>53</v>
      </c>
      <c r="G3581" s="3" t="s">
        <v>23</v>
      </c>
      <c r="H3581">
        <v>32</v>
      </c>
      <c r="I3581" s="2">
        <v>0</v>
      </c>
      <c r="J3581" s="2">
        <v>0</v>
      </c>
      <c r="K3581" s="2">
        <v>1</v>
      </c>
      <c r="L3581" s="2">
        <v>0</v>
      </c>
      <c r="M3581">
        <v>0</v>
      </c>
      <c r="N3581">
        <v>0</v>
      </c>
      <c r="O3581" s="2">
        <v>0</v>
      </c>
      <c r="P3581" s="2">
        <v>0</v>
      </c>
      <c r="Q3581">
        <v>0</v>
      </c>
      <c r="R3581" s="2">
        <v>0</v>
      </c>
      <c r="S3581" s="2">
        <v>0</v>
      </c>
      <c r="T3581" t="s">
        <v>1759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</row>
    <row r="3582" spans="1:28" hidden="1" x14ac:dyDescent="0.25">
      <c r="A3582" t="s">
        <v>37</v>
      </c>
      <c r="B3582" t="s">
        <v>57</v>
      </c>
      <c r="C3582" t="s">
        <v>173</v>
      </c>
      <c r="D3582" s="1">
        <v>46107</v>
      </c>
      <c r="E3582" s="1">
        <v>46107</v>
      </c>
      <c r="F3582" s="2">
        <v>14</v>
      </c>
      <c r="G3582" s="3" t="s">
        <v>23</v>
      </c>
      <c r="H3582">
        <v>40</v>
      </c>
      <c r="I3582" s="2">
        <v>0</v>
      </c>
      <c r="J3582" s="2">
        <v>0</v>
      </c>
      <c r="K3582" s="2">
        <v>1</v>
      </c>
      <c r="L3582" s="2">
        <v>0</v>
      </c>
      <c r="M3582">
        <v>0</v>
      </c>
      <c r="N3582">
        <v>0</v>
      </c>
      <c r="O3582" s="2">
        <v>0</v>
      </c>
      <c r="P3582" s="2">
        <v>0</v>
      </c>
      <c r="Q3582">
        <v>0</v>
      </c>
      <c r="R3582" s="2">
        <v>0</v>
      </c>
      <c r="S3582" s="2">
        <v>0</v>
      </c>
      <c r="T3582" t="s">
        <v>1779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</row>
    <row r="3583" spans="1:28" hidden="1" x14ac:dyDescent="0.25">
      <c r="A3583" t="s">
        <v>25</v>
      </c>
      <c r="B3583" t="s">
        <v>26</v>
      </c>
      <c r="C3583" t="s">
        <v>27</v>
      </c>
      <c r="D3583" s="1">
        <v>46107</v>
      </c>
      <c r="E3583" s="1">
        <v>46107</v>
      </c>
      <c r="F3583" s="2">
        <v>23</v>
      </c>
      <c r="G3583" s="3" t="s">
        <v>23</v>
      </c>
      <c r="H3583">
        <v>43</v>
      </c>
      <c r="I3583" s="2">
        <v>0</v>
      </c>
      <c r="J3583" s="2">
        <v>0</v>
      </c>
      <c r="K3583" s="2">
        <v>1</v>
      </c>
      <c r="L3583" s="2">
        <v>0</v>
      </c>
      <c r="M3583">
        <v>0</v>
      </c>
      <c r="N3583">
        <v>0</v>
      </c>
      <c r="O3583" s="2">
        <v>0</v>
      </c>
      <c r="P3583" s="2">
        <v>0</v>
      </c>
      <c r="Q3583">
        <v>0</v>
      </c>
      <c r="R3583" s="2">
        <v>0</v>
      </c>
      <c r="S3583" s="2">
        <v>0</v>
      </c>
      <c r="T3583" t="s">
        <v>1780</v>
      </c>
      <c r="U3583" s="2">
        <v>0</v>
      </c>
      <c r="V3583" s="2">
        <v>6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</row>
    <row r="3584" spans="1:28" hidden="1" x14ac:dyDescent="0.25">
      <c r="A3584" t="s">
        <v>53</v>
      </c>
      <c r="B3584" t="s">
        <v>284</v>
      </c>
      <c r="C3584" t="s">
        <v>54</v>
      </c>
      <c r="D3584" s="1">
        <v>46107</v>
      </c>
      <c r="E3584" s="1">
        <v>46107</v>
      </c>
      <c r="F3584" s="2">
        <v>46</v>
      </c>
      <c r="G3584" s="3" t="s">
        <v>23</v>
      </c>
      <c r="H3584">
        <v>20</v>
      </c>
      <c r="I3584" s="2">
        <v>0</v>
      </c>
      <c r="J3584" s="2">
        <v>0</v>
      </c>
      <c r="K3584" s="2">
        <v>1</v>
      </c>
      <c r="L3584" s="2">
        <v>0</v>
      </c>
      <c r="M3584">
        <v>0</v>
      </c>
      <c r="N3584">
        <v>0</v>
      </c>
      <c r="O3584" s="2">
        <v>0</v>
      </c>
      <c r="P3584" s="2">
        <v>0</v>
      </c>
      <c r="Q3584">
        <v>0</v>
      </c>
      <c r="R3584" s="2">
        <v>0</v>
      </c>
      <c r="S3584" s="2">
        <v>0</v>
      </c>
      <c r="T3584" t="s">
        <v>1781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</row>
    <row r="3585" spans="1:28" hidden="1" x14ac:dyDescent="0.25">
      <c r="A3585" t="s">
        <v>33</v>
      </c>
      <c r="B3585" t="s">
        <v>34</v>
      </c>
      <c r="C3585" t="s">
        <v>35</v>
      </c>
      <c r="D3585" s="1">
        <v>46107</v>
      </c>
      <c r="E3585" s="1">
        <v>46107</v>
      </c>
      <c r="F3585" s="2">
        <v>28</v>
      </c>
      <c r="G3585" s="3" t="s">
        <v>23</v>
      </c>
      <c r="H3585">
        <v>20</v>
      </c>
      <c r="I3585" s="2">
        <v>0</v>
      </c>
      <c r="J3585" s="2">
        <v>0</v>
      </c>
      <c r="K3585" s="2">
        <v>1</v>
      </c>
      <c r="L3585" s="2">
        <v>0</v>
      </c>
      <c r="M3585">
        <v>0</v>
      </c>
      <c r="N3585">
        <v>0</v>
      </c>
      <c r="O3585" s="2">
        <v>0</v>
      </c>
      <c r="P3585" s="2">
        <v>0</v>
      </c>
      <c r="Q3585">
        <v>0</v>
      </c>
      <c r="R3585" s="2">
        <v>0</v>
      </c>
      <c r="S3585" s="2">
        <v>0</v>
      </c>
      <c r="T3585" t="s">
        <v>1782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</row>
    <row r="3586" spans="1:28" hidden="1" x14ac:dyDescent="0.25">
      <c r="A3586" t="s">
        <v>63</v>
      </c>
      <c r="B3586" t="s">
        <v>38</v>
      </c>
      <c r="C3586" t="s">
        <v>212</v>
      </c>
      <c r="D3586" s="1">
        <v>46107</v>
      </c>
      <c r="E3586" s="1">
        <v>46107</v>
      </c>
      <c r="F3586" s="2">
        <v>0</v>
      </c>
      <c r="G3586" s="3" t="s">
        <v>1030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 t="s">
        <v>377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</row>
    <row r="3587" spans="1:28" hidden="1" x14ac:dyDescent="0.25">
      <c r="A3587" t="s">
        <v>20</v>
      </c>
      <c r="B3587" t="s">
        <v>47</v>
      </c>
      <c r="C3587" t="s">
        <v>212</v>
      </c>
      <c r="D3587" s="1">
        <v>46107</v>
      </c>
      <c r="E3587" s="1">
        <v>46107</v>
      </c>
      <c r="F3587" s="2">
        <v>0</v>
      </c>
      <c r="G3587" s="3" t="s">
        <v>50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 t="s">
        <v>377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</row>
    <row r="3588" spans="1:28" hidden="1" x14ac:dyDescent="0.25">
      <c r="A3588" t="s">
        <v>47</v>
      </c>
      <c r="B3588" t="s">
        <v>21</v>
      </c>
      <c r="C3588" t="s">
        <v>212</v>
      </c>
      <c r="D3588" s="1">
        <v>46107</v>
      </c>
      <c r="E3588" s="1">
        <v>46107</v>
      </c>
      <c r="F3588" s="2">
        <v>0</v>
      </c>
      <c r="G3588" s="3" t="s">
        <v>572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377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</row>
    <row r="3589" spans="1:28" hidden="1" x14ac:dyDescent="0.25">
      <c r="A3589" t="s">
        <v>730</v>
      </c>
      <c r="B3589" t="s">
        <v>47</v>
      </c>
      <c r="C3589" t="s">
        <v>212</v>
      </c>
      <c r="D3589" s="1">
        <v>46107</v>
      </c>
      <c r="E3589" s="1">
        <v>46107</v>
      </c>
      <c r="F3589" s="2">
        <v>0</v>
      </c>
      <c r="G3589" s="3" t="s">
        <v>409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377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</row>
    <row r="3590" spans="1:28" hidden="1" x14ac:dyDescent="0.25">
      <c r="A3590" t="s">
        <v>29</v>
      </c>
      <c r="B3590" t="s">
        <v>30</v>
      </c>
      <c r="C3590" t="s">
        <v>212</v>
      </c>
      <c r="D3590" s="1">
        <v>46107</v>
      </c>
      <c r="E3590" s="1">
        <v>46107</v>
      </c>
      <c r="F3590" s="2">
        <v>0</v>
      </c>
      <c r="G3590" s="3" t="s">
        <v>129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 t="s">
        <v>377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</row>
    <row r="3591" spans="1:28" hidden="1" x14ac:dyDescent="0.25">
      <c r="A3591" t="s">
        <v>568</v>
      </c>
      <c r="B3591" t="s">
        <v>1323</v>
      </c>
      <c r="C3591" t="s">
        <v>670</v>
      </c>
      <c r="D3591" s="1">
        <v>46108</v>
      </c>
      <c r="E3591" s="1">
        <v>46108</v>
      </c>
      <c r="F3591" s="2">
        <v>240</v>
      </c>
      <c r="G3591" s="3" t="s">
        <v>23</v>
      </c>
      <c r="H3591">
        <v>27</v>
      </c>
      <c r="I3591" s="2">
        <v>0</v>
      </c>
      <c r="J3591" s="2">
        <v>1</v>
      </c>
      <c r="K3591" s="2">
        <v>0</v>
      </c>
      <c r="L3591" s="2">
        <v>1</v>
      </c>
      <c r="M3591">
        <v>0</v>
      </c>
      <c r="N3591">
        <v>0</v>
      </c>
      <c r="O3591" s="2">
        <v>0</v>
      </c>
      <c r="P3591" s="2">
        <v>0</v>
      </c>
      <c r="Q3591">
        <v>0</v>
      </c>
      <c r="R3591" s="2">
        <v>0</v>
      </c>
      <c r="S3591" s="2">
        <v>0</v>
      </c>
      <c r="T3591" t="s">
        <v>1760</v>
      </c>
      <c r="U3591" s="2">
        <v>0</v>
      </c>
      <c r="V3591" s="2">
        <f>1+20+2+1</f>
        <v>24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</row>
    <row r="3592" spans="1:28" hidden="1" x14ac:dyDescent="0.25">
      <c r="A3592" t="s">
        <v>730</v>
      </c>
      <c r="B3592" t="s">
        <v>47</v>
      </c>
      <c r="C3592" t="s">
        <v>670</v>
      </c>
      <c r="D3592" s="1">
        <v>46108</v>
      </c>
      <c r="E3592" s="1">
        <v>46108</v>
      </c>
      <c r="F3592" s="2">
        <v>240</v>
      </c>
      <c r="G3592" s="3" t="s">
        <v>23</v>
      </c>
      <c r="H3592">
        <v>27</v>
      </c>
      <c r="I3592" s="2">
        <v>0</v>
      </c>
      <c r="J3592" s="2">
        <v>1</v>
      </c>
      <c r="K3592" s="2">
        <v>0</v>
      </c>
      <c r="L3592" s="2">
        <v>1</v>
      </c>
      <c r="M3592">
        <v>0</v>
      </c>
      <c r="N3592">
        <v>0</v>
      </c>
      <c r="O3592" s="2">
        <v>0</v>
      </c>
      <c r="P3592" s="2">
        <v>0</v>
      </c>
      <c r="Q3592">
        <v>0</v>
      </c>
      <c r="R3592" s="2">
        <v>0</v>
      </c>
      <c r="S3592" s="2">
        <v>0</v>
      </c>
      <c r="T3592" t="s">
        <v>1760</v>
      </c>
      <c r="U3592" s="2">
        <v>0</v>
      </c>
      <c r="V3592" s="2">
        <f>1+20+2+1</f>
        <v>24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</row>
    <row r="3593" spans="1:28" hidden="1" x14ac:dyDescent="0.25">
      <c r="A3593" t="s">
        <v>53</v>
      </c>
      <c r="B3593" t="s">
        <v>38</v>
      </c>
      <c r="C3593" t="s">
        <v>54</v>
      </c>
      <c r="D3593" s="1">
        <v>46108</v>
      </c>
      <c r="E3593" s="1">
        <v>46108</v>
      </c>
      <c r="F3593" s="2">
        <v>108</v>
      </c>
      <c r="G3593" s="3" t="s">
        <v>23</v>
      </c>
      <c r="H3593">
        <v>16</v>
      </c>
      <c r="I3593" s="2">
        <v>0</v>
      </c>
      <c r="J3593" s="2">
        <v>0</v>
      </c>
      <c r="K3593" s="2">
        <v>1</v>
      </c>
      <c r="L3593" s="2">
        <v>0</v>
      </c>
      <c r="M3593">
        <v>0</v>
      </c>
      <c r="N3593">
        <v>0</v>
      </c>
      <c r="O3593" s="2">
        <v>0</v>
      </c>
      <c r="P3593" s="2">
        <v>0</v>
      </c>
      <c r="Q3593">
        <v>1</v>
      </c>
      <c r="R3593" s="2">
        <v>0</v>
      </c>
      <c r="S3593" s="2">
        <v>0</v>
      </c>
      <c r="T3593" t="s">
        <v>1783</v>
      </c>
      <c r="U3593" s="2">
        <v>0</v>
      </c>
      <c r="V3593" s="2">
        <v>22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</row>
    <row r="3594" spans="1:28" hidden="1" x14ac:dyDescent="0.25">
      <c r="A3594" t="s">
        <v>25</v>
      </c>
      <c r="B3594" t="s">
        <v>26</v>
      </c>
      <c r="C3594" t="s">
        <v>27</v>
      </c>
      <c r="D3594" s="1">
        <v>46108</v>
      </c>
      <c r="E3594" s="1">
        <v>46108</v>
      </c>
      <c r="F3594" s="2">
        <v>23</v>
      </c>
      <c r="G3594" s="3" t="s">
        <v>23</v>
      </c>
      <c r="H3594">
        <v>36</v>
      </c>
      <c r="I3594" s="2">
        <v>0</v>
      </c>
      <c r="J3594" s="2">
        <v>0</v>
      </c>
      <c r="K3594" s="2">
        <v>1</v>
      </c>
      <c r="L3594" s="2">
        <v>0</v>
      </c>
      <c r="M3594">
        <v>0</v>
      </c>
      <c r="N3594">
        <v>0</v>
      </c>
      <c r="O3594" s="2">
        <v>0</v>
      </c>
      <c r="P3594" s="2">
        <v>0</v>
      </c>
      <c r="Q3594">
        <v>1</v>
      </c>
      <c r="R3594" s="2">
        <v>0</v>
      </c>
      <c r="S3594" s="2">
        <v>0</v>
      </c>
      <c r="T3594" t="s">
        <v>1784</v>
      </c>
      <c r="U3594" s="2">
        <v>0</v>
      </c>
      <c r="V3594" s="2">
        <v>60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</row>
    <row r="3595" spans="1:28" hidden="1" x14ac:dyDescent="0.25">
      <c r="A3595" t="s">
        <v>37</v>
      </c>
      <c r="B3595" t="s">
        <v>57</v>
      </c>
      <c r="C3595" t="s">
        <v>173</v>
      </c>
      <c r="D3595" s="1">
        <v>46108</v>
      </c>
      <c r="E3595" s="1">
        <v>46108</v>
      </c>
      <c r="F3595" s="2">
        <v>16</v>
      </c>
      <c r="G3595" s="3" t="s">
        <v>23</v>
      </c>
      <c r="H3595">
        <v>28</v>
      </c>
      <c r="I3595" s="2">
        <v>0</v>
      </c>
      <c r="J3595" s="2">
        <v>0</v>
      </c>
      <c r="K3595" s="2">
        <v>1</v>
      </c>
      <c r="L3595" s="2">
        <v>0</v>
      </c>
      <c r="M3595">
        <v>0</v>
      </c>
      <c r="N3595">
        <v>0</v>
      </c>
      <c r="O3595" s="2">
        <v>0</v>
      </c>
      <c r="P3595" s="2">
        <v>0</v>
      </c>
      <c r="Q3595">
        <v>0</v>
      </c>
      <c r="R3595" s="2">
        <v>0</v>
      </c>
      <c r="S3595" s="2">
        <v>0</v>
      </c>
      <c r="T3595" t="s">
        <v>1785</v>
      </c>
      <c r="U3595" s="2">
        <v>0</v>
      </c>
      <c r="V3595" s="2">
        <v>44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</row>
    <row r="3596" spans="1:28" hidden="1" x14ac:dyDescent="0.25">
      <c r="A3596" t="s">
        <v>63</v>
      </c>
      <c r="B3596" t="s">
        <v>284</v>
      </c>
      <c r="C3596" t="s">
        <v>102</v>
      </c>
      <c r="D3596" s="1">
        <v>46108</v>
      </c>
      <c r="E3596" s="1">
        <v>46108</v>
      </c>
      <c r="F3596" s="2">
        <v>14</v>
      </c>
      <c r="G3596" s="3" t="s">
        <v>23</v>
      </c>
      <c r="H3596">
        <v>32</v>
      </c>
      <c r="I3596" s="2">
        <v>0</v>
      </c>
      <c r="J3596" s="2">
        <v>0</v>
      </c>
      <c r="K3596" s="2">
        <v>1</v>
      </c>
      <c r="L3596" s="2">
        <v>0</v>
      </c>
      <c r="M3596">
        <v>1</v>
      </c>
      <c r="N3596">
        <v>0</v>
      </c>
      <c r="O3596" s="2">
        <v>0</v>
      </c>
      <c r="P3596" s="2">
        <v>0</v>
      </c>
      <c r="Q3596">
        <v>0</v>
      </c>
      <c r="R3596" s="2">
        <v>0</v>
      </c>
      <c r="S3596" s="2">
        <v>0</v>
      </c>
      <c r="T3596" t="s">
        <v>1786</v>
      </c>
      <c r="U3596" s="2">
        <v>0</v>
      </c>
      <c r="V3596" s="2">
        <v>38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</row>
    <row r="3597" spans="1:28" hidden="1" x14ac:dyDescent="0.25">
      <c r="A3597" t="s">
        <v>33</v>
      </c>
      <c r="B3597" t="s">
        <v>34</v>
      </c>
      <c r="C3597" t="s">
        <v>35</v>
      </c>
      <c r="D3597" s="1">
        <v>46108</v>
      </c>
      <c r="E3597" s="1">
        <v>46108</v>
      </c>
      <c r="F3597" s="2">
        <v>32</v>
      </c>
      <c r="G3597" s="3" t="s">
        <v>23</v>
      </c>
      <c r="H3597">
        <v>16</v>
      </c>
      <c r="I3597" s="2">
        <v>0</v>
      </c>
      <c r="J3597" s="2">
        <v>0</v>
      </c>
      <c r="K3597" s="2">
        <v>1</v>
      </c>
      <c r="L3597" s="2">
        <v>0</v>
      </c>
      <c r="M3597">
        <v>0</v>
      </c>
      <c r="N3597">
        <v>0</v>
      </c>
      <c r="O3597" s="2">
        <v>0</v>
      </c>
      <c r="P3597" s="2">
        <v>0</v>
      </c>
      <c r="Q3597">
        <v>1</v>
      </c>
      <c r="R3597" s="2">
        <v>0</v>
      </c>
      <c r="S3597" s="2">
        <v>0</v>
      </c>
      <c r="T3597" t="s">
        <v>1787</v>
      </c>
      <c r="U3597" s="2">
        <v>0</v>
      </c>
      <c r="V3597" s="2">
        <v>40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</row>
    <row r="3598" spans="1:28" hidden="1" x14ac:dyDescent="0.25">
      <c r="A3598" t="s">
        <v>1431</v>
      </c>
      <c r="B3598" t="s">
        <v>1237</v>
      </c>
      <c r="C3598" t="s">
        <v>212</v>
      </c>
      <c r="D3598" s="1">
        <v>46108</v>
      </c>
      <c r="E3598" s="1">
        <v>46108</v>
      </c>
      <c r="F3598" s="2">
        <v>0</v>
      </c>
      <c r="G3598" s="3" t="s">
        <v>23</v>
      </c>
      <c r="H3598">
        <v>14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 t="s">
        <v>377</v>
      </c>
      <c r="U3598" s="2">
        <v>0</v>
      </c>
      <c r="V3598" s="2">
        <v>6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</row>
    <row r="3599" spans="1:28" hidden="1" x14ac:dyDescent="0.25">
      <c r="A3599" t="s">
        <v>47</v>
      </c>
      <c r="B3599" t="s">
        <v>21</v>
      </c>
      <c r="C3599" t="s">
        <v>212</v>
      </c>
      <c r="D3599" s="1">
        <v>46108</v>
      </c>
      <c r="E3599" s="1">
        <v>46108</v>
      </c>
      <c r="F3599" s="2">
        <v>0</v>
      </c>
      <c r="G3599" s="3" t="s">
        <v>23</v>
      </c>
      <c r="H3599">
        <v>14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 t="s">
        <v>377</v>
      </c>
      <c r="U3599" s="2">
        <v>0</v>
      </c>
      <c r="V3599" s="2">
        <v>6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</row>
    <row r="3600" spans="1:28" hidden="1" x14ac:dyDescent="0.25">
      <c r="A3600" t="s">
        <v>56</v>
      </c>
      <c r="B3600" t="s">
        <v>1160</v>
      </c>
      <c r="C3600" t="s">
        <v>212</v>
      </c>
      <c r="D3600" s="1">
        <v>46108</v>
      </c>
      <c r="E3600" s="1">
        <v>46108</v>
      </c>
      <c r="F3600" s="2">
        <v>0</v>
      </c>
      <c r="G3600" s="3" t="s">
        <v>1030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 t="s">
        <v>377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</row>
    <row r="3601" spans="1:28" hidden="1" x14ac:dyDescent="0.25">
      <c r="A3601" t="s">
        <v>20</v>
      </c>
      <c r="B3601" t="s">
        <v>47</v>
      </c>
      <c r="C3601" t="s">
        <v>212</v>
      </c>
      <c r="D3601" s="1">
        <v>46108</v>
      </c>
      <c r="E3601" s="1">
        <v>46108</v>
      </c>
      <c r="F3601" s="2">
        <v>0</v>
      </c>
      <c r="G3601" s="3" t="s">
        <v>50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 t="s">
        <v>377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</row>
    <row r="3602" spans="1:28" hidden="1" x14ac:dyDescent="0.25">
      <c r="A3602" t="s">
        <v>47</v>
      </c>
      <c r="B3602" t="s">
        <v>47</v>
      </c>
      <c r="C3602" t="s">
        <v>212</v>
      </c>
      <c r="D3602" s="1">
        <v>46108</v>
      </c>
      <c r="E3602" s="1">
        <v>46108</v>
      </c>
      <c r="F3602" s="2">
        <v>0</v>
      </c>
      <c r="G3602" s="3" t="s">
        <v>572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 t="s">
        <v>377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</row>
    <row r="3603" spans="1:28" hidden="1" x14ac:dyDescent="0.25">
      <c r="A3603" t="s">
        <v>730</v>
      </c>
      <c r="B3603" t="s">
        <v>47</v>
      </c>
      <c r="C3603" t="s">
        <v>212</v>
      </c>
      <c r="D3603" s="1">
        <v>46108</v>
      </c>
      <c r="E3603" s="1">
        <v>46108</v>
      </c>
      <c r="F3603" s="2">
        <v>0</v>
      </c>
      <c r="G3603" s="3" t="s">
        <v>409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 t="s">
        <v>377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</row>
    <row r="3604" spans="1:28" hidden="1" x14ac:dyDescent="0.25">
      <c r="A3604" t="s">
        <v>29</v>
      </c>
      <c r="B3604" t="s">
        <v>30</v>
      </c>
      <c r="C3604" t="s">
        <v>212</v>
      </c>
      <c r="D3604" s="1">
        <v>46108</v>
      </c>
      <c r="E3604" s="1">
        <v>46108</v>
      </c>
      <c r="F3604" s="2">
        <v>0</v>
      </c>
      <c r="G3604" s="3" t="s">
        <v>129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 t="s">
        <v>377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</row>
    <row r="3605" spans="1:28" hidden="1" x14ac:dyDescent="0.25">
      <c r="A3605" t="s">
        <v>56</v>
      </c>
      <c r="B3605" t="s">
        <v>1160</v>
      </c>
      <c r="C3605" t="s">
        <v>64</v>
      </c>
      <c r="D3605" s="9">
        <v>46109</v>
      </c>
      <c r="E3605" s="9">
        <v>46109</v>
      </c>
      <c r="F3605" s="2">
        <v>26</v>
      </c>
      <c r="G3605" s="3" t="s">
        <v>23</v>
      </c>
      <c r="H3605">
        <v>0</v>
      </c>
      <c r="I3605" s="2">
        <v>0</v>
      </c>
      <c r="J3605" s="2">
        <v>0</v>
      </c>
      <c r="K3605" s="2">
        <v>0</v>
      </c>
      <c r="L3605" s="2">
        <v>0</v>
      </c>
      <c r="M3605">
        <v>0</v>
      </c>
      <c r="N3605">
        <v>0</v>
      </c>
      <c r="O3605" s="2">
        <v>1</v>
      </c>
      <c r="P3605" s="2">
        <v>0</v>
      </c>
      <c r="Q3605">
        <v>8</v>
      </c>
      <c r="R3605" s="2">
        <v>1</v>
      </c>
      <c r="S3605" s="2">
        <v>0</v>
      </c>
      <c r="T3605" t="s">
        <v>1788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</row>
    <row r="3606" spans="1:28" hidden="1" x14ac:dyDescent="0.25">
      <c r="A3606" t="s">
        <v>53</v>
      </c>
      <c r="B3606" t="s">
        <v>38</v>
      </c>
      <c r="C3606" t="s">
        <v>64</v>
      </c>
      <c r="D3606" s="9">
        <v>46109</v>
      </c>
      <c r="E3606" s="9">
        <v>46109</v>
      </c>
      <c r="F3606" s="2">
        <v>26</v>
      </c>
      <c r="G3606" s="3" t="s">
        <v>23</v>
      </c>
      <c r="H3606">
        <v>0</v>
      </c>
      <c r="I3606" s="2">
        <v>0</v>
      </c>
      <c r="J3606" s="2">
        <v>0</v>
      </c>
      <c r="K3606" s="2">
        <v>0</v>
      </c>
      <c r="L3606" s="2">
        <v>0</v>
      </c>
      <c r="M3606">
        <v>0</v>
      </c>
      <c r="N3606">
        <v>1</v>
      </c>
      <c r="O3606" s="2">
        <v>0</v>
      </c>
      <c r="P3606" s="2">
        <v>0</v>
      </c>
      <c r="Q3606">
        <v>1</v>
      </c>
      <c r="R3606" s="2">
        <v>1</v>
      </c>
      <c r="S3606" s="2">
        <v>0</v>
      </c>
      <c r="T3606" t="s">
        <v>1788</v>
      </c>
      <c r="U3606" s="2">
        <v>12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1</v>
      </c>
      <c r="AB3606" s="2">
        <v>0</v>
      </c>
    </row>
    <row r="3607" spans="1:28" hidden="1" x14ac:dyDescent="0.25">
      <c r="A3607" t="s">
        <v>25</v>
      </c>
      <c r="B3607" t="s">
        <v>26</v>
      </c>
      <c r="C3607" t="s">
        <v>27</v>
      </c>
      <c r="D3607" s="9">
        <v>46109</v>
      </c>
      <c r="E3607" s="9">
        <v>46109</v>
      </c>
      <c r="F3607" s="2">
        <v>29</v>
      </c>
      <c r="G3607" s="3" t="s">
        <v>23</v>
      </c>
      <c r="H3607">
        <v>0</v>
      </c>
      <c r="I3607" s="2">
        <v>0</v>
      </c>
      <c r="J3607" s="2">
        <v>0</v>
      </c>
      <c r="K3607" s="2">
        <v>0</v>
      </c>
      <c r="L3607" s="2">
        <v>0</v>
      </c>
      <c r="M3607">
        <v>0</v>
      </c>
      <c r="N3607">
        <v>0</v>
      </c>
      <c r="O3607" s="2">
        <v>1</v>
      </c>
      <c r="P3607" s="2">
        <v>0</v>
      </c>
      <c r="Q3607">
        <v>4</v>
      </c>
      <c r="R3607" s="2">
        <v>1</v>
      </c>
      <c r="S3607" s="2">
        <v>0</v>
      </c>
      <c r="T3607" t="s">
        <v>1789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</row>
    <row r="3608" spans="1:28" hidden="1" x14ac:dyDescent="0.25">
      <c r="A3608" t="s">
        <v>37</v>
      </c>
      <c r="B3608" t="s">
        <v>47</v>
      </c>
      <c r="C3608" t="s">
        <v>173</v>
      </c>
      <c r="D3608" s="9">
        <v>46109</v>
      </c>
      <c r="E3608" s="9">
        <v>46109</v>
      </c>
      <c r="F3608" s="2">
        <v>24</v>
      </c>
      <c r="G3608" s="3" t="s">
        <v>23</v>
      </c>
      <c r="H3608">
        <v>0</v>
      </c>
      <c r="I3608" s="2">
        <v>0</v>
      </c>
      <c r="J3608" s="2">
        <v>0</v>
      </c>
      <c r="K3608" s="2">
        <v>0</v>
      </c>
      <c r="L3608" s="2">
        <v>0</v>
      </c>
      <c r="M3608">
        <v>0</v>
      </c>
      <c r="N3608">
        <v>1</v>
      </c>
      <c r="O3608" s="2">
        <v>1</v>
      </c>
      <c r="P3608" s="2">
        <v>0</v>
      </c>
      <c r="Q3608">
        <v>1</v>
      </c>
      <c r="R3608" s="2">
        <v>1</v>
      </c>
      <c r="S3608" s="2">
        <v>0</v>
      </c>
      <c r="T3608" t="s">
        <v>1790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</row>
    <row r="3609" spans="1:28" hidden="1" x14ac:dyDescent="0.25">
      <c r="A3609" t="s">
        <v>57</v>
      </c>
      <c r="B3609" t="s">
        <v>47</v>
      </c>
      <c r="C3609" t="s">
        <v>173</v>
      </c>
      <c r="D3609" s="9">
        <v>46109</v>
      </c>
      <c r="E3609" s="9">
        <v>46109</v>
      </c>
      <c r="F3609" s="2">
        <v>24</v>
      </c>
      <c r="G3609" s="3" t="s">
        <v>23</v>
      </c>
      <c r="H3609">
        <v>0</v>
      </c>
      <c r="I3609" s="2">
        <v>0</v>
      </c>
      <c r="J3609" s="2">
        <v>0</v>
      </c>
      <c r="K3609" s="2">
        <v>0</v>
      </c>
      <c r="L3609" s="2">
        <v>0</v>
      </c>
      <c r="M3609">
        <v>0</v>
      </c>
      <c r="N3609">
        <v>1</v>
      </c>
      <c r="O3609" s="2">
        <v>1</v>
      </c>
      <c r="P3609" s="2">
        <v>0</v>
      </c>
      <c r="Q3609">
        <v>1</v>
      </c>
      <c r="R3609" s="2">
        <v>1</v>
      </c>
      <c r="S3609" s="2">
        <v>0</v>
      </c>
      <c r="T3609" t="s">
        <v>1790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</row>
    <row r="3610" spans="1:28" hidden="1" x14ac:dyDescent="0.25">
      <c r="A3610" t="s">
        <v>63</v>
      </c>
      <c r="B3610" t="s">
        <v>1323</v>
      </c>
      <c r="C3610" t="s">
        <v>102</v>
      </c>
      <c r="D3610" s="9">
        <v>46109</v>
      </c>
      <c r="E3610" s="9">
        <v>46109</v>
      </c>
      <c r="F3610" s="2">
        <v>34</v>
      </c>
      <c r="G3610" s="3" t="s">
        <v>23</v>
      </c>
      <c r="H3610">
        <v>0</v>
      </c>
      <c r="I3610" s="2">
        <v>0</v>
      </c>
      <c r="J3610" s="2">
        <v>0</v>
      </c>
      <c r="K3610" s="2">
        <v>0</v>
      </c>
      <c r="L3610" s="2">
        <v>0</v>
      </c>
      <c r="M3610">
        <v>1</v>
      </c>
      <c r="N3610">
        <v>0</v>
      </c>
      <c r="O3610" s="2">
        <v>1</v>
      </c>
      <c r="P3610" s="2">
        <v>0</v>
      </c>
      <c r="Q3610">
        <v>7</v>
      </c>
      <c r="R3610" s="2">
        <v>1</v>
      </c>
      <c r="S3610" s="2">
        <v>0</v>
      </c>
      <c r="T3610" t="s">
        <v>1791</v>
      </c>
      <c r="U3610" s="2">
        <v>14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</row>
    <row r="3611" spans="1:28" hidden="1" x14ac:dyDescent="0.25">
      <c r="A3611" t="s">
        <v>33</v>
      </c>
      <c r="B3611" t="s">
        <v>34</v>
      </c>
      <c r="C3611" t="s">
        <v>35</v>
      </c>
      <c r="D3611" s="9">
        <v>46109</v>
      </c>
      <c r="E3611" s="9">
        <v>46109</v>
      </c>
      <c r="F3611" s="2">
        <v>37</v>
      </c>
      <c r="G3611" s="3" t="s">
        <v>23</v>
      </c>
      <c r="H3611">
        <v>0</v>
      </c>
      <c r="I3611" s="2">
        <v>0</v>
      </c>
      <c r="J3611" s="2">
        <v>0</v>
      </c>
      <c r="K3611" s="2">
        <v>0</v>
      </c>
      <c r="L3611" s="2">
        <v>0</v>
      </c>
      <c r="M3611">
        <v>0</v>
      </c>
      <c r="N3611">
        <v>0</v>
      </c>
      <c r="O3611" s="2">
        <v>1</v>
      </c>
      <c r="P3611" s="2">
        <v>0</v>
      </c>
      <c r="Q3611">
        <v>5</v>
      </c>
      <c r="R3611" s="2">
        <v>1</v>
      </c>
      <c r="S3611" s="2">
        <v>0</v>
      </c>
      <c r="T3611" t="s">
        <v>1792</v>
      </c>
      <c r="U3611" s="2">
        <v>18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</row>
    <row r="3612" spans="1:28" hidden="1" x14ac:dyDescent="0.25">
      <c r="A3612" t="s">
        <v>568</v>
      </c>
      <c r="B3612" t="s">
        <v>47</v>
      </c>
      <c r="C3612" t="s">
        <v>212</v>
      </c>
      <c r="D3612" s="9">
        <v>46109</v>
      </c>
      <c r="E3612" s="9">
        <v>46109</v>
      </c>
      <c r="F3612" s="2">
        <v>0</v>
      </c>
      <c r="G3612" s="3" t="s">
        <v>378</v>
      </c>
      <c r="H3612">
        <v>0</v>
      </c>
      <c r="I3612" s="2">
        <v>0</v>
      </c>
      <c r="J3612" s="2">
        <v>0</v>
      </c>
      <c r="K3612" s="2">
        <v>0</v>
      </c>
      <c r="L3612" s="2">
        <v>0</v>
      </c>
      <c r="M3612">
        <v>0</v>
      </c>
      <c r="N3612">
        <v>0</v>
      </c>
      <c r="O3612" s="2">
        <v>0</v>
      </c>
      <c r="P3612" s="2">
        <v>0</v>
      </c>
      <c r="Q3612">
        <v>0</v>
      </c>
      <c r="R3612" s="2">
        <v>0</v>
      </c>
      <c r="S3612" s="2">
        <v>0</v>
      </c>
      <c r="T3612" t="s">
        <v>377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</row>
    <row r="3613" spans="1:28" hidden="1" x14ac:dyDescent="0.25">
      <c r="A3613" t="s">
        <v>47</v>
      </c>
      <c r="B3613" t="s">
        <v>284</v>
      </c>
      <c r="C3613" t="s">
        <v>27</v>
      </c>
      <c r="D3613" s="9">
        <v>46109</v>
      </c>
      <c r="E3613" s="9">
        <v>46109</v>
      </c>
      <c r="F3613" s="2">
        <v>25</v>
      </c>
      <c r="G3613" s="3" t="s">
        <v>378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 t="s">
        <v>1150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</row>
    <row r="3614" spans="1:28" hidden="1" x14ac:dyDescent="0.25">
      <c r="A3614" t="s">
        <v>730</v>
      </c>
      <c r="B3614" t="s">
        <v>47</v>
      </c>
      <c r="C3614" t="s">
        <v>27</v>
      </c>
      <c r="D3614" s="9">
        <v>46109</v>
      </c>
      <c r="E3614" s="9">
        <v>46109</v>
      </c>
      <c r="F3614" s="2">
        <v>25</v>
      </c>
      <c r="G3614" s="3" t="s">
        <v>378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 t="s">
        <v>1150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</row>
    <row r="3615" spans="1:28" hidden="1" x14ac:dyDescent="0.25">
      <c r="A3615" t="s">
        <v>47</v>
      </c>
      <c r="B3615" t="s">
        <v>21</v>
      </c>
      <c r="C3615" t="s">
        <v>27</v>
      </c>
      <c r="D3615" s="9">
        <v>46109</v>
      </c>
      <c r="E3615" s="9">
        <v>46109</v>
      </c>
      <c r="F3615" s="2">
        <v>25</v>
      </c>
      <c r="G3615" s="3" t="s">
        <v>378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1150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</row>
    <row r="3616" spans="1:28" hidden="1" x14ac:dyDescent="0.25">
      <c r="A3616" t="s">
        <v>20</v>
      </c>
      <c r="B3616" t="s">
        <v>47</v>
      </c>
      <c r="C3616" t="s">
        <v>212</v>
      </c>
      <c r="D3616" s="9">
        <v>46109</v>
      </c>
      <c r="E3616" s="9">
        <v>46109</v>
      </c>
      <c r="F3616" s="2">
        <v>0</v>
      </c>
      <c r="G3616" s="3" t="s">
        <v>50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 t="s">
        <v>377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</row>
    <row r="3617" spans="1:28" hidden="1" x14ac:dyDescent="0.25">
      <c r="A3617" t="s">
        <v>47</v>
      </c>
      <c r="B3617" t="s">
        <v>47</v>
      </c>
      <c r="C3617" t="s">
        <v>212</v>
      </c>
      <c r="D3617" s="9">
        <v>46109</v>
      </c>
      <c r="E3617" s="9">
        <v>46109</v>
      </c>
      <c r="F3617" s="2">
        <v>0</v>
      </c>
      <c r="G3617" s="3" t="s">
        <v>572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 t="s">
        <v>377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</row>
    <row r="3618" spans="1:28" hidden="1" x14ac:dyDescent="0.25">
      <c r="A3618" t="s">
        <v>47</v>
      </c>
      <c r="B3618" t="s">
        <v>47</v>
      </c>
      <c r="C3618" t="s">
        <v>212</v>
      </c>
      <c r="D3618" s="9">
        <v>46109</v>
      </c>
      <c r="E3618" s="9">
        <v>46109</v>
      </c>
      <c r="F3618" s="2">
        <v>0</v>
      </c>
      <c r="G3618" s="3" t="s">
        <v>409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 t="s">
        <v>377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</row>
    <row r="3619" spans="1:28" hidden="1" x14ac:dyDescent="0.25">
      <c r="A3619" t="s">
        <v>29</v>
      </c>
      <c r="B3619" t="s">
        <v>30</v>
      </c>
      <c r="C3619" t="s">
        <v>212</v>
      </c>
      <c r="D3619" s="9">
        <v>46109</v>
      </c>
      <c r="E3619" s="9">
        <v>46109</v>
      </c>
      <c r="F3619" s="2">
        <v>0</v>
      </c>
      <c r="G3619" s="3" t="s">
        <v>129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 t="s">
        <v>377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</row>
    <row r="3620" spans="1:28" hidden="1" x14ac:dyDescent="0.25">
      <c r="A3620" t="s">
        <v>56</v>
      </c>
      <c r="B3620" t="s">
        <v>1160</v>
      </c>
      <c r="C3620" t="s">
        <v>64</v>
      </c>
      <c r="D3620" s="9">
        <v>46110</v>
      </c>
      <c r="E3620" s="9">
        <v>46110</v>
      </c>
      <c r="F3620" s="2">
        <v>31</v>
      </c>
      <c r="G3620" s="3" t="s">
        <v>23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>
        <v>0</v>
      </c>
      <c r="N3620">
        <v>0</v>
      </c>
      <c r="O3620" s="2">
        <v>0</v>
      </c>
      <c r="P3620" s="2">
        <v>0</v>
      </c>
      <c r="Q3620">
        <v>4</v>
      </c>
      <c r="R3620" s="2">
        <v>0</v>
      </c>
      <c r="S3620" s="2">
        <v>1</v>
      </c>
      <c r="T3620" t="s">
        <v>1793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1</v>
      </c>
    </row>
    <row r="3621" spans="1:28" hidden="1" x14ac:dyDescent="0.25">
      <c r="A3621" t="s">
        <v>53</v>
      </c>
      <c r="B3621" t="s">
        <v>38</v>
      </c>
      <c r="C3621" t="s">
        <v>54</v>
      </c>
      <c r="D3621" s="9">
        <v>46110</v>
      </c>
      <c r="E3621" s="9">
        <v>46110</v>
      </c>
      <c r="F3621" s="2">
        <v>43</v>
      </c>
      <c r="G3621" s="3" t="s">
        <v>23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>
        <v>0</v>
      </c>
      <c r="N3621">
        <v>1</v>
      </c>
      <c r="O3621" s="2">
        <v>0</v>
      </c>
      <c r="P3621" s="2">
        <v>1</v>
      </c>
      <c r="Q3621">
        <v>1</v>
      </c>
      <c r="R3621" s="2">
        <v>0</v>
      </c>
      <c r="S3621" s="2">
        <v>1</v>
      </c>
      <c r="T3621" t="s">
        <v>1794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</row>
    <row r="3622" spans="1:28" hidden="1" x14ac:dyDescent="0.25">
      <c r="A3622" t="s">
        <v>25</v>
      </c>
      <c r="B3622" t="s">
        <v>26</v>
      </c>
      <c r="C3622" t="s">
        <v>27</v>
      </c>
      <c r="D3622" s="9">
        <v>46110</v>
      </c>
      <c r="E3622" s="9">
        <v>46110</v>
      </c>
      <c r="F3622" s="2">
        <v>44</v>
      </c>
      <c r="G3622" s="3" t="s">
        <v>23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>
        <v>0</v>
      </c>
      <c r="N3622">
        <v>0</v>
      </c>
      <c r="O3622" s="2">
        <v>0</v>
      </c>
      <c r="P3622" s="2">
        <v>1</v>
      </c>
      <c r="Q3622">
        <v>3</v>
      </c>
      <c r="R3622" s="2">
        <v>0</v>
      </c>
      <c r="S3622" s="2">
        <v>1</v>
      </c>
      <c r="T3622" t="s">
        <v>1795</v>
      </c>
      <c r="U3622" s="2">
        <f>15+16</f>
        <v>31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</row>
    <row r="3623" spans="1:28" hidden="1" x14ac:dyDescent="0.25">
      <c r="A3623" t="s">
        <v>37</v>
      </c>
      <c r="B3623" t="s">
        <v>47</v>
      </c>
      <c r="C3623" t="s">
        <v>173</v>
      </c>
      <c r="D3623" s="9">
        <v>46110</v>
      </c>
      <c r="E3623" s="9">
        <v>46110</v>
      </c>
      <c r="F3623" s="2">
        <v>24</v>
      </c>
      <c r="G3623" s="3" t="s">
        <v>23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>
        <v>0</v>
      </c>
      <c r="N3623">
        <v>1</v>
      </c>
      <c r="O3623" s="2">
        <v>0</v>
      </c>
      <c r="P3623" s="2">
        <v>1</v>
      </c>
      <c r="Q3623">
        <v>1</v>
      </c>
      <c r="R3623" s="2">
        <v>0</v>
      </c>
      <c r="S3623" s="2">
        <v>1</v>
      </c>
      <c r="T3623" t="s">
        <v>1790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</row>
    <row r="3624" spans="1:28" hidden="1" x14ac:dyDescent="0.25">
      <c r="A3624" t="s">
        <v>57</v>
      </c>
      <c r="B3624" t="s">
        <v>47</v>
      </c>
      <c r="C3624" t="s">
        <v>173</v>
      </c>
      <c r="D3624" s="9">
        <v>46110</v>
      </c>
      <c r="E3624" s="9">
        <v>46110</v>
      </c>
      <c r="F3624" s="2">
        <v>24</v>
      </c>
      <c r="G3624" s="3" t="s">
        <v>23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>
        <v>0</v>
      </c>
      <c r="N3624">
        <v>1</v>
      </c>
      <c r="O3624" s="2">
        <v>0</v>
      </c>
      <c r="P3624" s="2">
        <v>1</v>
      </c>
      <c r="Q3624">
        <v>1</v>
      </c>
      <c r="R3624" s="2">
        <v>0</v>
      </c>
      <c r="S3624" s="2">
        <v>1</v>
      </c>
      <c r="T3624" t="s">
        <v>1790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</row>
    <row r="3625" spans="1:28" hidden="1" x14ac:dyDescent="0.25">
      <c r="A3625" t="s">
        <v>63</v>
      </c>
      <c r="B3625" t="s">
        <v>1323</v>
      </c>
      <c r="C3625" t="s">
        <v>102</v>
      </c>
      <c r="D3625" s="9">
        <v>46110</v>
      </c>
      <c r="E3625" s="9">
        <v>46110</v>
      </c>
      <c r="F3625" s="2">
        <v>20</v>
      </c>
      <c r="G3625" s="3" t="s">
        <v>23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>
        <v>0</v>
      </c>
      <c r="N3625">
        <v>0</v>
      </c>
      <c r="O3625" s="2">
        <v>0</v>
      </c>
      <c r="P3625" s="2">
        <v>1</v>
      </c>
      <c r="Q3625">
        <v>5</v>
      </c>
      <c r="R3625" s="2">
        <v>0</v>
      </c>
      <c r="S3625" s="2">
        <v>1</v>
      </c>
      <c r="T3625" t="s">
        <v>1796</v>
      </c>
      <c r="U3625" s="2">
        <v>18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</row>
    <row r="3626" spans="1:28" hidden="1" x14ac:dyDescent="0.25">
      <c r="A3626" t="s">
        <v>33</v>
      </c>
      <c r="B3626" t="s">
        <v>34</v>
      </c>
      <c r="C3626" t="s">
        <v>35</v>
      </c>
      <c r="D3626" s="9">
        <v>46110</v>
      </c>
      <c r="E3626" s="9">
        <v>46110</v>
      </c>
      <c r="F3626" s="2">
        <v>42</v>
      </c>
      <c r="G3626" s="3" t="s">
        <v>23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>
        <v>0</v>
      </c>
      <c r="N3626">
        <v>0</v>
      </c>
      <c r="O3626" s="2">
        <v>0</v>
      </c>
      <c r="P3626" s="2">
        <v>1</v>
      </c>
      <c r="Q3626">
        <v>3</v>
      </c>
      <c r="R3626" s="2">
        <v>0</v>
      </c>
      <c r="S3626" s="2">
        <v>1</v>
      </c>
      <c r="T3626" t="s">
        <v>1797</v>
      </c>
      <c r="U3626" s="2">
        <f>18+10</f>
        <v>28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</row>
    <row r="3627" spans="1:28" hidden="1" x14ac:dyDescent="0.25">
      <c r="A3627" t="s">
        <v>568</v>
      </c>
      <c r="B3627" t="s">
        <v>284</v>
      </c>
      <c r="C3627" t="s">
        <v>212</v>
      </c>
      <c r="D3627" s="9">
        <v>46110</v>
      </c>
      <c r="E3627" s="9">
        <v>46110</v>
      </c>
      <c r="F3627" s="2">
        <v>0</v>
      </c>
      <c r="G3627" s="3" t="s">
        <v>378</v>
      </c>
      <c r="H3627">
        <v>0</v>
      </c>
      <c r="I3627" s="2">
        <v>0</v>
      </c>
      <c r="J3627" s="2">
        <v>0</v>
      </c>
      <c r="K3627" s="2">
        <v>0</v>
      </c>
      <c r="L3627" s="2">
        <v>0</v>
      </c>
      <c r="M3627">
        <v>0</v>
      </c>
      <c r="N3627">
        <v>0</v>
      </c>
      <c r="O3627" s="2">
        <v>0</v>
      </c>
      <c r="P3627" s="2">
        <v>0</v>
      </c>
      <c r="Q3627">
        <v>0</v>
      </c>
      <c r="R3627" s="2">
        <v>0</v>
      </c>
      <c r="S3627" s="2">
        <v>0</v>
      </c>
      <c r="T3627" t="s">
        <v>377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</row>
    <row r="3628" spans="1:28" hidden="1" x14ac:dyDescent="0.25">
      <c r="A3628" t="s">
        <v>47</v>
      </c>
      <c r="B3628" t="s">
        <v>47</v>
      </c>
      <c r="C3628" t="s">
        <v>27</v>
      </c>
      <c r="D3628" s="9">
        <v>46110</v>
      </c>
      <c r="E3628" s="9">
        <v>46110</v>
      </c>
      <c r="F3628" s="2">
        <v>25</v>
      </c>
      <c r="G3628" s="3" t="s">
        <v>378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t="s">
        <v>1150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</row>
    <row r="3629" spans="1:28" hidden="1" x14ac:dyDescent="0.25">
      <c r="A3629" t="s">
        <v>730</v>
      </c>
      <c r="B3629" t="s">
        <v>47</v>
      </c>
      <c r="C3629" t="s">
        <v>27</v>
      </c>
      <c r="D3629" s="9">
        <v>46110</v>
      </c>
      <c r="E3629" s="9">
        <v>46110</v>
      </c>
      <c r="F3629" s="2">
        <v>25</v>
      </c>
      <c r="G3629" s="3" t="s">
        <v>378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1150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</row>
    <row r="3630" spans="1:28" hidden="1" x14ac:dyDescent="0.25">
      <c r="A3630" t="s">
        <v>47</v>
      </c>
      <c r="B3630" t="s">
        <v>21</v>
      </c>
      <c r="C3630" t="s">
        <v>27</v>
      </c>
      <c r="D3630" s="9">
        <v>46110</v>
      </c>
      <c r="E3630" s="9">
        <v>46110</v>
      </c>
      <c r="F3630" s="2">
        <v>25</v>
      </c>
      <c r="G3630" s="3" t="s">
        <v>378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 t="s">
        <v>1150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</row>
    <row r="3631" spans="1:28" hidden="1" x14ac:dyDescent="0.25">
      <c r="A3631" t="s">
        <v>20</v>
      </c>
      <c r="B3631" t="s">
        <v>47</v>
      </c>
      <c r="C3631" t="s">
        <v>212</v>
      </c>
      <c r="D3631" s="9">
        <v>46110</v>
      </c>
      <c r="E3631" s="9">
        <v>46110</v>
      </c>
      <c r="F3631" s="2">
        <v>0</v>
      </c>
      <c r="G3631" s="3" t="s">
        <v>50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 t="s">
        <v>377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</row>
    <row r="3632" spans="1:28" hidden="1" x14ac:dyDescent="0.25">
      <c r="A3632" t="s">
        <v>47</v>
      </c>
      <c r="B3632" t="s">
        <v>47</v>
      </c>
      <c r="C3632" t="s">
        <v>212</v>
      </c>
      <c r="D3632" s="9">
        <v>46110</v>
      </c>
      <c r="E3632" s="9">
        <v>46110</v>
      </c>
      <c r="F3632" s="2">
        <v>0</v>
      </c>
      <c r="G3632" s="3" t="s">
        <v>572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 t="s">
        <v>377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</row>
    <row r="3633" spans="1:28" hidden="1" x14ac:dyDescent="0.25">
      <c r="A3633" t="s">
        <v>47</v>
      </c>
      <c r="B3633" t="s">
        <v>47</v>
      </c>
      <c r="C3633" t="s">
        <v>212</v>
      </c>
      <c r="D3633" s="9">
        <v>46110</v>
      </c>
      <c r="E3633" s="9">
        <v>46110</v>
      </c>
      <c r="F3633" s="2">
        <v>0</v>
      </c>
      <c r="G3633" s="3" t="s">
        <v>409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 t="s">
        <v>377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</row>
    <row r="3634" spans="1:28" hidden="1" x14ac:dyDescent="0.25">
      <c r="A3634" t="s">
        <v>29</v>
      </c>
      <c r="B3634" t="s">
        <v>30</v>
      </c>
      <c r="C3634" t="s">
        <v>212</v>
      </c>
      <c r="D3634" s="9">
        <v>46110</v>
      </c>
      <c r="E3634" s="9">
        <v>46110</v>
      </c>
      <c r="F3634" s="2">
        <v>0</v>
      </c>
      <c r="G3634" s="3" t="s">
        <v>129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 t="s">
        <v>377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</row>
    <row r="3635" spans="1:28" hidden="1" x14ac:dyDescent="0.25">
      <c r="A3635" t="s">
        <v>56</v>
      </c>
      <c r="B3635" t="s">
        <v>1160</v>
      </c>
      <c r="C3635" t="s">
        <v>64</v>
      </c>
      <c r="D3635" s="1">
        <v>46111</v>
      </c>
      <c r="E3635" s="1">
        <v>46111</v>
      </c>
      <c r="F3635" s="2">
        <v>39</v>
      </c>
      <c r="G3635" s="3" t="s">
        <v>23</v>
      </c>
      <c r="H3635">
        <f>2+3+2+1+13</f>
        <v>21</v>
      </c>
      <c r="I3635" s="2">
        <v>1</v>
      </c>
      <c r="J3635" s="2">
        <v>0</v>
      </c>
      <c r="K3635" s="2">
        <v>0</v>
      </c>
      <c r="L3635" s="2">
        <v>0</v>
      </c>
      <c r="M3635">
        <v>0</v>
      </c>
      <c r="N3635">
        <v>1</v>
      </c>
      <c r="O3635" s="2">
        <v>0</v>
      </c>
      <c r="P3635" s="2">
        <v>0</v>
      </c>
      <c r="Q3635">
        <v>0</v>
      </c>
      <c r="R3635" s="2">
        <v>0</v>
      </c>
      <c r="S3635" s="2">
        <v>0</v>
      </c>
      <c r="T3635" t="s">
        <v>1798</v>
      </c>
      <c r="U3635" s="2">
        <v>0</v>
      </c>
      <c r="V3635" s="2">
        <v>14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</row>
    <row r="3636" spans="1:28" hidden="1" x14ac:dyDescent="0.25">
      <c r="A3636" t="s">
        <v>25</v>
      </c>
      <c r="B3636" t="s">
        <v>26</v>
      </c>
      <c r="C3636" t="s">
        <v>27</v>
      </c>
      <c r="D3636" s="1">
        <v>46111</v>
      </c>
      <c r="E3636" s="1">
        <v>46111</v>
      </c>
      <c r="F3636" s="2">
        <v>21</v>
      </c>
      <c r="G3636" s="3" t="s">
        <v>23</v>
      </c>
      <c r="H3636">
        <v>0</v>
      </c>
      <c r="I3636" s="2">
        <v>0</v>
      </c>
      <c r="J3636" s="2">
        <v>0</v>
      </c>
      <c r="K3636" s="2">
        <v>0</v>
      </c>
      <c r="L3636" s="2">
        <v>0</v>
      </c>
      <c r="M3636">
        <v>0</v>
      </c>
      <c r="N3636">
        <v>0</v>
      </c>
      <c r="O3636" s="2">
        <v>0</v>
      </c>
      <c r="P3636" s="2">
        <v>0</v>
      </c>
      <c r="Q3636">
        <v>0</v>
      </c>
      <c r="R3636" s="2">
        <v>0</v>
      </c>
      <c r="S3636" s="2">
        <v>0</v>
      </c>
      <c r="T3636" t="s">
        <v>1799</v>
      </c>
      <c r="U3636" s="2">
        <v>0</v>
      </c>
      <c r="V3636" s="2">
        <f>20+20+9+8</f>
        <v>57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</row>
    <row r="3637" spans="1:28" hidden="1" x14ac:dyDescent="0.25">
      <c r="A3637" t="s">
        <v>63</v>
      </c>
      <c r="B3637" t="s">
        <v>1323</v>
      </c>
      <c r="C3637" t="s">
        <v>102</v>
      </c>
      <c r="D3637" s="1">
        <v>46111</v>
      </c>
      <c r="E3637" s="1">
        <v>46111</v>
      </c>
      <c r="F3637" s="2">
        <v>77</v>
      </c>
      <c r="G3637" s="3" t="s">
        <v>23</v>
      </c>
      <c r="H3637">
        <v>1</v>
      </c>
      <c r="I3637" s="2">
        <v>0</v>
      </c>
      <c r="J3637" s="2">
        <v>0</v>
      </c>
      <c r="K3637" s="2">
        <v>0</v>
      </c>
      <c r="L3637" s="2">
        <v>0</v>
      </c>
      <c r="M3637">
        <v>0</v>
      </c>
      <c r="N3637">
        <v>0</v>
      </c>
      <c r="O3637" s="2">
        <v>0</v>
      </c>
      <c r="P3637" s="2">
        <v>0</v>
      </c>
      <c r="Q3637">
        <v>0</v>
      </c>
      <c r="R3637" s="2">
        <v>0</v>
      </c>
      <c r="S3637" s="2">
        <v>0</v>
      </c>
      <c r="T3637" t="s">
        <v>1800</v>
      </c>
      <c r="U3637" s="2">
        <v>0</v>
      </c>
      <c r="V3637" s="2">
        <v>14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</row>
    <row r="3638" spans="1:28" hidden="1" x14ac:dyDescent="0.25">
      <c r="A3638" t="s">
        <v>33</v>
      </c>
      <c r="B3638" t="s">
        <v>34</v>
      </c>
      <c r="C3638" t="s">
        <v>35</v>
      </c>
      <c r="D3638" s="1">
        <v>46111</v>
      </c>
      <c r="E3638" s="1">
        <v>46111</v>
      </c>
      <c r="F3638" s="2">
        <v>21</v>
      </c>
      <c r="G3638" s="3" t="s">
        <v>23</v>
      </c>
      <c r="H3638">
        <v>0</v>
      </c>
      <c r="I3638" s="2">
        <v>0</v>
      </c>
      <c r="J3638" s="2">
        <v>0</v>
      </c>
      <c r="K3638" s="2">
        <v>0</v>
      </c>
      <c r="L3638" s="2">
        <v>0</v>
      </c>
      <c r="M3638">
        <v>0</v>
      </c>
      <c r="N3638">
        <v>0</v>
      </c>
      <c r="O3638" s="2">
        <v>0</v>
      </c>
      <c r="P3638" s="2">
        <v>0</v>
      </c>
      <c r="Q3638">
        <v>0</v>
      </c>
      <c r="R3638" s="2">
        <v>0</v>
      </c>
      <c r="S3638" s="2">
        <v>0</v>
      </c>
      <c r="T3638" t="s">
        <v>1801</v>
      </c>
      <c r="U3638" s="2">
        <v>0</v>
      </c>
      <c r="V3638" s="2">
        <v>40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</row>
    <row r="3639" spans="1:28" hidden="1" x14ac:dyDescent="0.25">
      <c r="A3639" t="s">
        <v>37</v>
      </c>
      <c r="B3639" t="s">
        <v>57</v>
      </c>
      <c r="C3639" t="s">
        <v>173</v>
      </c>
      <c r="D3639" s="1">
        <v>46111</v>
      </c>
      <c r="E3639" s="1">
        <v>46111</v>
      </c>
      <c r="F3639" s="2">
        <v>15</v>
      </c>
      <c r="G3639" s="3" t="s">
        <v>23</v>
      </c>
      <c r="H3639">
        <v>0</v>
      </c>
      <c r="I3639" s="2">
        <v>0</v>
      </c>
      <c r="J3639" s="2">
        <v>0</v>
      </c>
      <c r="K3639" s="2">
        <v>0</v>
      </c>
      <c r="L3639" s="2">
        <v>0</v>
      </c>
      <c r="M3639">
        <v>0</v>
      </c>
      <c r="N3639">
        <v>0</v>
      </c>
      <c r="O3639" s="2">
        <v>0</v>
      </c>
      <c r="P3639" s="2">
        <v>0</v>
      </c>
      <c r="Q3639">
        <v>0</v>
      </c>
      <c r="R3639" s="2">
        <v>0</v>
      </c>
      <c r="S3639" s="2">
        <v>0</v>
      </c>
      <c r="T3639" t="s">
        <v>1802</v>
      </c>
      <c r="U3639" s="2">
        <v>0</v>
      </c>
      <c r="V3639" s="2">
        <v>44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</row>
    <row r="3640" spans="1:28" hidden="1" x14ac:dyDescent="0.25">
      <c r="A3640" t="s">
        <v>53</v>
      </c>
      <c r="B3640" t="s">
        <v>38</v>
      </c>
      <c r="C3640" t="s">
        <v>173</v>
      </c>
      <c r="D3640" s="1">
        <v>46111</v>
      </c>
      <c r="E3640" s="1">
        <v>46111</v>
      </c>
      <c r="F3640" s="2">
        <v>15</v>
      </c>
      <c r="G3640" s="3" t="s">
        <v>23</v>
      </c>
      <c r="H3640">
        <v>0</v>
      </c>
      <c r="I3640" s="2">
        <v>0</v>
      </c>
      <c r="J3640" s="2">
        <v>0</v>
      </c>
      <c r="K3640" s="2">
        <v>0</v>
      </c>
      <c r="L3640" s="2">
        <v>0</v>
      </c>
      <c r="M3640">
        <v>0</v>
      </c>
      <c r="N3640">
        <v>0</v>
      </c>
      <c r="O3640" s="2">
        <v>0</v>
      </c>
      <c r="P3640" s="2">
        <v>0</v>
      </c>
      <c r="Q3640">
        <v>0</v>
      </c>
      <c r="R3640" s="2">
        <v>0</v>
      </c>
      <c r="S3640" s="2">
        <v>0</v>
      </c>
      <c r="T3640" t="s">
        <v>1802</v>
      </c>
      <c r="U3640" s="2">
        <v>0</v>
      </c>
      <c r="V3640" s="2">
        <v>22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</row>
    <row r="3641" spans="1:28" hidden="1" x14ac:dyDescent="0.25">
      <c r="A3641" t="s">
        <v>730</v>
      </c>
      <c r="B3641" t="s">
        <v>21</v>
      </c>
      <c r="C3641" t="s">
        <v>173</v>
      </c>
      <c r="D3641" s="1">
        <v>46111</v>
      </c>
      <c r="E3641" s="1">
        <v>46111</v>
      </c>
      <c r="F3641" s="2">
        <v>15</v>
      </c>
      <c r="G3641" s="3" t="s">
        <v>23</v>
      </c>
      <c r="H3641">
        <v>0</v>
      </c>
      <c r="I3641" s="2">
        <v>0</v>
      </c>
      <c r="J3641" s="2">
        <v>0</v>
      </c>
      <c r="K3641" s="2">
        <v>0</v>
      </c>
      <c r="L3641" s="2">
        <v>0</v>
      </c>
      <c r="M3641">
        <v>0</v>
      </c>
      <c r="N3641">
        <v>0</v>
      </c>
      <c r="O3641" s="2">
        <v>0</v>
      </c>
      <c r="P3641" s="2">
        <v>0</v>
      </c>
      <c r="Q3641">
        <v>0</v>
      </c>
      <c r="R3641" s="2">
        <v>0</v>
      </c>
      <c r="S3641" s="2">
        <v>0</v>
      </c>
      <c r="T3641" t="s">
        <v>1802</v>
      </c>
      <c r="U3641" s="2">
        <v>0</v>
      </c>
      <c r="V3641" s="2">
        <f>28+6+3</f>
        <v>37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</row>
    <row r="3642" spans="1:28" hidden="1" x14ac:dyDescent="0.25">
      <c r="A3642" t="s">
        <v>47</v>
      </c>
      <c r="B3642" t="s">
        <v>284</v>
      </c>
      <c r="C3642" t="s">
        <v>212</v>
      </c>
      <c r="D3642" s="1">
        <v>46111</v>
      </c>
      <c r="E3642" s="1">
        <v>46111</v>
      </c>
      <c r="F3642" s="2">
        <v>0</v>
      </c>
      <c r="G3642" s="3" t="s">
        <v>1030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 t="s">
        <v>377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</row>
    <row r="3643" spans="1:28" hidden="1" x14ac:dyDescent="0.25">
      <c r="A3643" t="s">
        <v>20</v>
      </c>
      <c r="B3643" t="s">
        <v>47</v>
      </c>
      <c r="C3643" t="s">
        <v>212</v>
      </c>
      <c r="D3643" s="1">
        <v>46111</v>
      </c>
      <c r="E3643" s="1">
        <v>46111</v>
      </c>
      <c r="F3643" s="2">
        <v>0</v>
      </c>
      <c r="G3643" s="3" t="s">
        <v>50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 t="s">
        <v>377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</row>
    <row r="3644" spans="1:28" hidden="1" x14ac:dyDescent="0.25">
      <c r="A3644" t="s">
        <v>568</v>
      </c>
      <c r="B3644" t="s">
        <v>47</v>
      </c>
      <c r="C3644" t="s">
        <v>212</v>
      </c>
      <c r="D3644" s="1">
        <v>46111</v>
      </c>
      <c r="E3644" s="1">
        <v>46111</v>
      </c>
      <c r="F3644" s="2">
        <v>0</v>
      </c>
      <c r="G3644" s="3" t="s">
        <v>572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 t="s">
        <v>377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</row>
    <row r="3645" spans="1:28" hidden="1" x14ac:dyDescent="0.25">
      <c r="A3645" t="s">
        <v>47</v>
      </c>
      <c r="B3645" t="s">
        <v>47</v>
      </c>
      <c r="C3645" t="s">
        <v>212</v>
      </c>
      <c r="D3645" s="1">
        <v>46111</v>
      </c>
      <c r="E3645" s="1">
        <v>46111</v>
      </c>
      <c r="F3645" s="2">
        <v>0</v>
      </c>
      <c r="G3645" s="3" t="s">
        <v>409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 t="s">
        <v>377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</row>
    <row r="3646" spans="1:28" hidden="1" x14ac:dyDescent="0.25">
      <c r="A3646" t="s">
        <v>29</v>
      </c>
      <c r="B3646" t="s">
        <v>30</v>
      </c>
      <c r="C3646" t="s">
        <v>212</v>
      </c>
      <c r="D3646" s="1">
        <v>46111</v>
      </c>
      <c r="E3646" s="1">
        <v>46111</v>
      </c>
      <c r="F3646" s="2">
        <v>0</v>
      </c>
      <c r="G3646" s="3" t="s">
        <v>129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377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</row>
    <row r="3647" spans="1:28" hidden="1" x14ac:dyDescent="0.25">
      <c r="A3647" t="s">
        <v>25</v>
      </c>
      <c r="B3647" t="s">
        <v>26</v>
      </c>
      <c r="C3647" t="s">
        <v>27</v>
      </c>
      <c r="D3647" s="1">
        <v>46112</v>
      </c>
      <c r="E3647" s="1">
        <v>46112</v>
      </c>
      <c r="F3647" s="2">
        <v>29</v>
      </c>
      <c r="G3647" s="3" t="s">
        <v>23</v>
      </c>
      <c r="H3647">
        <v>26</v>
      </c>
      <c r="I3647" s="2">
        <v>0</v>
      </c>
      <c r="J3647" s="2">
        <v>0</v>
      </c>
      <c r="K3647" s="2">
        <v>0</v>
      </c>
      <c r="L3647" s="2">
        <v>1</v>
      </c>
      <c r="M3647">
        <v>0</v>
      </c>
      <c r="N3647">
        <v>0</v>
      </c>
      <c r="O3647" s="2">
        <v>0</v>
      </c>
      <c r="P3647" s="2">
        <v>0</v>
      </c>
      <c r="Q3647">
        <v>0</v>
      </c>
      <c r="R3647" s="2">
        <v>0</v>
      </c>
      <c r="S3647" s="2">
        <v>0</v>
      </c>
      <c r="T3647" t="s">
        <v>1803</v>
      </c>
      <c r="U3647" s="2">
        <v>0</v>
      </c>
      <c r="V3647" s="2">
        <v>15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</row>
    <row r="3648" spans="1:28" hidden="1" x14ac:dyDescent="0.25">
      <c r="A3648" t="s">
        <v>37</v>
      </c>
      <c r="B3648" t="s">
        <v>57</v>
      </c>
      <c r="C3648" t="s">
        <v>173</v>
      </c>
      <c r="D3648" s="1">
        <v>46112</v>
      </c>
      <c r="E3648" s="1">
        <v>46112</v>
      </c>
      <c r="F3648" s="2">
        <v>29</v>
      </c>
      <c r="G3648" s="3" t="s">
        <v>23</v>
      </c>
      <c r="H3648">
        <f>16+4+4+3</f>
        <v>27</v>
      </c>
      <c r="I3648" s="2">
        <v>0</v>
      </c>
      <c r="J3648" s="2">
        <v>0</v>
      </c>
      <c r="K3648" s="2">
        <v>1</v>
      </c>
      <c r="L3648" s="2">
        <v>0</v>
      </c>
      <c r="M3648">
        <v>1</v>
      </c>
      <c r="N3648">
        <v>0</v>
      </c>
      <c r="O3648" s="2">
        <v>0</v>
      </c>
      <c r="P3648" s="2">
        <v>0</v>
      </c>
      <c r="Q3648">
        <v>0</v>
      </c>
      <c r="R3648" s="2">
        <v>0</v>
      </c>
      <c r="S3648" s="2">
        <v>0</v>
      </c>
      <c r="T3648" t="s">
        <v>1804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</row>
    <row r="3649" spans="1:28" hidden="1" x14ac:dyDescent="0.25">
      <c r="A3649" t="s">
        <v>56</v>
      </c>
      <c r="B3649" t="s">
        <v>1160</v>
      </c>
      <c r="C3649" t="s">
        <v>64</v>
      </c>
      <c r="D3649" s="1">
        <v>46112</v>
      </c>
      <c r="E3649" s="1">
        <v>46112</v>
      </c>
      <c r="F3649" s="2">
        <v>17</v>
      </c>
      <c r="G3649" s="3" t="s">
        <v>23</v>
      </c>
      <c r="H3649">
        <f>18+18+3+4+1</f>
        <v>44</v>
      </c>
      <c r="I3649" s="2">
        <v>0</v>
      </c>
      <c r="J3649" s="2">
        <v>0</v>
      </c>
      <c r="K3649" s="2">
        <v>1</v>
      </c>
      <c r="L3649" s="2">
        <v>0</v>
      </c>
      <c r="M3649">
        <v>0</v>
      </c>
      <c r="N3649">
        <v>0</v>
      </c>
      <c r="O3649" s="2">
        <v>0</v>
      </c>
      <c r="P3649" s="2">
        <v>0</v>
      </c>
      <c r="Q3649">
        <v>0</v>
      </c>
      <c r="R3649" s="2">
        <v>0</v>
      </c>
      <c r="S3649" s="2">
        <v>0</v>
      </c>
      <c r="T3649" t="s">
        <v>1805</v>
      </c>
      <c r="U3649" s="2">
        <v>0</v>
      </c>
      <c r="V3649" s="2">
        <v>12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</row>
    <row r="3650" spans="1:28" hidden="1" x14ac:dyDescent="0.25">
      <c r="A3650" t="s">
        <v>730</v>
      </c>
      <c r="B3650" t="s">
        <v>1323</v>
      </c>
      <c r="C3650" t="s">
        <v>1370</v>
      </c>
      <c r="D3650" s="1">
        <v>46112</v>
      </c>
      <c r="E3650" s="1">
        <v>46112</v>
      </c>
      <c r="F3650" s="2">
        <v>123</v>
      </c>
      <c r="G3650" s="3" t="s">
        <v>23</v>
      </c>
      <c r="H3650">
        <f>28+1+1+1+1+1+1</f>
        <v>34</v>
      </c>
      <c r="I3650" s="2">
        <v>0</v>
      </c>
      <c r="J3650" s="2">
        <v>0</v>
      </c>
      <c r="K3650" s="2">
        <v>1</v>
      </c>
      <c r="L3650" s="2">
        <v>0</v>
      </c>
      <c r="M3650">
        <v>1</v>
      </c>
      <c r="N3650">
        <v>1</v>
      </c>
      <c r="O3650" s="2">
        <v>0</v>
      </c>
      <c r="P3650" s="2">
        <v>0</v>
      </c>
      <c r="Q3650">
        <v>0</v>
      </c>
      <c r="R3650" s="2">
        <v>0</v>
      </c>
      <c r="S3650" s="2">
        <v>0</v>
      </c>
      <c r="T3650" t="s">
        <v>1806</v>
      </c>
      <c r="U3650" s="2">
        <v>0</v>
      </c>
      <c r="V3650" s="2">
        <v>1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</row>
    <row r="3651" spans="1:28" hidden="1" x14ac:dyDescent="0.25">
      <c r="A3651" t="s">
        <v>63</v>
      </c>
      <c r="B3651" t="s">
        <v>284</v>
      </c>
      <c r="C3651" t="s">
        <v>102</v>
      </c>
      <c r="D3651" s="1">
        <v>46112</v>
      </c>
      <c r="E3651" s="1">
        <v>46112</v>
      </c>
      <c r="F3651" s="2">
        <v>24</v>
      </c>
      <c r="G3651" s="3" t="s">
        <v>23</v>
      </c>
      <c r="H3651">
        <f>16+16+1+1+1+2+3+1+1+1+1+2</f>
        <v>46</v>
      </c>
      <c r="I3651" s="2">
        <v>0</v>
      </c>
      <c r="J3651" s="2">
        <v>0</v>
      </c>
      <c r="K3651" s="2">
        <v>1</v>
      </c>
      <c r="L3651" s="2">
        <v>0</v>
      </c>
      <c r="M3651">
        <v>1</v>
      </c>
      <c r="N3651">
        <v>0</v>
      </c>
      <c r="O3651" s="2">
        <v>0</v>
      </c>
      <c r="P3651" s="2">
        <v>0</v>
      </c>
      <c r="Q3651">
        <v>1</v>
      </c>
      <c r="R3651" s="2">
        <v>0</v>
      </c>
      <c r="S3651" s="2">
        <v>0</v>
      </c>
      <c r="T3651" t="s">
        <v>1807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</row>
    <row r="3652" spans="1:28" hidden="1" x14ac:dyDescent="0.25">
      <c r="A3652" t="s">
        <v>33</v>
      </c>
      <c r="B3652" t="s">
        <v>34</v>
      </c>
      <c r="C3652" t="s">
        <v>35</v>
      </c>
      <c r="D3652" s="1">
        <v>46112</v>
      </c>
      <c r="E3652" s="1">
        <v>46112</v>
      </c>
      <c r="F3652" s="2">
        <v>129</v>
      </c>
      <c r="G3652" s="3" t="s">
        <v>23</v>
      </c>
      <c r="H3652">
        <f>12+12+8</f>
        <v>32</v>
      </c>
      <c r="I3652" s="2">
        <v>0</v>
      </c>
      <c r="J3652" s="2">
        <v>0</v>
      </c>
      <c r="K3652" s="2">
        <v>1</v>
      </c>
      <c r="L3652" s="2">
        <v>0</v>
      </c>
      <c r="M3652">
        <v>1</v>
      </c>
      <c r="N3652">
        <v>0</v>
      </c>
      <c r="O3652" s="2">
        <v>0</v>
      </c>
      <c r="P3652" s="2">
        <v>0</v>
      </c>
      <c r="Q3652">
        <v>0</v>
      </c>
      <c r="R3652" s="2">
        <v>0</v>
      </c>
      <c r="S3652" s="2">
        <v>0</v>
      </c>
      <c r="T3652" t="s">
        <v>1808</v>
      </c>
      <c r="U3652" s="2">
        <v>0</v>
      </c>
      <c r="V3652" s="2">
        <v>15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</row>
    <row r="3653" spans="1:28" hidden="1" x14ac:dyDescent="0.25">
      <c r="A3653" t="s">
        <v>53</v>
      </c>
      <c r="B3653" t="s">
        <v>38</v>
      </c>
      <c r="C3653" t="s">
        <v>212</v>
      </c>
      <c r="D3653" s="1">
        <v>46112</v>
      </c>
      <c r="E3653" s="1">
        <v>46112</v>
      </c>
      <c r="F3653" s="2">
        <v>0</v>
      </c>
      <c r="G3653" s="3" t="s">
        <v>1030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 t="s">
        <v>377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</row>
    <row r="3654" spans="1:28" hidden="1" x14ac:dyDescent="0.25">
      <c r="A3654" t="s">
        <v>20</v>
      </c>
      <c r="B3654" t="s">
        <v>21</v>
      </c>
      <c r="C3654" t="s">
        <v>212</v>
      </c>
      <c r="D3654" s="1">
        <v>46112</v>
      </c>
      <c r="E3654" s="1">
        <v>46112</v>
      </c>
      <c r="F3654" s="2">
        <v>0</v>
      </c>
      <c r="G3654" s="3" t="s">
        <v>572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 t="s">
        <v>377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</row>
    <row r="3655" spans="1:28" hidden="1" x14ac:dyDescent="0.25">
      <c r="A3655" t="s">
        <v>568</v>
      </c>
      <c r="B3655" t="s">
        <v>47</v>
      </c>
      <c r="C3655" t="s">
        <v>212</v>
      </c>
      <c r="D3655" s="1">
        <v>46112</v>
      </c>
      <c r="E3655" s="1">
        <v>46112</v>
      </c>
      <c r="F3655" s="2">
        <v>0</v>
      </c>
      <c r="G3655" s="3" t="s">
        <v>572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 t="s">
        <v>377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</row>
    <row r="3656" spans="1:28" hidden="1" x14ac:dyDescent="0.25">
      <c r="A3656" t="s">
        <v>47</v>
      </c>
      <c r="B3656" t="s">
        <v>47</v>
      </c>
      <c r="C3656" t="s">
        <v>212</v>
      </c>
      <c r="D3656" s="1">
        <v>46112</v>
      </c>
      <c r="E3656" s="1">
        <v>46112</v>
      </c>
      <c r="F3656" s="2">
        <v>0</v>
      </c>
      <c r="G3656" s="3" t="s">
        <v>409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 t="s">
        <v>377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</row>
    <row r="3657" spans="1:28" hidden="1" x14ac:dyDescent="0.25">
      <c r="A3657" t="s">
        <v>29</v>
      </c>
      <c r="B3657" t="s">
        <v>30</v>
      </c>
      <c r="C3657" t="s">
        <v>212</v>
      </c>
      <c r="D3657" s="1">
        <v>46112</v>
      </c>
      <c r="E3657" s="1">
        <v>46112</v>
      </c>
      <c r="F3657" s="2">
        <v>0</v>
      </c>
      <c r="G3657" s="3" t="s">
        <v>129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 t="s">
        <v>377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</row>
    <row r="3658" spans="1:28" hidden="1" x14ac:dyDescent="0.25">
      <c r="A3658" t="s">
        <v>25</v>
      </c>
      <c r="B3658" t="s">
        <v>26</v>
      </c>
      <c r="C3658" t="s">
        <v>27</v>
      </c>
      <c r="D3658" s="1">
        <v>46113</v>
      </c>
      <c r="E3658" s="1">
        <v>46113</v>
      </c>
      <c r="F3658" s="2">
        <v>26</v>
      </c>
      <c r="G3658" s="3" t="s">
        <v>23</v>
      </c>
      <c r="H3658">
        <v>38</v>
      </c>
      <c r="I3658" s="2">
        <v>0</v>
      </c>
      <c r="J3658" s="2">
        <v>0</v>
      </c>
      <c r="K3658" s="2">
        <v>1</v>
      </c>
      <c r="L3658" s="2">
        <v>0</v>
      </c>
      <c r="M3658">
        <v>0</v>
      </c>
      <c r="N3658">
        <v>0</v>
      </c>
      <c r="O3658" s="2">
        <v>0</v>
      </c>
      <c r="P3658" s="2">
        <v>0</v>
      </c>
      <c r="Q3658">
        <v>0</v>
      </c>
      <c r="R3658" s="2">
        <v>0</v>
      </c>
      <c r="S3658" s="2">
        <v>0</v>
      </c>
      <c r="T3658" t="s">
        <v>1809</v>
      </c>
      <c r="U3658" s="2">
        <v>0</v>
      </c>
      <c r="V3658" s="2">
        <v>3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</row>
    <row r="3659" spans="1:28" hidden="1" x14ac:dyDescent="0.25">
      <c r="A3659" t="s">
        <v>37</v>
      </c>
      <c r="B3659" t="s">
        <v>57</v>
      </c>
      <c r="C3659" t="s">
        <v>173</v>
      </c>
      <c r="D3659" s="1">
        <v>46113</v>
      </c>
      <c r="E3659" s="1">
        <v>46113</v>
      </c>
      <c r="F3659" s="2">
        <v>27</v>
      </c>
      <c r="G3659" s="3" t="s">
        <v>23</v>
      </c>
      <c r="H3659">
        <v>34</v>
      </c>
      <c r="I3659" s="2">
        <v>0</v>
      </c>
      <c r="J3659" s="2">
        <v>0</v>
      </c>
      <c r="K3659" s="2">
        <v>0</v>
      </c>
      <c r="L3659" s="2">
        <v>1</v>
      </c>
      <c r="M3659">
        <v>0</v>
      </c>
      <c r="N3659">
        <v>0</v>
      </c>
      <c r="O3659" s="2">
        <v>0</v>
      </c>
      <c r="P3659" s="2">
        <v>0</v>
      </c>
      <c r="Q3659">
        <v>0</v>
      </c>
      <c r="R3659" s="2">
        <v>0</v>
      </c>
      <c r="S3659" s="2">
        <v>0</v>
      </c>
      <c r="T3659" t="s">
        <v>1810</v>
      </c>
      <c r="U3659" s="2">
        <v>0</v>
      </c>
      <c r="V3659" s="2">
        <v>3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</row>
    <row r="3660" spans="1:28" hidden="1" x14ac:dyDescent="0.25">
      <c r="A3660" t="s">
        <v>56</v>
      </c>
      <c r="B3660" t="s">
        <v>47</v>
      </c>
      <c r="C3660" t="s">
        <v>64</v>
      </c>
      <c r="D3660" s="1">
        <v>46113</v>
      </c>
      <c r="E3660" s="1">
        <v>46113</v>
      </c>
      <c r="F3660" s="2">
        <v>18</v>
      </c>
      <c r="G3660" s="3" t="s">
        <v>23</v>
      </c>
      <c r="H3660">
        <v>42</v>
      </c>
      <c r="I3660" s="2">
        <v>0</v>
      </c>
      <c r="J3660" s="2">
        <v>0</v>
      </c>
      <c r="K3660" s="2">
        <v>1</v>
      </c>
      <c r="L3660" s="2">
        <v>0</v>
      </c>
      <c r="M3660">
        <v>0</v>
      </c>
      <c r="N3660">
        <v>0</v>
      </c>
      <c r="O3660" s="2">
        <v>0</v>
      </c>
      <c r="P3660" s="2">
        <v>0</v>
      </c>
      <c r="Q3660">
        <v>1</v>
      </c>
      <c r="R3660" s="2">
        <v>0</v>
      </c>
      <c r="S3660" s="2">
        <v>0</v>
      </c>
      <c r="T3660" t="s">
        <v>1811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</row>
    <row r="3661" spans="1:28" hidden="1" x14ac:dyDescent="0.25">
      <c r="A3661" t="s">
        <v>47</v>
      </c>
      <c r="B3661" t="s">
        <v>1160</v>
      </c>
      <c r="C3661" t="s">
        <v>64</v>
      </c>
      <c r="D3661" s="1">
        <v>46113</v>
      </c>
      <c r="E3661" s="1">
        <v>46113</v>
      </c>
      <c r="F3661" s="2">
        <v>18</v>
      </c>
      <c r="G3661" s="3" t="s">
        <v>23</v>
      </c>
      <c r="H3661">
        <f>42+5</f>
        <v>47</v>
      </c>
      <c r="I3661" s="2">
        <v>0</v>
      </c>
      <c r="J3661" s="2">
        <v>0</v>
      </c>
      <c r="K3661" s="2">
        <v>1</v>
      </c>
      <c r="L3661" s="2">
        <v>0</v>
      </c>
      <c r="M3661">
        <v>0</v>
      </c>
      <c r="N3661">
        <v>0</v>
      </c>
      <c r="O3661" s="2">
        <v>0</v>
      </c>
      <c r="P3661" s="2">
        <v>0</v>
      </c>
      <c r="Q3661">
        <v>1</v>
      </c>
      <c r="R3661" s="2">
        <v>0</v>
      </c>
      <c r="S3661" s="2">
        <v>0</v>
      </c>
      <c r="T3661" t="s">
        <v>1811</v>
      </c>
      <c r="U3661" s="2">
        <v>0</v>
      </c>
      <c r="V3661" s="2">
        <v>3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</row>
    <row r="3662" spans="1:28" hidden="1" x14ac:dyDescent="0.25">
      <c r="A3662" t="s">
        <v>53</v>
      </c>
      <c r="B3662" t="s">
        <v>34</v>
      </c>
      <c r="C3662" t="s">
        <v>54</v>
      </c>
      <c r="D3662" s="1">
        <v>46113</v>
      </c>
      <c r="E3662" s="1">
        <v>46113</v>
      </c>
      <c r="F3662" s="2">
        <v>36</v>
      </c>
      <c r="G3662" s="3" t="s">
        <v>23</v>
      </c>
      <c r="H3662">
        <v>40</v>
      </c>
      <c r="I3662" s="2">
        <v>0</v>
      </c>
      <c r="J3662" s="2">
        <v>0</v>
      </c>
      <c r="K3662" s="2">
        <v>1</v>
      </c>
      <c r="L3662" s="2">
        <v>0</v>
      </c>
      <c r="M3662">
        <v>0</v>
      </c>
      <c r="N3662">
        <v>0</v>
      </c>
      <c r="O3662" s="2">
        <v>0</v>
      </c>
      <c r="P3662" s="2">
        <v>0</v>
      </c>
      <c r="Q3662">
        <v>0</v>
      </c>
      <c r="R3662" s="2">
        <v>0</v>
      </c>
      <c r="S3662" s="2">
        <v>0</v>
      </c>
      <c r="T3662" t="s">
        <v>1812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</row>
    <row r="3663" spans="1:28" hidden="1" x14ac:dyDescent="0.25">
      <c r="A3663" t="s">
        <v>47</v>
      </c>
      <c r="B3663" t="s">
        <v>38</v>
      </c>
      <c r="C3663" t="s">
        <v>54</v>
      </c>
      <c r="D3663" s="1">
        <v>46113</v>
      </c>
      <c r="E3663" s="1">
        <v>46113</v>
      </c>
      <c r="F3663" s="2">
        <v>36</v>
      </c>
      <c r="G3663" s="3" t="s">
        <v>23</v>
      </c>
      <c r="H3663">
        <v>40</v>
      </c>
      <c r="I3663" s="2">
        <v>0</v>
      </c>
      <c r="J3663" s="2">
        <v>0</v>
      </c>
      <c r="K3663" s="2">
        <v>1</v>
      </c>
      <c r="L3663" s="2">
        <v>0</v>
      </c>
      <c r="M3663">
        <v>0</v>
      </c>
      <c r="N3663">
        <v>0</v>
      </c>
      <c r="O3663" s="2">
        <v>0</v>
      </c>
      <c r="P3663" s="2">
        <v>0</v>
      </c>
      <c r="Q3663">
        <v>0</v>
      </c>
      <c r="R3663" s="2">
        <v>0</v>
      </c>
      <c r="S3663" s="2">
        <v>0</v>
      </c>
      <c r="T3663" t="s">
        <v>1812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</row>
    <row r="3664" spans="1:28" hidden="1" x14ac:dyDescent="0.25">
      <c r="A3664" t="s">
        <v>730</v>
      </c>
      <c r="B3664" t="s">
        <v>47</v>
      </c>
      <c r="C3664" t="s">
        <v>54</v>
      </c>
      <c r="D3664" s="1">
        <v>46113</v>
      </c>
      <c r="E3664" s="1">
        <v>46113</v>
      </c>
      <c r="F3664" s="2">
        <v>36</v>
      </c>
      <c r="G3664" s="3" t="s">
        <v>23</v>
      </c>
      <c r="H3664">
        <v>40</v>
      </c>
      <c r="I3664" s="2">
        <v>0</v>
      </c>
      <c r="J3664" s="2">
        <v>0</v>
      </c>
      <c r="K3664" s="2">
        <v>1</v>
      </c>
      <c r="L3664" s="2">
        <v>0</v>
      </c>
      <c r="M3664">
        <v>0</v>
      </c>
      <c r="N3664">
        <v>0</v>
      </c>
      <c r="O3664" s="2">
        <v>0</v>
      </c>
      <c r="P3664" s="2">
        <v>0</v>
      </c>
      <c r="Q3664">
        <v>0</v>
      </c>
      <c r="R3664" s="2">
        <v>0</v>
      </c>
      <c r="S3664" s="2">
        <v>0</v>
      </c>
      <c r="T3664" t="s">
        <v>1812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</row>
    <row r="3665" spans="1:28" hidden="1" x14ac:dyDescent="0.25">
      <c r="A3665" t="s">
        <v>63</v>
      </c>
      <c r="B3665" t="s">
        <v>284</v>
      </c>
      <c r="C3665" t="s">
        <v>102</v>
      </c>
      <c r="D3665" s="1">
        <v>46113</v>
      </c>
      <c r="E3665" s="1">
        <v>46113</v>
      </c>
      <c r="F3665" s="2">
        <v>22</v>
      </c>
      <c r="G3665" s="3" t="s">
        <v>23</v>
      </c>
      <c r="H3665">
        <v>18</v>
      </c>
      <c r="I3665" s="2">
        <v>0</v>
      </c>
      <c r="J3665" s="2">
        <v>0</v>
      </c>
      <c r="K3665" s="2">
        <v>1</v>
      </c>
      <c r="L3665" s="2">
        <v>0</v>
      </c>
      <c r="M3665">
        <v>0</v>
      </c>
      <c r="N3665">
        <v>0</v>
      </c>
      <c r="O3665" s="2">
        <v>0</v>
      </c>
      <c r="P3665" s="2">
        <v>0</v>
      </c>
      <c r="Q3665">
        <v>0</v>
      </c>
      <c r="R3665" s="2">
        <v>0</v>
      </c>
      <c r="S3665" s="2">
        <v>0</v>
      </c>
      <c r="T3665" t="s">
        <v>1813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</row>
    <row r="3666" spans="1:28" hidden="1" x14ac:dyDescent="0.25">
      <c r="A3666" t="s">
        <v>47</v>
      </c>
      <c r="B3666" t="s">
        <v>21</v>
      </c>
      <c r="C3666" t="s">
        <v>212</v>
      </c>
      <c r="D3666" s="1">
        <v>46113</v>
      </c>
      <c r="E3666" s="1">
        <v>46113</v>
      </c>
      <c r="F3666" s="2">
        <v>0</v>
      </c>
      <c r="G3666" s="3" t="s">
        <v>48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 t="s">
        <v>377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</row>
    <row r="3667" spans="1:28" hidden="1" x14ac:dyDescent="0.25">
      <c r="A3667" t="s">
        <v>47</v>
      </c>
      <c r="B3667" t="s">
        <v>1323</v>
      </c>
      <c r="C3667" t="s">
        <v>212</v>
      </c>
      <c r="D3667" s="1">
        <v>46113</v>
      </c>
      <c r="E3667" s="1">
        <v>46113</v>
      </c>
      <c r="F3667" s="2">
        <v>0</v>
      </c>
      <c r="G3667" s="3" t="s">
        <v>48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 t="s">
        <v>377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</row>
    <row r="3668" spans="1:28" hidden="1" x14ac:dyDescent="0.25">
      <c r="A3668" t="s">
        <v>20</v>
      </c>
      <c r="B3668" t="s">
        <v>47</v>
      </c>
      <c r="C3668" t="s">
        <v>212</v>
      </c>
      <c r="D3668" s="1">
        <v>46113</v>
      </c>
      <c r="E3668" s="1">
        <v>46113</v>
      </c>
      <c r="F3668" s="2">
        <v>0</v>
      </c>
      <c r="G3668" s="3" t="s">
        <v>572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 t="s">
        <v>377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</row>
    <row r="3669" spans="1:28" hidden="1" x14ac:dyDescent="0.25">
      <c r="A3669" t="s">
        <v>33</v>
      </c>
      <c r="B3669" t="s">
        <v>47</v>
      </c>
      <c r="C3669" t="s">
        <v>212</v>
      </c>
      <c r="D3669" s="1">
        <v>46113</v>
      </c>
      <c r="E3669" s="1">
        <v>46113</v>
      </c>
      <c r="F3669" s="2">
        <v>0</v>
      </c>
      <c r="G3669" s="3" t="s">
        <v>572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 t="s">
        <v>377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</row>
    <row r="3670" spans="1:28" hidden="1" x14ac:dyDescent="0.25">
      <c r="A3670" t="s">
        <v>47</v>
      </c>
      <c r="B3670" t="s">
        <v>47</v>
      </c>
      <c r="C3670" t="s">
        <v>212</v>
      </c>
      <c r="D3670" s="1">
        <v>46113</v>
      </c>
      <c r="E3670" s="1">
        <v>46113</v>
      </c>
      <c r="F3670" s="2">
        <v>0</v>
      </c>
      <c r="G3670" s="3" t="s">
        <v>409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 t="s">
        <v>377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</row>
    <row r="3671" spans="1:28" hidden="1" x14ac:dyDescent="0.25">
      <c r="A3671" t="s">
        <v>29</v>
      </c>
      <c r="B3671" t="s">
        <v>30</v>
      </c>
      <c r="C3671" t="s">
        <v>212</v>
      </c>
      <c r="D3671" s="1">
        <v>46113</v>
      </c>
      <c r="E3671" s="1">
        <v>46113</v>
      </c>
      <c r="F3671" s="2">
        <v>0</v>
      </c>
      <c r="G3671" s="3" t="s">
        <v>129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 t="s">
        <v>377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</row>
    <row r="3672" spans="1:28" hidden="1" x14ac:dyDescent="0.25">
      <c r="A3672" t="s">
        <v>25</v>
      </c>
      <c r="B3672" t="s">
        <v>1323</v>
      </c>
      <c r="C3672" t="s">
        <v>27</v>
      </c>
      <c r="D3672" s="1">
        <v>46114</v>
      </c>
      <c r="E3672" s="1">
        <v>46114</v>
      </c>
      <c r="F3672" s="2">
        <v>25</v>
      </c>
      <c r="G3672" s="3" t="s">
        <v>23</v>
      </c>
      <c r="H3672">
        <f>7+4+7+4</f>
        <v>22</v>
      </c>
      <c r="I3672" s="2">
        <v>0</v>
      </c>
      <c r="J3672" s="2">
        <v>0</v>
      </c>
      <c r="K3672" s="2">
        <v>0</v>
      </c>
      <c r="L3672" s="2">
        <v>1</v>
      </c>
      <c r="M3672">
        <v>0</v>
      </c>
      <c r="N3672">
        <v>0</v>
      </c>
      <c r="O3672" s="2">
        <v>0</v>
      </c>
      <c r="P3672" s="2">
        <v>0</v>
      </c>
      <c r="Q3672">
        <v>0</v>
      </c>
      <c r="R3672" s="2">
        <v>0</v>
      </c>
      <c r="S3672" s="2">
        <v>0</v>
      </c>
      <c r="T3672" t="s">
        <v>1814</v>
      </c>
      <c r="U3672" s="2">
        <v>0</v>
      </c>
      <c r="V3672" s="2">
        <v>23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</row>
    <row r="3673" spans="1:28" hidden="1" x14ac:dyDescent="0.25">
      <c r="A3673" t="s">
        <v>20</v>
      </c>
      <c r="B3673" t="s">
        <v>21</v>
      </c>
      <c r="C3673" t="s">
        <v>22</v>
      </c>
      <c r="D3673" s="1">
        <v>46114</v>
      </c>
      <c r="E3673" s="1">
        <v>46114</v>
      </c>
      <c r="F3673" s="2">
        <v>45</v>
      </c>
      <c r="G3673" s="3" t="s">
        <v>23</v>
      </c>
      <c r="H3673">
        <v>32</v>
      </c>
      <c r="I3673" s="2">
        <v>0</v>
      </c>
      <c r="J3673" s="2">
        <v>0</v>
      </c>
      <c r="K3673" s="2">
        <v>1</v>
      </c>
      <c r="L3673" s="2">
        <v>0</v>
      </c>
      <c r="M3673">
        <v>0</v>
      </c>
      <c r="N3673">
        <v>0</v>
      </c>
      <c r="O3673" s="2">
        <v>0</v>
      </c>
      <c r="P3673" s="2">
        <v>0</v>
      </c>
      <c r="Q3673">
        <v>0</v>
      </c>
      <c r="R3673" s="2">
        <v>0</v>
      </c>
      <c r="S3673" s="2">
        <v>0</v>
      </c>
      <c r="T3673" t="s">
        <v>1815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</row>
    <row r="3674" spans="1:28" hidden="1" x14ac:dyDescent="0.25">
      <c r="A3674" t="s">
        <v>56</v>
      </c>
      <c r="B3674" t="s">
        <v>1238</v>
      </c>
      <c r="C3674" t="s">
        <v>64</v>
      </c>
      <c r="D3674" s="1">
        <v>46114</v>
      </c>
      <c r="E3674" s="1">
        <v>46114</v>
      </c>
      <c r="F3674" s="2">
        <v>16</v>
      </c>
      <c r="G3674" s="3" t="s">
        <v>23</v>
      </c>
      <c r="H3674">
        <f>18+18</f>
        <v>36</v>
      </c>
      <c r="I3674" s="2">
        <v>0</v>
      </c>
      <c r="J3674" s="2">
        <v>0</v>
      </c>
      <c r="K3674" s="2">
        <v>1</v>
      </c>
      <c r="L3674" s="2">
        <v>0</v>
      </c>
      <c r="M3674">
        <v>0</v>
      </c>
      <c r="N3674">
        <v>0</v>
      </c>
      <c r="O3674" s="2">
        <v>0</v>
      </c>
      <c r="P3674" s="2">
        <v>0</v>
      </c>
      <c r="Q3674">
        <v>0</v>
      </c>
      <c r="R3674" s="2">
        <v>0</v>
      </c>
      <c r="S3674" s="2">
        <v>0</v>
      </c>
      <c r="T3674" t="s">
        <v>1816</v>
      </c>
      <c r="U3674" s="2">
        <v>0</v>
      </c>
      <c r="V3674" s="2">
        <f>18+5</f>
        <v>23</v>
      </c>
      <c r="W3674" s="2">
        <v>2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</row>
    <row r="3675" spans="1:28" hidden="1" x14ac:dyDescent="0.25">
      <c r="A3675" t="s">
        <v>53</v>
      </c>
      <c r="B3675" t="s">
        <v>38</v>
      </c>
      <c r="C3675" t="s">
        <v>54</v>
      </c>
      <c r="D3675" s="1">
        <v>46114</v>
      </c>
      <c r="E3675" s="1">
        <v>46114</v>
      </c>
      <c r="F3675" s="2">
        <v>42</v>
      </c>
      <c r="G3675" s="3" t="s">
        <v>23</v>
      </c>
      <c r="H3675">
        <v>40</v>
      </c>
      <c r="I3675" s="2">
        <v>0</v>
      </c>
      <c r="J3675" s="2">
        <v>0</v>
      </c>
      <c r="K3675" s="2">
        <v>1</v>
      </c>
      <c r="L3675" s="2">
        <v>0</v>
      </c>
      <c r="M3675">
        <v>0</v>
      </c>
      <c r="N3675">
        <v>0</v>
      </c>
      <c r="O3675" s="2">
        <v>0</v>
      </c>
      <c r="P3675" s="2">
        <v>0</v>
      </c>
      <c r="Q3675">
        <v>0</v>
      </c>
      <c r="R3675" s="2">
        <v>0</v>
      </c>
      <c r="S3675" s="2">
        <v>0</v>
      </c>
      <c r="T3675" t="s">
        <v>1817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</row>
    <row r="3676" spans="1:28" hidden="1" x14ac:dyDescent="0.25">
      <c r="A3676" t="s">
        <v>63</v>
      </c>
      <c r="B3676" t="s">
        <v>284</v>
      </c>
      <c r="C3676" t="s">
        <v>102</v>
      </c>
      <c r="D3676" s="1">
        <v>46114</v>
      </c>
      <c r="E3676" s="1">
        <v>46114</v>
      </c>
      <c r="F3676" s="2">
        <v>24</v>
      </c>
      <c r="G3676" s="3" t="s">
        <v>23</v>
      </c>
      <c r="H3676">
        <f>6+4+6+4+1</f>
        <v>21</v>
      </c>
      <c r="I3676" s="2">
        <v>0</v>
      </c>
      <c r="J3676" s="2">
        <v>1</v>
      </c>
      <c r="K3676" s="2">
        <v>1</v>
      </c>
      <c r="L3676" s="2">
        <v>0</v>
      </c>
      <c r="M3676">
        <v>0</v>
      </c>
      <c r="N3676">
        <v>0</v>
      </c>
      <c r="O3676" s="2">
        <v>0</v>
      </c>
      <c r="P3676" s="2">
        <v>0</v>
      </c>
      <c r="Q3676">
        <v>1</v>
      </c>
      <c r="R3676" s="2">
        <v>0</v>
      </c>
      <c r="S3676" s="2">
        <v>0</v>
      </c>
      <c r="T3676" t="s">
        <v>1818</v>
      </c>
      <c r="U3676" s="2">
        <v>0</v>
      </c>
      <c r="V3676" s="2">
        <f>16+4</f>
        <v>20</v>
      </c>
      <c r="W3676" s="2">
        <v>1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</row>
    <row r="3677" spans="1:28" hidden="1" x14ac:dyDescent="0.25">
      <c r="A3677" t="s">
        <v>33</v>
      </c>
      <c r="B3677" t="s">
        <v>57</v>
      </c>
      <c r="C3677" t="s">
        <v>35</v>
      </c>
      <c r="D3677" s="1">
        <v>46114</v>
      </c>
      <c r="E3677" s="1">
        <v>46114</v>
      </c>
      <c r="F3677" s="2">
        <v>20</v>
      </c>
      <c r="G3677" s="3" t="s">
        <v>23</v>
      </c>
      <c r="H3677">
        <f>6+4+6+4</f>
        <v>20</v>
      </c>
      <c r="I3677" s="2">
        <v>0</v>
      </c>
      <c r="J3677" s="2">
        <v>0</v>
      </c>
      <c r="K3677" s="2">
        <v>1</v>
      </c>
      <c r="L3677" s="2">
        <v>0</v>
      </c>
      <c r="M3677">
        <v>0</v>
      </c>
      <c r="N3677">
        <v>0</v>
      </c>
      <c r="O3677" s="2">
        <v>0</v>
      </c>
      <c r="P3677" s="2">
        <v>0</v>
      </c>
      <c r="Q3677">
        <v>0</v>
      </c>
      <c r="R3677" s="2">
        <v>0</v>
      </c>
      <c r="S3677" s="2">
        <v>0</v>
      </c>
      <c r="T3677" t="s">
        <v>1819</v>
      </c>
      <c r="U3677" s="2">
        <v>0</v>
      </c>
      <c r="V3677" s="2">
        <v>20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</row>
    <row r="3678" spans="1:28" hidden="1" x14ac:dyDescent="0.25">
      <c r="A3678" t="s">
        <v>37</v>
      </c>
      <c r="B3678" t="s">
        <v>26</v>
      </c>
      <c r="C3678" t="s">
        <v>173</v>
      </c>
      <c r="D3678" s="1">
        <v>46114</v>
      </c>
      <c r="E3678" s="1">
        <v>46114</v>
      </c>
      <c r="F3678" s="2">
        <v>17</v>
      </c>
      <c r="G3678" s="3" t="s">
        <v>23</v>
      </c>
      <c r="H3678">
        <v>7</v>
      </c>
      <c r="I3678" s="2">
        <v>0</v>
      </c>
      <c r="J3678" s="2">
        <v>0</v>
      </c>
      <c r="K3678" s="2">
        <v>0</v>
      </c>
      <c r="L3678" s="2">
        <v>0</v>
      </c>
      <c r="M3678">
        <v>0</v>
      </c>
      <c r="N3678">
        <v>0</v>
      </c>
      <c r="O3678" s="2">
        <v>0</v>
      </c>
      <c r="P3678" s="2">
        <v>0</v>
      </c>
      <c r="Q3678">
        <v>0</v>
      </c>
      <c r="R3678" s="2">
        <v>0</v>
      </c>
      <c r="S3678" s="2">
        <v>0</v>
      </c>
      <c r="T3678" t="s">
        <v>1820</v>
      </c>
      <c r="U3678" s="2">
        <v>0</v>
      </c>
      <c r="V3678" s="2">
        <v>4</v>
      </c>
      <c r="W3678" s="2">
        <v>0</v>
      </c>
      <c r="X3678" s="2">
        <v>3</v>
      </c>
      <c r="Y3678" s="2">
        <v>0</v>
      </c>
      <c r="Z3678" s="2">
        <v>0</v>
      </c>
      <c r="AA3678" s="2">
        <v>0</v>
      </c>
      <c r="AB3678" s="2">
        <v>0</v>
      </c>
    </row>
    <row r="3679" spans="1:28" hidden="1" x14ac:dyDescent="0.25">
      <c r="A3679" t="s">
        <v>47</v>
      </c>
      <c r="B3679" t="s">
        <v>34</v>
      </c>
      <c r="C3679" t="s">
        <v>212</v>
      </c>
      <c r="D3679" s="1">
        <v>46114</v>
      </c>
      <c r="E3679" s="1">
        <v>46114</v>
      </c>
      <c r="F3679" s="2">
        <v>0</v>
      </c>
      <c r="G3679" s="3" t="s">
        <v>48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377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</row>
    <row r="3680" spans="1:28" hidden="1" x14ac:dyDescent="0.25">
      <c r="A3680" t="s">
        <v>47</v>
      </c>
      <c r="B3680" t="s">
        <v>1160</v>
      </c>
      <c r="C3680" t="s">
        <v>212</v>
      </c>
      <c r="D3680" s="1">
        <v>46114</v>
      </c>
      <c r="E3680" s="1">
        <v>46114</v>
      </c>
      <c r="F3680" s="2">
        <v>0</v>
      </c>
      <c r="G3680" s="3" t="s">
        <v>48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 t="s">
        <v>377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</row>
    <row r="3681" spans="1:28" hidden="1" x14ac:dyDescent="0.25">
      <c r="A3681" t="s">
        <v>47</v>
      </c>
      <c r="B3681" t="s">
        <v>47</v>
      </c>
      <c r="C3681" t="s">
        <v>212</v>
      </c>
      <c r="D3681" s="1">
        <v>46114</v>
      </c>
      <c r="E3681" s="1">
        <v>46114</v>
      </c>
      <c r="F3681" s="2">
        <v>0</v>
      </c>
      <c r="G3681" s="3" t="s">
        <v>572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 t="s">
        <v>377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</row>
    <row r="3682" spans="1:28" hidden="1" x14ac:dyDescent="0.25">
      <c r="A3682" t="s">
        <v>47</v>
      </c>
      <c r="B3682" t="s">
        <v>47</v>
      </c>
      <c r="C3682" t="s">
        <v>212</v>
      </c>
      <c r="D3682" s="1">
        <v>46114</v>
      </c>
      <c r="E3682" s="1">
        <v>46114</v>
      </c>
      <c r="F3682" s="2">
        <v>0</v>
      </c>
      <c r="G3682" s="3" t="s">
        <v>572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 t="s">
        <v>377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</row>
    <row r="3683" spans="1:28" hidden="1" x14ac:dyDescent="0.25">
      <c r="A3683" t="s">
        <v>47</v>
      </c>
      <c r="B3683" t="s">
        <v>47</v>
      </c>
      <c r="C3683" t="s">
        <v>212</v>
      </c>
      <c r="D3683" s="1">
        <v>46114</v>
      </c>
      <c r="E3683" s="1">
        <v>46114</v>
      </c>
      <c r="F3683" s="2">
        <v>0</v>
      </c>
      <c r="G3683" s="3" t="s">
        <v>409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377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</row>
    <row r="3684" spans="1:28" hidden="1" x14ac:dyDescent="0.25">
      <c r="A3684" t="s">
        <v>730</v>
      </c>
      <c r="B3684" t="s">
        <v>47</v>
      </c>
      <c r="C3684" t="s">
        <v>212</v>
      </c>
      <c r="D3684" s="1">
        <v>46114</v>
      </c>
      <c r="E3684" s="1">
        <v>46114</v>
      </c>
      <c r="F3684" s="2">
        <v>0</v>
      </c>
      <c r="G3684" s="3" t="s">
        <v>129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377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</row>
    <row r="3685" spans="1:28" hidden="1" x14ac:dyDescent="0.25">
      <c r="A3685" t="s">
        <v>29</v>
      </c>
      <c r="B3685" t="s">
        <v>30</v>
      </c>
      <c r="C3685" t="s">
        <v>212</v>
      </c>
      <c r="D3685" s="1">
        <v>46114</v>
      </c>
      <c r="E3685" s="1">
        <v>46114</v>
      </c>
      <c r="F3685" s="2">
        <v>0</v>
      </c>
      <c r="G3685" s="3" t="s">
        <v>129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377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</row>
    <row r="3686" spans="1:28" hidden="1" x14ac:dyDescent="0.25">
      <c r="A3686" t="s">
        <v>105</v>
      </c>
      <c r="B3686" t="s">
        <v>1323</v>
      </c>
      <c r="C3686" t="s">
        <v>1821</v>
      </c>
      <c r="D3686" s="9">
        <v>46115</v>
      </c>
      <c r="E3686" s="9">
        <v>46115</v>
      </c>
      <c r="F3686" s="2">
        <v>44</v>
      </c>
      <c r="G3686" s="3" t="s">
        <v>23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>
        <v>0</v>
      </c>
      <c r="N3686">
        <v>0</v>
      </c>
      <c r="O3686" s="2">
        <v>0</v>
      </c>
      <c r="P3686" s="2">
        <v>0</v>
      </c>
      <c r="Q3686">
        <v>2</v>
      </c>
      <c r="R3686" s="2">
        <v>0</v>
      </c>
      <c r="S3686" s="2">
        <v>1</v>
      </c>
      <c r="T3686" t="s">
        <v>1822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1</v>
      </c>
    </row>
    <row r="3687" spans="1:28" hidden="1" x14ac:dyDescent="0.25">
      <c r="A3687" t="s">
        <v>1431</v>
      </c>
      <c r="B3687" t="s">
        <v>1160</v>
      </c>
      <c r="C3687" t="s">
        <v>1821</v>
      </c>
      <c r="D3687" s="9">
        <v>46115</v>
      </c>
      <c r="E3687" s="9">
        <v>46115</v>
      </c>
      <c r="F3687" s="2">
        <v>44</v>
      </c>
      <c r="G3687" s="3" t="s">
        <v>23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>
        <v>0</v>
      </c>
      <c r="N3687">
        <v>0</v>
      </c>
      <c r="O3687" s="2">
        <v>0</v>
      </c>
      <c r="P3687" s="2">
        <v>1</v>
      </c>
      <c r="Q3687">
        <v>3</v>
      </c>
      <c r="R3687" s="2">
        <v>0</v>
      </c>
      <c r="S3687" s="2">
        <v>1</v>
      </c>
      <c r="T3687" t="s">
        <v>1822</v>
      </c>
      <c r="U3687" s="2">
        <v>8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</row>
    <row r="3688" spans="1:28" hidden="1" x14ac:dyDescent="0.25">
      <c r="A3688" t="s">
        <v>47</v>
      </c>
      <c r="B3688" t="s">
        <v>21</v>
      </c>
      <c r="C3688" t="s">
        <v>1821</v>
      </c>
      <c r="D3688" s="9">
        <v>46115</v>
      </c>
      <c r="E3688" s="9">
        <v>46115</v>
      </c>
      <c r="F3688" s="2">
        <v>44</v>
      </c>
      <c r="G3688" s="3" t="s">
        <v>23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>
        <v>0</v>
      </c>
      <c r="N3688">
        <v>0</v>
      </c>
      <c r="O3688" s="2">
        <v>0</v>
      </c>
      <c r="P3688" s="2">
        <v>1</v>
      </c>
      <c r="Q3688">
        <v>3</v>
      </c>
      <c r="R3688" s="2">
        <v>0</v>
      </c>
      <c r="S3688" s="2">
        <v>1</v>
      </c>
      <c r="T3688" t="s">
        <v>1822</v>
      </c>
      <c r="U3688" s="2">
        <v>8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</row>
    <row r="3689" spans="1:28" hidden="1" x14ac:dyDescent="0.25">
      <c r="A3689" t="s">
        <v>735</v>
      </c>
      <c r="B3689" t="s">
        <v>34</v>
      </c>
      <c r="C3689" t="s">
        <v>1821</v>
      </c>
      <c r="D3689" s="9">
        <v>46115</v>
      </c>
      <c r="E3689" s="9">
        <v>46115</v>
      </c>
      <c r="F3689" s="2">
        <v>44</v>
      </c>
      <c r="G3689" s="3" t="s">
        <v>23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>
        <v>0</v>
      </c>
      <c r="N3689">
        <v>0</v>
      </c>
      <c r="O3689" s="2">
        <v>0</v>
      </c>
      <c r="P3689" s="2">
        <v>1</v>
      </c>
      <c r="Q3689">
        <v>3</v>
      </c>
      <c r="R3689" s="2">
        <v>0</v>
      </c>
      <c r="S3689" s="2">
        <v>1</v>
      </c>
      <c r="T3689" t="s">
        <v>1822</v>
      </c>
      <c r="U3689" s="2">
        <v>18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</row>
    <row r="3690" spans="1:28" hidden="1" x14ac:dyDescent="0.25">
      <c r="A3690" t="s">
        <v>1240</v>
      </c>
      <c r="B3690" t="s">
        <v>284</v>
      </c>
      <c r="C3690" t="s">
        <v>1297</v>
      </c>
      <c r="D3690" s="9">
        <v>46115</v>
      </c>
      <c r="E3690" s="9">
        <v>46115</v>
      </c>
      <c r="F3690" s="2">
        <v>42</v>
      </c>
      <c r="G3690" s="3" t="s">
        <v>23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>
        <v>0</v>
      </c>
      <c r="N3690">
        <v>0</v>
      </c>
      <c r="O3690" s="2">
        <v>0</v>
      </c>
      <c r="P3690" s="2">
        <v>1</v>
      </c>
      <c r="Q3690">
        <v>5</v>
      </c>
      <c r="R3690" s="2">
        <v>0</v>
      </c>
      <c r="S3690" s="2">
        <v>1</v>
      </c>
      <c r="T3690" t="s">
        <v>1823</v>
      </c>
      <c r="U3690" s="2">
        <v>14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</row>
    <row r="3691" spans="1:28" hidden="1" x14ac:dyDescent="0.25">
      <c r="A3691" t="s">
        <v>193</v>
      </c>
      <c r="B3691" t="s">
        <v>563</v>
      </c>
      <c r="C3691" t="s">
        <v>195</v>
      </c>
      <c r="D3691" s="9">
        <v>46115</v>
      </c>
      <c r="E3691" s="9">
        <v>46115</v>
      </c>
      <c r="F3691" s="2">
        <v>347</v>
      </c>
      <c r="G3691" s="3" t="s">
        <v>23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>
        <v>0</v>
      </c>
      <c r="N3691">
        <v>0</v>
      </c>
      <c r="O3691" s="2">
        <v>0</v>
      </c>
      <c r="P3691" s="2">
        <v>1</v>
      </c>
      <c r="Q3691">
        <v>1</v>
      </c>
      <c r="R3691" s="2">
        <v>0</v>
      </c>
      <c r="S3691" s="2">
        <v>1</v>
      </c>
      <c r="T3691" t="s">
        <v>1824</v>
      </c>
      <c r="U3691" s="2">
        <v>7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</row>
    <row r="3692" spans="1:28" hidden="1" x14ac:dyDescent="0.25">
      <c r="A3692" t="s">
        <v>53</v>
      </c>
      <c r="B3692" t="s">
        <v>1238</v>
      </c>
      <c r="C3692" t="s">
        <v>54</v>
      </c>
      <c r="D3692" s="9">
        <v>46115</v>
      </c>
      <c r="E3692" s="9">
        <v>46115</v>
      </c>
      <c r="F3692" s="2">
        <v>65</v>
      </c>
      <c r="G3692" s="3" t="s">
        <v>23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>
        <v>0</v>
      </c>
      <c r="N3692">
        <v>0</v>
      </c>
      <c r="O3692" s="2">
        <v>0</v>
      </c>
      <c r="P3692" s="2">
        <v>1</v>
      </c>
      <c r="Q3692">
        <v>2</v>
      </c>
      <c r="R3692" s="2">
        <v>0</v>
      </c>
      <c r="S3692" s="2">
        <v>1</v>
      </c>
      <c r="T3692" t="s">
        <v>1825</v>
      </c>
      <c r="U3692" s="2">
        <f>7+7+7+1</f>
        <v>22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</row>
    <row r="3693" spans="1:28" hidden="1" x14ac:dyDescent="0.25">
      <c r="A3693" t="s">
        <v>25</v>
      </c>
      <c r="B3693" t="s">
        <v>26</v>
      </c>
      <c r="C3693" t="s">
        <v>212</v>
      </c>
      <c r="D3693" s="9">
        <v>46115</v>
      </c>
      <c r="E3693" s="9">
        <v>46115</v>
      </c>
      <c r="F3693" s="2">
        <v>0</v>
      </c>
      <c r="G3693" s="3" t="s">
        <v>378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377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</row>
    <row r="3694" spans="1:28" hidden="1" x14ac:dyDescent="0.25">
      <c r="A3694" t="s">
        <v>56</v>
      </c>
      <c r="B3694" t="s">
        <v>47</v>
      </c>
      <c r="C3694" t="s">
        <v>212</v>
      </c>
      <c r="D3694" s="9">
        <v>46115</v>
      </c>
      <c r="E3694" s="9">
        <v>46115</v>
      </c>
      <c r="F3694" s="2">
        <v>0</v>
      </c>
      <c r="G3694" s="3" t="s">
        <v>378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377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</row>
    <row r="3695" spans="1:28" hidden="1" x14ac:dyDescent="0.25">
      <c r="A3695" t="s">
        <v>20</v>
      </c>
      <c r="B3695" t="s">
        <v>47</v>
      </c>
      <c r="C3695" t="s">
        <v>212</v>
      </c>
      <c r="D3695" s="9">
        <v>46115</v>
      </c>
      <c r="E3695" s="9">
        <v>46115</v>
      </c>
      <c r="F3695" s="2">
        <v>0</v>
      </c>
      <c r="G3695" s="3" t="s">
        <v>378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377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</row>
    <row r="3696" spans="1:28" hidden="1" x14ac:dyDescent="0.25">
      <c r="A3696" t="s">
        <v>63</v>
      </c>
      <c r="B3696" t="s">
        <v>47</v>
      </c>
      <c r="C3696" t="s">
        <v>212</v>
      </c>
      <c r="D3696" s="9">
        <v>46115</v>
      </c>
      <c r="E3696" s="9">
        <v>46115</v>
      </c>
      <c r="F3696" s="2">
        <v>0</v>
      </c>
      <c r="G3696" s="3" t="s">
        <v>378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 t="s">
        <v>377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</row>
    <row r="3697" spans="1:28" hidden="1" x14ac:dyDescent="0.25">
      <c r="A3697" t="s">
        <v>33</v>
      </c>
      <c r="B3697" t="s">
        <v>47</v>
      </c>
      <c r="C3697" t="s">
        <v>212</v>
      </c>
      <c r="D3697" s="9">
        <v>46115</v>
      </c>
      <c r="E3697" s="9">
        <v>46115</v>
      </c>
      <c r="F3697" s="2">
        <v>0</v>
      </c>
      <c r="G3697" s="3" t="s">
        <v>378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 t="s">
        <v>377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</row>
    <row r="3698" spans="1:28" hidden="1" x14ac:dyDescent="0.25">
      <c r="A3698" t="s">
        <v>37</v>
      </c>
      <c r="B3698" t="s">
        <v>57</v>
      </c>
      <c r="C3698" t="s">
        <v>212</v>
      </c>
      <c r="D3698" s="9">
        <v>46115</v>
      </c>
      <c r="E3698" s="9">
        <v>46115</v>
      </c>
      <c r="F3698" s="2">
        <v>0</v>
      </c>
      <c r="G3698" s="3" t="s">
        <v>378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377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</row>
    <row r="3699" spans="1:28" hidden="1" x14ac:dyDescent="0.25">
      <c r="A3699" t="s">
        <v>730</v>
      </c>
      <c r="B3699" t="s">
        <v>38</v>
      </c>
      <c r="C3699" t="s">
        <v>212</v>
      </c>
      <c r="D3699" s="9">
        <v>46115</v>
      </c>
      <c r="E3699" s="9">
        <v>46115</v>
      </c>
      <c r="F3699" s="2">
        <v>0</v>
      </c>
      <c r="G3699" s="3" t="s">
        <v>129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 t="s">
        <v>377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</row>
    <row r="3700" spans="1:28" hidden="1" x14ac:dyDescent="0.25">
      <c r="A3700" t="s">
        <v>29</v>
      </c>
      <c r="B3700" t="s">
        <v>30</v>
      </c>
      <c r="C3700" t="s">
        <v>212</v>
      </c>
      <c r="D3700" s="9">
        <v>46115</v>
      </c>
      <c r="E3700" s="9">
        <v>46115</v>
      </c>
      <c r="F3700" s="2">
        <v>0</v>
      </c>
      <c r="G3700" s="3" t="s">
        <v>129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377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</row>
    <row r="3701" spans="1:28" hidden="1" x14ac:dyDescent="0.25">
      <c r="A3701" t="s">
        <v>105</v>
      </c>
      <c r="B3701" t="s">
        <v>1323</v>
      </c>
      <c r="C3701" t="s">
        <v>1821</v>
      </c>
      <c r="D3701" s="9">
        <v>46116</v>
      </c>
      <c r="E3701" s="9">
        <v>46116</v>
      </c>
      <c r="F3701" s="2">
        <v>38</v>
      </c>
      <c r="G3701" s="3" t="s">
        <v>23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>
        <v>0</v>
      </c>
      <c r="N3701">
        <v>0</v>
      </c>
      <c r="O3701" s="2">
        <v>0</v>
      </c>
      <c r="P3701" s="2">
        <v>1</v>
      </c>
      <c r="Q3701">
        <v>0</v>
      </c>
      <c r="R3701" s="2">
        <v>0</v>
      </c>
      <c r="S3701" s="2">
        <v>1</v>
      </c>
      <c r="T3701" t="s">
        <v>1826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</row>
    <row r="3702" spans="1:28" hidden="1" x14ac:dyDescent="0.25">
      <c r="A3702" t="s">
        <v>1431</v>
      </c>
      <c r="B3702" t="s">
        <v>21</v>
      </c>
      <c r="C3702" t="s">
        <v>1821</v>
      </c>
      <c r="D3702" s="9">
        <v>46116</v>
      </c>
      <c r="E3702" s="9">
        <v>46116</v>
      </c>
      <c r="F3702" s="2">
        <v>38</v>
      </c>
      <c r="G3702" s="3" t="s">
        <v>23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>
        <v>0</v>
      </c>
      <c r="N3702">
        <v>0</v>
      </c>
      <c r="O3702" s="2">
        <v>0</v>
      </c>
      <c r="P3702" s="2">
        <v>0</v>
      </c>
      <c r="Q3702">
        <v>0</v>
      </c>
      <c r="R3702" s="2">
        <v>0</v>
      </c>
      <c r="S3702" s="2">
        <v>1</v>
      </c>
      <c r="T3702" t="s">
        <v>1826</v>
      </c>
      <c r="U3702" s="2">
        <f>12+5</f>
        <v>17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1</v>
      </c>
    </row>
    <row r="3703" spans="1:28" hidden="1" x14ac:dyDescent="0.25">
      <c r="A3703" t="s">
        <v>47</v>
      </c>
      <c r="B3703" t="s">
        <v>1160</v>
      </c>
      <c r="C3703" t="s">
        <v>1821</v>
      </c>
      <c r="D3703" s="9">
        <v>46116</v>
      </c>
      <c r="E3703" s="9">
        <v>46116</v>
      </c>
      <c r="F3703" s="2">
        <v>38</v>
      </c>
      <c r="G3703" s="3" t="s">
        <v>23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>
        <v>0</v>
      </c>
      <c r="N3703">
        <v>0</v>
      </c>
      <c r="O3703" s="2">
        <v>0</v>
      </c>
      <c r="P3703" s="2">
        <v>0</v>
      </c>
      <c r="Q3703">
        <v>1</v>
      </c>
      <c r="R3703" s="2">
        <v>0</v>
      </c>
      <c r="S3703" s="2">
        <v>1</v>
      </c>
      <c r="T3703" t="s">
        <v>1826</v>
      </c>
      <c r="U3703" s="2">
        <f>12+5</f>
        <v>17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1</v>
      </c>
    </row>
    <row r="3704" spans="1:28" hidden="1" x14ac:dyDescent="0.25">
      <c r="A3704" t="s">
        <v>735</v>
      </c>
      <c r="B3704" t="s">
        <v>34</v>
      </c>
      <c r="C3704" t="s">
        <v>1821</v>
      </c>
      <c r="D3704" s="9">
        <v>46116</v>
      </c>
      <c r="E3704" s="9">
        <v>46116</v>
      </c>
      <c r="F3704" s="2">
        <v>38</v>
      </c>
      <c r="G3704" s="3" t="s">
        <v>23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>
        <v>0</v>
      </c>
      <c r="N3704">
        <v>0</v>
      </c>
      <c r="O3704" s="2">
        <v>0</v>
      </c>
      <c r="P3704" s="2">
        <v>1</v>
      </c>
      <c r="Q3704">
        <v>2</v>
      </c>
      <c r="R3704" s="2">
        <v>0</v>
      </c>
      <c r="S3704" s="2">
        <v>1</v>
      </c>
      <c r="T3704" t="s">
        <v>1826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</row>
    <row r="3705" spans="1:28" hidden="1" x14ac:dyDescent="0.25">
      <c r="A3705" t="s">
        <v>193</v>
      </c>
      <c r="B3705" t="s">
        <v>563</v>
      </c>
      <c r="C3705" t="s">
        <v>1821</v>
      </c>
      <c r="D3705" s="9">
        <v>46116</v>
      </c>
      <c r="E3705" s="9">
        <v>46116</v>
      </c>
      <c r="F3705" s="2">
        <v>38</v>
      </c>
      <c r="G3705" s="3" t="s">
        <v>23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>
        <v>0</v>
      </c>
      <c r="N3705">
        <v>0</v>
      </c>
      <c r="O3705" s="2">
        <v>0</v>
      </c>
      <c r="P3705" s="2">
        <v>1</v>
      </c>
      <c r="Q3705">
        <v>2</v>
      </c>
      <c r="R3705" s="2">
        <v>0</v>
      </c>
      <c r="S3705" s="2">
        <v>1</v>
      </c>
      <c r="T3705" t="s">
        <v>1826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</row>
    <row r="3706" spans="1:28" hidden="1" x14ac:dyDescent="0.25">
      <c r="A3706" t="s">
        <v>1240</v>
      </c>
      <c r="B3706" t="s">
        <v>284</v>
      </c>
      <c r="C3706" t="s">
        <v>1297</v>
      </c>
      <c r="D3706" s="9">
        <v>46116</v>
      </c>
      <c r="E3706" s="9">
        <v>46116</v>
      </c>
      <c r="F3706" s="2">
        <v>21</v>
      </c>
      <c r="G3706" s="3" t="s">
        <v>23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>
        <v>1</v>
      </c>
      <c r="N3706">
        <v>0</v>
      </c>
      <c r="O3706" s="2">
        <v>0</v>
      </c>
      <c r="P3706" s="2">
        <v>1</v>
      </c>
      <c r="Q3706">
        <v>1</v>
      </c>
      <c r="R3706" s="2">
        <v>0</v>
      </c>
      <c r="S3706" s="2">
        <v>1</v>
      </c>
      <c r="T3706" t="s">
        <v>1827</v>
      </c>
      <c r="U3706" s="2">
        <v>16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</row>
    <row r="3707" spans="1:28" hidden="1" x14ac:dyDescent="0.25">
      <c r="A3707" t="s">
        <v>53</v>
      </c>
      <c r="B3707" t="s">
        <v>1238</v>
      </c>
      <c r="C3707" t="s">
        <v>54</v>
      </c>
      <c r="D3707" s="9">
        <v>46116</v>
      </c>
      <c r="E3707" s="9">
        <v>46116</v>
      </c>
      <c r="F3707" s="2">
        <v>48</v>
      </c>
      <c r="G3707" s="3" t="s">
        <v>23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>
        <v>1</v>
      </c>
      <c r="N3707">
        <v>0</v>
      </c>
      <c r="O3707" s="2">
        <v>0</v>
      </c>
      <c r="P3707" s="2">
        <v>1</v>
      </c>
      <c r="Q3707">
        <v>1</v>
      </c>
      <c r="R3707" s="2">
        <v>0</v>
      </c>
      <c r="S3707" s="2">
        <v>1</v>
      </c>
      <c r="T3707" t="s">
        <v>1828</v>
      </c>
      <c r="U3707" s="2">
        <v>18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</row>
    <row r="3708" spans="1:28" hidden="1" x14ac:dyDescent="0.25">
      <c r="A3708" t="s">
        <v>25</v>
      </c>
      <c r="B3708" t="s">
        <v>26</v>
      </c>
      <c r="C3708" t="s">
        <v>212</v>
      </c>
      <c r="D3708" s="9">
        <v>46116</v>
      </c>
      <c r="E3708" s="9">
        <v>46116</v>
      </c>
      <c r="F3708" s="2">
        <v>0</v>
      </c>
      <c r="G3708" s="3" t="s">
        <v>378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 t="s">
        <v>377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</row>
    <row r="3709" spans="1:28" hidden="1" x14ac:dyDescent="0.25">
      <c r="A3709" t="s">
        <v>56</v>
      </c>
      <c r="B3709" t="s">
        <v>47</v>
      </c>
      <c r="C3709" t="s">
        <v>212</v>
      </c>
      <c r="D3709" s="9">
        <v>46116</v>
      </c>
      <c r="E3709" s="9">
        <v>46116</v>
      </c>
      <c r="F3709" s="2">
        <v>0</v>
      </c>
      <c r="G3709" s="3" t="s">
        <v>378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 t="s">
        <v>377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</row>
    <row r="3710" spans="1:28" hidden="1" x14ac:dyDescent="0.25">
      <c r="A3710" t="s">
        <v>20</v>
      </c>
      <c r="B3710" t="s">
        <v>47</v>
      </c>
      <c r="C3710" t="s">
        <v>212</v>
      </c>
      <c r="D3710" s="9">
        <v>46116</v>
      </c>
      <c r="E3710" s="9">
        <v>46116</v>
      </c>
      <c r="F3710" s="2">
        <v>0</v>
      </c>
      <c r="G3710" s="3" t="s">
        <v>378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 t="s">
        <v>377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</row>
    <row r="3711" spans="1:28" hidden="1" x14ac:dyDescent="0.25">
      <c r="A3711" t="s">
        <v>63</v>
      </c>
      <c r="B3711" t="s">
        <v>47</v>
      </c>
      <c r="C3711" t="s">
        <v>212</v>
      </c>
      <c r="D3711" s="9">
        <v>46116</v>
      </c>
      <c r="E3711" s="9">
        <v>46116</v>
      </c>
      <c r="F3711" s="2">
        <v>0</v>
      </c>
      <c r="G3711" s="3" t="s">
        <v>378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t="s">
        <v>377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</row>
    <row r="3712" spans="1:28" hidden="1" x14ac:dyDescent="0.25">
      <c r="A3712" t="s">
        <v>33</v>
      </c>
      <c r="B3712" t="s">
        <v>47</v>
      </c>
      <c r="C3712" t="s">
        <v>212</v>
      </c>
      <c r="D3712" s="9">
        <v>46116</v>
      </c>
      <c r="E3712" s="9">
        <v>46116</v>
      </c>
      <c r="F3712" s="2">
        <v>0</v>
      </c>
      <c r="G3712" s="3" t="s">
        <v>378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 t="s">
        <v>377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</row>
    <row r="3713" spans="1:28" hidden="1" x14ac:dyDescent="0.25">
      <c r="A3713" t="s">
        <v>37</v>
      </c>
      <c r="B3713" t="s">
        <v>57</v>
      </c>
      <c r="C3713" t="s">
        <v>212</v>
      </c>
      <c r="D3713" s="9">
        <v>46116</v>
      </c>
      <c r="E3713" s="9">
        <v>46116</v>
      </c>
      <c r="F3713" s="2">
        <v>0</v>
      </c>
      <c r="G3713" s="3" t="s">
        <v>378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377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</row>
    <row r="3714" spans="1:28" hidden="1" x14ac:dyDescent="0.25">
      <c r="A3714" t="s">
        <v>730</v>
      </c>
      <c r="B3714" t="s">
        <v>38</v>
      </c>
      <c r="C3714" t="s">
        <v>212</v>
      </c>
      <c r="D3714" s="9">
        <v>46116</v>
      </c>
      <c r="E3714" s="9">
        <v>46116</v>
      </c>
      <c r="F3714" s="2">
        <v>0</v>
      </c>
      <c r="G3714" s="3" t="s">
        <v>129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377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</row>
    <row r="3715" spans="1:28" hidden="1" x14ac:dyDescent="0.25">
      <c r="A3715" t="s">
        <v>29</v>
      </c>
      <c r="B3715" t="s">
        <v>30</v>
      </c>
      <c r="C3715" t="s">
        <v>212</v>
      </c>
      <c r="D3715" s="9">
        <v>46116</v>
      </c>
      <c r="E3715" s="9">
        <v>46116</v>
      </c>
      <c r="F3715" s="2">
        <v>0</v>
      </c>
      <c r="G3715" s="3" t="s">
        <v>129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t="s">
        <v>377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</row>
    <row r="3716" spans="1:28" hidden="1" x14ac:dyDescent="0.25">
      <c r="A3716" t="s">
        <v>105</v>
      </c>
      <c r="B3716" t="s">
        <v>1323</v>
      </c>
      <c r="C3716" t="s">
        <v>1821</v>
      </c>
      <c r="D3716" s="9">
        <v>46117</v>
      </c>
      <c r="E3716" s="9">
        <v>46117</v>
      </c>
      <c r="F3716" s="2">
        <v>38</v>
      </c>
      <c r="G3716" s="3" t="s">
        <v>23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>
        <v>0</v>
      </c>
      <c r="N3716">
        <v>0</v>
      </c>
      <c r="O3716" s="2">
        <v>0</v>
      </c>
      <c r="P3716" s="2">
        <v>0</v>
      </c>
      <c r="Q3716">
        <v>2</v>
      </c>
      <c r="R3716" s="2">
        <v>0</v>
      </c>
      <c r="S3716" s="2">
        <v>1</v>
      </c>
      <c r="T3716" t="s">
        <v>1826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1</v>
      </c>
    </row>
    <row r="3717" spans="1:28" hidden="1" x14ac:dyDescent="0.25">
      <c r="A3717" t="s">
        <v>1431</v>
      </c>
      <c r="B3717" t="s">
        <v>21</v>
      </c>
      <c r="C3717" t="s">
        <v>1821</v>
      </c>
      <c r="D3717" s="9">
        <v>46117</v>
      </c>
      <c r="E3717" s="9">
        <v>46117</v>
      </c>
      <c r="F3717" s="2">
        <v>38</v>
      </c>
      <c r="G3717" s="3" t="s">
        <v>23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>
        <v>0</v>
      </c>
      <c r="N3717">
        <v>0</v>
      </c>
      <c r="O3717" s="2">
        <v>0</v>
      </c>
      <c r="P3717" s="2">
        <v>1</v>
      </c>
      <c r="Q3717">
        <v>2</v>
      </c>
      <c r="R3717" s="2">
        <v>0</v>
      </c>
      <c r="S3717" s="2">
        <v>1</v>
      </c>
      <c r="T3717" t="s">
        <v>1826</v>
      </c>
      <c r="U3717" s="2">
        <v>16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</row>
    <row r="3718" spans="1:28" hidden="1" x14ac:dyDescent="0.25">
      <c r="A3718" t="s">
        <v>47</v>
      </c>
      <c r="B3718" t="s">
        <v>1160</v>
      </c>
      <c r="C3718" t="s">
        <v>1821</v>
      </c>
      <c r="D3718" s="9">
        <v>46117</v>
      </c>
      <c r="E3718" s="9">
        <v>46117</v>
      </c>
      <c r="F3718" s="2">
        <v>38</v>
      </c>
      <c r="G3718" s="3" t="s">
        <v>23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>
        <v>0</v>
      </c>
      <c r="N3718">
        <v>0</v>
      </c>
      <c r="O3718" s="2">
        <v>0</v>
      </c>
      <c r="P3718" s="2">
        <v>1</v>
      </c>
      <c r="Q3718">
        <v>2</v>
      </c>
      <c r="R3718" s="2">
        <v>0</v>
      </c>
      <c r="S3718" s="2">
        <v>1</v>
      </c>
      <c r="T3718" t="s">
        <v>1826</v>
      </c>
      <c r="U3718" s="2">
        <v>16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</row>
    <row r="3719" spans="1:28" hidden="1" x14ac:dyDescent="0.25">
      <c r="A3719" t="s">
        <v>735</v>
      </c>
      <c r="B3719" t="s">
        <v>34</v>
      </c>
      <c r="C3719" t="s">
        <v>1821</v>
      </c>
      <c r="D3719" s="9">
        <v>46117</v>
      </c>
      <c r="E3719" s="9">
        <v>46117</v>
      </c>
      <c r="F3719" s="2">
        <v>37</v>
      </c>
      <c r="G3719" s="3" t="s">
        <v>23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>
        <v>0</v>
      </c>
      <c r="N3719">
        <v>0</v>
      </c>
      <c r="O3719" s="2">
        <v>0</v>
      </c>
      <c r="P3719" s="2">
        <v>1</v>
      </c>
      <c r="Q3719">
        <v>2</v>
      </c>
      <c r="R3719" s="2">
        <v>0</v>
      </c>
      <c r="S3719" s="2">
        <v>1</v>
      </c>
      <c r="T3719" t="s">
        <v>1829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</row>
    <row r="3720" spans="1:28" hidden="1" x14ac:dyDescent="0.25">
      <c r="A3720" t="s">
        <v>193</v>
      </c>
      <c r="B3720" t="s">
        <v>563</v>
      </c>
      <c r="C3720" t="s">
        <v>195</v>
      </c>
      <c r="D3720" s="9">
        <v>46117</v>
      </c>
      <c r="E3720" s="9">
        <v>46117</v>
      </c>
      <c r="F3720" s="2">
        <v>97</v>
      </c>
      <c r="G3720" s="3" t="s">
        <v>23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>
        <v>0</v>
      </c>
      <c r="N3720">
        <v>0</v>
      </c>
      <c r="O3720" s="2">
        <v>0</v>
      </c>
      <c r="P3720" s="2">
        <v>1</v>
      </c>
      <c r="Q3720">
        <v>3</v>
      </c>
      <c r="R3720" s="2">
        <v>0</v>
      </c>
      <c r="S3720" s="2">
        <v>1</v>
      </c>
      <c r="T3720" t="s">
        <v>1830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</row>
    <row r="3721" spans="1:28" hidden="1" x14ac:dyDescent="0.25">
      <c r="A3721" t="s">
        <v>1240</v>
      </c>
      <c r="B3721" t="s">
        <v>284</v>
      </c>
      <c r="C3721" t="s">
        <v>1297</v>
      </c>
      <c r="D3721" s="9">
        <v>46117</v>
      </c>
      <c r="E3721" s="9">
        <v>46117</v>
      </c>
      <c r="F3721" s="2">
        <v>32</v>
      </c>
      <c r="G3721" s="3" t="s">
        <v>23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>
        <v>0</v>
      </c>
      <c r="N3721">
        <v>0</v>
      </c>
      <c r="O3721" s="2">
        <v>0</v>
      </c>
      <c r="P3721" s="2">
        <v>1</v>
      </c>
      <c r="Q3721">
        <v>1</v>
      </c>
      <c r="R3721" s="2">
        <v>0</v>
      </c>
      <c r="S3721" s="2">
        <v>1</v>
      </c>
      <c r="T3721" t="s">
        <v>1831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</row>
    <row r="3722" spans="1:28" hidden="1" x14ac:dyDescent="0.25">
      <c r="A3722" t="s">
        <v>53</v>
      </c>
      <c r="B3722" t="s">
        <v>1238</v>
      </c>
      <c r="C3722" t="s">
        <v>54</v>
      </c>
      <c r="D3722" s="9">
        <v>46117</v>
      </c>
      <c r="E3722" s="9">
        <v>46117</v>
      </c>
      <c r="F3722" s="2">
        <v>53</v>
      </c>
      <c r="G3722" s="3" t="s">
        <v>23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>
        <v>0</v>
      </c>
      <c r="N3722">
        <v>0</v>
      </c>
      <c r="O3722" s="2">
        <v>0</v>
      </c>
      <c r="P3722" s="2">
        <v>1</v>
      </c>
      <c r="Q3722">
        <v>2</v>
      </c>
      <c r="R3722" s="2">
        <v>0</v>
      </c>
      <c r="S3722" s="2">
        <v>1</v>
      </c>
      <c r="T3722" t="s">
        <v>1832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</row>
    <row r="3723" spans="1:28" hidden="1" x14ac:dyDescent="0.25">
      <c r="A3723" t="s">
        <v>25</v>
      </c>
      <c r="B3723" t="s">
        <v>26</v>
      </c>
      <c r="C3723" t="s">
        <v>212</v>
      </c>
      <c r="D3723" s="9">
        <v>46117</v>
      </c>
      <c r="E3723" s="9">
        <v>46117</v>
      </c>
      <c r="F3723" s="2">
        <v>0</v>
      </c>
      <c r="G3723" s="3" t="s">
        <v>378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 t="s">
        <v>377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</row>
    <row r="3724" spans="1:28" hidden="1" x14ac:dyDescent="0.25">
      <c r="A3724" t="s">
        <v>56</v>
      </c>
      <c r="B3724" t="s">
        <v>47</v>
      </c>
      <c r="C3724" t="s">
        <v>212</v>
      </c>
      <c r="D3724" s="9">
        <v>46117</v>
      </c>
      <c r="E3724" s="9">
        <v>46117</v>
      </c>
      <c r="F3724" s="2">
        <v>0</v>
      </c>
      <c r="G3724" s="3" t="s">
        <v>378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377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</row>
    <row r="3725" spans="1:28" hidden="1" x14ac:dyDescent="0.25">
      <c r="A3725" t="s">
        <v>20</v>
      </c>
      <c r="B3725" t="s">
        <v>47</v>
      </c>
      <c r="C3725" t="s">
        <v>212</v>
      </c>
      <c r="D3725" s="9">
        <v>46117</v>
      </c>
      <c r="E3725" s="9">
        <v>46117</v>
      </c>
      <c r="F3725" s="2">
        <v>0</v>
      </c>
      <c r="G3725" s="3" t="s">
        <v>378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 t="s">
        <v>377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</row>
    <row r="3726" spans="1:28" hidden="1" x14ac:dyDescent="0.25">
      <c r="A3726" t="s">
        <v>63</v>
      </c>
      <c r="B3726" t="s">
        <v>47</v>
      </c>
      <c r="C3726" t="s">
        <v>212</v>
      </c>
      <c r="D3726" s="9">
        <v>46117</v>
      </c>
      <c r="E3726" s="9">
        <v>46117</v>
      </c>
      <c r="F3726" s="2">
        <v>0</v>
      </c>
      <c r="G3726" s="3" t="s">
        <v>378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 t="s">
        <v>377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</row>
    <row r="3727" spans="1:28" hidden="1" x14ac:dyDescent="0.25">
      <c r="A3727" t="s">
        <v>33</v>
      </c>
      <c r="B3727" t="s">
        <v>47</v>
      </c>
      <c r="C3727" t="s">
        <v>212</v>
      </c>
      <c r="D3727" s="9">
        <v>46117</v>
      </c>
      <c r="E3727" s="9">
        <v>46117</v>
      </c>
      <c r="F3727" s="2">
        <v>0</v>
      </c>
      <c r="G3727" s="3" t="s">
        <v>378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377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</row>
    <row r="3728" spans="1:28" hidden="1" x14ac:dyDescent="0.25">
      <c r="A3728" t="s">
        <v>37</v>
      </c>
      <c r="B3728" t="s">
        <v>57</v>
      </c>
      <c r="C3728" t="s">
        <v>212</v>
      </c>
      <c r="D3728" s="9">
        <v>46117</v>
      </c>
      <c r="E3728" s="9">
        <v>46117</v>
      </c>
      <c r="F3728" s="2">
        <v>0</v>
      </c>
      <c r="G3728" s="3" t="s">
        <v>378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 t="s">
        <v>377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</row>
    <row r="3729" spans="1:28" hidden="1" x14ac:dyDescent="0.25">
      <c r="A3729" t="s">
        <v>730</v>
      </c>
      <c r="B3729" t="s">
        <v>38</v>
      </c>
      <c r="C3729" t="s">
        <v>212</v>
      </c>
      <c r="D3729" s="9">
        <v>46117</v>
      </c>
      <c r="E3729" s="9">
        <v>46117</v>
      </c>
      <c r="F3729" s="2">
        <v>0</v>
      </c>
      <c r="G3729" s="3" t="s">
        <v>129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377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</row>
    <row r="3730" spans="1:28" hidden="1" x14ac:dyDescent="0.25">
      <c r="A3730" t="s">
        <v>29</v>
      </c>
      <c r="B3730" t="s">
        <v>30</v>
      </c>
      <c r="C3730" t="s">
        <v>212</v>
      </c>
      <c r="D3730" s="9">
        <v>46117</v>
      </c>
      <c r="E3730" s="9">
        <v>46117</v>
      </c>
      <c r="F3730" s="2">
        <v>0</v>
      </c>
      <c r="G3730" s="3" t="s">
        <v>129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t="s">
        <v>377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</row>
    <row r="3731" spans="1:28" hidden="1" x14ac:dyDescent="0.25">
      <c r="A3731" t="s">
        <v>33</v>
      </c>
      <c r="B3731" t="s">
        <v>34</v>
      </c>
      <c r="C3731" t="s">
        <v>35</v>
      </c>
      <c r="D3731" s="1">
        <v>46118</v>
      </c>
      <c r="E3731" s="1">
        <v>46118</v>
      </c>
      <c r="F3731" s="2">
        <v>21</v>
      </c>
      <c r="G3731" s="3" t="s">
        <v>23</v>
      </c>
      <c r="H3731">
        <v>3</v>
      </c>
      <c r="I3731" s="2">
        <v>0</v>
      </c>
      <c r="J3731" s="2">
        <v>0</v>
      </c>
      <c r="K3731" s="2">
        <v>0</v>
      </c>
      <c r="L3731" s="2">
        <v>0</v>
      </c>
      <c r="M3731">
        <v>0</v>
      </c>
      <c r="N3731">
        <v>0</v>
      </c>
      <c r="O3731" s="2">
        <v>0</v>
      </c>
      <c r="P3731" s="2">
        <v>0</v>
      </c>
      <c r="Q3731">
        <v>0</v>
      </c>
      <c r="R3731" s="2">
        <v>0</v>
      </c>
      <c r="S3731" s="2">
        <v>0</v>
      </c>
      <c r="T3731" t="s">
        <v>1833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</row>
    <row r="3732" spans="1:28" hidden="1" x14ac:dyDescent="0.25">
      <c r="A3732" t="s">
        <v>20</v>
      </c>
      <c r="B3732" t="s">
        <v>21</v>
      </c>
      <c r="C3732" t="s">
        <v>35</v>
      </c>
      <c r="D3732" s="1">
        <v>46118</v>
      </c>
      <c r="E3732" s="1">
        <v>46118</v>
      </c>
      <c r="F3732" s="2">
        <v>21</v>
      </c>
      <c r="G3732" s="3" t="s">
        <v>23</v>
      </c>
      <c r="H3732">
        <v>0</v>
      </c>
      <c r="I3732" s="2">
        <v>0</v>
      </c>
      <c r="J3732" s="2">
        <v>0</v>
      </c>
      <c r="K3732" s="2">
        <v>0</v>
      </c>
      <c r="L3732" s="2">
        <v>0</v>
      </c>
      <c r="M3732">
        <v>0</v>
      </c>
      <c r="N3732">
        <v>0</v>
      </c>
      <c r="O3732" s="2">
        <v>0</v>
      </c>
      <c r="P3732" s="2">
        <v>0</v>
      </c>
      <c r="Q3732">
        <v>0</v>
      </c>
      <c r="R3732" s="2">
        <v>0</v>
      </c>
      <c r="S3732" s="2">
        <v>0</v>
      </c>
      <c r="T3732" t="s">
        <v>1833</v>
      </c>
      <c r="U3732" s="2">
        <v>0</v>
      </c>
      <c r="V3732" s="2">
        <v>17</v>
      </c>
      <c r="W3732" s="2">
        <f>2+8</f>
        <v>10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</row>
    <row r="3733" spans="1:28" hidden="1" x14ac:dyDescent="0.25">
      <c r="A3733" t="s">
        <v>47</v>
      </c>
      <c r="B3733" t="s">
        <v>1601</v>
      </c>
      <c r="C3733" t="s">
        <v>35</v>
      </c>
      <c r="D3733" s="1">
        <v>46118</v>
      </c>
      <c r="E3733" s="1">
        <v>46118</v>
      </c>
      <c r="F3733" s="2">
        <v>21</v>
      </c>
      <c r="G3733" s="3" t="s">
        <v>23</v>
      </c>
      <c r="H3733">
        <v>0</v>
      </c>
      <c r="I3733" s="2">
        <v>0</v>
      </c>
      <c r="J3733" s="2">
        <v>0</v>
      </c>
      <c r="K3733" s="2">
        <v>0</v>
      </c>
      <c r="L3733" s="2">
        <v>0</v>
      </c>
      <c r="M3733">
        <v>0</v>
      </c>
      <c r="N3733">
        <v>0</v>
      </c>
      <c r="O3733" s="2">
        <v>0</v>
      </c>
      <c r="P3733" s="2">
        <v>0</v>
      </c>
      <c r="Q3733">
        <v>0</v>
      </c>
      <c r="R3733" s="2">
        <v>0</v>
      </c>
      <c r="S3733" s="2">
        <v>0</v>
      </c>
      <c r="T3733" t="s">
        <v>1833</v>
      </c>
      <c r="U3733" s="2">
        <v>0</v>
      </c>
      <c r="V3733" s="2">
        <v>17</v>
      </c>
      <c r="W3733" s="2">
        <v>2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</row>
    <row r="3734" spans="1:28" hidden="1" x14ac:dyDescent="0.25">
      <c r="A3734" t="s">
        <v>37</v>
      </c>
      <c r="B3734" t="s">
        <v>57</v>
      </c>
      <c r="C3734" t="s">
        <v>173</v>
      </c>
      <c r="D3734" s="1">
        <v>46118</v>
      </c>
      <c r="E3734" s="1">
        <v>46118</v>
      </c>
      <c r="F3734" s="2">
        <v>18</v>
      </c>
      <c r="G3734" s="3" t="s">
        <v>23</v>
      </c>
      <c r="H3734">
        <v>1</v>
      </c>
      <c r="I3734" s="2">
        <v>0</v>
      </c>
      <c r="J3734" s="2">
        <v>0</v>
      </c>
      <c r="K3734" s="2">
        <v>0</v>
      </c>
      <c r="L3734" s="2">
        <v>0</v>
      </c>
      <c r="M3734">
        <v>0</v>
      </c>
      <c r="N3734">
        <v>0</v>
      </c>
      <c r="O3734" s="2">
        <v>0</v>
      </c>
      <c r="P3734" s="2">
        <v>0</v>
      </c>
      <c r="Q3734">
        <v>0</v>
      </c>
      <c r="R3734" s="2">
        <v>0</v>
      </c>
      <c r="S3734" s="2">
        <v>0</v>
      </c>
      <c r="T3734" t="s">
        <v>1834</v>
      </c>
      <c r="U3734" s="2">
        <v>0</v>
      </c>
      <c r="V3734" s="2">
        <f>17+2</f>
        <v>19</v>
      </c>
      <c r="W3734" s="2">
        <v>9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</row>
    <row r="3735" spans="1:28" hidden="1" x14ac:dyDescent="0.25">
      <c r="A3735" t="s">
        <v>56</v>
      </c>
      <c r="B3735" t="s">
        <v>1160</v>
      </c>
      <c r="C3735" t="s">
        <v>64</v>
      </c>
      <c r="D3735" s="1">
        <v>46118</v>
      </c>
      <c r="E3735" s="1">
        <v>46118</v>
      </c>
      <c r="F3735" s="2">
        <v>52</v>
      </c>
      <c r="G3735" s="3" t="s">
        <v>23</v>
      </c>
      <c r="H3735">
        <v>0</v>
      </c>
      <c r="I3735" s="2">
        <v>0</v>
      </c>
      <c r="J3735" s="2">
        <v>0</v>
      </c>
      <c r="K3735" s="2">
        <v>0</v>
      </c>
      <c r="L3735" s="2">
        <v>0</v>
      </c>
      <c r="M3735">
        <v>0</v>
      </c>
      <c r="N3735">
        <v>0</v>
      </c>
      <c r="O3735" s="2">
        <v>0</v>
      </c>
      <c r="P3735" s="2">
        <v>0</v>
      </c>
      <c r="Q3735">
        <v>0</v>
      </c>
      <c r="R3735" s="2">
        <v>0</v>
      </c>
      <c r="S3735" s="2">
        <v>0</v>
      </c>
      <c r="T3735" t="s">
        <v>1835</v>
      </c>
      <c r="U3735" s="2">
        <v>0</v>
      </c>
      <c r="V3735" s="2">
        <v>47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</row>
    <row r="3736" spans="1:28" hidden="1" x14ac:dyDescent="0.25">
      <c r="A3736" t="s">
        <v>25</v>
      </c>
      <c r="B3736" t="s">
        <v>26</v>
      </c>
      <c r="C3736" t="s">
        <v>27</v>
      </c>
      <c r="D3736" s="1">
        <v>46118</v>
      </c>
      <c r="E3736" s="1">
        <v>46118</v>
      </c>
      <c r="F3736" s="2">
        <v>26</v>
      </c>
      <c r="G3736" s="3" t="s">
        <v>23</v>
      </c>
      <c r="H3736">
        <v>0</v>
      </c>
      <c r="I3736" s="2">
        <v>0</v>
      </c>
      <c r="J3736" s="2">
        <v>0</v>
      </c>
      <c r="K3736" s="2">
        <v>0</v>
      </c>
      <c r="L3736" s="2">
        <v>0</v>
      </c>
      <c r="M3736">
        <v>0</v>
      </c>
      <c r="N3736">
        <v>0</v>
      </c>
      <c r="O3736" s="2">
        <v>0</v>
      </c>
      <c r="P3736" s="2">
        <v>0</v>
      </c>
      <c r="Q3736">
        <v>0</v>
      </c>
      <c r="R3736" s="2">
        <v>0</v>
      </c>
      <c r="S3736" s="2">
        <v>0</v>
      </c>
      <c r="T3736" t="s">
        <v>1836</v>
      </c>
      <c r="U3736" s="2">
        <v>0</v>
      </c>
      <c r="V3736" s="2">
        <v>20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</row>
    <row r="3737" spans="1:28" hidden="1" x14ac:dyDescent="0.25">
      <c r="A3737" t="s">
        <v>53</v>
      </c>
      <c r="B3737" t="s">
        <v>284</v>
      </c>
      <c r="C3737" t="s">
        <v>27</v>
      </c>
      <c r="D3737" s="1">
        <v>46118</v>
      </c>
      <c r="E3737" s="1">
        <v>46118</v>
      </c>
      <c r="F3737" s="2">
        <v>26</v>
      </c>
      <c r="G3737" s="3" t="s">
        <v>23</v>
      </c>
      <c r="H3737">
        <v>0</v>
      </c>
      <c r="I3737" s="2">
        <v>0</v>
      </c>
      <c r="J3737" s="2">
        <v>0</v>
      </c>
      <c r="K3737" s="2">
        <v>0</v>
      </c>
      <c r="L3737" s="2">
        <v>0</v>
      </c>
      <c r="M3737">
        <v>0</v>
      </c>
      <c r="N3737">
        <v>0</v>
      </c>
      <c r="O3737" s="2">
        <v>0</v>
      </c>
      <c r="P3737" s="2">
        <v>0</v>
      </c>
      <c r="Q3737">
        <v>0</v>
      </c>
      <c r="R3737" s="2">
        <v>0</v>
      </c>
      <c r="S3737" s="2">
        <v>0</v>
      </c>
      <c r="T3737" t="s">
        <v>1836</v>
      </c>
      <c r="U3737" s="2">
        <v>0</v>
      </c>
      <c r="V3737" s="2">
        <v>0</v>
      </c>
      <c r="W3737" s="2">
        <v>6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</row>
    <row r="3738" spans="1:28" hidden="1" x14ac:dyDescent="0.25">
      <c r="A3738" t="s">
        <v>63</v>
      </c>
      <c r="B3738" t="s">
        <v>47</v>
      </c>
      <c r="C3738" t="s">
        <v>212</v>
      </c>
      <c r="D3738" s="1">
        <v>46118</v>
      </c>
      <c r="E3738" s="1">
        <v>46118</v>
      </c>
      <c r="F3738" s="2">
        <v>0</v>
      </c>
      <c r="G3738" s="3" t="s">
        <v>48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377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</row>
    <row r="3739" spans="1:28" hidden="1" x14ac:dyDescent="0.25">
      <c r="A3739" t="s">
        <v>47</v>
      </c>
      <c r="B3739" t="s">
        <v>47</v>
      </c>
      <c r="C3739" t="s">
        <v>212</v>
      </c>
      <c r="D3739" s="1">
        <v>46118</v>
      </c>
      <c r="E3739" s="1">
        <v>46118</v>
      </c>
      <c r="F3739" s="2">
        <v>0</v>
      </c>
      <c r="G3739" s="3" t="s">
        <v>48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t="s">
        <v>377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</row>
    <row r="3740" spans="1:28" hidden="1" x14ac:dyDescent="0.25">
      <c r="A3740" t="s">
        <v>47</v>
      </c>
      <c r="B3740" t="s">
        <v>1323</v>
      </c>
      <c r="C3740" t="s">
        <v>212</v>
      </c>
      <c r="D3740" s="1">
        <v>46118</v>
      </c>
      <c r="E3740" s="1">
        <v>46118</v>
      </c>
      <c r="F3740" s="2">
        <v>0</v>
      </c>
      <c r="G3740" s="3" t="s">
        <v>572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t="s">
        <v>377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</row>
    <row r="3741" spans="1:28" hidden="1" x14ac:dyDescent="0.25">
      <c r="A3741" t="s">
        <v>47</v>
      </c>
      <c r="B3741" t="s">
        <v>47</v>
      </c>
      <c r="C3741" t="s">
        <v>212</v>
      </c>
      <c r="D3741" s="1">
        <v>46118</v>
      </c>
      <c r="E3741" s="1">
        <v>46118</v>
      </c>
      <c r="F3741" s="2">
        <v>0</v>
      </c>
      <c r="G3741" s="3" t="s">
        <v>572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377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</row>
    <row r="3742" spans="1:28" hidden="1" x14ac:dyDescent="0.25">
      <c r="A3742" t="s">
        <v>47</v>
      </c>
      <c r="B3742" t="s">
        <v>47</v>
      </c>
      <c r="C3742" t="s">
        <v>212</v>
      </c>
      <c r="D3742" s="1">
        <v>46118</v>
      </c>
      <c r="E3742" s="1">
        <v>46118</v>
      </c>
      <c r="F3742" s="2">
        <v>0</v>
      </c>
      <c r="G3742" s="3" t="s">
        <v>409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 t="s">
        <v>377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</row>
    <row r="3743" spans="1:28" hidden="1" x14ac:dyDescent="0.25">
      <c r="A3743" t="s">
        <v>730</v>
      </c>
      <c r="B3743" t="s">
        <v>38</v>
      </c>
      <c r="C3743" t="s">
        <v>212</v>
      </c>
      <c r="D3743" s="1">
        <v>46118</v>
      </c>
      <c r="E3743" s="1">
        <v>46118</v>
      </c>
      <c r="F3743" s="2">
        <v>0</v>
      </c>
      <c r="G3743" s="3" t="s">
        <v>129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 t="s">
        <v>377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</row>
    <row r="3744" spans="1:28" hidden="1" x14ac:dyDescent="0.25">
      <c r="A3744" t="s">
        <v>29</v>
      </c>
      <c r="B3744" t="s">
        <v>30</v>
      </c>
      <c r="C3744" t="s">
        <v>212</v>
      </c>
      <c r="D3744" s="1">
        <v>46118</v>
      </c>
      <c r="E3744" s="1">
        <v>46118</v>
      </c>
      <c r="F3744" s="2">
        <v>0</v>
      </c>
      <c r="G3744" s="3" t="s">
        <v>129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377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</row>
    <row r="3745" spans="1:28" hidden="1" x14ac:dyDescent="0.25">
      <c r="A3745" t="s">
        <v>37</v>
      </c>
      <c r="B3745" t="s">
        <v>57</v>
      </c>
      <c r="C3745" t="s">
        <v>64</v>
      </c>
      <c r="D3745" s="1">
        <v>46119</v>
      </c>
      <c r="E3745" s="1">
        <v>46119</v>
      </c>
      <c r="F3745" s="2">
        <v>16</v>
      </c>
      <c r="G3745" s="3" t="s">
        <v>23</v>
      </c>
      <c r="H3745">
        <f>40-9</f>
        <v>31</v>
      </c>
      <c r="I3745" s="2">
        <v>0</v>
      </c>
      <c r="J3745" s="2">
        <v>0</v>
      </c>
      <c r="K3745" s="2">
        <v>0</v>
      </c>
      <c r="L3745" s="2">
        <v>1</v>
      </c>
      <c r="M3745">
        <v>1</v>
      </c>
      <c r="N3745">
        <v>0</v>
      </c>
      <c r="O3745" s="2">
        <v>0</v>
      </c>
      <c r="P3745" s="2">
        <v>0</v>
      </c>
      <c r="Q3745">
        <v>0</v>
      </c>
      <c r="R3745" s="2">
        <v>0</v>
      </c>
      <c r="S3745" s="2">
        <v>0</v>
      </c>
      <c r="T3745" t="s">
        <v>1837</v>
      </c>
      <c r="U3745" s="2">
        <v>0</v>
      </c>
      <c r="V3745" s="2">
        <v>9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</row>
    <row r="3746" spans="1:28" hidden="1" x14ac:dyDescent="0.25">
      <c r="A3746" t="s">
        <v>25</v>
      </c>
      <c r="B3746" t="s">
        <v>26</v>
      </c>
      <c r="C3746" t="s">
        <v>27</v>
      </c>
      <c r="D3746" s="1">
        <v>46119</v>
      </c>
      <c r="E3746" s="1">
        <v>46119</v>
      </c>
      <c r="F3746" s="2">
        <v>25</v>
      </c>
      <c r="G3746" s="3" t="s">
        <v>23</v>
      </c>
      <c r="H3746">
        <f>56-40</f>
        <v>16</v>
      </c>
      <c r="I3746" s="2">
        <v>0</v>
      </c>
      <c r="J3746" s="2">
        <v>0</v>
      </c>
      <c r="K3746" s="2">
        <v>1</v>
      </c>
      <c r="L3746" s="2">
        <v>0</v>
      </c>
      <c r="M3746">
        <v>0</v>
      </c>
      <c r="N3746">
        <v>0</v>
      </c>
      <c r="O3746" s="2">
        <v>0</v>
      </c>
      <c r="P3746" s="2">
        <v>0</v>
      </c>
      <c r="Q3746">
        <v>0</v>
      </c>
      <c r="R3746" s="2">
        <v>0</v>
      </c>
      <c r="S3746" s="2">
        <v>0</v>
      </c>
      <c r="T3746" t="s">
        <v>1838</v>
      </c>
      <c r="U3746" s="2">
        <v>0</v>
      </c>
      <c r="V3746" s="2">
        <v>40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</row>
    <row r="3747" spans="1:28" hidden="1" x14ac:dyDescent="0.25">
      <c r="A3747" t="s">
        <v>33</v>
      </c>
      <c r="B3747" t="s">
        <v>34</v>
      </c>
      <c r="C3747" t="s">
        <v>35</v>
      </c>
      <c r="D3747" s="1">
        <v>46119</v>
      </c>
      <c r="E3747" s="1">
        <v>46119</v>
      </c>
      <c r="F3747" s="2">
        <v>36</v>
      </c>
      <c r="G3747" s="3" t="s">
        <v>23</v>
      </c>
      <c r="H3747">
        <f>64-28</f>
        <v>36</v>
      </c>
      <c r="I3747" s="2">
        <v>0</v>
      </c>
      <c r="J3747" s="2">
        <v>0</v>
      </c>
      <c r="K3747" s="2">
        <v>1</v>
      </c>
      <c r="L3747" s="2">
        <v>0</v>
      </c>
      <c r="M3747">
        <v>0</v>
      </c>
      <c r="N3747">
        <v>0</v>
      </c>
      <c r="O3747" s="2">
        <v>0</v>
      </c>
      <c r="P3747" s="2">
        <v>0</v>
      </c>
      <c r="Q3747">
        <v>0</v>
      </c>
      <c r="R3747" s="2">
        <v>0</v>
      </c>
      <c r="S3747" s="2">
        <v>0</v>
      </c>
      <c r="T3747" t="s">
        <v>1839</v>
      </c>
      <c r="U3747" s="2">
        <v>0</v>
      </c>
      <c r="V3747" s="2">
        <f>20+6+2</f>
        <v>28</v>
      </c>
      <c r="W3747" s="2">
        <v>7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</row>
    <row r="3748" spans="1:28" hidden="1" x14ac:dyDescent="0.25">
      <c r="A3748" t="s">
        <v>56</v>
      </c>
      <c r="B3748" t="s">
        <v>1160</v>
      </c>
      <c r="C3748" t="s">
        <v>64</v>
      </c>
      <c r="D3748" s="1">
        <v>46119</v>
      </c>
      <c r="E3748" s="1">
        <v>46119</v>
      </c>
      <c r="F3748" s="2">
        <v>16</v>
      </c>
      <c r="G3748" s="3" t="s">
        <v>23</v>
      </c>
      <c r="H3748">
        <v>40</v>
      </c>
      <c r="I3748" s="2">
        <v>0</v>
      </c>
      <c r="J3748" s="2">
        <v>0</v>
      </c>
      <c r="K3748" s="2">
        <v>1</v>
      </c>
      <c r="L3748" s="2">
        <v>0</v>
      </c>
      <c r="M3748">
        <v>1</v>
      </c>
      <c r="N3748">
        <v>0</v>
      </c>
      <c r="O3748" s="2">
        <v>0</v>
      </c>
      <c r="P3748" s="2">
        <v>0</v>
      </c>
      <c r="Q3748">
        <v>0</v>
      </c>
      <c r="R3748" s="2">
        <v>0</v>
      </c>
      <c r="S3748" s="2">
        <v>0</v>
      </c>
      <c r="T3748" t="s">
        <v>1837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</row>
    <row r="3749" spans="1:28" hidden="1" x14ac:dyDescent="0.25">
      <c r="A3749" t="s">
        <v>1431</v>
      </c>
      <c r="B3749" t="s">
        <v>284</v>
      </c>
      <c r="C3749" t="s">
        <v>1505</v>
      </c>
      <c r="D3749" s="1">
        <v>46119</v>
      </c>
      <c r="E3749" s="1">
        <v>46119</v>
      </c>
      <c r="F3749" s="2">
        <v>28</v>
      </c>
      <c r="G3749" s="3" t="s">
        <v>23</v>
      </c>
      <c r="H3749">
        <f>13+4+13+4+2+1+2+1+1</f>
        <v>41</v>
      </c>
      <c r="I3749" s="2">
        <v>0</v>
      </c>
      <c r="J3749" s="2">
        <v>0</v>
      </c>
      <c r="K3749" s="2">
        <v>1</v>
      </c>
      <c r="L3749" s="2">
        <v>0</v>
      </c>
      <c r="M3749">
        <v>0</v>
      </c>
      <c r="N3749">
        <v>0</v>
      </c>
      <c r="O3749" s="2">
        <v>0</v>
      </c>
      <c r="P3749" s="2">
        <v>0</v>
      </c>
      <c r="Q3749">
        <v>0</v>
      </c>
      <c r="R3749" s="2">
        <v>0</v>
      </c>
      <c r="S3749" s="2">
        <v>0</v>
      </c>
      <c r="T3749" t="s">
        <v>1840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</row>
    <row r="3750" spans="1:28" hidden="1" x14ac:dyDescent="0.25">
      <c r="A3750" t="s">
        <v>47</v>
      </c>
      <c r="B3750" t="s">
        <v>1323</v>
      </c>
      <c r="C3750" t="s">
        <v>1505</v>
      </c>
      <c r="D3750" s="1">
        <v>46119</v>
      </c>
      <c r="E3750" s="1">
        <v>46119</v>
      </c>
      <c r="F3750" s="2">
        <v>28</v>
      </c>
      <c r="G3750" s="3" t="s">
        <v>23</v>
      </c>
      <c r="H3750">
        <f>13+4+13+4+2+1+2+1+1</f>
        <v>41</v>
      </c>
      <c r="I3750" s="2">
        <v>0</v>
      </c>
      <c r="J3750" s="2">
        <v>0</v>
      </c>
      <c r="K3750" s="2">
        <v>1</v>
      </c>
      <c r="L3750" s="2">
        <v>0</v>
      </c>
      <c r="M3750">
        <v>0</v>
      </c>
      <c r="N3750">
        <v>0</v>
      </c>
      <c r="O3750" s="2">
        <v>0</v>
      </c>
      <c r="P3750" s="2">
        <v>0</v>
      </c>
      <c r="Q3750">
        <v>0</v>
      </c>
      <c r="R3750" s="2">
        <v>0</v>
      </c>
      <c r="S3750" s="2">
        <v>0</v>
      </c>
      <c r="T3750" t="s">
        <v>1840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</row>
    <row r="3751" spans="1:28" hidden="1" x14ac:dyDescent="0.25">
      <c r="A3751" t="s">
        <v>20</v>
      </c>
      <c r="B3751" t="s">
        <v>21</v>
      </c>
      <c r="C3751" t="s">
        <v>22</v>
      </c>
      <c r="D3751" s="1">
        <v>46119</v>
      </c>
      <c r="E3751" s="1">
        <v>46119</v>
      </c>
      <c r="F3751" s="2">
        <v>40</v>
      </c>
      <c r="G3751" s="3" t="s">
        <v>23</v>
      </c>
      <c r="H3751">
        <f>55-31</f>
        <v>24</v>
      </c>
      <c r="I3751" s="2">
        <v>0</v>
      </c>
      <c r="J3751" s="2">
        <v>0</v>
      </c>
      <c r="K3751" s="2">
        <v>1</v>
      </c>
      <c r="L3751" s="2">
        <v>0</v>
      </c>
      <c r="M3751">
        <v>0</v>
      </c>
      <c r="N3751">
        <v>0</v>
      </c>
      <c r="O3751" s="2">
        <v>0</v>
      </c>
      <c r="P3751" s="2">
        <v>0</v>
      </c>
      <c r="Q3751">
        <v>0</v>
      </c>
      <c r="R3751" s="2">
        <v>0</v>
      </c>
      <c r="S3751" s="2">
        <v>0</v>
      </c>
      <c r="T3751" t="s">
        <v>1841</v>
      </c>
      <c r="U3751" s="2">
        <v>0</v>
      </c>
      <c r="V3751" s="2">
        <v>31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</row>
    <row r="3752" spans="1:28" hidden="1" x14ac:dyDescent="0.25">
      <c r="A3752" t="s">
        <v>63</v>
      </c>
      <c r="B3752" t="s">
        <v>47</v>
      </c>
      <c r="C3752" t="s">
        <v>212</v>
      </c>
      <c r="D3752" s="1">
        <v>46119</v>
      </c>
      <c r="E3752" s="1">
        <v>46119</v>
      </c>
      <c r="F3752" s="2">
        <v>0</v>
      </c>
      <c r="G3752" s="3" t="s">
        <v>48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 t="s">
        <v>377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</row>
    <row r="3753" spans="1:28" hidden="1" x14ac:dyDescent="0.25">
      <c r="A3753" t="s">
        <v>47</v>
      </c>
      <c r="B3753" t="s">
        <v>47</v>
      </c>
      <c r="C3753" t="s">
        <v>212</v>
      </c>
      <c r="D3753" s="1">
        <v>46119</v>
      </c>
      <c r="E3753" s="1">
        <v>46119</v>
      </c>
      <c r="F3753" s="2">
        <v>0</v>
      </c>
      <c r="G3753" s="3" t="s">
        <v>48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 t="s">
        <v>377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</row>
    <row r="3754" spans="1:28" hidden="1" x14ac:dyDescent="0.25">
      <c r="A3754" t="s">
        <v>47</v>
      </c>
      <c r="B3754" t="s">
        <v>47</v>
      </c>
      <c r="C3754" t="s">
        <v>212</v>
      </c>
      <c r="D3754" s="1">
        <v>46119</v>
      </c>
      <c r="E3754" s="1">
        <v>46119</v>
      </c>
      <c r="F3754" s="2">
        <v>0</v>
      </c>
      <c r="G3754" s="3" t="s">
        <v>572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 t="s">
        <v>377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</row>
    <row r="3755" spans="1:28" hidden="1" x14ac:dyDescent="0.25">
      <c r="A3755" t="s">
        <v>47</v>
      </c>
      <c r="B3755" t="s">
        <v>47</v>
      </c>
      <c r="C3755" t="s">
        <v>212</v>
      </c>
      <c r="D3755" s="1">
        <v>46119</v>
      </c>
      <c r="E3755" s="1">
        <v>46119</v>
      </c>
      <c r="F3755" s="2">
        <v>0</v>
      </c>
      <c r="G3755" s="3" t="s">
        <v>572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377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</row>
    <row r="3756" spans="1:28" hidden="1" x14ac:dyDescent="0.25">
      <c r="A3756" t="s">
        <v>47</v>
      </c>
      <c r="B3756" t="s">
        <v>47</v>
      </c>
      <c r="C3756" t="s">
        <v>212</v>
      </c>
      <c r="D3756" s="1">
        <v>46119</v>
      </c>
      <c r="E3756" s="1">
        <v>46119</v>
      </c>
      <c r="F3756" s="2">
        <v>0</v>
      </c>
      <c r="G3756" s="3" t="s">
        <v>409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377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</row>
    <row r="3757" spans="1:28" hidden="1" x14ac:dyDescent="0.25">
      <c r="A3757" t="s">
        <v>730</v>
      </c>
      <c r="B3757" t="s">
        <v>38</v>
      </c>
      <c r="C3757" t="s">
        <v>212</v>
      </c>
      <c r="D3757" s="1">
        <v>46119</v>
      </c>
      <c r="E3757" s="1">
        <v>46119</v>
      </c>
      <c r="F3757" s="2">
        <v>0</v>
      </c>
      <c r="G3757" s="3" t="s">
        <v>129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 t="s">
        <v>377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</row>
    <row r="3758" spans="1:28" hidden="1" x14ac:dyDescent="0.25">
      <c r="A3758" t="s">
        <v>29</v>
      </c>
      <c r="B3758" t="s">
        <v>30</v>
      </c>
      <c r="C3758" t="s">
        <v>212</v>
      </c>
      <c r="D3758" s="1">
        <v>46119</v>
      </c>
      <c r="E3758" s="1">
        <v>46119</v>
      </c>
      <c r="F3758" s="2">
        <v>0</v>
      </c>
      <c r="G3758" s="3" t="s">
        <v>129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377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</row>
    <row r="3759" spans="1:28" hidden="1" x14ac:dyDescent="0.25">
      <c r="A3759" t="s">
        <v>53</v>
      </c>
      <c r="B3759" t="s">
        <v>47</v>
      </c>
      <c r="C3759" t="s">
        <v>212</v>
      </c>
      <c r="D3759" s="1">
        <v>46119</v>
      </c>
      <c r="E3759" s="1">
        <v>46119</v>
      </c>
      <c r="F3759" s="2">
        <v>0</v>
      </c>
      <c r="G3759" s="3" t="s">
        <v>129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 t="s">
        <v>377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</row>
    <row r="3760" spans="1:28" hidden="1" x14ac:dyDescent="0.25">
      <c r="A3760" t="s">
        <v>37</v>
      </c>
      <c r="B3760" t="s">
        <v>1601</v>
      </c>
      <c r="C3760" t="s">
        <v>173</v>
      </c>
      <c r="D3760" s="1">
        <v>46120</v>
      </c>
      <c r="E3760" s="1">
        <v>46120</v>
      </c>
      <c r="F3760" s="2">
        <v>17</v>
      </c>
      <c r="G3760" s="3" t="s">
        <v>23</v>
      </c>
      <c r="H3760">
        <v>32</v>
      </c>
      <c r="I3760" s="2">
        <v>0</v>
      </c>
      <c r="J3760" s="2">
        <v>0</v>
      </c>
      <c r="K3760" s="2">
        <v>1</v>
      </c>
      <c r="L3760" s="2">
        <v>0</v>
      </c>
      <c r="M3760">
        <v>0</v>
      </c>
      <c r="N3760">
        <v>0</v>
      </c>
      <c r="O3760" s="2">
        <v>0</v>
      </c>
      <c r="P3760" s="2">
        <v>0</v>
      </c>
      <c r="Q3760">
        <v>0</v>
      </c>
      <c r="R3760" s="2">
        <v>0</v>
      </c>
      <c r="S3760" s="2">
        <v>0</v>
      </c>
      <c r="T3760" t="s">
        <v>1842</v>
      </c>
      <c r="U3760" s="2">
        <v>0</v>
      </c>
      <c r="V3760" s="2">
        <f>20+2+1</f>
        <v>23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</row>
    <row r="3761" spans="1:28" hidden="1" x14ac:dyDescent="0.25">
      <c r="A3761" t="s">
        <v>47</v>
      </c>
      <c r="B3761" t="s">
        <v>57</v>
      </c>
      <c r="C3761" t="s">
        <v>173</v>
      </c>
      <c r="D3761" s="1">
        <v>46120</v>
      </c>
      <c r="E3761" s="1">
        <v>46120</v>
      </c>
      <c r="F3761" s="2">
        <v>17</v>
      </c>
      <c r="G3761" s="3" t="s">
        <v>23</v>
      </c>
      <c r="H3761">
        <v>29</v>
      </c>
      <c r="I3761" s="2">
        <v>0</v>
      </c>
      <c r="J3761" s="2">
        <v>0</v>
      </c>
      <c r="K3761" s="2">
        <v>1</v>
      </c>
      <c r="L3761" s="2">
        <v>0</v>
      </c>
      <c r="M3761">
        <v>0</v>
      </c>
      <c r="N3761">
        <v>0</v>
      </c>
      <c r="O3761" s="2">
        <v>0</v>
      </c>
      <c r="P3761" s="2">
        <v>0</v>
      </c>
      <c r="Q3761">
        <v>5</v>
      </c>
      <c r="R3761" s="2">
        <v>0</v>
      </c>
      <c r="S3761" s="2">
        <v>0</v>
      </c>
      <c r="T3761" t="s">
        <v>1842</v>
      </c>
      <c r="U3761" s="2">
        <v>0</v>
      </c>
      <c r="V3761" s="2">
        <f>20+2+1</f>
        <v>23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</row>
    <row r="3762" spans="1:28" hidden="1" x14ac:dyDescent="0.25">
      <c r="A3762" t="s">
        <v>29</v>
      </c>
      <c r="B3762" t="s">
        <v>30</v>
      </c>
      <c r="C3762" t="s">
        <v>31</v>
      </c>
      <c r="D3762" s="1">
        <v>46120</v>
      </c>
      <c r="E3762" s="1">
        <v>46120</v>
      </c>
      <c r="F3762" s="2">
        <v>27</v>
      </c>
      <c r="G3762" s="3" t="s">
        <v>23</v>
      </c>
      <c r="H3762">
        <f>12+2+12+2+8+2</f>
        <v>38</v>
      </c>
      <c r="I3762" s="2">
        <v>0</v>
      </c>
      <c r="J3762" s="2">
        <v>0</v>
      </c>
      <c r="K3762" s="2">
        <v>0</v>
      </c>
      <c r="L3762" s="2">
        <v>1</v>
      </c>
      <c r="M3762">
        <v>1</v>
      </c>
      <c r="N3762">
        <v>1</v>
      </c>
      <c r="O3762" s="2">
        <v>0</v>
      </c>
      <c r="P3762" s="2">
        <v>0</v>
      </c>
      <c r="Q3762">
        <v>0</v>
      </c>
      <c r="R3762" s="2">
        <v>0</v>
      </c>
      <c r="S3762" s="2">
        <v>0</v>
      </c>
      <c r="T3762" t="s">
        <v>1843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</row>
    <row r="3763" spans="1:28" hidden="1" x14ac:dyDescent="0.25">
      <c r="A3763" t="s">
        <v>33</v>
      </c>
      <c r="B3763" t="s">
        <v>34</v>
      </c>
      <c r="C3763" t="s">
        <v>35</v>
      </c>
      <c r="D3763" s="1">
        <v>46120</v>
      </c>
      <c r="E3763" s="1">
        <v>46120</v>
      </c>
      <c r="F3763" s="2">
        <v>56</v>
      </c>
      <c r="G3763" s="3" t="s">
        <v>23</v>
      </c>
      <c r="H3763">
        <v>49</v>
      </c>
      <c r="I3763" s="2">
        <v>0</v>
      </c>
      <c r="J3763" s="2">
        <v>0</v>
      </c>
      <c r="K3763" s="2">
        <v>1</v>
      </c>
      <c r="L3763" s="2">
        <v>0</v>
      </c>
      <c r="M3763">
        <v>1</v>
      </c>
      <c r="N3763">
        <v>0</v>
      </c>
      <c r="O3763" s="2">
        <v>0</v>
      </c>
      <c r="P3763" s="2">
        <v>0</v>
      </c>
      <c r="Q3763">
        <v>0</v>
      </c>
      <c r="R3763" s="2">
        <v>0</v>
      </c>
      <c r="S3763" s="2">
        <v>0</v>
      </c>
      <c r="T3763" t="s">
        <v>1844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</row>
    <row r="3764" spans="1:28" hidden="1" x14ac:dyDescent="0.25">
      <c r="A3764" t="s">
        <v>20</v>
      </c>
      <c r="B3764" t="s">
        <v>21</v>
      </c>
      <c r="C3764" t="s">
        <v>22</v>
      </c>
      <c r="D3764" s="1">
        <v>46120</v>
      </c>
      <c r="E3764" s="1">
        <v>46120</v>
      </c>
      <c r="F3764" s="2">
        <v>61</v>
      </c>
      <c r="G3764" s="3" t="s">
        <v>23</v>
      </c>
      <c r="H3764">
        <v>40</v>
      </c>
      <c r="I3764" s="2">
        <v>0</v>
      </c>
      <c r="J3764" s="2">
        <v>1</v>
      </c>
      <c r="K3764" s="2">
        <v>1</v>
      </c>
      <c r="L3764" s="2">
        <v>0</v>
      </c>
      <c r="M3764">
        <v>0</v>
      </c>
      <c r="N3764">
        <v>0</v>
      </c>
      <c r="O3764" s="2">
        <v>0</v>
      </c>
      <c r="P3764" s="2">
        <v>0</v>
      </c>
      <c r="Q3764">
        <v>1</v>
      </c>
      <c r="R3764" s="2">
        <v>0</v>
      </c>
      <c r="S3764" s="2">
        <v>0</v>
      </c>
      <c r="T3764" t="s">
        <v>1845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2</v>
      </c>
      <c r="AA3764" s="2">
        <v>0</v>
      </c>
      <c r="AB3764" s="2">
        <v>0</v>
      </c>
    </row>
    <row r="3765" spans="1:28" hidden="1" x14ac:dyDescent="0.25">
      <c r="A3765" t="s">
        <v>63</v>
      </c>
      <c r="B3765" t="s">
        <v>284</v>
      </c>
      <c r="C3765" t="s">
        <v>102</v>
      </c>
      <c r="D3765" s="1">
        <v>46120</v>
      </c>
      <c r="E3765" s="1">
        <v>46120</v>
      </c>
      <c r="F3765" s="2">
        <v>19</v>
      </c>
      <c r="G3765" s="3" t="s">
        <v>23</v>
      </c>
      <c r="H3765">
        <f>6+2+6+2</f>
        <v>16</v>
      </c>
      <c r="I3765" s="2">
        <v>0</v>
      </c>
      <c r="J3765" s="2">
        <v>0</v>
      </c>
      <c r="K3765" s="2">
        <v>1</v>
      </c>
      <c r="L3765" s="2">
        <v>0</v>
      </c>
      <c r="M3765">
        <v>0</v>
      </c>
      <c r="N3765">
        <v>0</v>
      </c>
      <c r="O3765" s="2">
        <v>0</v>
      </c>
      <c r="P3765" s="2">
        <v>0</v>
      </c>
      <c r="Q3765">
        <v>0</v>
      </c>
      <c r="R3765" s="2">
        <v>0</v>
      </c>
      <c r="S3765" s="2">
        <v>0</v>
      </c>
      <c r="T3765" t="s">
        <v>1846</v>
      </c>
      <c r="U3765" s="2">
        <v>0</v>
      </c>
      <c r="V3765" s="2">
        <f>20+2+4</f>
        <v>26</v>
      </c>
      <c r="W3765" s="2">
        <v>1</v>
      </c>
      <c r="X3765" s="2">
        <v>7</v>
      </c>
      <c r="Y3765" s="2">
        <v>0</v>
      </c>
      <c r="Z3765" s="2">
        <v>0</v>
      </c>
      <c r="AA3765" s="2">
        <v>0</v>
      </c>
      <c r="AB3765" s="2">
        <v>0</v>
      </c>
    </row>
    <row r="3766" spans="1:28" hidden="1" x14ac:dyDescent="0.25">
      <c r="A3766" t="s">
        <v>47</v>
      </c>
      <c r="B3766" t="s">
        <v>1323</v>
      </c>
      <c r="C3766" t="s">
        <v>102</v>
      </c>
      <c r="D3766" s="1">
        <v>46120</v>
      </c>
      <c r="E3766" s="1">
        <v>46120</v>
      </c>
      <c r="F3766" s="2">
        <v>19</v>
      </c>
      <c r="G3766" s="3" t="s">
        <v>23</v>
      </c>
      <c r="H3766">
        <f>6+2+6+2</f>
        <v>16</v>
      </c>
      <c r="I3766" s="2">
        <v>0</v>
      </c>
      <c r="J3766" s="2">
        <v>0</v>
      </c>
      <c r="K3766" s="2">
        <v>1</v>
      </c>
      <c r="L3766" s="2">
        <v>0</v>
      </c>
      <c r="M3766">
        <v>0</v>
      </c>
      <c r="N3766">
        <v>0</v>
      </c>
      <c r="O3766" s="2">
        <v>0</v>
      </c>
      <c r="P3766" s="2">
        <v>0</v>
      </c>
      <c r="Q3766">
        <v>0</v>
      </c>
      <c r="R3766" s="2">
        <v>0</v>
      </c>
      <c r="S3766" s="2">
        <v>0</v>
      </c>
      <c r="T3766" t="s">
        <v>1846</v>
      </c>
      <c r="U3766" s="2">
        <v>0</v>
      </c>
      <c r="V3766" s="2">
        <f>20+2+4</f>
        <v>26</v>
      </c>
      <c r="W3766" s="2">
        <v>1</v>
      </c>
      <c r="X3766" s="2">
        <v>7</v>
      </c>
      <c r="Y3766" s="2">
        <v>0</v>
      </c>
      <c r="Z3766" s="2">
        <v>0</v>
      </c>
      <c r="AA3766" s="2">
        <v>0</v>
      </c>
      <c r="AB3766" s="2">
        <v>0</v>
      </c>
    </row>
    <row r="3767" spans="1:28" hidden="1" x14ac:dyDescent="0.25">
      <c r="A3767" t="s">
        <v>25</v>
      </c>
      <c r="B3767" t="s">
        <v>26</v>
      </c>
      <c r="C3767" t="s">
        <v>212</v>
      </c>
      <c r="D3767" s="1">
        <v>46120</v>
      </c>
      <c r="E3767" s="1">
        <v>46120</v>
      </c>
      <c r="F3767" s="2">
        <v>0</v>
      </c>
      <c r="G3767" s="3" t="s">
        <v>48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 t="s">
        <v>377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</row>
    <row r="3768" spans="1:28" hidden="1" x14ac:dyDescent="0.25">
      <c r="A3768" t="s">
        <v>56</v>
      </c>
      <c r="B3768" t="s">
        <v>1160</v>
      </c>
      <c r="C3768" t="s">
        <v>212</v>
      </c>
      <c r="D3768" s="1">
        <v>46120</v>
      </c>
      <c r="E3768" s="1">
        <v>46120</v>
      </c>
      <c r="F3768" s="2">
        <v>0</v>
      </c>
      <c r="G3768" s="3" t="s">
        <v>48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 t="s">
        <v>377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</row>
    <row r="3769" spans="1:28" hidden="1" x14ac:dyDescent="0.25">
      <c r="A3769" t="s">
        <v>47</v>
      </c>
      <c r="B3769" t="s">
        <v>47</v>
      </c>
      <c r="C3769" t="s">
        <v>212</v>
      </c>
      <c r="D3769" s="1">
        <v>46120</v>
      </c>
      <c r="E3769" s="1">
        <v>46120</v>
      </c>
      <c r="F3769" s="2">
        <v>0</v>
      </c>
      <c r="G3769" s="3" t="s">
        <v>572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377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</row>
    <row r="3770" spans="1:28" hidden="1" x14ac:dyDescent="0.25">
      <c r="A3770" t="s">
        <v>47</v>
      </c>
      <c r="B3770" t="s">
        <v>47</v>
      </c>
      <c r="C3770" t="s">
        <v>212</v>
      </c>
      <c r="D3770" s="1">
        <v>46120</v>
      </c>
      <c r="E3770" s="1">
        <v>46120</v>
      </c>
      <c r="F3770" s="2">
        <v>0</v>
      </c>
      <c r="G3770" s="3" t="s">
        <v>572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377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</row>
    <row r="3771" spans="1:28" hidden="1" x14ac:dyDescent="0.25">
      <c r="A3771" t="s">
        <v>47</v>
      </c>
      <c r="B3771" t="s">
        <v>47</v>
      </c>
      <c r="C3771" t="s">
        <v>212</v>
      </c>
      <c r="D3771" s="1">
        <v>46120</v>
      </c>
      <c r="E3771" s="1">
        <v>46120</v>
      </c>
      <c r="F3771" s="2">
        <v>0</v>
      </c>
      <c r="G3771" s="3" t="s">
        <v>409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 t="s">
        <v>377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</row>
    <row r="3772" spans="1:28" hidden="1" x14ac:dyDescent="0.25">
      <c r="A3772" t="s">
        <v>730</v>
      </c>
      <c r="B3772" t="s">
        <v>38</v>
      </c>
      <c r="C3772" t="s">
        <v>212</v>
      </c>
      <c r="D3772" s="1">
        <v>46120</v>
      </c>
      <c r="E3772" s="1">
        <v>46120</v>
      </c>
      <c r="F3772" s="2">
        <v>0</v>
      </c>
      <c r="G3772" s="3" t="s">
        <v>129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377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</row>
    <row r="3773" spans="1:28" hidden="1" x14ac:dyDescent="0.25">
      <c r="A3773" t="s">
        <v>53</v>
      </c>
      <c r="B3773" t="s">
        <v>47</v>
      </c>
      <c r="C3773" t="s">
        <v>212</v>
      </c>
      <c r="D3773" s="1">
        <v>46120</v>
      </c>
      <c r="E3773" s="1">
        <v>46120</v>
      </c>
      <c r="F3773" s="2">
        <v>0</v>
      </c>
      <c r="G3773" s="3" t="s">
        <v>129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t="s">
        <v>377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</row>
    <row r="3774" spans="1:28" hidden="1" x14ac:dyDescent="0.25">
      <c r="A3774" t="s">
        <v>37</v>
      </c>
      <c r="B3774" t="s">
        <v>57</v>
      </c>
      <c r="C3774" t="s">
        <v>173</v>
      </c>
      <c r="D3774" s="1">
        <v>46121</v>
      </c>
      <c r="E3774" s="1">
        <v>46121</v>
      </c>
      <c r="F3774" s="2">
        <v>32</v>
      </c>
      <c r="G3774" s="3" t="s">
        <v>23</v>
      </c>
      <c r="H3774">
        <v>29</v>
      </c>
      <c r="I3774" s="2">
        <v>0</v>
      </c>
      <c r="J3774" s="2">
        <v>0</v>
      </c>
      <c r="K3774" s="2">
        <v>0</v>
      </c>
      <c r="L3774" s="2">
        <v>1</v>
      </c>
      <c r="M3774">
        <v>1</v>
      </c>
      <c r="N3774">
        <v>0</v>
      </c>
      <c r="O3774" s="2">
        <v>0</v>
      </c>
      <c r="P3774" s="2">
        <v>0</v>
      </c>
      <c r="Q3774">
        <v>0</v>
      </c>
      <c r="R3774" s="2">
        <v>0</v>
      </c>
      <c r="S3774" s="2">
        <v>0</v>
      </c>
      <c r="T3774" t="s">
        <v>1847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</row>
    <row r="3775" spans="1:28" hidden="1" x14ac:dyDescent="0.25">
      <c r="A3775" t="s">
        <v>25</v>
      </c>
      <c r="B3775" t="s">
        <v>26</v>
      </c>
      <c r="C3775" t="s">
        <v>27</v>
      </c>
      <c r="D3775" s="1">
        <v>46121</v>
      </c>
      <c r="E3775" s="1">
        <v>46121</v>
      </c>
      <c r="F3775" s="2">
        <v>20</v>
      </c>
      <c r="G3775" s="3" t="s">
        <v>23</v>
      </c>
      <c r="H3775">
        <v>52</v>
      </c>
      <c r="I3775" s="2">
        <v>0</v>
      </c>
      <c r="J3775" s="2">
        <v>0</v>
      </c>
      <c r="K3775" s="2">
        <v>1</v>
      </c>
      <c r="L3775" s="2">
        <v>0</v>
      </c>
      <c r="M3775">
        <v>0</v>
      </c>
      <c r="N3775">
        <v>0</v>
      </c>
      <c r="O3775" s="2">
        <v>0</v>
      </c>
      <c r="P3775" s="2">
        <v>0</v>
      </c>
      <c r="Q3775">
        <v>0</v>
      </c>
      <c r="R3775" s="2">
        <v>0</v>
      </c>
      <c r="S3775" s="2">
        <v>0</v>
      </c>
      <c r="T3775" t="s">
        <v>1848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</row>
    <row r="3776" spans="1:28" hidden="1" x14ac:dyDescent="0.25">
      <c r="A3776" t="s">
        <v>20</v>
      </c>
      <c r="B3776" t="s">
        <v>34</v>
      </c>
      <c r="C3776" t="s">
        <v>22</v>
      </c>
      <c r="D3776" s="1">
        <v>46121</v>
      </c>
      <c r="E3776" s="1">
        <v>46121</v>
      </c>
      <c r="F3776" s="2">
        <v>64</v>
      </c>
      <c r="G3776" s="3" t="s">
        <v>23</v>
      </c>
      <c r="H3776">
        <f>18+18</f>
        <v>36</v>
      </c>
      <c r="I3776" s="2">
        <v>0</v>
      </c>
      <c r="J3776" s="2">
        <v>0</v>
      </c>
      <c r="K3776" s="2">
        <v>1</v>
      </c>
      <c r="L3776" s="2">
        <v>0</v>
      </c>
      <c r="M3776">
        <v>0</v>
      </c>
      <c r="N3776">
        <v>0</v>
      </c>
      <c r="O3776" s="2">
        <v>0</v>
      </c>
      <c r="P3776" s="2">
        <v>0</v>
      </c>
      <c r="Q3776">
        <v>0</v>
      </c>
      <c r="R3776" s="2">
        <v>0</v>
      </c>
      <c r="S3776" s="2">
        <v>0</v>
      </c>
      <c r="T3776" t="s">
        <v>1849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</row>
    <row r="3777" spans="1:28" hidden="1" x14ac:dyDescent="0.25">
      <c r="A3777" t="s">
        <v>56</v>
      </c>
      <c r="B3777" t="s">
        <v>1160</v>
      </c>
      <c r="C3777" t="s">
        <v>64</v>
      </c>
      <c r="D3777" s="1">
        <v>46121</v>
      </c>
      <c r="E3777" s="1">
        <v>46121</v>
      </c>
      <c r="F3777" s="2">
        <v>28</v>
      </c>
      <c r="G3777" s="3" t="s">
        <v>23</v>
      </c>
      <c r="H3777">
        <f>50-8</f>
        <v>42</v>
      </c>
      <c r="I3777" s="2">
        <v>0</v>
      </c>
      <c r="J3777" s="2">
        <v>0</v>
      </c>
      <c r="K3777" s="2">
        <v>1</v>
      </c>
      <c r="L3777" s="2">
        <v>0</v>
      </c>
      <c r="M3777">
        <v>0</v>
      </c>
      <c r="N3777">
        <v>0</v>
      </c>
      <c r="O3777" s="2">
        <v>0</v>
      </c>
      <c r="P3777" s="2">
        <v>0</v>
      </c>
      <c r="Q3777">
        <v>0</v>
      </c>
      <c r="R3777" s="2">
        <v>0</v>
      </c>
      <c r="S3777" s="2">
        <v>0</v>
      </c>
      <c r="T3777" t="s">
        <v>1850</v>
      </c>
      <c r="U3777" s="2">
        <v>0</v>
      </c>
      <c r="V3777" s="2">
        <v>8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</row>
    <row r="3778" spans="1:28" hidden="1" x14ac:dyDescent="0.25">
      <c r="A3778" t="s">
        <v>63</v>
      </c>
      <c r="B3778" t="s">
        <v>38</v>
      </c>
      <c r="C3778" t="s">
        <v>102</v>
      </c>
      <c r="D3778" s="1">
        <v>46121</v>
      </c>
      <c r="E3778" s="1">
        <v>46121</v>
      </c>
      <c r="F3778" s="2">
        <v>17</v>
      </c>
      <c r="G3778" s="3" t="s">
        <v>23</v>
      </c>
      <c r="H3778">
        <f>6+4+6+4+2+2+2+2+1+1</f>
        <v>30</v>
      </c>
      <c r="I3778" s="2">
        <v>0</v>
      </c>
      <c r="J3778" s="2">
        <v>0</v>
      </c>
      <c r="K3778" s="2">
        <v>1</v>
      </c>
      <c r="L3778" s="2">
        <v>0</v>
      </c>
      <c r="M3778">
        <v>0</v>
      </c>
      <c r="N3778">
        <v>0</v>
      </c>
      <c r="O3778" s="2">
        <v>0</v>
      </c>
      <c r="P3778" s="2">
        <v>0</v>
      </c>
      <c r="Q3778">
        <v>0</v>
      </c>
      <c r="R3778" s="2">
        <v>0</v>
      </c>
      <c r="S3778" s="2">
        <v>0</v>
      </c>
      <c r="T3778" t="s">
        <v>1851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</row>
    <row r="3779" spans="1:28" hidden="1" x14ac:dyDescent="0.25">
      <c r="A3779" t="s">
        <v>29</v>
      </c>
      <c r="B3779" t="s">
        <v>30</v>
      </c>
      <c r="C3779" t="s">
        <v>31</v>
      </c>
      <c r="D3779" s="1">
        <v>46121</v>
      </c>
      <c r="E3779" s="1">
        <v>46121</v>
      </c>
      <c r="F3779" s="2">
        <v>25</v>
      </c>
      <c r="G3779" s="3" t="s">
        <v>23</v>
      </c>
      <c r="H3779">
        <v>35</v>
      </c>
      <c r="I3779" s="2">
        <v>0</v>
      </c>
      <c r="J3779" s="2">
        <v>0</v>
      </c>
      <c r="K3779" s="2">
        <v>1</v>
      </c>
      <c r="L3779" s="2">
        <v>0</v>
      </c>
      <c r="M3779">
        <v>0</v>
      </c>
      <c r="N3779">
        <v>0</v>
      </c>
      <c r="O3779" s="2">
        <v>0</v>
      </c>
      <c r="P3779" s="2">
        <v>0</v>
      </c>
      <c r="Q3779">
        <v>1</v>
      </c>
      <c r="R3779" s="2">
        <v>0</v>
      </c>
      <c r="S3779" s="2">
        <v>0</v>
      </c>
      <c r="T3779" t="s">
        <v>1852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</row>
    <row r="3780" spans="1:28" hidden="1" x14ac:dyDescent="0.25">
      <c r="A3780" t="s">
        <v>47</v>
      </c>
      <c r="B3780" t="s">
        <v>1323</v>
      </c>
      <c r="C3780" t="s">
        <v>31</v>
      </c>
      <c r="D3780" s="1">
        <v>46121</v>
      </c>
      <c r="E3780" s="1">
        <v>46121</v>
      </c>
      <c r="F3780" s="2">
        <v>25</v>
      </c>
      <c r="G3780" s="3" t="s">
        <v>23</v>
      </c>
      <c r="H3780">
        <v>13</v>
      </c>
      <c r="I3780" s="2">
        <v>0</v>
      </c>
      <c r="J3780" s="2">
        <v>0</v>
      </c>
      <c r="K3780" s="2">
        <v>0</v>
      </c>
      <c r="L3780" s="2">
        <v>0</v>
      </c>
      <c r="M3780">
        <v>0</v>
      </c>
      <c r="N3780">
        <v>0</v>
      </c>
      <c r="O3780" s="2">
        <v>0</v>
      </c>
      <c r="P3780" s="2">
        <v>0</v>
      </c>
      <c r="Q3780">
        <v>1</v>
      </c>
      <c r="R3780" s="2">
        <v>0</v>
      </c>
      <c r="S3780" s="2">
        <v>0</v>
      </c>
      <c r="T3780" t="s">
        <v>1852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</row>
    <row r="3781" spans="1:28" hidden="1" x14ac:dyDescent="0.25">
      <c r="A3781" t="s">
        <v>33</v>
      </c>
      <c r="B3781" t="s">
        <v>284</v>
      </c>
      <c r="C3781" t="s">
        <v>212</v>
      </c>
      <c r="D3781" s="1">
        <v>46121</v>
      </c>
      <c r="E3781" s="1">
        <v>46121</v>
      </c>
      <c r="F3781" s="2">
        <v>0</v>
      </c>
      <c r="G3781" s="3" t="s">
        <v>48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377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</row>
    <row r="3782" spans="1:28" hidden="1" x14ac:dyDescent="0.25">
      <c r="A3782" t="s">
        <v>47</v>
      </c>
      <c r="B3782" t="s">
        <v>47</v>
      </c>
      <c r="C3782" t="s">
        <v>212</v>
      </c>
      <c r="D3782" s="1">
        <v>46121</v>
      </c>
      <c r="E3782" s="1">
        <v>46121</v>
      </c>
      <c r="F3782" s="2">
        <v>0</v>
      </c>
      <c r="G3782" s="3" t="s">
        <v>48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 t="s">
        <v>377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</row>
    <row r="3783" spans="1:28" hidden="1" x14ac:dyDescent="0.25">
      <c r="A3783" t="s">
        <v>47</v>
      </c>
      <c r="B3783" t="s">
        <v>21</v>
      </c>
      <c r="C3783" t="s">
        <v>212</v>
      </c>
      <c r="D3783" s="1">
        <v>46121</v>
      </c>
      <c r="E3783" s="1">
        <v>46121</v>
      </c>
      <c r="F3783" s="2">
        <v>0</v>
      </c>
      <c r="G3783" s="3" t="s">
        <v>572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 t="s">
        <v>377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</row>
    <row r="3784" spans="1:28" hidden="1" x14ac:dyDescent="0.25">
      <c r="A3784" t="s">
        <v>47</v>
      </c>
      <c r="B3784" t="s">
        <v>47</v>
      </c>
      <c r="C3784" t="s">
        <v>212</v>
      </c>
      <c r="D3784" s="1">
        <v>46121</v>
      </c>
      <c r="E3784" s="1">
        <v>46121</v>
      </c>
      <c r="F3784" s="2">
        <v>0</v>
      </c>
      <c r="G3784" s="3" t="s">
        <v>572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 t="s">
        <v>377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</row>
    <row r="3785" spans="1:28" hidden="1" x14ac:dyDescent="0.25">
      <c r="A3785" t="s">
        <v>47</v>
      </c>
      <c r="B3785" t="s">
        <v>47</v>
      </c>
      <c r="C3785" t="s">
        <v>212</v>
      </c>
      <c r="D3785" s="1">
        <v>46121</v>
      </c>
      <c r="E3785" s="1">
        <v>46121</v>
      </c>
      <c r="F3785" s="2">
        <v>0</v>
      </c>
      <c r="G3785" s="3" t="s">
        <v>409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377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</row>
    <row r="3786" spans="1:28" hidden="1" x14ac:dyDescent="0.25">
      <c r="A3786" t="s">
        <v>730</v>
      </c>
      <c r="B3786" t="s">
        <v>47</v>
      </c>
      <c r="C3786" t="s">
        <v>212</v>
      </c>
      <c r="D3786" s="1">
        <v>46121</v>
      </c>
      <c r="E3786" s="1">
        <v>46121</v>
      </c>
      <c r="F3786" s="2">
        <v>0</v>
      </c>
      <c r="G3786" s="3" t="s">
        <v>129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377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</row>
    <row r="3787" spans="1:28" hidden="1" x14ac:dyDescent="0.25">
      <c r="A3787" t="s">
        <v>53</v>
      </c>
      <c r="B3787" t="s">
        <v>47</v>
      </c>
      <c r="C3787" t="s">
        <v>212</v>
      </c>
      <c r="D3787" s="1">
        <v>46121</v>
      </c>
      <c r="E3787" s="1">
        <v>46121</v>
      </c>
      <c r="F3787" s="2">
        <v>0</v>
      </c>
      <c r="G3787" s="3" t="s">
        <v>129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 t="s">
        <v>377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</row>
    <row r="3788" spans="1:28" hidden="1" x14ac:dyDescent="0.25">
      <c r="A3788" t="s">
        <v>20</v>
      </c>
      <c r="B3788" t="s">
        <v>21</v>
      </c>
      <c r="C3788" t="s">
        <v>22</v>
      </c>
      <c r="D3788" s="1">
        <v>46122</v>
      </c>
      <c r="E3788" s="1">
        <v>46122</v>
      </c>
      <c r="F3788" s="2">
        <v>69</v>
      </c>
      <c r="G3788" s="3" t="s">
        <v>23</v>
      </c>
      <c r="H3788">
        <f>32-6</f>
        <v>26</v>
      </c>
      <c r="I3788" s="2">
        <v>0</v>
      </c>
      <c r="J3788" s="2">
        <v>1</v>
      </c>
      <c r="K3788" s="2">
        <v>0</v>
      </c>
      <c r="L3788" s="2">
        <v>1</v>
      </c>
      <c r="M3788">
        <v>0</v>
      </c>
      <c r="N3788">
        <v>0</v>
      </c>
      <c r="O3788" s="2">
        <v>0</v>
      </c>
      <c r="P3788" s="2">
        <v>0</v>
      </c>
      <c r="Q3788">
        <v>0</v>
      </c>
      <c r="R3788" s="2">
        <v>0</v>
      </c>
      <c r="S3788" s="2">
        <v>0</v>
      </c>
      <c r="T3788" t="s">
        <v>1853</v>
      </c>
      <c r="U3788" s="2">
        <v>0</v>
      </c>
      <c r="V3788" s="2">
        <v>6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</row>
    <row r="3789" spans="1:28" hidden="1" x14ac:dyDescent="0.25">
      <c r="A3789" t="s">
        <v>25</v>
      </c>
      <c r="B3789" t="s">
        <v>26</v>
      </c>
      <c r="C3789" t="s">
        <v>27</v>
      </c>
      <c r="D3789" s="1">
        <v>46122</v>
      </c>
      <c r="E3789" s="1">
        <v>46122</v>
      </c>
      <c r="F3789" s="2">
        <v>24</v>
      </c>
      <c r="G3789" s="3" t="s">
        <v>23</v>
      </c>
      <c r="H3789">
        <v>30</v>
      </c>
      <c r="I3789" s="2">
        <v>0</v>
      </c>
      <c r="J3789" s="2">
        <v>0</v>
      </c>
      <c r="K3789" s="2">
        <v>1</v>
      </c>
      <c r="L3789" s="2">
        <v>0</v>
      </c>
      <c r="M3789">
        <v>0</v>
      </c>
      <c r="N3789">
        <v>0</v>
      </c>
      <c r="O3789" s="2">
        <v>0</v>
      </c>
      <c r="P3789" s="2">
        <v>0</v>
      </c>
      <c r="Q3789">
        <v>0</v>
      </c>
      <c r="R3789" s="2">
        <v>0</v>
      </c>
      <c r="S3789" s="2">
        <v>0</v>
      </c>
      <c r="T3789" t="s">
        <v>1854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</row>
    <row r="3790" spans="1:28" hidden="1" x14ac:dyDescent="0.25">
      <c r="A3790" t="s">
        <v>33</v>
      </c>
      <c r="B3790" t="s">
        <v>1323</v>
      </c>
      <c r="C3790" t="s">
        <v>35</v>
      </c>
      <c r="D3790" s="1">
        <v>46122</v>
      </c>
      <c r="E3790" s="1">
        <v>46122</v>
      </c>
      <c r="F3790" s="2">
        <v>26</v>
      </c>
      <c r="G3790" s="3" t="s">
        <v>23</v>
      </c>
      <c r="H3790">
        <v>54</v>
      </c>
      <c r="I3790" s="2">
        <v>0</v>
      </c>
      <c r="J3790" s="2">
        <v>1</v>
      </c>
      <c r="K3790" s="2">
        <v>1</v>
      </c>
      <c r="L3790" s="2">
        <v>0</v>
      </c>
      <c r="M3790">
        <v>1</v>
      </c>
      <c r="N3790">
        <v>0</v>
      </c>
      <c r="O3790" s="2">
        <v>0</v>
      </c>
      <c r="P3790" s="2">
        <v>0</v>
      </c>
      <c r="Q3790">
        <v>0</v>
      </c>
      <c r="R3790" s="2">
        <v>0</v>
      </c>
      <c r="S3790" s="2">
        <v>0</v>
      </c>
      <c r="T3790" t="s">
        <v>1855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</row>
    <row r="3791" spans="1:28" hidden="1" x14ac:dyDescent="0.25">
      <c r="A3791" t="s">
        <v>56</v>
      </c>
      <c r="B3791" t="s">
        <v>1160</v>
      </c>
      <c r="C3791" t="s">
        <v>64</v>
      </c>
      <c r="D3791" s="1">
        <v>46122</v>
      </c>
      <c r="E3791" s="1">
        <v>46122</v>
      </c>
      <c r="F3791" s="2">
        <v>55</v>
      </c>
      <c r="G3791" s="3" t="s">
        <v>23</v>
      </c>
      <c r="H3791">
        <f>31</f>
        <v>31</v>
      </c>
      <c r="I3791" s="2">
        <v>0</v>
      </c>
      <c r="J3791" s="2">
        <v>1</v>
      </c>
      <c r="K3791" s="2">
        <v>1</v>
      </c>
      <c r="L3791" s="2">
        <v>0</v>
      </c>
      <c r="M3791">
        <v>1</v>
      </c>
      <c r="N3791">
        <v>0</v>
      </c>
      <c r="O3791" s="2">
        <v>0</v>
      </c>
      <c r="P3791" s="2">
        <v>0</v>
      </c>
      <c r="Q3791">
        <v>0</v>
      </c>
      <c r="R3791" s="2">
        <v>0</v>
      </c>
      <c r="S3791" s="2">
        <v>0</v>
      </c>
      <c r="T3791" t="s">
        <v>1856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</row>
    <row r="3792" spans="1:28" hidden="1" x14ac:dyDescent="0.25">
      <c r="A3792" t="s">
        <v>63</v>
      </c>
      <c r="B3792" t="s">
        <v>284</v>
      </c>
      <c r="C3792" t="s">
        <v>102</v>
      </c>
      <c r="D3792" s="1">
        <v>46122</v>
      </c>
      <c r="E3792" s="1">
        <v>46122</v>
      </c>
      <c r="F3792" s="2">
        <v>19</v>
      </c>
      <c r="G3792" s="3" t="s">
        <v>23</v>
      </c>
      <c r="H3792">
        <v>32</v>
      </c>
      <c r="I3792" s="2">
        <v>0</v>
      </c>
      <c r="J3792" s="2">
        <v>1</v>
      </c>
      <c r="K3792" s="2">
        <v>1</v>
      </c>
      <c r="L3792" s="2">
        <v>0</v>
      </c>
      <c r="M3792">
        <v>0</v>
      </c>
      <c r="N3792">
        <v>0</v>
      </c>
      <c r="O3792" s="2">
        <v>0</v>
      </c>
      <c r="P3792" s="2">
        <v>0</v>
      </c>
      <c r="Q3792">
        <v>0</v>
      </c>
      <c r="R3792" s="2">
        <v>0</v>
      </c>
      <c r="S3792" s="2">
        <v>0</v>
      </c>
      <c r="T3792" t="s">
        <v>1857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</row>
    <row r="3793" spans="1:28" hidden="1" x14ac:dyDescent="0.25">
      <c r="A3793" t="s">
        <v>29</v>
      </c>
      <c r="B3793" t="s">
        <v>30</v>
      </c>
      <c r="C3793" t="s">
        <v>35</v>
      </c>
      <c r="D3793" s="1">
        <v>46122</v>
      </c>
      <c r="E3793" s="1">
        <v>46122</v>
      </c>
      <c r="F3793" s="2">
        <v>36</v>
      </c>
      <c r="G3793" s="3" t="s">
        <v>23</v>
      </c>
      <c r="H3793">
        <f>8+8</f>
        <v>16</v>
      </c>
      <c r="I3793" s="2">
        <v>0</v>
      </c>
      <c r="J3793" s="2">
        <v>1</v>
      </c>
      <c r="K3793" s="2">
        <v>1</v>
      </c>
      <c r="L3793" s="2">
        <v>0</v>
      </c>
      <c r="M3793">
        <v>0</v>
      </c>
      <c r="N3793">
        <v>0</v>
      </c>
      <c r="O3793" s="2">
        <v>0</v>
      </c>
      <c r="P3793" s="2">
        <v>0</v>
      </c>
      <c r="Q3793">
        <v>0</v>
      </c>
      <c r="R3793" s="2">
        <v>0</v>
      </c>
      <c r="S3793" s="2">
        <v>0</v>
      </c>
      <c r="T3793" t="s">
        <v>1858</v>
      </c>
      <c r="U3793" s="2">
        <v>0</v>
      </c>
      <c r="V3793" s="2">
        <v>4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</row>
    <row r="3794" spans="1:28" hidden="1" x14ac:dyDescent="0.25">
      <c r="A3794" t="s">
        <v>730</v>
      </c>
      <c r="B3794" t="s">
        <v>38</v>
      </c>
      <c r="C3794" t="s">
        <v>35</v>
      </c>
      <c r="D3794" s="1">
        <v>46122</v>
      </c>
      <c r="E3794" s="1">
        <v>46122</v>
      </c>
      <c r="F3794" s="2">
        <v>36</v>
      </c>
      <c r="G3794" s="3" t="s">
        <v>23</v>
      </c>
      <c r="H3794">
        <v>10</v>
      </c>
      <c r="I3794" s="2">
        <v>0</v>
      </c>
      <c r="J3794" s="2">
        <v>1</v>
      </c>
      <c r="K3794" s="2">
        <v>1</v>
      </c>
      <c r="L3794" s="2">
        <v>0</v>
      </c>
      <c r="M3794">
        <v>0</v>
      </c>
      <c r="N3794">
        <v>0</v>
      </c>
      <c r="O3794" s="2">
        <v>0</v>
      </c>
      <c r="P3794" s="2">
        <v>0</v>
      </c>
      <c r="Q3794">
        <v>0</v>
      </c>
      <c r="R3794" s="2">
        <v>0</v>
      </c>
      <c r="S3794" s="2">
        <v>0</v>
      </c>
      <c r="T3794" t="s">
        <v>1858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</row>
    <row r="3795" spans="1:28" hidden="1" x14ac:dyDescent="0.25">
      <c r="A3795" t="s">
        <v>37</v>
      </c>
      <c r="B3795" t="s">
        <v>57</v>
      </c>
      <c r="C3795" t="s">
        <v>212</v>
      </c>
      <c r="D3795" s="1">
        <v>46122</v>
      </c>
      <c r="E3795" s="1">
        <v>46122</v>
      </c>
      <c r="F3795" s="2">
        <v>0</v>
      </c>
      <c r="G3795" s="3" t="s">
        <v>48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377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</row>
    <row r="3796" spans="1:28" hidden="1" x14ac:dyDescent="0.25">
      <c r="A3796" t="s">
        <v>47</v>
      </c>
      <c r="B3796" t="s">
        <v>34</v>
      </c>
      <c r="C3796" t="s">
        <v>212</v>
      </c>
      <c r="D3796" s="1">
        <v>46122</v>
      </c>
      <c r="E3796" s="1">
        <v>46122</v>
      </c>
      <c r="F3796" s="2">
        <v>0</v>
      </c>
      <c r="G3796" s="3" t="s">
        <v>48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377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</row>
    <row r="3797" spans="1:28" hidden="1" x14ac:dyDescent="0.25">
      <c r="A3797" t="s">
        <v>1431</v>
      </c>
      <c r="B3797" t="s">
        <v>47</v>
      </c>
      <c r="C3797" t="s">
        <v>212</v>
      </c>
      <c r="D3797" s="1">
        <v>46122</v>
      </c>
      <c r="E3797" s="1">
        <v>46122</v>
      </c>
      <c r="F3797" s="2">
        <v>0</v>
      </c>
      <c r="G3797" s="3" t="s">
        <v>23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T3797" t="s">
        <v>377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</row>
    <row r="3798" spans="1:28" hidden="1" x14ac:dyDescent="0.25">
      <c r="A3798" t="s">
        <v>47</v>
      </c>
      <c r="B3798" t="s">
        <v>47</v>
      </c>
      <c r="C3798" t="s">
        <v>212</v>
      </c>
      <c r="D3798" s="1">
        <v>46122</v>
      </c>
      <c r="E3798" s="1">
        <v>46122</v>
      </c>
      <c r="F3798" s="2">
        <v>0</v>
      </c>
      <c r="G3798" s="3" t="s">
        <v>572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 t="s">
        <v>377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</row>
    <row r="3799" spans="1:28" hidden="1" x14ac:dyDescent="0.25">
      <c r="A3799" t="s">
        <v>47</v>
      </c>
      <c r="B3799" t="s">
        <v>47</v>
      </c>
      <c r="C3799" t="s">
        <v>212</v>
      </c>
      <c r="D3799" s="1">
        <v>46122</v>
      </c>
      <c r="E3799" s="1">
        <v>46122</v>
      </c>
      <c r="F3799" s="2">
        <v>0</v>
      </c>
      <c r="G3799" s="3" t="s">
        <v>409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 t="s">
        <v>377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</row>
    <row r="3800" spans="1:28" hidden="1" x14ac:dyDescent="0.25">
      <c r="A3800" t="s">
        <v>53</v>
      </c>
      <c r="B3800" t="s">
        <v>47</v>
      </c>
      <c r="C3800" t="s">
        <v>212</v>
      </c>
      <c r="D3800" s="1">
        <v>46122</v>
      </c>
      <c r="E3800" s="1">
        <v>46122</v>
      </c>
      <c r="F3800" s="2">
        <v>0</v>
      </c>
      <c r="G3800" s="3" t="s">
        <v>129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 t="s">
        <v>377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</row>
    <row r="3801" spans="1:28" hidden="1" x14ac:dyDescent="0.25">
      <c r="A3801" t="s">
        <v>37</v>
      </c>
      <c r="B3801" t="s">
        <v>57</v>
      </c>
      <c r="C3801" t="s">
        <v>173</v>
      </c>
      <c r="D3801" s="9">
        <v>46123</v>
      </c>
      <c r="E3801" s="9">
        <v>46123</v>
      </c>
      <c r="F3801" s="2">
        <v>17</v>
      </c>
      <c r="G3801" s="3" t="s">
        <v>23</v>
      </c>
      <c r="H3801">
        <v>0</v>
      </c>
      <c r="I3801" s="2">
        <v>0</v>
      </c>
      <c r="J3801" s="2">
        <v>0</v>
      </c>
      <c r="K3801" s="2">
        <v>0</v>
      </c>
      <c r="L3801" s="2">
        <v>0</v>
      </c>
      <c r="M3801">
        <v>0</v>
      </c>
      <c r="N3801">
        <v>0</v>
      </c>
      <c r="O3801" s="2">
        <v>1</v>
      </c>
      <c r="P3801" s="2">
        <v>0</v>
      </c>
      <c r="Q3801">
        <v>2</v>
      </c>
      <c r="R3801" s="2">
        <v>1</v>
      </c>
      <c r="S3801" s="2">
        <v>0</v>
      </c>
      <c r="T3801" t="s">
        <v>1859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</row>
    <row r="3802" spans="1:28" hidden="1" x14ac:dyDescent="0.25">
      <c r="A3802" t="s">
        <v>25</v>
      </c>
      <c r="B3802" t="s">
        <v>26</v>
      </c>
      <c r="C3802" t="s">
        <v>27</v>
      </c>
      <c r="D3802" s="9">
        <v>46123</v>
      </c>
      <c r="E3802" s="9">
        <v>46123</v>
      </c>
      <c r="F3802" s="2">
        <v>28</v>
      </c>
      <c r="G3802" s="3" t="s">
        <v>23</v>
      </c>
      <c r="H3802">
        <v>0</v>
      </c>
      <c r="I3802" s="2">
        <v>0</v>
      </c>
      <c r="J3802" s="2">
        <v>0</v>
      </c>
      <c r="K3802" s="2">
        <v>0</v>
      </c>
      <c r="L3802" s="2">
        <v>0</v>
      </c>
      <c r="M3802">
        <v>0</v>
      </c>
      <c r="N3802">
        <v>0</v>
      </c>
      <c r="O3802" s="2">
        <v>0</v>
      </c>
      <c r="P3802" s="2">
        <v>0</v>
      </c>
      <c r="Q3802">
        <v>1</v>
      </c>
      <c r="R3802" s="2">
        <v>1</v>
      </c>
      <c r="S3802" s="2">
        <v>0</v>
      </c>
      <c r="T3802" t="s">
        <v>1860</v>
      </c>
      <c r="U3802" s="2">
        <f>12+5</f>
        <v>17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1</v>
      </c>
      <c r="AB3802" s="2">
        <v>0</v>
      </c>
    </row>
    <row r="3803" spans="1:28" hidden="1" x14ac:dyDescent="0.25">
      <c r="A3803" t="s">
        <v>33</v>
      </c>
      <c r="B3803" t="s">
        <v>34</v>
      </c>
      <c r="C3803" t="s">
        <v>35</v>
      </c>
      <c r="D3803" s="9">
        <v>46123</v>
      </c>
      <c r="E3803" s="9">
        <v>46123</v>
      </c>
      <c r="F3803" s="2">
        <v>73</v>
      </c>
      <c r="G3803" s="3" t="s">
        <v>23</v>
      </c>
      <c r="H3803">
        <v>0</v>
      </c>
      <c r="I3803" s="2">
        <v>0</v>
      </c>
      <c r="J3803" s="2">
        <v>0</v>
      </c>
      <c r="K3803" s="2">
        <v>0</v>
      </c>
      <c r="L3803" s="2">
        <v>0</v>
      </c>
      <c r="M3803">
        <v>0</v>
      </c>
      <c r="N3803">
        <v>0</v>
      </c>
      <c r="O3803" s="2">
        <v>1</v>
      </c>
      <c r="P3803" s="2">
        <v>0</v>
      </c>
      <c r="Q3803">
        <v>2</v>
      </c>
      <c r="R3803" s="2">
        <v>1</v>
      </c>
      <c r="S3803" s="2">
        <v>0</v>
      </c>
      <c r="T3803" t="s">
        <v>1861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</row>
    <row r="3804" spans="1:28" hidden="1" x14ac:dyDescent="0.25">
      <c r="A3804" t="s">
        <v>56</v>
      </c>
      <c r="B3804" t="s">
        <v>1160</v>
      </c>
      <c r="C3804" t="s">
        <v>64</v>
      </c>
      <c r="D3804" s="9">
        <v>46123</v>
      </c>
      <c r="E3804" s="9">
        <v>46123</v>
      </c>
      <c r="F3804" s="2">
        <v>16</v>
      </c>
      <c r="G3804" s="3" t="s">
        <v>23</v>
      </c>
      <c r="H3804">
        <v>0</v>
      </c>
      <c r="I3804" s="2">
        <v>0</v>
      </c>
      <c r="J3804" s="2">
        <v>0</v>
      </c>
      <c r="K3804" s="2">
        <v>0</v>
      </c>
      <c r="L3804" s="2">
        <v>0</v>
      </c>
      <c r="M3804">
        <v>0</v>
      </c>
      <c r="N3804">
        <v>0</v>
      </c>
      <c r="O3804" s="2">
        <v>1</v>
      </c>
      <c r="P3804" s="2">
        <v>0</v>
      </c>
      <c r="Q3804">
        <v>3</v>
      </c>
      <c r="R3804" s="2">
        <v>1</v>
      </c>
      <c r="S3804" s="2">
        <v>0</v>
      </c>
      <c r="T3804" t="s">
        <v>1862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</row>
    <row r="3805" spans="1:28" hidden="1" x14ac:dyDescent="0.25">
      <c r="A3805" t="s">
        <v>63</v>
      </c>
      <c r="B3805" t="s">
        <v>284</v>
      </c>
      <c r="C3805" t="s">
        <v>102</v>
      </c>
      <c r="D3805" s="9">
        <v>46123</v>
      </c>
      <c r="E3805" s="9">
        <v>46123</v>
      </c>
      <c r="F3805" s="2">
        <v>46</v>
      </c>
      <c r="G3805" s="3" t="s">
        <v>23</v>
      </c>
      <c r="H3805">
        <v>0</v>
      </c>
      <c r="I3805" s="2">
        <v>0</v>
      </c>
      <c r="J3805" s="2">
        <v>0</v>
      </c>
      <c r="K3805" s="2">
        <v>0</v>
      </c>
      <c r="L3805" s="2">
        <v>0</v>
      </c>
      <c r="M3805">
        <v>0</v>
      </c>
      <c r="N3805">
        <v>0</v>
      </c>
      <c r="O3805" s="2">
        <v>1</v>
      </c>
      <c r="P3805" s="2">
        <v>0</v>
      </c>
      <c r="Q3805">
        <v>6</v>
      </c>
      <c r="R3805" s="2">
        <v>1</v>
      </c>
      <c r="S3805" s="2">
        <v>0</v>
      </c>
      <c r="T3805" t="s">
        <v>1863</v>
      </c>
      <c r="U3805" s="2">
        <v>14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</row>
    <row r="3806" spans="1:28" hidden="1" x14ac:dyDescent="0.25">
      <c r="A3806" t="s">
        <v>29</v>
      </c>
      <c r="B3806" t="s">
        <v>30</v>
      </c>
      <c r="C3806" t="s">
        <v>31</v>
      </c>
      <c r="D3806" s="9">
        <v>46123</v>
      </c>
      <c r="E3806" s="9">
        <v>46123</v>
      </c>
      <c r="F3806" s="2">
        <v>77</v>
      </c>
      <c r="G3806" s="3" t="s">
        <v>23</v>
      </c>
      <c r="H3806">
        <v>0</v>
      </c>
      <c r="I3806" s="2">
        <v>0</v>
      </c>
      <c r="J3806" s="2">
        <v>0</v>
      </c>
      <c r="K3806" s="2">
        <v>0</v>
      </c>
      <c r="L3806" s="2">
        <v>0</v>
      </c>
      <c r="M3806">
        <v>0</v>
      </c>
      <c r="N3806">
        <v>0</v>
      </c>
      <c r="O3806" s="2">
        <v>1</v>
      </c>
      <c r="P3806" s="2">
        <v>0</v>
      </c>
      <c r="Q3806">
        <v>4</v>
      </c>
      <c r="R3806" s="2">
        <v>1</v>
      </c>
      <c r="S3806" s="2">
        <v>0</v>
      </c>
      <c r="T3806" t="s">
        <v>1864</v>
      </c>
      <c r="U3806" s="2">
        <v>18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</row>
    <row r="3807" spans="1:28" hidden="1" x14ac:dyDescent="0.25">
      <c r="A3807" t="s">
        <v>47</v>
      </c>
      <c r="B3807" t="s">
        <v>47</v>
      </c>
      <c r="C3807" t="s">
        <v>212</v>
      </c>
      <c r="D3807" s="9">
        <v>46123</v>
      </c>
      <c r="E3807" s="9">
        <v>46123</v>
      </c>
      <c r="F3807" s="2">
        <v>0</v>
      </c>
      <c r="G3807" s="3" t="s">
        <v>378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 t="s">
        <v>377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</row>
    <row r="3808" spans="1:28" hidden="1" x14ac:dyDescent="0.25">
      <c r="A3808" t="s">
        <v>47</v>
      </c>
      <c r="B3808" t="s">
        <v>1323</v>
      </c>
      <c r="C3808" t="s">
        <v>212</v>
      </c>
      <c r="D3808" s="9">
        <v>46123</v>
      </c>
      <c r="E3808" s="9">
        <v>46123</v>
      </c>
      <c r="F3808" s="2">
        <v>0</v>
      </c>
      <c r="G3808" s="3" t="s">
        <v>378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377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</row>
    <row r="3809" spans="1:28" hidden="1" x14ac:dyDescent="0.25">
      <c r="A3809" t="s">
        <v>20</v>
      </c>
      <c r="B3809" t="s">
        <v>21</v>
      </c>
      <c r="C3809" t="s">
        <v>212</v>
      </c>
      <c r="D3809" s="9">
        <v>46123</v>
      </c>
      <c r="E3809" s="9">
        <v>46123</v>
      </c>
      <c r="F3809" s="2">
        <v>0</v>
      </c>
      <c r="G3809" s="3" t="s">
        <v>378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377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</row>
    <row r="3810" spans="1:28" hidden="1" x14ac:dyDescent="0.25">
      <c r="A3810" t="s">
        <v>730</v>
      </c>
      <c r="B3810" t="s">
        <v>38</v>
      </c>
      <c r="C3810" t="s">
        <v>212</v>
      </c>
      <c r="D3810" s="9">
        <v>46123</v>
      </c>
      <c r="E3810" s="9">
        <v>46123</v>
      </c>
      <c r="F3810" s="2">
        <v>0</v>
      </c>
      <c r="G3810" s="3" t="s">
        <v>23</v>
      </c>
      <c r="H3810">
        <v>0</v>
      </c>
      <c r="I3810" s="2">
        <v>0</v>
      </c>
      <c r="J3810" s="2">
        <v>0</v>
      </c>
      <c r="K3810" s="2">
        <v>0</v>
      </c>
      <c r="L3810" s="2">
        <v>0</v>
      </c>
      <c r="M3810">
        <v>0</v>
      </c>
      <c r="N3810">
        <v>0</v>
      </c>
      <c r="O3810" s="2">
        <v>1</v>
      </c>
      <c r="P3810" s="2">
        <v>0</v>
      </c>
      <c r="Q3810">
        <v>4</v>
      </c>
      <c r="R3810" s="2">
        <v>1</v>
      </c>
      <c r="S3810">
        <v>0</v>
      </c>
      <c r="T3810" t="s">
        <v>377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</row>
    <row r="3811" spans="1:28" hidden="1" x14ac:dyDescent="0.25">
      <c r="A3811" t="s">
        <v>47</v>
      </c>
      <c r="B3811" t="s">
        <v>1323</v>
      </c>
      <c r="C3811" t="s">
        <v>212</v>
      </c>
      <c r="D3811" s="9">
        <v>46123</v>
      </c>
      <c r="E3811" s="9">
        <v>46123</v>
      </c>
      <c r="F3811" s="2">
        <v>0</v>
      </c>
      <c r="G3811" s="3" t="s">
        <v>23</v>
      </c>
      <c r="H3811">
        <v>0</v>
      </c>
      <c r="I3811" s="2">
        <v>0</v>
      </c>
      <c r="J3811" s="2">
        <v>0</v>
      </c>
      <c r="K3811" s="2">
        <v>0</v>
      </c>
      <c r="L3811" s="2">
        <v>0</v>
      </c>
      <c r="M3811">
        <v>0</v>
      </c>
      <c r="N3811">
        <v>0</v>
      </c>
      <c r="O3811" s="2">
        <v>1</v>
      </c>
      <c r="P3811" s="2">
        <v>0</v>
      </c>
      <c r="Q3811">
        <v>4</v>
      </c>
      <c r="R3811" s="2">
        <v>1</v>
      </c>
      <c r="S3811">
        <v>0</v>
      </c>
      <c r="T3811" t="s">
        <v>377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</row>
    <row r="3812" spans="1:28" hidden="1" x14ac:dyDescent="0.25">
      <c r="A3812" t="s">
        <v>47</v>
      </c>
      <c r="B3812" t="s">
        <v>47</v>
      </c>
      <c r="C3812" t="s">
        <v>212</v>
      </c>
      <c r="D3812" s="9">
        <v>46123</v>
      </c>
      <c r="E3812" s="9">
        <v>46123</v>
      </c>
      <c r="F3812" s="2">
        <v>0</v>
      </c>
      <c r="G3812" s="3" t="s">
        <v>378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377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</row>
    <row r="3813" spans="1:28" hidden="1" x14ac:dyDescent="0.25">
      <c r="A3813" t="s">
        <v>47</v>
      </c>
      <c r="B3813" t="s">
        <v>47</v>
      </c>
      <c r="C3813" t="s">
        <v>212</v>
      </c>
      <c r="D3813" s="9">
        <v>46123</v>
      </c>
      <c r="E3813" s="9">
        <v>46123</v>
      </c>
      <c r="F3813" s="2">
        <v>0</v>
      </c>
      <c r="G3813" s="3" t="s">
        <v>378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377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</row>
    <row r="3814" spans="1:28" hidden="1" x14ac:dyDescent="0.25">
      <c r="A3814" t="s">
        <v>1865</v>
      </c>
      <c r="B3814" t="s">
        <v>47</v>
      </c>
      <c r="C3814" t="s">
        <v>212</v>
      </c>
      <c r="D3814" s="9">
        <v>46123</v>
      </c>
      <c r="E3814" s="9">
        <v>46123</v>
      </c>
      <c r="F3814" s="2">
        <v>0</v>
      </c>
      <c r="G3814" s="3" t="s">
        <v>129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377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</row>
    <row r="3815" spans="1:28" hidden="1" x14ac:dyDescent="0.25">
      <c r="A3815" t="s">
        <v>37</v>
      </c>
      <c r="B3815" t="s">
        <v>57</v>
      </c>
      <c r="C3815" t="s">
        <v>173</v>
      </c>
      <c r="D3815" s="9">
        <v>46124</v>
      </c>
      <c r="E3815" s="9">
        <v>46124</v>
      </c>
      <c r="F3815" s="2">
        <v>22</v>
      </c>
      <c r="G3815" s="3" t="s">
        <v>23</v>
      </c>
      <c r="H3815">
        <v>0</v>
      </c>
      <c r="I3815" s="2">
        <v>0</v>
      </c>
      <c r="J3815" s="2">
        <v>0</v>
      </c>
      <c r="K3815" s="2">
        <v>0</v>
      </c>
      <c r="L3815" s="2">
        <v>0</v>
      </c>
      <c r="M3815">
        <v>0</v>
      </c>
      <c r="N3815">
        <v>0</v>
      </c>
      <c r="O3815" s="2">
        <v>0</v>
      </c>
      <c r="P3815" s="2">
        <v>0</v>
      </c>
      <c r="Q3815">
        <v>3</v>
      </c>
      <c r="R3815" s="2">
        <v>0</v>
      </c>
      <c r="S3815" s="2">
        <v>1</v>
      </c>
      <c r="T3815" t="s">
        <v>1866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</v>
      </c>
    </row>
    <row r="3816" spans="1:28" hidden="1" x14ac:dyDescent="0.25">
      <c r="A3816" t="s">
        <v>25</v>
      </c>
      <c r="B3816" t="s">
        <v>26</v>
      </c>
      <c r="C3816" t="s">
        <v>27</v>
      </c>
      <c r="D3816" s="9">
        <v>46124</v>
      </c>
      <c r="E3816" s="9">
        <v>46124</v>
      </c>
      <c r="F3816" s="2">
        <v>21</v>
      </c>
      <c r="G3816" s="3" t="s">
        <v>23</v>
      </c>
      <c r="H3816">
        <v>0</v>
      </c>
      <c r="I3816" s="2">
        <v>0</v>
      </c>
      <c r="J3816" s="2">
        <v>0</v>
      </c>
      <c r="K3816" s="2">
        <v>0</v>
      </c>
      <c r="L3816" s="2">
        <v>0</v>
      </c>
      <c r="M3816">
        <v>0</v>
      </c>
      <c r="N3816">
        <v>0</v>
      </c>
      <c r="O3816" s="2">
        <v>0</v>
      </c>
      <c r="P3816" s="2">
        <v>1</v>
      </c>
      <c r="Q3816">
        <v>2</v>
      </c>
      <c r="R3816" s="2">
        <v>0</v>
      </c>
      <c r="S3816" s="2">
        <v>1</v>
      </c>
      <c r="T3816" t="s">
        <v>1867</v>
      </c>
      <c r="U3816" s="2">
        <v>16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</row>
    <row r="3817" spans="1:28" hidden="1" x14ac:dyDescent="0.25">
      <c r="A3817" t="s">
        <v>33</v>
      </c>
      <c r="B3817" t="s">
        <v>34</v>
      </c>
      <c r="C3817" t="s">
        <v>35</v>
      </c>
      <c r="D3817" s="9">
        <v>46124</v>
      </c>
      <c r="E3817" s="9">
        <v>46124</v>
      </c>
      <c r="F3817" s="2">
        <v>48</v>
      </c>
      <c r="G3817" s="3" t="s">
        <v>23</v>
      </c>
      <c r="H3817">
        <v>0</v>
      </c>
      <c r="I3817" s="2">
        <v>0</v>
      </c>
      <c r="J3817" s="2">
        <v>0</v>
      </c>
      <c r="K3817" s="2">
        <v>0</v>
      </c>
      <c r="L3817" s="2">
        <v>0</v>
      </c>
      <c r="M3817">
        <v>0</v>
      </c>
      <c r="N3817">
        <v>0</v>
      </c>
      <c r="O3817" s="2">
        <v>0</v>
      </c>
      <c r="P3817" s="2">
        <v>1</v>
      </c>
      <c r="Q3817">
        <v>2</v>
      </c>
      <c r="R3817" s="2">
        <v>0</v>
      </c>
      <c r="S3817" s="2">
        <v>1</v>
      </c>
      <c r="T3817" t="s">
        <v>1868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</row>
    <row r="3818" spans="1:28" hidden="1" x14ac:dyDescent="0.25">
      <c r="A3818" t="s">
        <v>56</v>
      </c>
      <c r="B3818" t="s">
        <v>1160</v>
      </c>
      <c r="C3818" t="s">
        <v>64</v>
      </c>
      <c r="D3818" s="9">
        <v>46124</v>
      </c>
      <c r="E3818" s="9">
        <v>46124</v>
      </c>
      <c r="F3818" s="2">
        <v>64</v>
      </c>
      <c r="G3818" s="3" t="s">
        <v>23</v>
      </c>
      <c r="H3818">
        <v>0</v>
      </c>
      <c r="I3818" s="2">
        <v>0</v>
      </c>
      <c r="J3818" s="2">
        <v>0</v>
      </c>
      <c r="K3818" s="2">
        <v>0</v>
      </c>
      <c r="L3818" s="2">
        <v>0</v>
      </c>
      <c r="M3818">
        <v>0</v>
      </c>
      <c r="N3818">
        <v>0</v>
      </c>
      <c r="O3818" s="2">
        <v>0</v>
      </c>
      <c r="P3818" s="2">
        <v>1</v>
      </c>
      <c r="Q3818">
        <v>2</v>
      </c>
      <c r="R3818" s="2">
        <v>0</v>
      </c>
      <c r="S3818" s="2">
        <v>1</v>
      </c>
      <c r="T3818" t="s">
        <v>1869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</row>
    <row r="3819" spans="1:28" hidden="1" x14ac:dyDescent="0.25">
      <c r="A3819" t="s">
        <v>63</v>
      </c>
      <c r="B3819" t="s">
        <v>284</v>
      </c>
      <c r="C3819" t="s">
        <v>102</v>
      </c>
      <c r="D3819" s="9">
        <v>46124</v>
      </c>
      <c r="E3819" s="9">
        <v>46124</v>
      </c>
      <c r="F3819" s="2">
        <v>22</v>
      </c>
      <c r="G3819" s="3" t="s">
        <v>23</v>
      </c>
      <c r="H3819">
        <v>0</v>
      </c>
      <c r="I3819" s="2">
        <v>0</v>
      </c>
      <c r="J3819" s="2">
        <v>0</v>
      </c>
      <c r="K3819" s="2">
        <v>0</v>
      </c>
      <c r="L3819" s="2">
        <v>0</v>
      </c>
      <c r="M3819">
        <v>0</v>
      </c>
      <c r="N3819">
        <v>0</v>
      </c>
      <c r="O3819" s="2">
        <v>0</v>
      </c>
      <c r="P3819" s="2">
        <v>1</v>
      </c>
      <c r="Q3819">
        <v>3</v>
      </c>
      <c r="R3819" s="2">
        <v>0</v>
      </c>
      <c r="S3819" s="2">
        <v>1</v>
      </c>
      <c r="T3819" t="s">
        <v>1870</v>
      </c>
      <c r="U3819" s="2">
        <v>18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</row>
    <row r="3820" spans="1:28" hidden="1" x14ac:dyDescent="0.25">
      <c r="A3820" t="s">
        <v>29</v>
      </c>
      <c r="B3820" t="s">
        <v>30</v>
      </c>
      <c r="C3820" t="s">
        <v>102</v>
      </c>
      <c r="D3820" s="9">
        <v>46124</v>
      </c>
      <c r="E3820" s="9">
        <v>46124</v>
      </c>
      <c r="F3820" s="2">
        <v>22</v>
      </c>
      <c r="G3820" s="3" t="s">
        <v>23</v>
      </c>
      <c r="H3820">
        <v>0</v>
      </c>
      <c r="I3820" s="2">
        <v>0</v>
      </c>
      <c r="J3820" s="2">
        <v>0</v>
      </c>
      <c r="K3820" s="2">
        <v>0</v>
      </c>
      <c r="L3820" s="2">
        <v>0</v>
      </c>
      <c r="M3820">
        <v>0</v>
      </c>
      <c r="N3820">
        <v>0</v>
      </c>
      <c r="O3820" s="2">
        <v>0</v>
      </c>
      <c r="P3820" s="2">
        <v>1</v>
      </c>
      <c r="Q3820">
        <v>3</v>
      </c>
      <c r="R3820" s="2">
        <v>0</v>
      </c>
      <c r="S3820" s="2">
        <v>1</v>
      </c>
      <c r="T3820" t="s">
        <v>1870</v>
      </c>
      <c r="U3820" s="2">
        <v>15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</row>
    <row r="3821" spans="1:28" hidden="1" x14ac:dyDescent="0.25">
      <c r="A3821" t="s">
        <v>47</v>
      </c>
      <c r="B3821" t="s">
        <v>47</v>
      </c>
      <c r="C3821" t="s">
        <v>212</v>
      </c>
      <c r="D3821" s="9">
        <v>46124</v>
      </c>
      <c r="E3821" s="9">
        <v>46124</v>
      </c>
      <c r="F3821" s="2">
        <v>0</v>
      </c>
      <c r="G3821" s="3" t="s">
        <v>378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 t="s">
        <v>377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</row>
    <row r="3822" spans="1:28" hidden="1" x14ac:dyDescent="0.25">
      <c r="A3822" t="s">
        <v>47</v>
      </c>
      <c r="B3822" t="s">
        <v>47</v>
      </c>
      <c r="C3822" t="s">
        <v>212</v>
      </c>
      <c r="D3822" s="9">
        <v>46124</v>
      </c>
      <c r="E3822" s="9">
        <v>46124</v>
      </c>
      <c r="F3822" s="2">
        <v>0</v>
      </c>
      <c r="G3822" s="3" t="s">
        <v>378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 t="s">
        <v>377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</row>
    <row r="3823" spans="1:28" hidden="1" x14ac:dyDescent="0.25">
      <c r="A3823" t="s">
        <v>20</v>
      </c>
      <c r="B3823" t="s">
        <v>21</v>
      </c>
      <c r="C3823" t="s">
        <v>212</v>
      </c>
      <c r="D3823" s="9">
        <v>46124</v>
      </c>
      <c r="E3823" s="9">
        <v>46124</v>
      </c>
      <c r="F3823" s="2">
        <v>0</v>
      </c>
      <c r="G3823" s="3" t="s">
        <v>378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 t="s">
        <v>377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</row>
    <row r="3824" spans="1:28" hidden="1" x14ac:dyDescent="0.25">
      <c r="A3824" t="s">
        <v>730</v>
      </c>
      <c r="B3824" t="s">
        <v>1323</v>
      </c>
      <c r="C3824" t="s">
        <v>212</v>
      </c>
      <c r="D3824" s="9">
        <v>46124</v>
      </c>
      <c r="E3824" s="9">
        <v>46124</v>
      </c>
      <c r="F3824" s="2">
        <v>0</v>
      </c>
      <c r="G3824" s="3" t="s">
        <v>378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 t="s">
        <v>377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</row>
    <row r="3825" spans="1:28" hidden="1" x14ac:dyDescent="0.25">
      <c r="A3825" t="s">
        <v>47</v>
      </c>
      <c r="B3825" t="s">
        <v>38</v>
      </c>
      <c r="C3825" t="s">
        <v>212</v>
      </c>
      <c r="D3825" s="9">
        <v>46124</v>
      </c>
      <c r="E3825" s="9">
        <v>46124</v>
      </c>
      <c r="F3825" s="2">
        <v>0</v>
      </c>
      <c r="G3825" s="3" t="s">
        <v>378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 t="s">
        <v>377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</row>
    <row r="3826" spans="1:28" hidden="1" x14ac:dyDescent="0.25">
      <c r="A3826" t="s">
        <v>47</v>
      </c>
      <c r="B3826" t="s">
        <v>47</v>
      </c>
      <c r="C3826" t="s">
        <v>212</v>
      </c>
      <c r="D3826" s="9">
        <v>46124</v>
      </c>
      <c r="E3826" s="9">
        <v>46124</v>
      </c>
      <c r="F3826" s="2">
        <v>0</v>
      </c>
      <c r="G3826" s="3" t="s">
        <v>378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 t="s">
        <v>377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</row>
    <row r="3827" spans="1:28" hidden="1" x14ac:dyDescent="0.25">
      <c r="A3827" t="s">
        <v>1865</v>
      </c>
      <c r="B3827" t="s">
        <v>47</v>
      </c>
      <c r="C3827" t="s">
        <v>212</v>
      </c>
      <c r="D3827" s="9">
        <v>46124</v>
      </c>
      <c r="E3827" s="9">
        <v>46124</v>
      </c>
      <c r="F3827" s="2">
        <v>0</v>
      </c>
      <c r="G3827" s="3" t="s">
        <v>129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 t="s">
        <v>377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</row>
    <row r="3828" spans="1:28" hidden="1" x14ac:dyDescent="0.25">
      <c r="A3828" t="s">
        <v>37</v>
      </c>
      <c r="B3828" t="s">
        <v>57</v>
      </c>
      <c r="C3828" t="s">
        <v>173</v>
      </c>
      <c r="D3828" s="1">
        <v>46125</v>
      </c>
      <c r="E3828" s="1">
        <v>46125</v>
      </c>
      <c r="F3828" s="2">
        <v>17</v>
      </c>
      <c r="G3828" s="3" t="s">
        <v>23</v>
      </c>
      <c r="H3828" s="2">
        <v>4</v>
      </c>
      <c r="I3828" s="2">
        <v>0</v>
      </c>
      <c r="J3828" s="2">
        <v>0</v>
      </c>
      <c r="K3828" s="2">
        <v>0</v>
      </c>
      <c r="L3828" s="2">
        <v>0</v>
      </c>
      <c r="M3828">
        <v>0</v>
      </c>
      <c r="N3828">
        <v>0</v>
      </c>
      <c r="O3828" s="2">
        <v>0</v>
      </c>
      <c r="P3828" s="2">
        <v>0</v>
      </c>
      <c r="Q3828">
        <v>0</v>
      </c>
      <c r="R3828" s="2">
        <v>0</v>
      </c>
      <c r="S3828" s="2">
        <v>0</v>
      </c>
      <c r="T3828" t="s">
        <v>1871</v>
      </c>
      <c r="U3828" s="2">
        <v>0</v>
      </c>
      <c r="V3828">
        <v>17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</row>
    <row r="3829" spans="1:28" hidden="1" x14ac:dyDescent="0.25">
      <c r="A3829" t="s">
        <v>25</v>
      </c>
      <c r="B3829" t="s">
        <v>26</v>
      </c>
      <c r="C3829" t="s">
        <v>27</v>
      </c>
      <c r="D3829" s="1">
        <v>46125</v>
      </c>
      <c r="E3829" s="1">
        <v>46125</v>
      </c>
      <c r="F3829" s="2">
        <v>105</v>
      </c>
      <c r="G3829" s="3" t="s">
        <v>23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>
        <v>0</v>
      </c>
      <c r="N3829">
        <v>0</v>
      </c>
      <c r="O3829" s="2">
        <v>0</v>
      </c>
      <c r="P3829" s="2">
        <v>0</v>
      </c>
      <c r="Q3829">
        <v>0</v>
      </c>
      <c r="R3829" s="2">
        <v>0</v>
      </c>
      <c r="S3829" s="2">
        <v>0</v>
      </c>
      <c r="T3829" t="s">
        <v>1872</v>
      </c>
      <c r="U3829" s="2">
        <v>0</v>
      </c>
      <c r="V3829">
        <v>40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</row>
    <row r="3830" spans="1:28" hidden="1" x14ac:dyDescent="0.25">
      <c r="A3830" t="s">
        <v>33</v>
      </c>
      <c r="B3830" t="s">
        <v>34</v>
      </c>
      <c r="C3830" t="s">
        <v>35</v>
      </c>
      <c r="D3830" s="1">
        <v>46125</v>
      </c>
      <c r="E3830" s="1">
        <v>46125</v>
      </c>
      <c r="F3830" s="2">
        <v>37</v>
      </c>
      <c r="G3830" s="3" t="s">
        <v>23</v>
      </c>
      <c r="H3830" s="2">
        <v>5</v>
      </c>
      <c r="I3830" s="2">
        <v>0</v>
      </c>
      <c r="J3830" s="2">
        <v>0</v>
      </c>
      <c r="K3830" s="2">
        <v>0</v>
      </c>
      <c r="L3830" s="2">
        <v>0</v>
      </c>
      <c r="M3830">
        <v>0</v>
      </c>
      <c r="N3830">
        <v>0</v>
      </c>
      <c r="O3830" s="2">
        <v>0</v>
      </c>
      <c r="P3830" s="2">
        <v>0</v>
      </c>
      <c r="Q3830">
        <v>0</v>
      </c>
      <c r="R3830" s="2">
        <v>0</v>
      </c>
      <c r="S3830" s="2">
        <v>0</v>
      </c>
      <c r="T3830" t="s">
        <v>1873</v>
      </c>
      <c r="U3830" s="2">
        <v>0</v>
      </c>
      <c r="V3830">
        <v>17</v>
      </c>
      <c r="W3830" s="2">
        <v>3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</row>
    <row r="3831" spans="1:28" hidden="1" x14ac:dyDescent="0.25">
      <c r="A3831" t="s">
        <v>63</v>
      </c>
      <c r="B3831" t="s">
        <v>284</v>
      </c>
      <c r="C3831" t="s">
        <v>102</v>
      </c>
      <c r="D3831" s="1">
        <v>46125</v>
      </c>
      <c r="E3831" s="1">
        <v>46125</v>
      </c>
      <c r="F3831" s="2">
        <v>17</v>
      </c>
      <c r="G3831" s="3" t="s">
        <v>23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>
        <v>0</v>
      </c>
      <c r="N3831">
        <v>0</v>
      </c>
      <c r="O3831" s="2">
        <v>0</v>
      </c>
      <c r="P3831" s="2">
        <v>0</v>
      </c>
      <c r="Q3831">
        <v>2</v>
      </c>
      <c r="R3831" s="2">
        <v>0</v>
      </c>
      <c r="S3831" s="2">
        <v>0</v>
      </c>
      <c r="T3831" t="s">
        <v>1874</v>
      </c>
      <c r="U3831" s="2">
        <v>0</v>
      </c>
      <c r="V3831">
        <v>62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</row>
    <row r="3832" spans="1:28" hidden="1" x14ac:dyDescent="0.25">
      <c r="A3832" t="s">
        <v>29</v>
      </c>
      <c r="B3832" t="s">
        <v>30</v>
      </c>
      <c r="C3832" t="s">
        <v>31</v>
      </c>
      <c r="D3832" s="1">
        <v>46125</v>
      </c>
      <c r="E3832" s="1">
        <v>46125</v>
      </c>
      <c r="F3832" s="2">
        <v>28</v>
      </c>
      <c r="G3832" s="3" t="s">
        <v>23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>
        <v>0</v>
      </c>
      <c r="N3832">
        <v>0</v>
      </c>
      <c r="O3832" s="2">
        <v>0</v>
      </c>
      <c r="P3832" s="2">
        <v>0</v>
      </c>
      <c r="Q3832">
        <v>2</v>
      </c>
      <c r="R3832" s="2">
        <v>0</v>
      </c>
      <c r="S3832" s="2">
        <v>0</v>
      </c>
      <c r="T3832" t="s">
        <v>1875</v>
      </c>
      <c r="U3832" s="2">
        <v>0</v>
      </c>
      <c r="V3832">
        <v>46</v>
      </c>
      <c r="W3832" s="2">
        <v>1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</row>
    <row r="3833" spans="1:28" hidden="1" x14ac:dyDescent="0.25">
      <c r="A3833" t="s">
        <v>53</v>
      </c>
      <c r="B3833" t="s">
        <v>21</v>
      </c>
      <c r="C3833" t="s">
        <v>31</v>
      </c>
      <c r="D3833" s="1">
        <v>46125</v>
      </c>
      <c r="E3833" s="1">
        <v>46125</v>
      </c>
      <c r="F3833" s="2">
        <v>28</v>
      </c>
      <c r="G3833" s="3" t="s">
        <v>23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>
        <v>0</v>
      </c>
      <c r="N3833">
        <v>0</v>
      </c>
      <c r="O3833" s="2">
        <v>0</v>
      </c>
      <c r="P3833" s="2">
        <v>0</v>
      </c>
      <c r="Q3833">
        <v>2</v>
      </c>
      <c r="R3833" s="2">
        <v>0</v>
      </c>
      <c r="S3833" s="2">
        <v>0</v>
      </c>
      <c r="T3833" t="s">
        <v>1875</v>
      </c>
      <c r="U3833" s="2">
        <v>0</v>
      </c>
      <c r="V3833">
        <v>46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</row>
    <row r="3834" spans="1:28" hidden="1" x14ac:dyDescent="0.25">
      <c r="A3834" t="s">
        <v>47</v>
      </c>
      <c r="B3834" t="s">
        <v>47</v>
      </c>
      <c r="C3834" t="s">
        <v>212</v>
      </c>
      <c r="D3834" s="1">
        <v>46125</v>
      </c>
      <c r="E3834" s="1">
        <v>46125</v>
      </c>
      <c r="F3834" s="2">
        <v>0</v>
      </c>
      <c r="G3834" s="3" t="s">
        <v>48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 t="s">
        <v>377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</row>
    <row r="3835" spans="1:28" hidden="1" x14ac:dyDescent="0.25">
      <c r="A3835" t="s">
        <v>47</v>
      </c>
      <c r="B3835" t="s">
        <v>47</v>
      </c>
      <c r="C3835" t="s">
        <v>212</v>
      </c>
      <c r="D3835" s="1">
        <v>46125</v>
      </c>
      <c r="E3835" s="1">
        <v>46125</v>
      </c>
      <c r="F3835" s="2">
        <v>0</v>
      </c>
      <c r="G3835" s="3" t="s">
        <v>48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 t="s">
        <v>377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</row>
    <row r="3836" spans="1:28" hidden="1" x14ac:dyDescent="0.25">
      <c r="A3836" t="s">
        <v>20</v>
      </c>
      <c r="B3836" t="s">
        <v>47</v>
      </c>
      <c r="C3836" t="s">
        <v>212</v>
      </c>
      <c r="D3836" s="1">
        <v>46125</v>
      </c>
      <c r="E3836" s="1">
        <v>46125</v>
      </c>
      <c r="F3836" s="2">
        <v>0</v>
      </c>
      <c r="G3836" s="3" t="s">
        <v>572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 t="s">
        <v>377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</row>
    <row r="3837" spans="1:28" hidden="1" x14ac:dyDescent="0.25">
      <c r="A3837" t="s">
        <v>56</v>
      </c>
      <c r="B3837" t="s">
        <v>38</v>
      </c>
      <c r="C3837" t="s">
        <v>212</v>
      </c>
      <c r="D3837" s="1">
        <v>46125</v>
      </c>
      <c r="E3837" s="1">
        <v>46125</v>
      </c>
      <c r="F3837" s="2">
        <v>0</v>
      </c>
      <c r="G3837" s="3" t="s">
        <v>572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377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</row>
    <row r="3838" spans="1:28" hidden="1" x14ac:dyDescent="0.25">
      <c r="A3838" t="s">
        <v>730</v>
      </c>
      <c r="B3838" t="s">
        <v>1323</v>
      </c>
      <c r="C3838" t="s">
        <v>212</v>
      </c>
      <c r="D3838" s="1">
        <v>46125</v>
      </c>
      <c r="E3838" s="1">
        <v>46125</v>
      </c>
      <c r="F3838" s="2">
        <v>0</v>
      </c>
      <c r="G3838" s="3" t="s">
        <v>572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377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</row>
    <row r="3839" spans="1:28" hidden="1" x14ac:dyDescent="0.25">
      <c r="A3839" t="s">
        <v>47</v>
      </c>
      <c r="B3839" t="s">
        <v>1160</v>
      </c>
      <c r="C3839" t="s">
        <v>212</v>
      </c>
      <c r="D3839" s="1">
        <v>46125</v>
      </c>
      <c r="E3839" s="1">
        <v>46125</v>
      </c>
      <c r="F3839" s="2">
        <v>0</v>
      </c>
      <c r="G3839" s="3" t="s">
        <v>409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 t="s">
        <v>377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</row>
    <row r="3840" spans="1:28" hidden="1" x14ac:dyDescent="0.25">
      <c r="A3840" t="s">
        <v>47</v>
      </c>
      <c r="B3840" t="s">
        <v>47</v>
      </c>
      <c r="C3840" t="s">
        <v>212</v>
      </c>
      <c r="D3840" s="1">
        <v>46125</v>
      </c>
      <c r="E3840" s="1">
        <v>46125</v>
      </c>
      <c r="F3840" s="2">
        <v>0</v>
      </c>
      <c r="G3840" s="3" t="s">
        <v>129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 t="s">
        <v>377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</row>
    <row r="3841" spans="1:28" hidden="1" x14ac:dyDescent="0.25">
      <c r="A3841" t="s">
        <v>730</v>
      </c>
      <c r="B3841" t="s">
        <v>1323</v>
      </c>
      <c r="C3841" t="s">
        <v>1370</v>
      </c>
      <c r="D3841" s="1">
        <v>46126</v>
      </c>
      <c r="E3841" s="1">
        <v>46126</v>
      </c>
      <c r="F3841" s="2">
        <v>202</v>
      </c>
      <c r="G3841" s="3" t="s">
        <v>23</v>
      </c>
      <c r="H3841">
        <f>30-6</f>
        <v>24</v>
      </c>
      <c r="I3841" s="2">
        <v>0</v>
      </c>
      <c r="J3841" s="2">
        <v>0</v>
      </c>
      <c r="K3841" s="2">
        <v>0</v>
      </c>
      <c r="L3841" s="2">
        <v>1</v>
      </c>
      <c r="M3841">
        <v>0</v>
      </c>
      <c r="N3841">
        <v>0</v>
      </c>
      <c r="O3841" s="2">
        <v>0</v>
      </c>
      <c r="P3841" s="2">
        <v>0</v>
      </c>
      <c r="Q3841">
        <v>0</v>
      </c>
      <c r="R3841" s="2">
        <v>0</v>
      </c>
      <c r="S3841" s="2">
        <v>0</v>
      </c>
      <c r="T3841" t="s">
        <v>1876</v>
      </c>
      <c r="U3841" s="2">
        <v>0</v>
      </c>
      <c r="V3841" s="2">
        <v>6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</row>
    <row r="3842" spans="1:28" hidden="1" x14ac:dyDescent="0.25">
      <c r="A3842" t="s">
        <v>25</v>
      </c>
      <c r="B3842" t="s">
        <v>26</v>
      </c>
      <c r="C3842" t="s">
        <v>27</v>
      </c>
      <c r="D3842" s="1">
        <v>46126</v>
      </c>
      <c r="E3842" s="1">
        <v>46126</v>
      </c>
      <c r="F3842" s="2">
        <v>63</v>
      </c>
      <c r="G3842" s="3" t="s">
        <v>23</v>
      </c>
      <c r="H3842">
        <v>16</v>
      </c>
      <c r="I3842" s="2">
        <v>0</v>
      </c>
      <c r="J3842" s="2">
        <v>0</v>
      </c>
      <c r="K3842" s="2">
        <v>1</v>
      </c>
      <c r="L3842" s="2">
        <v>0</v>
      </c>
      <c r="M3842">
        <v>0</v>
      </c>
      <c r="N3842">
        <v>0</v>
      </c>
      <c r="O3842" s="2">
        <v>0</v>
      </c>
      <c r="P3842" s="2">
        <v>0</v>
      </c>
      <c r="Q3842">
        <v>0</v>
      </c>
      <c r="R3842" s="2">
        <v>0</v>
      </c>
      <c r="S3842" s="2">
        <v>0</v>
      </c>
      <c r="T3842" t="s">
        <v>1877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</row>
    <row r="3843" spans="1:28" hidden="1" x14ac:dyDescent="0.25">
      <c r="A3843" t="s">
        <v>29</v>
      </c>
      <c r="B3843" t="s">
        <v>30</v>
      </c>
      <c r="C3843" t="s">
        <v>102</v>
      </c>
      <c r="D3843" s="1">
        <v>46126</v>
      </c>
      <c r="E3843" s="1">
        <v>46126</v>
      </c>
      <c r="F3843" s="2">
        <v>25</v>
      </c>
      <c r="G3843" s="3" t="s">
        <v>23</v>
      </c>
      <c r="H3843">
        <f>18+18</f>
        <v>36</v>
      </c>
      <c r="I3843" s="2">
        <v>0</v>
      </c>
      <c r="J3843" s="2">
        <v>0</v>
      </c>
      <c r="K3843" s="2">
        <v>1</v>
      </c>
      <c r="L3843" s="2">
        <v>0</v>
      </c>
      <c r="M3843">
        <v>0</v>
      </c>
      <c r="N3843">
        <v>0</v>
      </c>
      <c r="O3843" s="2">
        <v>0</v>
      </c>
      <c r="P3843" s="2">
        <v>0</v>
      </c>
      <c r="Q3843">
        <v>2</v>
      </c>
      <c r="R3843" s="2">
        <v>0</v>
      </c>
      <c r="S3843" s="2">
        <v>0</v>
      </c>
      <c r="T3843" t="s">
        <v>1878</v>
      </c>
      <c r="U3843" s="2">
        <v>0</v>
      </c>
      <c r="V3843" s="2">
        <v>22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</row>
    <row r="3844" spans="1:28" hidden="1" x14ac:dyDescent="0.25">
      <c r="A3844" t="s">
        <v>37</v>
      </c>
      <c r="B3844" t="s">
        <v>57</v>
      </c>
      <c r="C3844" t="s">
        <v>173</v>
      </c>
      <c r="D3844" s="1">
        <v>46126</v>
      </c>
      <c r="E3844" s="1">
        <v>46126</v>
      </c>
      <c r="F3844" s="2">
        <v>17</v>
      </c>
      <c r="G3844" s="3" t="s">
        <v>23</v>
      </c>
      <c r="H3844">
        <v>28</v>
      </c>
      <c r="I3844" s="2">
        <v>0</v>
      </c>
      <c r="J3844" s="2">
        <v>0</v>
      </c>
      <c r="K3844" s="2">
        <v>1</v>
      </c>
      <c r="L3844" s="2">
        <v>0</v>
      </c>
      <c r="M3844">
        <v>0</v>
      </c>
      <c r="N3844">
        <v>0</v>
      </c>
      <c r="O3844" s="2">
        <v>0</v>
      </c>
      <c r="P3844" s="2">
        <v>0</v>
      </c>
      <c r="Q3844">
        <v>0</v>
      </c>
      <c r="R3844" s="2">
        <v>0</v>
      </c>
      <c r="S3844" s="2">
        <v>0</v>
      </c>
      <c r="T3844" t="s">
        <v>1879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</row>
    <row r="3845" spans="1:28" hidden="1" x14ac:dyDescent="0.25">
      <c r="A3845" t="s">
        <v>63</v>
      </c>
      <c r="B3845" t="s">
        <v>284</v>
      </c>
      <c r="C3845" t="s">
        <v>102</v>
      </c>
      <c r="D3845" s="1">
        <v>46126</v>
      </c>
      <c r="E3845" s="1">
        <v>46126</v>
      </c>
      <c r="F3845" s="2">
        <v>25</v>
      </c>
      <c r="G3845" s="3" t="s">
        <v>23</v>
      </c>
      <c r="H3845">
        <f>12+12+4+4</f>
        <v>32</v>
      </c>
      <c r="I3845" s="2">
        <v>0</v>
      </c>
      <c r="J3845" s="2">
        <v>0</v>
      </c>
      <c r="K3845" s="2">
        <v>1</v>
      </c>
      <c r="L3845" s="2">
        <v>0</v>
      </c>
      <c r="M3845">
        <v>0</v>
      </c>
      <c r="N3845">
        <v>0</v>
      </c>
      <c r="O3845" s="2">
        <v>0</v>
      </c>
      <c r="P3845" s="2">
        <v>0</v>
      </c>
      <c r="Q3845">
        <v>0</v>
      </c>
      <c r="R3845" s="2">
        <v>0</v>
      </c>
      <c r="S3845" s="2">
        <v>0</v>
      </c>
      <c r="T3845" t="s">
        <v>1878</v>
      </c>
      <c r="U3845" s="2">
        <v>0</v>
      </c>
      <c r="V3845" s="2">
        <f>22+22+14</f>
        <v>58</v>
      </c>
      <c r="W3845" s="2">
        <v>4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</row>
    <row r="3846" spans="1:28" hidden="1" x14ac:dyDescent="0.25">
      <c r="A3846" t="s">
        <v>56</v>
      </c>
      <c r="B3846" t="s">
        <v>47</v>
      </c>
      <c r="C3846" t="s">
        <v>64</v>
      </c>
      <c r="D3846" s="1">
        <v>46126</v>
      </c>
      <c r="E3846" s="1">
        <v>46126</v>
      </c>
      <c r="F3846" s="2">
        <v>26</v>
      </c>
      <c r="G3846" s="3" t="s">
        <v>23</v>
      </c>
      <c r="H3846">
        <v>24</v>
      </c>
      <c r="I3846" s="2">
        <v>0</v>
      </c>
      <c r="J3846" s="2">
        <v>0</v>
      </c>
      <c r="K3846" s="2">
        <v>1</v>
      </c>
      <c r="L3846" s="2">
        <v>0</v>
      </c>
      <c r="M3846">
        <v>0</v>
      </c>
      <c r="N3846">
        <v>0</v>
      </c>
      <c r="O3846" s="2">
        <v>0</v>
      </c>
      <c r="P3846" s="2">
        <v>0</v>
      </c>
      <c r="Q3846">
        <v>4</v>
      </c>
      <c r="R3846" s="2">
        <v>0</v>
      </c>
      <c r="S3846" s="2">
        <v>0</v>
      </c>
      <c r="T3846" t="s">
        <v>1880</v>
      </c>
      <c r="U3846" s="2">
        <v>0</v>
      </c>
      <c r="V3846" s="2">
        <v>22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</row>
    <row r="3847" spans="1:28" hidden="1" x14ac:dyDescent="0.25">
      <c r="A3847" t="s">
        <v>47</v>
      </c>
      <c r="B3847" t="s">
        <v>1160</v>
      </c>
      <c r="C3847" t="s">
        <v>64</v>
      </c>
      <c r="D3847" s="1">
        <v>46126</v>
      </c>
      <c r="E3847" s="1">
        <v>46126</v>
      </c>
      <c r="F3847" s="2">
        <v>26</v>
      </c>
      <c r="G3847" s="3" t="s">
        <v>23</v>
      </c>
      <c r="H3847">
        <v>24</v>
      </c>
      <c r="I3847" s="2">
        <v>0</v>
      </c>
      <c r="J3847" s="2">
        <v>0</v>
      </c>
      <c r="K3847" s="2">
        <v>1</v>
      </c>
      <c r="L3847" s="2">
        <v>0</v>
      </c>
      <c r="M3847">
        <v>0</v>
      </c>
      <c r="N3847">
        <v>0</v>
      </c>
      <c r="O3847" s="2">
        <v>0</v>
      </c>
      <c r="P3847" s="2">
        <v>0</v>
      </c>
      <c r="Q3847">
        <v>4</v>
      </c>
      <c r="R3847" s="2">
        <v>0</v>
      </c>
      <c r="S3847" s="2">
        <v>0</v>
      </c>
      <c r="T3847" t="s">
        <v>1880</v>
      </c>
      <c r="U3847" s="2">
        <v>0</v>
      </c>
      <c r="V3847" s="2">
        <f>22+58</f>
        <v>80</v>
      </c>
      <c r="W3847" s="2">
        <v>4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</row>
    <row r="3848" spans="1:28" hidden="1" x14ac:dyDescent="0.25">
      <c r="A3848" t="s">
        <v>33</v>
      </c>
      <c r="B3848" t="s">
        <v>34</v>
      </c>
      <c r="C3848" t="s">
        <v>35</v>
      </c>
      <c r="D3848" s="1">
        <v>46126</v>
      </c>
      <c r="E3848" s="1">
        <v>46126</v>
      </c>
      <c r="F3848" s="2">
        <v>132</v>
      </c>
      <c r="G3848" s="3" t="s">
        <v>23</v>
      </c>
      <c r="H3848">
        <v>6</v>
      </c>
      <c r="I3848" s="2">
        <v>0</v>
      </c>
      <c r="J3848" s="2">
        <v>0</v>
      </c>
      <c r="K3848" s="2">
        <v>0</v>
      </c>
      <c r="L3848" s="2">
        <v>0</v>
      </c>
      <c r="M3848">
        <v>1</v>
      </c>
      <c r="N3848">
        <v>0</v>
      </c>
      <c r="O3848" s="2">
        <v>0</v>
      </c>
      <c r="P3848" s="2">
        <v>0</v>
      </c>
      <c r="Q3848">
        <v>0</v>
      </c>
      <c r="R3848" s="2">
        <v>0</v>
      </c>
      <c r="S3848" s="2">
        <v>0</v>
      </c>
      <c r="T3848" t="s">
        <v>1881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</row>
    <row r="3849" spans="1:28" hidden="1" x14ac:dyDescent="0.25">
      <c r="A3849" t="s">
        <v>53</v>
      </c>
      <c r="B3849" t="s">
        <v>38</v>
      </c>
      <c r="C3849" t="s">
        <v>212</v>
      </c>
      <c r="D3849" s="1">
        <v>46126</v>
      </c>
      <c r="E3849" s="1">
        <v>46126</v>
      </c>
      <c r="F3849" s="2">
        <v>0</v>
      </c>
      <c r="G3849" s="3" t="s">
        <v>48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377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</row>
    <row r="3850" spans="1:28" hidden="1" x14ac:dyDescent="0.25">
      <c r="A3850" t="s">
        <v>47</v>
      </c>
      <c r="B3850" t="s">
        <v>21</v>
      </c>
      <c r="C3850" t="s">
        <v>212</v>
      </c>
      <c r="D3850" s="1">
        <v>46126</v>
      </c>
      <c r="E3850" s="1">
        <v>46126</v>
      </c>
      <c r="F3850" s="2">
        <v>0</v>
      </c>
      <c r="G3850" s="3" t="s">
        <v>48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 t="s">
        <v>377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</row>
    <row r="3851" spans="1:28" hidden="1" x14ac:dyDescent="0.25">
      <c r="A3851" t="s">
        <v>47</v>
      </c>
      <c r="B3851" t="s">
        <v>47</v>
      </c>
      <c r="C3851" t="s">
        <v>212</v>
      </c>
      <c r="D3851" s="1">
        <v>46126</v>
      </c>
      <c r="E3851" s="1">
        <v>46126</v>
      </c>
      <c r="F3851" s="2">
        <v>0</v>
      </c>
      <c r="G3851" s="3" t="s">
        <v>48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377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</row>
    <row r="3852" spans="1:28" hidden="1" x14ac:dyDescent="0.25">
      <c r="A3852" t="s">
        <v>47</v>
      </c>
      <c r="B3852" t="s">
        <v>47</v>
      </c>
      <c r="C3852" t="s">
        <v>212</v>
      </c>
      <c r="D3852" s="1">
        <v>46126</v>
      </c>
      <c r="E3852" s="1">
        <v>46126</v>
      </c>
      <c r="F3852" s="2">
        <v>0</v>
      </c>
      <c r="G3852" s="3" t="s">
        <v>572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377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</row>
    <row r="3853" spans="1:28" hidden="1" x14ac:dyDescent="0.25">
      <c r="A3853" t="s">
        <v>47</v>
      </c>
      <c r="B3853" t="s">
        <v>47</v>
      </c>
      <c r="C3853" t="s">
        <v>212</v>
      </c>
      <c r="D3853" s="1">
        <v>46126</v>
      </c>
      <c r="E3853" s="1">
        <v>46126</v>
      </c>
      <c r="F3853" s="2">
        <v>0</v>
      </c>
      <c r="G3853" s="3" t="s">
        <v>572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377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</row>
    <row r="3854" spans="1:28" hidden="1" x14ac:dyDescent="0.25">
      <c r="A3854" t="s">
        <v>47</v>
      </c>
      <c r="B3854" t="s">
        <v>47</v>
      </c>
      <c r="C3854" t="s">
        <v>212</v>
      </c>
      <c r="D3854" s="1">
        <v>46126</v>
      </c>
      <c r="E3854" s="1">
        <v>46126</v>
      </c>
      <c r="F3854" s="2">
        <v>0</v>
      </c>
      <c r="G3854" s="3" t="s">
        <v>409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 t="s">
        <v>377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</row>
    <row r="3855" spans="1:28" hidden="1" x14ac:dyDescent="0.25">
      <c r="A3855" t="s">
        <v>20</v>
      </c>
      <c r="B3855" t="s">
        <v>47</v>
      </c>
      <c r="C3855" t="s">
        <v>212</v>
      </c>
      <c r="D3855" s="1">
        <v>46126</v>
      </c>
      <c r="E3855" s="1">
        <v>46126</v>
      </c>
      <c r="F3855" s="2">
        <v>0</v>
      </c>
      <c r="G3855" s="3" t="s">
        <v>129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 t="s">
        <v>377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</row>
    <row r="3856" spans="1:28" hidden="1" x14ac:dyDescent="0.25">
      <c r="A3856" t="s">
        <v>730</v>
      </c>
      <c r="B3856" t="s">
        <v>47</v>
      </c>
      <c r="C3856" t="s">
        <v>1370</v>
      </c>
      <c r="D3856" s="1">
        <v>46127</v>
      </c>
      <c r="E3856" s="1">
        <v>46127</v>
      </c>
      <c r="F3856" s="2">
        <v>50</v>
      </c>
      <c r="G3856" s="3" t="s">
        <v>23</v>
      </c>
      <c r="H3856">
        <f>14+14</f>
        <v>28</v>
      </c>
      <c r="I3856" s="2">
        <v>0</v>
      </c>
      <c r="J3856" s="2">
        <v>0</v>
      </c>
      <c r="K3856" s="2">
        <v>1</v>
      </c>
      <c r="L3856" s="2">
        <v>0</v>
      </c>
      <c r="M3856">
        <v>0</v>
      </c>
      <c r="N3856">
        <v>0</v>
      </c>
      <c r="O3856" s="2">
        <v>0</v>
      </c>
      <c r="P3856" s="2">
        <v>0</v>
      </c>
      <c r="Q3856">
        <v>2</v>
      </c>
      <c r="R3856" s="2">
        <v>0</v>
      </c>
      <c r="S3856" s="2">
        <v>0</v>
      </c>
      <c r="T3856" t="s">
        <v>1882</v>
      </c>
      <c r="U3856" s="2">
        <v>0</v>
      </c>
      <c r="V3856" s="2">
        <v>5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</row>
    <row r="3857" spans="1:28" hidden="1" x14ac:dyDescent="0.25">
      <c r="A3857" t="s">
        <v>53</v>
      </c>
      <c r="B3857" t="s">
        <v>38</v>
      </c>
      <c r="C3857" t="s">
        <v>54</v>
      </c>
      <c r="D3857" s="1">
        <v>46127</v>
      </c>
      <c r="E3857" s="1">
        <v>46127</v>
      </c>
      <c r="F3857" s="2">
        <v>84</v>
      </c>
      <c r="G3857" s="3" t="s">
        <v>23</v>
      </c>
      <c r="H3857">
        <v>28</v>
      </c>
      <c r="I3857" s="2">
        <v>0</v>
      </c>
      <c r="J3857" s="2">
        <v>0</v>
      </c>
      <c r="K3857" s="2">
        <v>0</v>
      </c>
      <c r="L3857" s="2">
        <v>1</v>
      </c>
      <c r="M3857">
        <v>0</v>
      </c>
      <c r="N3857">
        <v>0</v>
      </c>
      <c r="O3857" s="2">
        <v>0</v>
      </c>
      <c r="P3857" s="2">
        <v>0</v>
      </c>
      <c r="Q3857">
        <v>0</v>
      </c>
      <c r="R3857" s="2">
        <v>0</v>
      </c>
      <c r="S3857" s="2">
        <v>0</v>
      </c>
      <c r="T3857" t="s">
        <v>1883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</row>
    <row r="3858" spans="1:28" hidden="1" x14ac:dyDescent="0.25">
      <c r="A3858" t="s">
        <v>25</v>
      </c>
      <c r="B3858" t="s">
        <v>26</v>
      </c>
      <c r="C3858" t="s">
        <v>27</v>
      </c>
      <c r="D3858" s="1">
        <v>46127</v>
      </c>
      <c r="E3858" s="1">
        <v>46127</v>
      </c>
      <c r="F3858" s="2">
        <v>23</v>
      </c>
      <c r="G3858" s="3" t="s">
        <v>23</v>
      </c>
      <c r="H3858">
        <v>52</v>
      </c>
      <c r="I3858" s="2">
        <v>0</v>
      </c>
      <c r="J3858" s="2">
        <v>0</v>
      </c>
      <c r="K3858" s="2">
        <v>1</v>
      </c>
      <c r="L3858" s="2">
        <v>0</v>
      </c>
      <c r="M3858">
        <v>0</v>
      </c>
      <c r="N3858">
        <v>0</v>
      </c>
      <c r="O3858" s="2">
        <v>0</v>
      </c>
      <c r="P3858" s="2">
        <v>0</v>
      </c>
      <c r="Q3858">
        <v>0</v>
      </c>
      <c r="R3858" s="2">
        <v>0</v>
      </c>
      <c r="S3858" s="2">
        <v>0</v>
      </c>
      <c r="T3858" t="s">
        <v>1884</v>
      </c>
      <c r="U3858" s="2">
        <v>0</v>
      </c>
      <c r="V3858" s="2">
        <v>2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</row>
    <row r="3859" spans="1:28" hidden="1" x14ac:dyDescent="0.25">
      <c r="A3859" t="s">
        <v>33</v>
      </c>
      <c r="B3859" t="s">
        <v>34</v>
      </c>
      <c r="C3859" t="s">
        <v>35</v>
      </c>
      <c r="D3859" s="1">
        <v>46127</v>
      </c>
      <c r="E3859" s="1">
        <v>46127</v>
      </c>
      <c r="F3859" s="2">
        <v>41</v>
      </c>
      <c r="G3859" s="3" t="s">
        <v>23</v>
      </c>
      <c r="H3859">
        <v>51</v>
      </c>
      <c r="I3859" s="2">
        <v>0</v>
      </c>
      <c r="J3859" s="2">
        <v>0</v>
      </c>
      <c r="K3859" s="2">
        <v>1</v>
      </c>
      <c r="L3859" s="2">
        <v>0</v>
      </c>
      <c r="M3859">
        <v>1</v>
      </c>
      <c r="N3859">
        <v>0</v>
      </c>
      <c r="O3859" s="2">
        <v>0</v>
      </c>
      <c r="P3859" s="2">
        <v>0</v>
      </c>
      <c r="Q3859">
        <v>0</v>
      </c>
      <c r="R3859" s="2">
        <v>0</v>
      </c>
      <c r="S3859" s="2">
        <v>0</v>
      </c>
      <c r="T3859" t="s">
        <v>1885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</row>
    <row r="3860" spans="1:28" hidden="1" x14ac:dyDescent="0.25">
      <c r="A3860" t="s">
        <v>63</v>
      </c>
      <c r="B3860" t="s">
        <v>284</v>
      </c>
      <c r="C3860" t="s">
        <v>102</v>
      </c>
      <c r="D3860" s="1">
        <v>46127</v>
      </c>
      <c r="E3860" s="1">
        <v>46127</v>
      </c>
      <c r="F3860" s="2">
        <v>19</v>
      </c>
      <c r="G3860" s="3" t="s">
        <v>23</v>
      </c>
      <c r="H3860">
        <v>16</v>
      </c>
      <c r="I3860" s="2">
        <v>0</v>
      </c>
      <c r="J3860" s="2">
        <v>0</v>
      </c>
      <c r="K3860" s="2">
        <v>1</v>
      </c>
      <c r="L3860" s="2">
        <v>0</v>
      </c>
      <c r="M3860">
        <v>0</v>
      </c>
      <c r="N3860">
        <v>0</v>
      </c>
      <c r="O3860" s="2">
        <v>0</v>
      </c>
      <c r="P3860" s="2">
        <v>0</v>
      </c>
      <c r="Q3860">
        <v>1</v>
      </c>
      <c r="R3860" s="2">
        <v>0</v>
      </c>
      <c r="S3860" s="2">
        <v>0</v>
      </c>
      <c r="T3860" t="s">
        <v>1886</v>
      </c>
      <c r="U3860" s="2">
        <v>0</v>
      </c>
      <c r="V3860" s="2">
        <f>1+8+8+6+8</f>
        <v>31</v>
      </c>
      <c r="W3860" s="2">
        <v>16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</row>
    <row r="3861" spans="1:28" hidden="1" x14ac:dyDescent="0.25">
      <c r="A3861" t="s">
        <v>47</v>
      </c>
      <c r="B3861" t="s">
        <v>1323</v>
      </c>
      <c r="C3861" t="s">
        <v>102</v>
      </c>
      <c r="D3861" s="1">
        <v>46127</v>
      </c>
      <c r="E3861" s="1">
        <v>46127</v>
      </c>
      <c r="F3861" s="2">
        <v>19</v>
      </c>
      <c r="G3861" s="3" t="s">
        <v>23</v>
      </c>
      <c r="H3861">
        <v>28</v>
      </c>
      <c r="I3861" s="2">
        <v>0</v>
      </c>
      <c r="J3861" s="2">
        <v>0</v>
      </c>
      <c r="K3861" s="2">
        <v>1</v>
      </c>
      <c r="L3861" s="2">
        <v>0</v>
      </c>
      <c r="M3861">
        <v>0</v>
      </c>
      <c r="N3861">
        <v>0</v>
      </c>
      <c r="O3861" s="2">
        <v>0</v>
      </c>
      <c r="P3861" s="2">
        <v>0</v>
      </c>
      <c r="Q3861">
        <v>1</v>
      </c>
      <c r="R3861" s="2">
        <v>0</v>
      </c>
      <c r="S3861" s="2">
        <v>0</v>
      </c>
      <c r="T3861" t="s">
        <v>1886</v>
      </c>
      <c r="U3861" s="2">
        <v>0</v>
      </c>
      <c r="V3861" s="2">
        <f>1+8+8+6+8+5</f>
        <v>36</v>
      </c>
      <c r="W3861" s="2">
        <v>16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</row>
    <row r="3862" spans="1:28" hidden="1" x14ac:dyDescent="0.25">
      <c r="A3862" t="s">
        <v>37</v>
      </c>
      <c r="B3862" t="s">
        <v>57</v>
      </c>
      <c r="C3862" t="s">
        <v>173</v>
      </c>
      <c r="D3862" s="1">
        <v>46127</v>
      </c>
      <c r="E3862" s="1">
        <v>46127</v>
      </c>
      <c r="F3862" s="2">
        <v>19</v>
      </c>
      <c r="G3862" s="3" t="s">
        <v>23</v>
      </c>
      <c r="H3862">
        <v>0</v>
      </c>
      <c r="I3862" s="2">
        <v>0</v>
      </c>
      <c r="J3862" s="2">
        <v>0</v>
      </c>
      <c r="K3862" s="2">
        <v>0</v>
      </c>
      <c r="L3862" s="2">
        <v>0</v>
      </c>
      <c r="M3862">
        <v>0</v>
      </c>
      <c r="N3862">
        <v>0</v>
      </c>
      <c r="O3862" s="2">
        <v>0</v>
      </c>
      <c r="P3862" s="2">
        <v>0</v>
      </c>
      <c r="Q3862">
        <v>0</v>
      </c>
      <c r="R3862" s="2">
        <v>0</v>
      </c>
      <c r="S3862" s="2">
        <v>0</v>
      </c>
      <c r="T3862" t="s">
        <v>1887</v>
      </c>
      <c r="U3862" s="2">
        <v>0</v>
      </c>
      <c r="V3862" s="2">
        <v>22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</row>
    <row r="3863" spans="1:28" hidden="1" x14ac:dyDescent="0.25">
      <c r="A3863" t="s">
        <v>56</v>
      </c>
      <c r="B3863" t="s">
        <v>1160</v>
      </c>
      <c r="C3863" t="s">
        <v>64</v>
      </c>
      <c r="D3863" s="1">
        <v>46127</v>
      </c>
      <c r="E3863" s="1">
        <v>46127</v>
      </c>
      <c r="F3863" s="2">
        <v>20</v>
      </c>
      <c r="G3863" s="3" t="s">
        <v>23</v>
      </c>
      <c r="H3863">
        <v>0</v>
      </c>
      <c r="I3863" s="2">
        <v>0</v>
      </c>
      <c r="J3863" s="2">
        <v>0</v>
      </c>
      <c r="K3863" s="2">
        <v>0</v>
      </c>
      <c r="L3863" s="2">
        <v>0</v>
      </c>
      <c r="M3863">
        <v>0</v>
      </c>
      <c r="N3863">
        <v>0</v>
      </c>
      <c r="O3863" s="2">
        <v>0</v>
      </c>
      <c r="P3863" s="2">
        <v>0</v>
      </c>
      <c r="Q3863">
        <v>0</v>
      </c>
      <c r="R3863" s="2">
        <v>0</v>
      </c>
      <c r="S3863" s="2">
        <v>0</v>
      </c>
      <c r="T3863" t="s">
        <v>1888</v>
      </c>
      <c r="U3863" s="2">
        <v>0</v>
      </c>
      <c r="V3863" s="2">
        <v>0</v>
      </c>
      <c r="W3863" s="2">
        <v>2</v>
      </c>
      <c r="X3863" s="2">
        <v>0</v>
      </c>
      <c r="Y3863" s="2">
        <v>0</v>
      </c>
      <c r="Z3863" s="2">
        <v>4</v>
      </c>
      <c r="AA3863" s="2">
        <v>0</v>
      </c>
      <c r="AB3863" s="2">
        <v>0</v>
      </c>
    </row>
    <row r="3864" spans="1:28" hidden="1" x14ac:dyDescent="0.25">
      <c r="A3864" t="s">
        <v>29</v>
      </c>
      <c r="B3864" t="s">
        <v>30</v>
      </c>
      <c r="C3864" t="s">
        <v>212</v>
      </c>
      <c r="D3864" s="1">
        <v>46127</v>
      </c>
      <c r="E3864" s="1">
        <v>46127</v>
      </c>
      <c r="F3864" s="2">
        <v>0</v>
      </c>
      <c r="G3864" s="3" t="s">
        <v>48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 t="s">
        <v>377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</row>
    <row r="3865" spans="1:28" hidden="1" x14ac:dyDescent="0.25">
      <c r="A3865" t="s">
        <v>47</v>
      </c>
      <c r="B3865" t="s">
        <v>47</v>
      </c>
      <c r="C3865" t="s">
        <v>212</v>
      </c>
      <c r="D3865" s="1">
        <v>46127</v>
      </c>
      <c r="E3865" s="1">
        <v>46127</v>
      </c>
      <c r="F3865" s="2">
        <v>0</v>
      </c>
      <c r="G3865" s="3" t="s">
        <v>48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 t="s">
        <v>377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</row>
    <row r="3866" spans="1:28" hidden="1" x14ac:dyDescent="0.25">
      <c r="A3866" t="s">
        <v>47</v>
      </c>
      <c r="B3866" t="s">
        <v>47</v>
      </c>
      <c r="C3866" t="s">
        <v>212</v>
      </c>
      <c r="D3866" s="1">
        <v>46127</v>
      </c>
      <c r="E3866" s="1">
        <v>46127</v>
      </c>
      <c r="F3866" s="2">
        <v>0</v>
      </c>
      <c r="G3866" s="3" t="s">
        <v>48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377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</row>
    <row r="3867" spans="1:28" hidden="1" x14ac:dyDescent="0.25">
      <c r="A3867" t="s">
        <v>47</v>
      </c>
      <c r="B3867" t="s">
        <v>47</v>
      </c>
      <c r="C3867" t="s">
        <v>212</v>
      </c>
      <c r="D3867" s="1">
        <v>46127</v>
      </c>
      <c r="E3867" s="1">
        <v>46127</v>
      </c>
      <c r="F3867" s="2">
        <v>0</v>
      </c>
      <c r="G3867" s="3" t="s">
        <v>572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 t="s">
        <v>377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</row>
    <row r="3868" spans="1:28" hidden="1" x14ac:dyDescent="0.25">
      <c r="A3868" t="s">
        <v>20</v>
      </c>
      <c r="B3868" t="s">
        <v>21</v>
      </c>
      <c r="C3868" t="s">
        <v>212</v>
      </c>
      <c r="D3868" s="1">
        <v>46127</v>
      </c>
      <c r="E3868" s="1">
        <v>46127</v>
      </c>
      <c r="F3868" s="2">
        <v>0</v>
      </c>
      <c r="G3868" s="3" t="s">
        <v>572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 t="s">
        <v>377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</row>
    <row r="3869" spans="1:28" hidden="1" x14ac:dyDescent="0.25">
      <c r="A3869" t="s">
        <v>47</v>
      </c>
      <c r="B3869" t="s">
        <v>47</v>
      </c>
      <c r="C3869" t="s">
        <v>212</v>
      </c>
      <c r="D3869" s="1">
        <v>46127</v>
      </c>
      <c r="E3869" s="1">
        <v>46127</v>
      </c>
      <c r="F3869" s="2">
        <v>0</v>
      </c>
      <c r="G3869" s="3" t="s">
        <v>409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 t="s">
        <v>377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</row>
    <row r="3870" spans="1:28" hidden="1" x14ac:dyDescent="0.25">
      <c r="A3870" t="s">
        <v>47</v>
      </c>
      <c r="B3870" t="s">
        <v>47</v>
      </c>
      <c r="C3870" t="s">
        <v>212</v>
      </c>
      <c r="D3870" s="1">
        <v>46127</v>
      </c>
      <c r="E3870" s="1">
        <v>46127</v>
      </c>
      <c r="F3870" s="2">
        <v>0</v>
      </c>
      <c r="G3870" s="3" t="s">
        <v>129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 t="s">
        <v>377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</row>
    <row r="3871" spans="1:28" hidden="1" x14ac:dyDescent="0.25">
      <c r="A3871" t="s">
        <v>730</v>
      </c>
      <c r="B3871" t="s">
        <v>1323</v>
      </c>
      <c r="C3871" t="s">
        <v>1370</v>
      </c>
      <c r="D3871" s="1">
        <v>46128</v>
      </c>
      <c r="E3871" s="1">
        <v>46128</v>
      </c>
      <c r="F3871" s="2">
        <v>139</v>
      </c>
      <c r="G3871" s="3" t="s">
        <v>23</v>
      </c>
      <c r="H3871">
        <f>11+11</f>
        <v>22</v>
      </c>
      <c r="I3871" s="2">
        <v>0</v>
      </c>
      <c r="J3871" s="2">
        <v>1</v>
      </c>
      <c r="K3871" s="2">
        <v>0</v>
      </c>
      <c r="L3871" s="2">
        <v>1</v>
      </c>
      <c r="M3871">
        <v>0</v>
      </c>
      <c r="N3871">
        <v>0</v>
      </c>
      <c r="O3871" s="2">
        <v>0</v>
      </c>
      <c r="P3871" s="2">
        <v>0</v>
      </c>
      <c r="Q3871">
        <v>0</v>
      </c>
      <c r="R3871" s="2">
        <v>0</v>
      </c>
      <c r="S3871" s="2">
        <v>0</v>
      </c>
      <c r="T3871" t="s">
        <v>1889</v>
      </c>
      <c r="U3871" s="2">
        <v>0</v>
      </c>
      <c r="V3871" s="2">
        <f>12+20+20+3</f>
        <v>55</v>
      </c>
      <c r="W3871" s="2">
        <v>0</v>
      </c>
      <c r="X3871" s="2">
        <v>7</v>
      </c>
      <c r="Y3871" s="2">
        <v>0</v>
      </c>
      <c r="Z3871" s="2">
        <v>0</v>
      </c>
      <c r="AA3871" s="2">
        <v>0</v>
      </c>
      <c r="AB3871" s="2">
        <v>0</v>
      </c>
    </row>
    <row r="3872" spans="1:28" hidden="1" x14ac:dyDescent="0.25">
      <c r="A3872" t="s">
        <v>53</v>
      </c>
      <c r="B3872" t="s">
        <v>38</v>
      </c>
      <c r="C3872" t="s">
        <v>54</v>
      </c>
      <c r="D3872" s="1">
        <v>46128</v>
      </c>
      <c r="E3872" s="1">
        <v>46128</v>
      </c>
      <c r="F3872" s="2">
        <v>65</v>
      </c>
      <c r="G3872" s="3" t="s">
        <v>23</v>
      </c>
      <c r="H3872">
        <f>16*2</f>
        <v>32</v>
      </c>
      <c r="I3872" s="2">
        <v>0</v>
      </c>
      <c r="J3872" s="2">
        <v>0</v>
      </c>
      <c r="K3872" s="2">
        <v>1</v>
      </c>
      <c r="L3872" s="2">
        <v>0</v>
      </c>
      <c r="M3872">
        <v>0</v>
      </c>
      <c r="N3872">
        <v>0</v>
      </c>
      <c r="O3872" s="2">
        <v>0</v>
      </c>
      <c r="P3872" s="2">
        <v>0</v>
      </c>
      <c r="Q3872">
        <v>0</v>
      </c>
      <c r="R3872" s="2">
        <v>0</v>
      </c>
      <c r="S3872" s="2">
        <v>0</v>
      </c>
      <c r="T3872" t="s">
        <v>1890</v>
      </c>
      <c r="U3872" s="2">
        <v>0</v>
      </c>
      <c r="V3872" s="2">
        <v>60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</row>
    <row r="3873" spans="1:28" hidden="1" x14ac:dyDescent="0.25">
      <c r="A3873" t="s">
        <v>37</v>
      </c>
      <c r="B3873" t="s">
        <v>57</v>
      </c>
      <c r="C3873" t="s">
        <v>173</v>
      </c>
      <c r="D3873" s="1">
        <v>46128</v>
      </c>
      <c r="E3873" s="1">
        <v>46128</v>
      </c>
      <c r="F3873" s="2">
        <v>18</v>
      </c>
      <c r="G3873" s="3" t="s">
        <v>23</v>
      </c>
      <c r="H3873">
        <f>18*2</f>
        <v>36</v>
      </c>
      <c r="I3873" s="2">
        <v>0</v>
      </c>
      <c r="J3873" s="2">
        <v>0</v>
      </c>
      <c r="K3873" s="2">
        <v>1</v>
      </c>
      <c r="L3873" s="2">
        <v>0</v>
      </c>
      <c r="M3873">
        <v>0</v>
      </c>
      <c r="N3873">
        <v>0</v>
      </c>
      <c r="O3873" s="2">
        <v>0</v>
      </c>
      <c r="P3873" s="2">
        <v>0</v>
      </c>
      <c r="Q3873">
        <v>0</v>
      </c>
      <c r="R3873" s="2">
        <v>0</v>
      </c>
      <c r="S3873" s="2">
        <v>0</v>
      </c>
      <c r="T3873" t="s">
        <v>1891</v>
      </c>
      <c r="U3873" s="2">
        <v>0</v>
      </c>
      <c r="V3873" s="2">
        <f>22*3</f>
        <v>66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</row>
    <row r="3874" spans="1:28" hidden="1" x14ac:dyDescent="0.25">
      <c r="A3874" t="s">
        <v>20</v>
      </c>
      <c r="B3874" t="s">
        <v>21</v>
      </c>
      <c r="C3874" t="s">
        <v>22</v>
      </c>
      <c r="D3874" s="1">
        <v>46128</v>
      </c>
      <c r="E3874" s="1">
        <v>46128</v>
      </c>
      <c r="F3874" s="2">
        <v>25</v>
      </c>
      <c r="G3874" s="3" t="s">
        <v>23</v>
      </c>
      <c r="H3874">
        <f>20*2</f>
        <v>40</v>
      </c>
      <c r="I3874" s="2">
        <v>0</v>
      </c>
      <c r="J3874" s="2">
        <v>0</v>
      </c>
      <c r="K3874" s="2">
        <v>1</v>
      </c>
      <c r="L3874" s="2">
        <v>0</v>
      </c>
      <c r="M3874">
        <v>0</v>
      </c>
      <c r="N3874">
        <v>0</v>
      </c>
      <c r="O3874" s="2">
        <v>0</v>
      </c>
      <c r="P3874" s="2">
        <v>0</v>
      </c>
      <c r="Q3874">
        <v>0</v>
      </c>
      <c r="R3874" s="2">
        <v>0</v>
      </c>
      <c r="S3874" s="2">
        <v>0</v>
      </c>
      <c r="T3874" t="s">
        <v>1892</v>
      </c>
      <c r="U3874" s="2">
        <v>0</v>
      </c>
      <c r="V3874" s="2">
        <f>20+2+14</f>
        <v>36</v>
      </c>
      <c r="W3874" s="2">
        <v>14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</row>
    <row r="3875" spans="1:28" hidden="1" x14ac:dyDescent="0.25">
      <c r="A3875" t="s">
        <v>47</v>
      </c>
      <c r="B3875" t="s">
        <v>30</v>
      </c>
      <c r="C3875" t="s">
        <v>22</v>
      </c>
      <c r="D3875" s="1">
        <v>46128</v>
      </c>
      <c r="E3875" s="1">
        <v>46128</v>
      </c>
      <c r="F3875" s="2">
        <v>25</v>
      </c>
      <c r="G3875" s="3" t="s">
        <v>23</v>
      </c>
      <c r="H3875">
        <f>20*2</f>
        <v>40</v>
      </c>
      <c r="I3875" s="2">
        <v>0</v>
      </c>
      <c r="J3875" s="2">
        <v>0</v>
      </c>
      <c r="K3875" s="2">
        <v>1</v>
      </c>
      <c r="L3875" s="2">
        <v>0</v>
      </c>
      <c r="M3875">
        <v>0</v>
      </c>
      <c r="N3875">
        <v>0</v>
      </c>
      <c r="O3875" s="2">
        <v>0</v>
      </c>
      <c r="P3875" s="2">
        <v>0</v>
      </c>
      <c r="Q3875">
        <v>0</v>
      </c>
      <c r="R3875" s="2">
        <v>0</v>
      </c>
      <c r="S3875" s="2">
        <v>0</v>
      </c>
      <c r="T3875" t="s">
        <v>1892</v>
      </c>
      <c r="U3875" s="2">
        <v>0</v>
      </c>
      <c r="V3875" s="2">
        <f>20+2+14</f>
        <v>36</v>
      </c>
      <c r="W3875" s="2">
        <v>14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</row>
    <row r="3876" spans="1:28" hidden="1" x14ac:dyDescent="0.25">
      <c r="A3876" t="s">
        <v>33</v>
      </c>
      <c r="B3876" t="s">
        <v>34</v>
      </c>
      <c r="C3876" t="s">
        <v>35</v>
      </c>
      <c r="D3876" s="1">
        <v>46128</v>
      </c>
      <c r="E3876" s="1">
        <v>46128</v>
      </c>
      <c r="F3876" s="2">
        <v>97</v>
      </c>
      <c r="G3876" s="3" t="s">
        <v>23</v>
      </c>
      <c r="H3876">
        <v>20</v>
      </c>
      <c r="I3876" s="2">
        <v>0</v>
      </c>
      <c r="J3876" s="2">
        <v>0</v>
      </c>
      <c r="K3876" s="2">
        <v>1</v>
      </c>
      <c r="L3876" s="2">
        <v>0</v>
      </c>
      <c r="M3876">
        <v>0</v>
      </c>
      <c r="N3876">
        <v>0</v>
      </c>
      <c r="O3876" s="2">
        <v>0</v>
      </c>
      <c r="P3876" s="2">
        <v>0</v>
      </c>
      <c r="Q3876">
        <v>0</v>
      </c>
      <c r="R3876" s="2">
        <v>0</v>
      </c>
      <c r="S3876" s="2">
        <v>0</v>
      </c>
      <c r="T3876" t="s">
        <v>1893</v>
      </c>
      <c r="U3876" s="2">
        <v>0</v>
      </c>
      <c r="V3876" s="2">
        <f>20+2+22</f>
        <v>44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</row>
    <row r="3877" spans="1:28" hidden="1" x14ac:dyDescent="0.25">
      <c r="A3877" t="s">
        <v>56</v>
      </c>
      <c r="B3877" t="s">
        <v>1160</v>
      </c>
      <c r="C3877" t="s">
        <v>64</v>
      </c>
      <c r="D3877" s="1">
        <v>46128</v>
      </c>
      <c r="E3877" s="1">
        <v>46128</v>
      </c>
      <c r="F3877" s="2">
        <v>22</v>
      </c>
      <c r="G3877" s="3" t="s">
        <v>23</v>
      </c>
      <c r="H3877">
        <v>20</v>
      </c>
      <c r="I3877" s="2">
        <v>0</v>
      </c>
      <c r="J3877" s="2">
        <v>0</v>
      </c>
      <c r="K3877" s="2">
        <v>1</v>
      </c>
      <c r="L3877" s="2">
        <v>0</v>
      </c>
      <c r="M3877">
        <v>0</v>
      </c>
      <c r="N3877">
        <v>0</v>
      </c>
      <c r="O3877" s="2">
        <v>0</v>
      </c>
      <c r="P3877" s="2">
        <v>0</v>
      </c>
      <c r="Q3877">
        <v>0</v>
      </c>
      <c r="R3877" s="2">
        <v>0</v>
      </c>
      <c r="S3877" s="2">
        <v>0</v>
      </c>
      <c r="T3877" t="s">
        <v>1894</v>
      </c>
      <c r="U3877" s="2">
        <v>0</v>
      </c>
      <c r="V3877" s="2">
        <f>20+2+3+11</f>
        <v>36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</row>
    <row r="3878" spans="1:28" hidden="1" x14ac:dyDescent="0.25">
      <c r="A3878" t="s">
        <v>25</v>
      </c>
      <c r="B3878" t="s">
        <v>26</v>
      </c>
      <c r="C3878" t="s">
        <v>27</v>
      </c>
      <c r="D3878" s="1">
        <v>46128</v>
      </c>
      <c r="E3878" s="1">
        <v>46128</v>
      </c>
      <c r="F3878" s="2">
        <v>19</v>
      </c>
      <c r="G3878" s="3" t="s">
        <v>23</v>
      </c>
      <c r="H3878">
        <v>1</v>
      </c>
      <c r="I3878" s="2">
        <v>0</v>
      </c>
      <c r="J3878" s="2">
        <v>0</v>
      </c>
      <c r="K3878" s="2">
        <v>0</v>
      </c>
      <c r="L3878" s="2">
        <v>0</v>
      </c>
      <c r="M3878">
        <v>0</v>
      </c>
      <c r="N3878">
        <v>0</v>
      </c>
      <c r="O3878" s="2">
        <v>0</v>
      </c>
      <c r="P3878" s="2">
        <v>0</v>
      </c>
      <c r="Q3878">
        <v>0</v>
      </c>
      <c r="R3878" s="2">
        <v>0</v>
      </c>
      <c r="S3878" s="2">
        <v>0</v>
      </c>
      <c r="T3878" t="s">
        <v>1895</v>
      </c>
      <c r="U3878" s="2">
        <v>0</v>
      </c>
      <c r="V3878" s="2">
        <v>60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</row>
    <row r="3879" spans="1:28" hidden="1" x14ac:dyDescent="0.25">
      <c r="A3879" t="s">
        <v>29</v>
      </c>
      <c r="B3879" t="s">
        <v>47</v>
      </c>
      <c r="C3879" t="s">
        <v>212</v>
      </c>
      <c r="D3879" s="1">
        <v>46128</v>
      </c>
      <c r="E3879" s="1">
        <v>46128</v>
      </c>
      <c r="F3879" s="2">
        <v>0</v>
      </c>
      <c r="G3879" s="3" t="s">
        <v>614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 t="s">
        <v>377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</row>
    <row r="3880" spans="1:28" hidden="1" x14ac:dyDescent="0.25">
      <c r="A3880" t="s">
        <v>63</v>
      </c>
      <c r="B3880" t="s">
        <v>284</v>
      </c>
      <c r="C3880" t="s">
        <v>212</v>
      </c>
      <c r="D3880" s="1">
        <v>46128</v>
      </c>
      <c r="E3880" s="1">
        <v>46128</v>
      </c>
      <c r="F3880" s="2">
        <v>0</v>
      </c>
      <c r="G3880" s="3" t="s">
        <v>48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 t="s">
        <v>377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</row>
    <row r="3881" spans="1:28" hidden="1" x14ac:dyDescent="0.25">
      <c r="A3881" t="s">
        <v>47</v>
      </c>
      <c r="B3881" t="s">
        <v>47</v>
      </c>
      <c r="C3881" t="s">
        <v>212</v>
      </c>
      <c r="D3881" s="1">
        <v>46128</v>
      </c>
      <c r="E3881" s="1">
        <v>46128</v>
      </c>
      <c r="F3881" s="2">
        <v>0</v>
      </c>
      <c r="G3881" s="3" t="s">
        <v>48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 t="s">
        <v>377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</row>
    <row r="3882" spans="1:28" hidden="1" x14ac:dyDescent="0.25">
      <c r="A3882" t="s">
        <v>47</v>
      </c>
      <c r="B3882" t="s">
        <v>47</v>
      </c>
      <c r="C3882" t="s">
        <v>212</v>
      </c>
      <c r="D3882" s="1">
        <v>46128</v>
      </c>
      <c r="E3882" s="1">
        <v>46128</v>
      </c>
      <c r="F3882" s="2">
        <v>0</v>
      </c>
      <c r="G3882" s="3" t="s">
        <v>572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 t="s">
        <v>377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</row>
    <row r="3883" spans="1:28" hidden="1" x14ac:dyDescent="0.25">
      <c r="A3883" t="s">
        <v>47</v>
      </c>
      <c r="B3883" t="s">
        <v>47</v>
      </c>
      <c r="C3883" t="s">
        <v>212</v>
      </c>
      <c r="D3883" s="1">
        <v>46128</v>
      </c>
      <c r="E3883" s="1">
        <v>46128</v>
      </c>
      <c r="F3883" s="2">
        <v>0</v>
      </c>
      <c r="G3883" s="3" t="s">
        <v>572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377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</row>
    <row r="3884" spans="1:28" hidden="1" x14ac:dyDescent="0.25">
      <c r="A3884" t="s">
        <v>47</v>
      </c>
      <c r="B3884" t="s">
        <v>47</v>
      </c>
      <c r="C3884" t="s">
        <v>212</v>
      </c>
      <c r="D3884" s="1">
        <v>46128</v>
      </c>
      <c r="E3884" s="1">
        <v>46128</v>
      </c>
      <c r="F3884" s="2">
        <v>0</v>
      </c>
      <c r="G3884" s="3" t="s">
        <v>409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 t="s">
        <v>377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</row>
    <row r="3885" spans="1:28" hidden="1" x14ac:dyDescent="0.25">
      <c r="A3885" t="s">
        <v>47</v>
      </c>
      <c r="B3885" t="s">
        <v>47</v>
      </c>
      <c r="C3885" t="s">
        <v>212</v>
      </c>
      <c r="D3885" s="1">
        <v>46128</v>
      </c>
      <c r="E3885" s="1">
        <v>46128</v>
      </c>
      <c r="F3885" s="2">
        <v>0</v>
      </c>
      <c r="G3885" s="3" t="s">
        <v>129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 t="s">
        <v>377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</row>
    <row r="3886" spans="1:28" hidden="1" x14ac:dyDescent="0.25">
      <c r="A3886" t="s">
        <v>20</v>
      </c>
      <c r="B3886" t="s">
        <v>21</v>
      </c>
      <c r="C3886" t="s">
        <v>22</v>
      </c>
      <c r="D3886" s="1">
        <v>46129</v>
      </c>
      <c r="E3886" s="1">
        <v>46129</v>
      </c>
      <c r="F3886" s="2">
        <v>60</v>
      </c>
      <c r="G3886" s="3" t="s">
        <v>23</v>
      </c>
      <c r="H3886">
        <f>9+4+9+4+2</f>
        <v>28</v>
      </c>
      <c r="I3886" s="2">
        <v>0</v>
      </c>
      <c r="J3886" s="2">
        <v>0</v>
      </c>
      <c r="K3886" s="2">
        <v>0</v>
      </c>
      <c r="L3886" s="2">
        <v>1</v>
      </c>
      <c r="M3886">
        <v>0</v>
      </c>
      <c r="N3886">
        <v>0</v>
      </c>
      <c r="O3886" s="2">
        <v>0</v>
      </c>
      <c r="P3886" s="2">
        <v>0</v>
      </c>
      <c r="Q3886">
        <v>0</v>
      </c>
      <c r="R3886" s="2">
        <v>0</v>
      </c>
      <c r="S3886" s="2">
        <v>0</v>
      </c>
      <c r="T3886" t="s">
        <v>1896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</row>
    <row r="3887" spans="1:28" hidden="1" x14ac:dyDescent="0.25">
      <c r="A3887" t="s">
        <v>53</v>
      </c>
      <c r="B3887" t="s">
        <v>38</v>
      </c>
      <c r="C3887" t="s">
        <v>54</v>
      </c>
      <c r="D3887" s="1">
        <v>46129</v>
      </c>
      <c r="E3887" s="1">
        <v>46129</v>
      </c>
      <c r="F3887" s="2">
        <v>54</v>
      </c>
      <c r="G3887" s="3" t="s">
        <v>23</v>
      </c>
      <c r="H3887">
        <v>16</v>
      </c>
      <c r="I3887" s="2">
        <v>0</v>
      </c>
      <c r="J3887" s="2">
        <v>0</v>
      </c>
      <c r="K3887" s="2">
        <v>1</v>
      </c>
      <c r="L3887" s="2">
        <v>0</v>
      </c>
      <c r="M3887">
        <v>0</v>
      </c>
      <c r="N3887">
        <v>0</v>
      </c>
      <c r="O3887" s="2">
        <v>0</v>
      </c>
      <c r="P3887" s="2">
        <v>0</v>
      </c>
      <c r="Q3887">
        <v>0</v>
      </c>
      <c r="R3887" s="2">
        <v>0</v>
      </c>
      <c r="S3887" s="2">
        <v>0</v>
      </c>
      <c r="T3887" t="s">
        <v>1897</v>
      </c>
      <c r="U3887" s="2">
        <v>0</v>
      </c>
      <c r="V3887" s="2">
        <f>14+20</f>
        <v>34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</row>
    <row r="3888" spans="1:28" hidden="1" x14ac:dyDescent="0.25">
      <c r="A3888" t="s">
        <v>29</v>
      </c>
      <c r="B3888" t="s">
        <v>30</v>
      </c>
      <c r="C3888" t="s">
        <v>31</v>
      </c>
      <c r="D3888" s="1">
        <v>46129</v>
      </c>
      <c r="E3888" s="1">
        <v>46129</v>
      </c>
      <c r="F3888" s="2">
        <v>15</v>
      </c>
      <c r="G3888" s="3" t="s">
        <v>23</v>
      </c>
      <c r="H3888">
        <f>18+18</f>
        <v>36</v>
      </c>
      <c r="I3888" s="2">
        <v>0</v>
      </c>
      <c r="J3888" s="2">
        <v>0</v>
      </c>
      <c r="K3888" s="2">
        <v>1</v>
      </c>
      <c r="L3888" s="2">
        <v>0</v>
      </c>
      <c r="M3888">
        <v>0</v>
      </c>
      <c r="N3888">
        <v>0</v>
      </c>
      <c r="O3888" s="2">
        <v>0</v>
      </c>
      <c r="P3888" s="2">
        <v>0</v>
      </c>
      <c r="Q3888">
        <v>0</v>
      </c>
      <c r="R3888" s="2">
        <v>0</v>
      </c>
      <c r="S3888" s="2">
        <v>0</v>
      </c>
      <c r="T3888" t="s">
        <v>1898</v>
      </c>
      <c r="U3888" s="2">
        <v>0</v>
      </c>
      <c r="V3888" s="2">
        <v>34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</row>
    <row r="3889" spans="1:28" hidden="1" x14ac:dyDescent="0.25">
      <c r="A3889" t="s">
        <v>25</v>
      </c>
      <c r="B3889" t="s">
        <v>26</v>
      </c>
      <c r="C3889" t="s">
        <v>27</v>
      </c>
      <c r="D3889" s="1">
        <v>46129</v>
      </c>
      <c r="E3889" s="1">
        <v>46129</v>
      </c>
      <c r="F3889" s="2">
        <v>45</v>
      </c>
      <c r="G3889" s="3" t="s">
        <v>23</v>
      </c>
      <c r="H3889">
        <f>44-15</f>
        <v>29</v>
      </c>
      <c r="I3889" s="2">
        <v>0</v>
      </c>
      <c r="J3889" s="2">
        <v>0</v>
      </c>
      <c r="K3889" s="2">
        <v>1</v>
      </c>
      <c r="L3889" s="2">
        <v>0</v>
      </c>
      <c r="M3889">
        <v>0</v>
      </c>
      <c r="N3889">
        <v>0</v>
      </c>
      <c r="O3889" s="2">
        <v>0</v>
      </c>
      <c r="P3889" s="2">
        <v>0</v>
      </c>
      <c r="Q3889">
        <v>0</v>
      </c>
      <c r="R3889" s="2">
        <v>0</v>
      </c>
      <c r="S3889" s="2">
        <v>0</v>
      </c>
      <c r="T3889" t="s">
        <v>1899</v>
      </c>
      <c r="U3889" s="2">
        <v>0</v>
      </c>
      <c r="V3889" s="2">
        <v>15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</row>
    <row r="3890" spans="1:28" hidden="1" x14ac:dyDescent="0.25">
      <c r="A3890" t="s">
        <v>63</v>
      </c>
      <c r="B3890" t="s">
        <v>284</v>
      </c>
      <c r="C3890" t="s">
        <v>102</v>
      </c>
      <c r="D3890" s="1">
        <v>46129</v>
      </c>
      <c r="E3890" s="1">
        <v>46129</v>
      </c>
      <c r="F3890" s="2">
        <v>18</v>
      </c>
      <c r="G3890" s="3" t="s">
        <v>23</v>
      </c>
      <c r="H3890">
        <f>16*2</f>
        <v>32</v>
      </c>
      <c r="I3890" s="2">
        <v>0</v>
      </c>
      <c r="J3890" s="2">
        <v>0</v>
      </c>
      <c r="K3890" s="2">
        <v>1</v>
      </c>
      <c r="L3890" s="2">
        <v>0</v>
      </c>
      <c r="M3890">
        <v>0</v>
      </c>
      <c r="N3890">
        <v>0</v>
      </c>
      <c r="O3890" s="2">
        <v>0</v>
      </c>
      <c r="P3890" s="2">
        <v>0</v>
      </c>
      <c r="Q3890">
        <v>0</v>
      </c>
      <c r="R3890" s="2">
        <v>0</v>
      </c>
      <c r="S3890" s="2">
        <v>0</v>
      </c>
      <c r="T3890" t="s">
        <v>1900</v>
      </c>
      <c r="U3890" s="2">
        <v>0</v>
      </c>
      <c r="V3890" s="2">
        <v>38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</row>
    <row r="3891" spans="1:28" hidden="1" x14ac:dyDescent="0.25">
      <c r="A3891" t="s">
        <v>56</v>
      </c>
      <c r="B3891" t="s">
        <v>1160</v>
      </c>
      <c r="C3891" t="s">
        <v>64</v>
      </c>
      <c r="D3891" s="1">
        <v>46129</v>
      </c>
      <c r="E3891" s="1">
        <v>46129</v>
      </c>
      <c r="F3891" s="2">
        <v>22</v>
      </c>
      <c r="G3891" s="3" t="s">
        <v>23</v>
      </c>
      <c r="H3891">
        <v>16</v>
      </c>
      <c r="I3891" s="2">
        <v>0</v>
      </c>
      <c r="J3891" s="2">
        <v>0</v>
      </c>
      <c r="K3891" s="2">
        <v>1</v>
      </c>
      <c r="L3891" s="2">
        <v>0</v>
      </c>
      <c r="M3891">
        <v>0</v>
      </c>
      <c r="N3891">
        <v>0</v>
      </c>
      <c r="O3891" s="2">
        <v>0</v>
      </c>
      <c r="P3891" s="2">
        <v>0</v>
      </c>
      <c r="Q3891">
        <v>0</v>
      </c>
      <c r="R3891" s="2">
        <v>0</v>
      </c>
      <c r="S3891" s="2">
        <v>0</v>
      </c>
      <c r="T3891" t="s">
        <v>1901</v>
      </c>
      <c r="U3891" s="2">
        <v>0</v>
      </c>
      <c r="V3891" s="2">
        <v>28</v>
      </c>
      <c r="W3891" s="2">
        <v>4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</row>
    <row r="3892" spans="1:28" hidden="1" x14ac:dyDescent="0.25">
      <c r="A3892" t="s">
        <v>37</v>
      </c>
      <c r="B3892" t="s">
        <v>57</v>
      </c>
      <c r="C3892" t="s">
        <v>173</v>
      </c>
      <c r="D3892" s="1">
        <v>46129</v>
      </c>
      <c r="E3892" s="1">
        <v>46129</v>
      </c>
      <c r="F3892" s="2">
        <v>17</v>
      </c>
      <c r="G3892" s="3" t="s">
        <v>23</v>
      </c>
      <c r="H3892">
        <v>6</v>
      </c>
      <c r="I3892" s="2">
        <v>0</v>
      </c>
      <c r="J3892" s="2">
        <v>0</v>
      </c>
      <c r="K3892" s="2">
        <v>0</v>
      </c>
      <c r="L3892" s="2">
        <v>0</v>
      </c>
      <c r="M3892">
        <v>0</v>
      </c>
      <c r="N3892">
        <v>0</v>
      </c>
      <c r="O3892" s="2">
        <v>0</v>
      </c>
      <c r="P3892" s="2">
        <v>0</v>
      </c>
      <c r="Q3892">
        <v>0</v>
      </c>
      <c r="R3892" s="2">
        <v>0</v>
      </c>
      <c r="S3892" s="2">
        <v>0</v>
      </c>
      <c r="T3892" t="s">
        <v>1902</v>
      </c>
      <c r="U3892" s="2">
        <v>0</v>
      </c>
      <c r="V3892" s="2">
        <v>14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</row>
    <row r="3893" spans="1:28" hidden="1" x14ac:dyDescent="0.25">
      <c r="A3893" t="s">
        <v>33</v>
      </c>
      <c r="B3893" t="s">
        <v>34</v>
      </c>
      <c r="C3893" t="s">
        <v>35</v>
      </c>
      <c r="D3893" s="1">
        <v>46129</v>
      </c>
      <c r="E3893" s="1">
        <v>46129</v>
      </c>
      <c r="F3893" s="2">
        <v>38</v>
      </c>
      <c r="G3893" s="3" t="s">
        <v>23</v>
      </c>
      <c r="H3893">
        <v>2</v>
      </c>
      <c r="I3893" s="2">
        <v>0</v>
      </c>
      <c r="J3893" s="2">
        <v>0</v>
      </c>
      <c r="K3893" s="2">
        <v>0</v>
      </c>
      <c r="L3893" s="2">
        <v>0</v>
      </c>
      <c r="M3893">
        <v>0</v>
      </c>
      <c r="N3893">
        <v>0</v>
      </c>
      <c r="O3893" s="2">
        <v>0</v>
      </c>
      <c r="P3893" s="2">
        <v>0</v>
      </c>
      <c r="Q3893">
        <v>0</v>
      </c>
      <c r="R3893" s="2">
        <v>0</v>
      </c>
      <c r="S3893" s="2">
        <v>0</v>
      </c>
      <c r="T3893" t="s">
        <v>1903</v>
      </c>
      <c r="U3893" s="2">
        <v>0</v>
      </c>
      <c r="V3893" s="2">
        <v>14</v>
      </c>
      <c r="W3893" s="2">
        <v>4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</row>
    <row r="3894" spans="1:28" hidden="1" x14ac:dyDescent="0.25">
      <c r="A3894" t="s">
        <v>372</v>
      </c>
      <c r="B3894" t="s">
        <v>47</v>
      </c>
      <c r="C3894" t="s">
        <v>35</v>
      </c>
      <c r="D3894" s="1">
        <v>46129</v>
      </c>
      <c r="E3894" s="1">
        <v>46129</v>
      </c>
      <c r="F3894" s="2">
        <v>38</v>
      </c>
      <c r="G3894" s="3" t="s">
        <v>23</v>
      </c>
      <c r="H3894">
        <v>0</v>
      </c>
      <c r="I3894" s="2">
        <v>0</v>
      </c>
      <c r="J3894" s="2">
        <v>0</v>
      </c>
      <c r="K3894" s="2">
        <v>0</v>
      </c>
      <c r="L3894" s="2">
        <v>0</v>
      </c>
      <c r="M3894">
        <v>0</v>
      </c>
      <c r="N3894">
        <v>0</v>
      </c>
      <c r="O3894" s="2">
        <v>0</v>
      </c>
      <c r="P3894" s="2">
        <v>0</v>
      </c>
      <c r="Q3894">
        <v>1</v>
      </c>
      <c r="R3894" s="2">
        <v>0</v>
      </c>
      <c r="S3894" s="2">
        <v>0</v>
      </c>
      <c r="T3894" t="s">
        <v>1903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</row>
    <row r="3895" spans="1:28" hidden="1" x14ac:dyDescent="0.25">
      <c r="A3895" t="s">
        <v>730</v>
      </c>
      <c r="B3895" t="s">
        <v>1323</v>
      </c>
      <c r="C3895" t="s">
        <v>212</v>
      </c>
      <c r="D3895" s="1">
        <v>46129</v>
      </c>
      <c r="E3895" s="1">
        <v>46129</v>
      </c>
      <c r="F3895" s="2">
        <v>0</v>
      </c>
      <c r="G3895" s="3" t="s">
        <v>614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 t="s">
        <v>377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</row>
    <row r="3896" spans="1:28" hidden="1" x14ac:dyDescent="0.25">
      <c r="A3896" t="s">
        <v>47</v>
      </c>
      <c r="B3896" t="s">
        <v>47</v>
      </c>
      <c r="C3896" t="s">
        <v>212</v>
      </c>
      <c r="D3896" s="1">
        <v>46129</v>
      </c>
      <c r="E3896" s="1">
        <v>46129</v>
      </c>
      <c r="F3896" s="2">
        <v>0</v>
      </c>
      <c r="G3896" s="3" t="s">
        <v>48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 t="s">
        <v>377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</row>
    <row r="3897" spans="1:28" hidden="1" x14ac:dyDescent="0.25">
      <c r="A3897" t="s">
        <v>47</v>
      </c>
      <c r="B3897" t="s">
        <v>47</v>
      </c>
      <c r="C3897" t="s">
        <v>212</v>
      </c>
      <c r="D3897" s="1">
        <v>46129</v>
      </c>
      <c r="E3897" s="1">
        <v>46129</v>
      </c>
      <c r="F3897" s="2">
        <v>0</v>
      </c>
      <c r="G3897" s="3" t="s">
        <v>572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 t="s">
        <v>377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</row>
    <row r="3898" spans="1:28" hidden="1" x14ac:dyDescent="0.25">
      <c r="A3898" t="s">
        <v>47</v>
      </c>
      <c r="B3898" t="s">
        <v>47</v>
      </c>
      <c r="C3898" t="s">
        <v>212</v>
      </c>
      <c r="D3898" s="1">
        <v>46129</v>
      </c>
      <c r="E3898" s="1">
        <v>46129</v>
      </c>
      <c r="F3898" s="2">
        <v>0</v>
      </c>
      <c r="G3898" s="3" t="s">
        <v>572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 t="s">
        <v>377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</row>
    <row r="3899" spans="1:28" hidden="1" x14ac:dyDescent="0.25">
      <c r="A3899" t="s">
        <v>47</v>
      </c>
      <c r="B3899" t="s">
        <v>47</v>
      </c>
      <c r="C3899" t="s">
        <v>212</v>
      </c>
      <c r="D3899" s="1">
        <v>46129</v>
      </c>
      <c r="E3899" s="1">
        <v>46129</v>
      </c>
      <c r="F3899" s="2">
        <v>0</v>
      </c>
      <c r="G3899" s="3" t="s">
        <v>409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 t="s">
        <v>377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</row>
    <row r="3900" spans="1:28" hidden="1" x14ac:dyDescent="0.25">
      <c r="A3900" t="s">
        <v>47</v>
      </c>
      <c r="B3900" t="s">
        <v>47</v>
      </c>
      <c r="C3900" t="s">
        <v>212</v>
      </c>
      <c r="D3900" s="1">
        <v>46129</v>
      </c>
      <c r="E3900" s="1">
        <v>46129</v>
      </c>
      <c r="F3900" s="2">
        <v>0</v>
      </c>
      <c r="G3900" s="3" t="s">
        <v>129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 t="s">
        <v>377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</row>
    <row r="3901" spans="1:28" hidden="1" x14ac:dyDescent="0.25">
      <c r="A3901" t="s">
        <v>730</v>
      </c>
      <c r="B3901" t="s">
        <v>21</v>
      </c>
      <c r="C3901" t="s">
        <v>1370</v>
      </c>
      <c r="D3901" s="9">
        <v>46130</v>
      </c>
      <c r="E3901" s="9">
        <v>46130</v>
      </c>
      <c r="F3901" s="2">
        <v>62</v>
      </c>
      <c r="G3901" s="3" t="s">
        <v>23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>
        <v>1</v>
      </c>
      <c r="N3901">
        <v>0</v>
      </c>
      <c r="O3901" s="2">
        <v>1</v>
      </c>
      <c r="P3901" s="2">
        <v>0</v>
      </c>
      <c r="Q3901">
        <v>6</v>
      </c>
      <c r="R3901" s="2">
        <v>1</v>
      </c>
      <c r="S3901" s="2">
        <v>0</v>
      </c>
      <c r="T3901" t="s">
        <v>1904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</row>
    <row r="3902" spans="1:28" hidden="1" x14ac:dyDescent="0.25">
      <c r="A3902" t="s">
        <v>53</v>
      </c>
      <c r="B3902" t="s">
        <v>38</v>
      </c>
      <c r="C3902" t="s">
        <v>54</v>
      </c>
      <c r="D3902" s="9">
        <v>46130</v>
      </c>
      <c r="E3902" s="9">
        <v>46130</v>
      </c>
      <c r="F3902" s="2">
        <v>86</v>
      </c>
      <c r="G3902" s="3" t="s">
        <v>23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>
        <v>1</v>
      </c>
      <c r="N3902">
        <v>0</v>
      </c>
      <c r="O3902" s="2">
        <v>0</v>
      </c>
      <c r="P3902" s="2">
        <v>0</v>
      </c>
      <c r="Q3902">
        <v>6</v>
      </c>
      <c r="R3902" s="2">
        <v>1</v>
      </c>
      <c r="S3902" s="2">
        <v>0</v>
      </c>
      <c r="T3902" t="s">
        <v>1905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1</v>
      </c>
      <c r="AB3902" s="2">
        <v>0</v>
      </c>
    </row>
    <row r="3903" spans="1:28" hidden="1" x14ac:dyDescent="0.25">
      <c r="A3903" t="s">
        <v>29</v>
      </c>
      <c r="B3903" t="s">
        <v>30</v>
      </c>
      <c r="C3903" t="s">
        <v>31</v>
      </c>
      <c r="D3903" s="9">
        <v>46130</v>
      </c>
      <c r="E3903" s="9">
        <v>46130</v>
      </c>
      <c r="F3903" s="2">
        <v>36</v>
      </c>
      <c r="G3903" s="3" t="s">
        <v>23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>
        <v>1</v>
      </c>
      <c r="N3903">
        <v>0</v>
      </c>
      <c r="O3903" s="2">
        <v>1</v>
      </c>
      <c r="P3903" s="2">
        <v>0</v>
      </c>
      <c r="Q3903">
        <v>7</v>
      </c>
      <c r="R3903" s="2">
        <v>1</v>
      </c>
      <c r="S3903" s="2">
        <v>0</v>
      </c>
      <c r="T3903" t="s">
        <v>1906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</row>
    <row r="3904" spans="1:28" hidden="1" x14ac:dyDescent="0.25">
      <c r="A3904" t="s">
        <v>193</v>
      </c>
      <c r="B3904" t="s">
        <v>563</v>
      </c>
      <c r="C3904" t="s">
        <v>31</v>
      </c>
      <c r="D3904" s="9">
        <v>46130</v>
      </c>
      <c r="E3904" s="9">
        <v>46130</v>
      </c>
      <c r="F3904" s="2">
        <v>36</v>
      </c>
      <c r="G3904" s="3" t="s">
        <v>23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>
        <v>1</v>
      </c>
      <c r="N3904">
        <v>0</v>
      </c>
      <c r="O3904" s="2">
        <v>1</v>
      </c>
      <c r="P3904" s="2">
        <v>0</v>
      </c>
      <c r="Q3904">
        <v>10</v>
      </c>
      <c r="R3904" s="2">
        <v>1</v>
      </c>
      <c r="S3904" s="2">
        <v>0</v>
      </c>
      <c r="T3904" t="s">
        <v>1906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</row>
    <row r="3905" spans="1:28" hidden="1" x14ac:dyDescent="0.25">
      <c r="A3905" t="s">
        <v>63</v>
      </c>
      <c r="B3905" t="s">
        <v>284</v>
      </c>
      <c r="C3905" t="s">
        <v>102</v>
      </c>
      <c r="D3905" s="9">
        <v>46130</v>
      </c>
      <c r="E3905" s="9">
        <v>46130</v>
      </c>
      <c r="F3905" s="2">
        <v>25</v>
      </c>
      <c r="G3905" s="3" t="s">
        <v>23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>
        <v>1</v>
      </c>
      <c r="N3905">
        <v>0</v>
      </c>
      <c r="O3905" s="2">
        <v>1</v>
      </c>
      <c r="P3905" s="2">
        <v>0</v>
      </c>
      <c r="Q3905">
        <v>10</v>
      </c>
      <c r="R3905" s="2">
        <v>1</v>
      </c>
      <c r="S3905" s="2">
        <v>0</v>
      </c>
      <c r="T3905" t="s">
        <v>1907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</row>
    <row r="3906" spans="1:28" hidden="1" x14ac:dyDescent="0.25">
      <c r="A3906" t="s">
        <v>1240</v>
      </c>
      <c r="B3906" t="s">
        <v>1323</v>
      </c>
      <c r="C3906" t="s">
        <v>102</v>
      </c>
      <c r="D3906" s="9">
        <v>46130</v>
      </c>
      <c r="E3906" s="9">
        <v>46130</v>
      </c>
      <c r="F3906" s="2">
        <v>25</v>
      </c>
      <c r="G3906" s="3" t="s">
        <v>23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>
        <v>1</v>
      </c>
      <c r="N3906">
        <v>0</v>
      </c>
      <c r="O3906" s="2">
        <v>1</v>
      </c>
      <c r="P3906" s="2">
        <v>0</v>
      </c>
      <c r="Q3906">
        <v>6</v>
      </c>
      <c r="R3906" s="2">
        <v>1</v>
      </c>
      <c r="S3906" s="2">
        <v>0</v>
      </c>
      <c r="T3906" t="s">
        <v>1907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</row>
    <row r="3907" spans="1:28" hidden="1" x14ac:dyDescent="0.25">
      <c r="A3907" t="s">
        <v>1431</v>
      </c>
      <c r="B3907" t="s">
        <v>47</v>
      </c>
      <c r="C3907" t="s">
        <v>102</v>
      </c>
      <c r="D3907" s="9">
        <v>46130</v>
      </c>
      <c r="E3907" s="9">
        <v>46130</v>
      </c>
      <c r="F3907" s="2">
        <v>25</v>
      </c>
      <c r="G3907" s="3" t="s">
        <v>23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>
        <v>0</v>
      </c>
      <c r="N3907">
        <v>0</v>
      </c>
      <c r="O3907" s="2">
        <v>1</v>
      </c>
      <c r="P3907" s="2">
        <v>0</v>
      </c>
      <c r="Q3907">
        <v>2</v>
      </c>
      <c r="R3907" s="2">
        <v>0</v>
      </c>
      <c r="S3907" s="2">
        <v>0</v>
      </c>
      <c r="T3907" t="s">
        <v>1907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</row>
    <row r="3908" spans="1:28" hidden="1" x14ac:dyDescent="0.25">
      <c r="A3908" t="s">
        <v>47</v>
      </c>
      <c r="B3908" t="s">
        <v>1238</v>
      </c>
      <c r="C3908" t="s">
        <v>102</v>
      </c>
      <c r="D3908" s="9">
        <v>46130</v>
      </c>
      <c r="E3908" s="9">
        <v>46130</v>
      </c>
      <c r="F3908" s="2">
        <v>25</v>
      </c>
      <c r="G3908" s="3" t="s">
        <v>23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>
        <v>1</v>
      </c>
      <c r="N3908">
        <v>0</v>
      </c>
      <c r="O3908" s="2">
        <v>1</v>
      </c>
      <c r="P3908" s="2">
        <v>0</v>
      </c>
      <c r="Q3908">
        <v>7</v>
      </c>
      <c r="R3908" s="2">
        <v>1</v>
      </c>
      <c r="S3908" s="2">
        <v>0</v>
      </c>
      <c r="T3908" t="s">
        <v>1907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</row>
    <row r="3909" spans="1:28" hidden="1" x14ac:dyDescent="0.25">
      <c r="A3909" t="s">
        <v>25</v>
      </c>
      <c r="B3909" t="s">
        <v>26</v>
      </c>
      <c r="C3909" t="s">
        <v>27</v>
      </c>
      <c r="D3909" s="9">
        <v>46130</v>
      </c>
      <c r="E3909" s="9">
        <v>46130</v>
      </c>
      <c r="F3909" s="2">
        <v>21</v>
      </c>
      <c r="G3909" s="3" t="s">
        <v>378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 t="s">
        <v>1867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</row>
    <row r="3910" spans="1:28" hidden="1" x14ac:dyDescent="0.25">
      <c r="A3910" t="s">
        <v>33</v>
      </c>
      <c r="B3910" t="s">
        <v>34</v>
      </c>
      <c r="C3910" t="s">
        <v>35</v>
      </c>
      <c r="D3910" s="9">
        <v>46130</v>
      </c>
      <c r="E3910" s="9">
        <v>46130</v>
      </c>
      <c r="F3910" s="2">
        <v>48</v>
      </c>
      <c r="G3910" s="3" t="s">
        <v>378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t="s">
        <v>1868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</row>
    <row r="3911" spans="1:28" hidden="1" x14ac:dyDescent="0.25">
      <c r="A3911" t="s">
        <v>56</v>
      </c>
      <c r="B3911" t="s">
        <v>1160</v>
      </c>
      <c r="C3911" t="s">
        <v>64</v>
      </c>
      <c r="D3911" s="9">
        <v>46130</v>
      </c>
      <c r="E3911" s="9">
        <v>46130</v>
      </c>
      <c r="F3911" s="2">
        <v>64</v>
      </c>
      <c r="G3911" s="3" t="s">
        <v>378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1869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</row>
    <row r="3912" spans="1:28" hidden="1" x14ac:dyDescent="0.25">
      <c r="A3912" t="s">
        <v>37</v>
      </c>
      <c r="B3912" t="s">
        <v>57</v>
      </c>
      <c r="C3912" t="s">
        <v>212</v>
      </c>
      <c r="D3912" s="9">
        <v>46130</v>
      </c>
      <c r="E3912" s="9">
        <v>46130</v>
      </c>
      <c r="F3912" s="2">
        <v>0</v>
      </c>
      <c r="G3912" s="3" t="s">
        <v>378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 t="s">
        <v>377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</row>
    <row r="3913" spans="1:28" hidden="1" x14ac:dyDescent="0.25">
      <c r="A3913" t="s">
        <v>47</v>
      </c>
      <c r="B3913" t="s">
        <v>47</v>
      </c>
      <c r="C3913" t="s">
        <v>212</v>
      </c>
      <c r="D3913" s="9">
        <v>46130</v>
      </c>
      <c r="E3913" s="9">
        <v>46130</v>
      </c>
      <c r="F3913" s="2">
        <v>0</v>
      </c>
      <c r="G3913" s="3" t="s">
        <v>378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 t="s">
        <v>377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</row>
    <row r="3914" spans="1:28" hidden="1" x14ac:dyDescent="0.25">
      <c r="A3914" t="s">
        <v>20</v>
      </c>
      <c r="B3914" t="s">
        <v>47</v>
      </c>
      <c r="C3914" t="s">
        <v>212</v>
      </c>
      <c r="D3914" s="9">
        <v>46130</v>
      </c>
      <c r="E3914" s="9">
        <v>46130</v>
      </c>
      <c r="F3914" s="2">
        <v>0</v>
      </c>
      <c r="G3914" s="3" t="s">
        <v>378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 t="s">
        <v>377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</row>
    <row r="3915" spans="1:28" hidden="1" x14ac:dyDescent="0.25">
      <c r="A3915" t="s">
        <v>47</v>
      </c>
      <c r="B3915" t="s">
        <v>47</v>
      </c>
      <c r="C3915" t="s">
        <v>212</v>
      </c>
      <c r="D3915" s="9">
        <v>46130</v>
      </c>
      <c r="E3915" s="9">
        <v>46130</v>
      </c>
      <c r="F3915" s="2">
        <v>0</v>
      </c>
      <c r="G3915" s="3" t="s">
        <v>378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 t="s">
        <v>377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</row>
    <row r="3916" spans="1:28" hidden="1" x14ac:dyDescent="0.25">
      <c r="A3916" t="s">
        <v>730</v>
      </c>
      <c r="B3916" t="s">
        <v>21</v>
      </c>
      <c r="C3916" t="s">
        <v>1370</v>
      </c>
      <c r="D3916" s="9">
        <v>46131</v>
      </c>
      <c r="E3916" s="9">
        <v>46131</v>
      </c>
      <c r="F3916" s="2">
        <v>62</v>
      </c>
      <c r="G3916" s="3" t="s">
        <v>23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>
        <v>1</v>
      </c>
      <c r="N3916">
        <v>0</v>
      </c>
      <c r="O3916">
        <v>0</v>
      </c>
      <c r="P3916" s="2">
        <v>0</v>
      </c>
      <c r="Q3916">
        <v>12</v>
      </c>
      <c r="R3916">
        <v>0</v>
      </c>
      <c r="S3916" s="2">
        <v>1</v>
      </c>
      <c r="T3916" t="s">
        <v>1904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1</v>
      </c>
    </row>
    <row r="3917" spans="1:28" hidden="1" x14ac:dyDescent="0.25">
      <c r="A3917" t="s">
        <v>53</v>
      </c>
      <c r="B3917" t="s">
        <v>38</v>
      </c>
      <c r="C3917" t="s">
        <v>54</v>
      </c>
      <c r="D3917" s="9">
        <v>46131</v>
      </c>
      <c r="E3917" s="9">
        <v>46131</v>
      </c>
      <c r="F3917" s="2">
        <v>86</v>
      </c>
      <c r="G3917" s="3" t="s">
        <v>23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>
        <v>1</v>
      </c>
      <c r="N3917">
        <v>0</v>
      </c>
      <c r="O3917">
        <v>0</v>
      </c>
      <c r="P3917" s="2">
        <v>0</v>
      </c>
      <c r="Q3917">
        <v>8</v>
      </c>
      <c r="R3917">
        <v>0</v>
      </c>
      <c r="S3917" s="2">
        <v>1</v>
      </c>
      <c r="T3917" t="s">
        <v>1905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</row>
    <row r="3918" spans="1:28" hidden="1" x14ac:dyDescent="0.25">
      <c r="A3918" t="s">
        <v>29</v>
      </c>
      <c r="B3918" t="s">
        <v>30</v>
      </c>
      <c r="C3918" t="s">
        <v>31</v>
      </c>
      <c r="D3918" s="9">
        <v>46131</v>
      </c>
      <c r="E3918" s="9">
        <v>46131</v>
      </c>
      <c r="F3918" s="2">
        <v>36</v>
      </c>
      <c r="G3918" s="3" t="s">
        <v>23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>
        <v>1</v>
      </c>
      <c r="N3918">
        <v>0</v>
      </c>
      <c r="O3918">
        <v>0</v>
      </c>
      <c r="P3918" s="2">
        <v>1</v>
      </c>
      <c r="Q3918">
        <v>8</v>
      </c>
      <c r="R3918">
        <v>0</v>
      </c>
      <c r="S3918" s="2">
        <v>1</v>
      </c>
      <c r="T3918" t="s">
        <v>1906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</row>
    <row r="3919" spans="1:28" hidden="1" x14ac:dyDescent="0.25">
      <c r="A3919" t="s">
        <v>193</v>
      </c>
      <c r="B3919" t="s">
        <v>563</v>
      </c>
      <c r="C3919" t="s">
        <v>31</v>
      </c>
      <c r="D3919" s="9">
        <v>46131</v>
      </c>
      <c r="E3919" s="9">
        <v>46131</v>
      </c>
      <c r="F3919" s="2">
        <v>36</v>
      </c>
      <c r="G3919" s="3" t="s">
        <v>23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>
        <v>1</v>
      </c>
      <c r="N3919">
        <v>0</v>
      </c>
      <c r="O3919">
        <v>0</v>
      </c>
      <c r="P3919" s="2">
        <v>1</v>
      </c>
      <c r="Q3919">
        <v>4</v>
      </c>
      <c r="R3919">
        <v>0</v>
      </c>
      <c r="S3919" s="2">
        <v>1</v>
      </c>
      <c r="T3919" t="s">
        <v>1906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</row>
    <row r="3920" spans="1:28" hidden="1" x14ac:dyDescent="0.25">
      <c r="A3920" t="s">
        <v>63</v>
      </c>
      <c r="B3920" t="s">
        <v>284</v>
      </c>
      <c r="C3920" t="s">
        <v>102</v>
      </c>
      <c r="D3920" s="9">
        <v>46131</v>
      </c>
      <c r="E3920" s="9">
        <v>46131</v>
      </c>
      <c r="F3920" s="2">
        <v>25</v>
      </c>
      <c r="G3920" s="3" t="s">
        <v>23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>
        <v>1</v>
      </c>
      <c r="N3920">
        <v>0</v>
      </c>
      <c r="O3920">
        <v>0</v>
      </c>
      <c r="P3920" s="2">
        <v>1</v>
      </c>
      <c r="Q3920">
        <v>10</v>
      </c>
      <c r="R3920">
        <v>0</v>
      </c>
      <c r="S3920" s="2">
        <v>1</v>
      </c>
      <c r="T3920" t="s">
        <v>1907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</row>
    <row r="3921" spans="1:28" hidden="1" x14ac:dyDescent="0.25">
      <c r="A3921" t="s">
        <v>1240</v>
      </c>
      <c r="B3921" t="s">
        <v>1323</v>
      </c>
      <c r="C3921" t="s">
        <v>102</v>
      </c>
      <c r="D3921" s="9">
        <v>46131</v>
      </c>
      <c r="E3921" s="9">
        <v>46131</v>
      </c>
      <c r="F3921" s="2">
        <v>25</v>
      </c>
      <c r="G3921" s="3" t="s">
        <v>23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>
        <v>1</v>
      </c>
      <c r="N3921">
        <v>0</v>
      </c>
      <c r="O3921">
        <v>0</v>
      </c>
      <c r="P3921" s="2">
        <v>1</v>
      </c>
      <c r="Q3921">
        <v>8</v>
      </c>
      <c r="R3921">
        <v>0</v>
      </c>
      <c r="S3921" s="2">
        <v>1</v>
      </c>
      <c r="T3921" t="s">
        <v>1907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</row>
    <row r="3922" spans="1:28" hidden="1" x14ac:dyDescent="0.25">
      <c r="A3922" t="s">
        <v>25</v>
      </c>
      <c r="B3922" t="s">
        <v>26</v>
      </c>
      <c r="C3922" t="s">
        <v>27</v>
      </c>
      <c r="D3922" s="9">
        <v>46131</v>
      </c>
      <c r="E3922" s="9">
        <v>46131</v>
      </c>
      <c r="F3922" s="2">
        <v>21</v>
      </c>
      <c r="G3922" s="3" t="s">
        <v>378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t="s">
        <v>1867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</row>
    <row r="3923" spans="1:28" hidden="1" x14ac:dyDescent="0.25">
      <c r="A3923" t="s">
        <v>33</v>
      </c>
      <c r="B3923" t="s">
        <v>34</v>
      </c>
      <c r="C3923" t="s">
        <v>35</v>
      </c>
      <c r="D3923" s="9">
        <v>46131</v>
      </c>
      <c r="E3923" s="9">
        <v>46131</v>
      </c>
      <c r="F3923" s="2">
        <v>48</v>
      </c>
      <c r="G3923" s="3" t="s">
        <v>378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 t="s">
        <v>1868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</row>
    <row r="3924" spans="1:28" hidden="1" x14ac:dyDescent="0.25">
      <c r="A3924" t="s">
        <v>56</v>
      </c>
      <c r="B3924" t="s">
        <v>1160</v>
      </c>
      <c r="C3924" t="s">
        <v>64</v>
      </c>
      <c r="D3924" s="9">
        <v>46131</v>
      </c>
      <c r="E3924" s="9">
        <v>46131</v>
      </c>
      <c r="F3924" s="2">
        <v>64</v>
      </c>
      <c r="G3924" s="3" t="s">
        <v>378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 t="s">
        <v>1869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</row>
    <row r="3925" spans="1:28" hidden="1" x14ac:dyDescent="0.25">
      <c r="A3925" t="s">
        <v>37</v>
      </c>
      <c r="B3925" t="s">
        <v>57</v>
      </c>
      <c r="C3925" t="s">
        <v>212</v>
      </c>
      <c r="D3925" s="9">
        <v>46131</v>
      </c>
      <c r="E3925" s="9">
        <v>46131</v>
      </c>
      <c r="F3925" s="2">
        <v>0</v>
      </c>
      <c r="G3925" s="3" t="s">
        <v>378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 t="s">
        <v>377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</row>
    <row r="3926" spans="1:28" hidden="1" x14ac:dyDescent="0.25">
      <c r="A3926" t="s">
        <v>47</v>
      </c>
      <c r="B3926" t="s">
        <v>47</v>
      </c>
      <c r="C3926" t="s">
        <v>212</v>
      </c>
      <c r="D3926" s="9">
        <v>46131</v>
      </c>
      <c r="E3926" s="9">
        <v>46131</v>
      </c>
      <c r="F3926" s="2">
        <v>0</v>
      </c>
      <c r="G3926" s="3" t="s">
        <v>378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377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</row>
    <row r="3927" spans="1:28" hidden="1" x14ac:dyDescent="0.25">
      <c r="A3927" t="s">
        <v>20</v>
      </c>
      <c r="B3927" t="s">
        <v>47</v>
      </c>
      <c r="C3927" t="s">
        <v>212</v>
      </c>
      <c r="D3927" s="9">
        <v>46131</v>
      </c>
      <c r="E3927" s="9">
        <v>46131</v>
      </c>
      <c r="F3927" s="2">
        <v>0</v>
      </c>
      <c r="G3927" s="3" t="s">
        <v>378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 t="s">
        <v>377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</row>
    <row r="3928" spans="1:28" hidden="1" x14ac:dyDescent="0.25">
      <c r="A3928" t="s">
        <v>47</v>
      </c>
      <c r="B3928" t="s">
        <v>47</v>
      </c>
      <c r="C3928" t="s">
        <v>212</v>
      </c>
      <c r="D3928" s="9">
        <v>46131</v>
      </c>
      <c r="E3928" s="9">
        <v>46131</v>
      </c>
      <c r="F3928" s="2">
        <v>0</v>
      </c>
      <c r="G3928" s="3" t="s">
        <v>378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377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</row>
    <row r="3929" spans="1:28" hidden="1" x14ac:dyDescent="0.25">
      <c r="A3929" t="s">
        <v>25</v>
      </c>
      <c r="B3929" t="s">
        <v>26</v>
      </c>
      <c r="C3929" t="s">
        <v>27</v>
      </c>
      <c r="D3929" s="1">
        <v>46132</v>
      </c>
      <c r="E3929" s="1">
        <v>46132</v>
      </c>
      <c r="F3929" s="2">
        <v>76</v>
      </c>
      <c r="G3929" s="3" t="s">
        <v>23</v>
      </c>
      <c r="H3929">
        <v>1</v>
      </c>
      <c r="I3929" s="2">
        <v>0</v>
      </c>
      <c r="J3929" s="2">
        <v>0</v>
      </c>
      <c r="K3929" s="2">
        <v>0</v>
      </c>
      <c r="L3929" s="2">
        <v>0</v>
      </c>
      <c r="M3929">
        <v>0</v>
      </c>
      <c r="N3929">
        <v>0</v>
      </c>
      <c r="O3929" s="2">
        <v>0</v>
      </c>
      <c r="P3929" s="2">
        <v>0</v>
      </c>
      <c r="Q3929">
        <v>0</v>
      </c>
      <c r="R3929" s="2">
        <v>0</v>
      </c>
      <c r="S3929" s="2">
        <v>0</v>
      </c>
      <c r="T3929" t="s">
        <v>1908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</row>
    <row r="3930" spans="1:28" hidden="1" x14ac:dyDescent="0.25">
      <c r="A3930" t="s">
        <v>56</v>
      </c>
      <c r="B3930" t="s">
        <v>1160</v>
      </c>
      <c r="C3930" t="s">
        <v>64</v>
      </c>
      <c r="D3930" s="1">
        <v>46132</v>
      </c>
      <c r="E3930" s="1">
        <v>46132</v>
      </c>
      <c r="F3930" s="2">
        <v>15</v>
      </c>
      <c r="G3930" s="3" t="s">
        <v>23</v>
      </c>
      <c r="H3930">
        <v>3</v>
      </c>
      <c r="I3930" s="2">
        <v>0</v>
      </c>
      <c r="J3930" s="2">
        <v>0</v>
      </c>
      <c r="K3930" s="2">
        <v>0</v>
      </c>
      <c r="L3930" s="2">
        <v>0</v>
      </c>
      <c r="M3930">
        <v>0</v>
      </c>
      <c r="N3930">
        <v>0</v>
      </c>
      <c r="O3930" s="2">
        <v>0</v>
      </c>
      <c r="P3930" s="2">
        <v>0</v>
      </c>
      <c r="Q3930">
        <v>0</v>
      </c>
      <c r="R3930" s="2">
        <v>0</v>
      </c>
      <c r="S3930" s="2">
        <v>0</v>
      </c>
      <c r="T3930" t="s">
        <v>1909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</row>
    <row r="3931" spans="1:28" hidden="1" x14ac:dyDescent="0.25">
      <c r="A3931" t="s">
        <v>33</v>
      </c>
      <c r="B3931" t="s">
        <v>34</v>
      </c>
      <c r="C3931" t="s">
        <v>35</v>
      </c>
      <c r="D3931" s="1">
        <v>46132</v>
      </c>
      <c r="E3931" s="1">
        <v>46132</v>
      </c>
      <c r="F3931" s="2">
        <v>24</v>
      </c>
      <c r="G3931" s="3" t="s">
        <v>23</v>
      </c>
      <c r="H3931">
        <v>4</v>
      </c>
      <c r="I3931" s="2">
        <v>0</v>
      </c>
      <c r="J3931" s="2">
        <v>0</v>
      </c>
      <c r="K3931" s="2">
        <v>0</v>
      </c>
      <c r="L3931" s="2">
        <v>0</v>
      </c>
      <c r="M3931">
        <v>0</v>
      </c>
      <c r="N3931">
        <v>0</v>
      </c>
      <c r="O3931" s="2">
        <v>0</v>
      </c>
      <c r="P3931" s="2">
        <v>0</v>
      </c>
      <c r="Q3931">
        <v>0</v>
      </c>
      <c r="R3931" s="2">
        <v>0</v>
      </c>
      <c r="S3931" s="2">
        <v>0</v>
      </c>
      <c r="T3931" t="s">
        <v>1910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</row>
    <row r="3932" spans="1:28" hidden="1" x14ac:dyDescent="0.25">
      <c r="A3932" t="s">
        <v>20</v>
      </c>
      <c r="B3932" t="s">
        <v>21</v>
      </c>
      <c r="C3932" t="s">
        <v>64</v>
      </c>
      <c r="D3932" s="1">
        <v>46132</v>
      </c>
      <c r="E3932" s="1">
        <v>46132</v>
      </c>
      <c r="F3932" s="2">
        <v>15</v>
      </c>
      <c r="G3932" s="3" t="s">
        <v>23</v>
      </c>
      <c r="H3932">
        <v>0</v>
      </c>
      <c r="I3932" s="2">
        <v>0</v>
      </c>
      <c r="J3932" s="2">
        <v>0</v>
      </c>
      <c r="K3932" s="2">
        <v>0</v>
      </c>
      <c r="L3932" s="2">
        <v>0</v>
      </c>
      <c r="M3932">
        <v>0</v>
      </c>
      <c r="N3932">
        <v>0</v>
      </c>
      <c r="O3932" s="2">
        <v>0</v>
      </c>
      <c r="P3932" s="2">
        <v>0</v>
      </c>
      <c r="Q3932">
        <v>0</v>
      </c>
      <c r="R3932" s="2">
        <v>0</v>
      </c>
      <c r="S3932" s="2">
        <v>0</v>
      </c>
      <c r="T3932" t="s">
        <v>1909</v>
      </c>
      <c r="U3932" s="2">
        <v>0</v>
      </c>
      <c r="V3932" s="2">
        <v>8</v>
      </c>
      <c r="W3932" s="2">
        <v>6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</row>
    <row r="3933" spans="1:28" hidden="1" x14ac:dyDescent="0.25">
      <c r="A3933" t="s">
        <v>47</v>
      </c>
      <c r="B3933" t="s">
        <v>30</v>
      </c>
      <c r="C3933" t="s">
        <v>64</v>
      </c>
      <c r="D3933" s="1">
        <v>46132</v>
      </c>
      <c r="E3933" s="1">
        <v>46132</v>
      </c>
      <c r="F3933" s="2">
        <v>15</v>
      </c>
      <c r="G3933" s="3" t="s">
        <v>23</v>
      </c>
      <c r="H3933">
        <v>0</v>
      </c>
      <c r="I3933" s="2">
        <v>0</v>
      </c>
      <c r="J3933" s="2">
        <v>0</v>
      </c>
      <c r="K3933" s="2">
        <v>0</v>
      </c>
      <c r="L3933" s="2">
        <v>0</v>
      </c>
      <c r="M3933">
        <v>0</v>
      </c>
      <c r="N3933">
        <v>0</v>
      </c>
      <c r="O3933" s="2">
        <v>0</v>
      </c>
      <c r="P3933" s="2">
        <v>0</v>
      </c>
      <c r="Q3933">
        <v>0</v>
      </c>
      <c r="R3933" s="2">
        <v>0</v>
      </c>
      <c r="S3933" s="2">
        <v>0</v>
      </c>
      <c r="T3933" t="s">
        <v>1909</v>
      </c>
      <c r="U3933" s="2">
        <v>0</v>
      </c>
      <c r="V3933" s="2">
        <v>8</v>
      </c>
      <c r="W3933" s="2">
        <v>6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</row>
    <row r="3934" spans="1:28" hidden="1" x14ac:dyDescent="0.25">
      <c r="A3934" t="s">
        <v>37</v>
      </c>
      <c r="B3934" t="s">
        <v>57</v>
      </c>
      <c r="C3934" t="s">
        <v>64</v>
      </c>
      <c r="D3934" s="1">
        <v>46132</v>
      </c>
      <c r="E3934" s="1">
        <v>46132</v>
      </c>
      <c r="F3934" s="2">
        <v>15</v>
      </c>
      <c r="G3934" s="3" t="s">
        <v>23</v>
      </c>
      <c r="H3934">
        <v>1</v>
      </c>
      <c r="I3934" s="2">
        <v>0</v>
      </c>
      <c r="J3934" s="2">
        <v>0</v>
      </c>
      <c r="K3934" s="2">
        <v>0</v>
      </c>
      <c r="L3934" s="2">
        <v>0</v>
      </c>
      <c r="M3934">
        <v>0</v>
      </c>
      <c r="N3934">
        <v>0</v>
      </c>
      <c r="O3934" s="2">
        <v>0</v>
      </c>
      <c r="P3934" s="2">
        <v>0</v>
      </c>
      <c r="Q3934">
        <v>0</v>
      </c>
      <c r="R3934" s="2">
        <v>0</v>
      </c>
      <c r="S3934" s="2">
        <v>0</v>
      </c>
      <c r="T3934" t="s">
        <v>1909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</row>
    <row r="3935" spans="1:28" hidden="1" x14ac:dyDescent="0.25">
      <c r="A3935" t="s">
        <v>1911</v>
      </c>
      <c r="B3935" t="s">
        <v>1912</v>
      </c>
      <c r="C3935" t="s">
        <v>64</v>
      </c>
      <c r="D3935" s="1">
        <v>46132</v>
      </c>
      <c r="E3935" s="1">
        <v>46132</v>
      </c>
      <c r="F3935" s="2">
        <v>15</v>
      </c>
      <c r="G3935" s="3" t="s">
        <v>23</v>
      </c>
      <c r="H3935">
        <v>0</v>
      </c>
      <c r="I3935" s="2">
        <v>0</v>
      </c>
      <c r="J3935" s="2">
        <v>0</v>
      </c>
      <c r="K3935" s="2">
        <v>0</v>
      </c>
      <c r="L3935" s="2">
        <v>0</v>
      </c>
      <c r="M3935">
        <v>0</v>
      </c>
      <c r="N3935">
        <v>0</v>
      </c>
      <c r="O3935" s="2">
        <v>0</v>
      </c>
      <c r="P3935" s="2">
        <v>0</v>
      </c>
      <c r="Q3935">
        <v>1</v>
      </c>
      <c r="R3935" s="2">
        <v>0</v>
      </c>
      <c r="S3935" s="2">
        <v>0</v>
      </c>
      <c r="T3935" t="s">
        <v>1909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</row>
    <row r="3936" spans="1:28" hidden="1" x14ac:dyDescent="0.25">
      <c r="A3936" t="s">
        <v>730</v>
      </c>
      <c r="B3936" t="s">
        <v>47</v>
      </c>
      <c r="C3936" t="s">
        <v>212</v>
      </c>
      <c r="D3936" s="1">
        <v>46132</v>
      </c>
      <c r="E3936" s="1">
        <v>46132</v>
      </c>
      <c r="F3936" s="2">
        <v>0</v>
      </c>
      <c r="G3936" s="3" t="s">
        <v>409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 t="s">
        <v>377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</row>
    <row r="3937" spans="1:28" hidden="1" x14ac:dyDescent="0.25">
      <c r="A3937" t="s">
        <v>47</v>
      </c>
      <c r="B3937" t="s">
        <v>1323</v>
      </c>
      <c r="C3937" t="s">
        <v>212</v>
      </c>
      <c r="D3937" s="1">
        <v>46132</v>
      </c>
      <c r="E3937" s="1">
        <v>46132</v>
      </c>
      <c r="F3937" s="2">
        <v>0</v>
      </c>
      <c r="G3937" s="3" t="s">
        <v>572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 t="s">
        <v>377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</row>
    <row r="3938" spans="1:28" hidden="1" x14ac:dyDescent="0.25">
      <c r="A3938" t="s">
        <v>53</v>
      </c>
      <c r="B3938" t="s">
        <v>38</v>
      </c>
      <c r="C3938" t="s">
        <v>212</v>
      </c>
      <c r="D3938" s="1">
        <v>46132</v>
      </c>
      <c r="E3938" s="1">
        <v>46132</v>
      </c>
      <c r="F3938" s="2">
        <v>0</v>
      </c>
      <c r="G3938" s="3" t="s">
        <v>572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377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</row>
    <row r="3939" spans="1:28" hidden="1" x14ac:dyDescent="0.25">
      <c r="A3939" t="s">
        <v>63</v>
      </c>
      <c r="B3939" t="s">
        <v>284</v>
      </c>
      <c r="C3939" t="s">
        <v>212</v>
      </c>
      <c r="D3939" s="1">
        <v>46132</v>
      </c>
      <c r="E3939" s="1">
        <v>46132</v>
      </c>
      <c r="F3939" s="2">
        <v>0</v>
      </c>
      <c r="G3939" s="3" t="s">
        <v>572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 t="s">
        <v>377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</row>
    <row r="3940" spans="1:28" hidden="1" x14ac:dyDescent="0.25">
      <c r="A3940" t="s">
        <v>29</v>
      </c>
      <c r="B3940" t="s">
        <v>47</v>
      </c>
      <c r="C3940" t="s">
        <v>212</v>
      </c>
      <c r="D3940" s="1">
        <v>46132</v>
      </c>
      <c r="E3940" s="1">
        <v>46132</v>
      </c>
      <c r="F3940" s="2">
        <v>0</v>
      </c>
      <c r="G3940" s="3" t="s">
        <v>572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 t="s">
        <v>377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</row>
    <row r="3941" spans="1:28" hidden="1" x14ac:dyDescent="0.25">
      <c r="A3941" t="s">
        <v>47</v>
      </c>
      <c r="B3941" t="s">
        <v>47</v>
      </c>
      <c r="C3941" t="s">
        <v>212</v>
      </c>
      <c r="D3941" s="1">
        <v>46132</v>
      </c>
      <c r="E3941" s="1">
        <v>46132</v>
      </c>
      <c r="F3941" s="2">
        <v>0</v>
      </c>
      <c r="G3941" s="3" t="s">
        <v>409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 t="s">
        <v>377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</row>
    <row r="3942" spans="1:28" hidden="1" x14ac:dyDescent="0.25">
      <c r="A3942" t="s">
        <v>47</v>
      </c>
      <c r="B3942" t="s">
        <v>47</v>
      </c>
      <c r="C3942" t="s">
        <v>212</v>
      </c>
      <c r="D3942" s="1">
        <v>46132</v>
      </c>
      <c r="E3942" s="1">
        <v>46132</v>
      </c>
      <c r="F3942" s="2">
        <v>0</v>
      </c>
      <c r="G3942" s="3" t="s">
        <v>129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 t="s">
        <v>377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</row>
    <row r="3943" spans="1:28" hidden="1" x14ac:dyDescent="0.25">
      <c r="A3943" t="s">
        <v>33</v>
      </c>
      <c r="B3943" t="s">
        <v>34</v>
      </c>
      <c r="C3943" t="s">
        <v>35</v>
      </c>
      <c r="D3943" s="1">
        <v>46133</v>
      </c>
      <c r="E3943" s="1">
        <v>46133</v>
      </c>
      <c r="F3943" s="2">
        <v>43</v>
      </c>
      <c r="G3943" s="3" t="s">
        <v>23</v>
      </c>
      <c r="H3943">
        <f>10+10+6</f>
        <v>26</v>
      </c>
      <c r="I3943" s="2">
        <v>0</v>
      </c>
      <c r="J3943" s="2">
        <v>1</v>
      </c>
      <c r="K3943" s="2">
        <v>0</v>
      </c>
      <c r="L3943" s="2">
        <v>1</v>
      </c>
      <c r="M3943">
        <v>1</v>
      </c>
      <c r="N3943">
        <v>0</v>
      </c>
      <c r="O3943" s="2">
        <v>0</v>
      </c>
      <c r="P3943" s="2">
        <v>0</v>
      </c>
      <c r="Q3943">
        <v>0</v>
      </c>
      <c r="R3943" s="2">
        <v>0</v>
      </c>
      <c r="S3943" s="2">
        <v>0</v>
      </c>
      <c r="T3943" t="s">
        <v>1913</v>
      </c>
      <c r="U3943" s="2">
        <v>0</v>
      </c>
      <c r="V3943" s="2">
        <f>41+0</f>
        <v>41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</row>
    <row r="3944" spans="1:28" hidden="1" x14ac:dyDescent="0.25">
      <c r="A3944" t="s">
        <v>53</v>
      </c>
      <c r="B3944" t="s">
        <v>38</v>
      </c>
      <c r="C3944" t="s">
        <v>54</v>
      </c>
      <c r="D3944" s="1">
        <v>46133</v>
      </c>
      <c r="E3944" s="1">
        <v>46133</v>
      </c>
      <c r="F3944" s="2">
        <v>66</v>
      </c>
      <c r="G3944" s="3" t="s">
        <v>23</v>
      </c>
      <c r="H3944">
        <f>16+14</f>
        <v>30</v>
      </c>
      <c r="I3944" s="2">
        <v>0</v>
      </c>
      <c r="J3944" s="2">
        <v>1</v>
      </c>
      <c r="K3944" s="2">
        <v>1</v>
      </c>
      <c r="L3944" s="2">
        <v>0</v>
      </c>
      <c r="M3944">
        <v>1</v>
      </c>
      <c r="N3944">
        <v>0</v>
      </c>
      <c r="O3944" s="2">
        <v>0</v>
      </c>
      <c r="P3944" s="2">
        <v>0</v>
      </c>
      <c r="Q3944">
        <v>0</v>
      </c>
      <c r="R3944" s="2">
        <v>0</v>
      </c>
      <c r="S3944" s="2">
        <v>0</v>
      </c>
      <c r="T3944" t="s">
        <v>1914</v>
      </c>
      <c r="U3944" s="2">
        <v>0</v>
      </c>
      <c r="V3944" s="2">
        <v>44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</row>
    <row r="3945" spans="1:28" hidden="1" x14ac:dyDescent="0.25">
      <c r="A3945" t="s">
        <v>730</v>
      </c>
      <c r="B3945" t="s">
        <v>1323</v>
      </c>
      <c r="C3945" t="s">
        <v>1370</v>
      </c>
      <c r="D3945" s="1">
        <v>46133</v>
      </c>
      <c r="E3945" s="1">
        <v>46133</v>
      </c>
      <c r="F3945" s="2">
        <v>38</v>
      </c>
      <c r="G3945" s="3" t="s">
        <v>23</v>
      </c>
      <c r="H3945">
        <f>18+18+12</f>
        <v>48</v>
      </c>
      <c r="I3945" s="2">
        <v>0</v>
      </c>
      <c r="J3945" s="2">
        <v>1</v>
      </c>
      <c r="K3945" s="2">
        <v>1</v>
      </c>
      <c r="L3945" s="2">
        <v>0</v>
      </c>
      <c r="M3945">
        <v>0</v>
      </c>
      <c r="N3945">
        <v>0</v>
      </c>
      <c r="O3945" s="2">
        <v>0</v>
      </c>
      <c r="P3945" s="2">
        <v>0</v>
      </c>
      <c r="Q3945">
        <v>0</v>
      </c>
      <c r="R3945" s="2">
        <v>0</v>
      </c>
      <c r="S3945" s="2">
        <v>0</v>
      </c>
      <c r="T3945" t="s">
        <v>1915</v>
      </c>
      <c r="U3945" s="2">
        <v>0</v>
      </c>
      <c r="V3945" s="2">
        <v>40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</row>
    <row r="3946" spans="1:28" hidden="1" x14ac:dyDescent="0.25">
      <c r="A3946" t="s">
        <v>29</v>
      </c>
      <c r="B3946" t="s">
        <v>30</v>
      </c>
      <c r="C3946" t="s">
        <v>31</v>
      </c>
      <c r="D3946" s="1">
        <v>46133</v>
      </c>
      <c r="E3946" s="1">
        <v>46133</v>
      </c>
      <c r="F3946" s="2">
        <v>18</v>
      </c>
      <c r="G3946" s="3" t="s">
        <v>23</v>
      </c>
      <c r="H3946">
        <f>28+15</f>
        <v>43</v>
      </c>
      <c r="I3946" s="2">
        <v>0</v>
      </c>
      <c r="J3946" s="2">
        <v>1</v>
      </c>
      <c r="K3946" s="2">
        <v>1</v>
      </c>
      <c r="L3946" s="2">
        <v>0</v>
      </c>
      <c r="M3946">
        <v>0</v>
      </c>
      <c r="N3946">
        <v>0</v>
      </c>
      <c r="O3946" s="2">
        <v>0</v>
      </c>
      <c r="P3946" s="2">
        <v>0</v>
      </c>
      <c r="Q3946">
        <v>1</v>
      </c>
      <c r="R3946" s="2">
        <v>0</v>
      </c>
      <c r="S3946" s="2">
        <v>0</v>
      </c>
      <c r="T3946" t="s">
        <v>1916</v>
      </c>
      <c r="U3946" s="2">
        <v>0</v>
      </c>
      <c r="V3946" s="2">
        <f>9+6</f>
        <v>15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</row>
    <row r="3947" spans="1:28" hidden="1" x14ac:dyDescent="0.25">
      <c r="A3947" t="s">
        <v>63</v>
      </c>
      <c r="B3947" t="s">
        <v>284</v>
      </c>
      <c r="C3947" t="s">
        <v>102</v>
      </c>
      <c r="D3947" s="1">
        <v>46133</v>
      </c>
      <c r="E3947" s="1">
        <v>46133</v>
      </c>
      <c r="F3947" s="2">
        <v>18</v>
      </c>
      <c r="G3947" s="3" t="s">
        <v>23</v>
      </c>
      <c r="H3947">
        <f>16+16+3</f>
        <v>35</v>
      </c>
      <c r="I3947" s="2">
        <v>0</v>
      </c>
      <c r="J3947" s="2">
        <v>1</v>
      </c>
      <c r="K3947" s="2">
        <v>1</v>
      </c>
      <c r="L3947" s="2">
        <v>0</v>
      </c>
      <c r="M3947">
        <v>0</v>
      </c>
      <c r="N3947">
        <v>1</v>
      </c>
      <c r="O3947" s="2">
        <v>0</v>
      </c>
      <c r="P3947" s="2">
        <v>0</v>
      </c>
      <c r="Q3947">
        <v>2</v>
      </c>
      <c r="R3947" s="2">
        <v>0</v>
      </c>
      <c r="S3947" s="2">
        <v>0</v>
      </c>
      <c r="T3947" t="s">
        <v>1917</v>
      </c>
      <c r="U3947" s="2">
        <v>0</v>
      </c>
      <c r="V3947" s="2">
        <f>22+22+13+4</f>
        <v>61</v>
      </c>
      <c r="W3947" s="2">
        <v>6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</row>
    <row r="3948" spans="1:28" hidden="1" x14ac:dyDescent="0.25">
      <c r="A3948" t="s">
        <v>56</v>
      </c>
      <c r="B3948" t="s">
        <v>1160</v>
      </c>
      <c r="C3948" t="s">
        <v>64</v>
      </c>
      <c r="D3948" s="1">
        <v>46133</v>
      </c>
      <c r="E3948" s="1">
        <v>46133</v>
      </c>
      <c r="F3948" s="2">
        <v>63</v>
      </c>
      <c r="G3948" s="3" t="s">
        <v>23</v>
      </c>
      <c r="H3948">
        <f>18+24</f>
        <v>42</v>
      </c>
      <c r="I3948" s="2">
        <v>0</v>
      </c>
      <c r="J3948" s="2">
        <v>1</v>
      </c>
      <c r="K3948" s="2">
        <v>1</v>
      </c>
      <c r="L3948" s="2">
        <v>0</v>
      </c>
      <c r="M3948">
        <v>0</v>
      </c>
      <c r="N3948">
        <v>1</v>
      </c>
      <c r="O3948" s="2">
        <v>0</v>
      </c>
      <c r="P3948" s="2">
        <v>0</v>
      </c>
      <c r="Q3948">
        <v>0</v>
      </c>
      <c r="R3948" s="2">
        <v>0</v>
      </c>
      <c r="S3948" s="2">
        <v>0</v>
      </c>
      <c r="T3948" t="s">
        <v>1918</v>
      </c>
      <c r="U3948" s="2">
        <v>0</v>
      </c>
      <c r="V3948" s="2">
        <f>22+18+4</f>
        <v>44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</row>
    <row r="3949" spans="1:28" hidden="1" x14ac:dyDescent="0.25">
      <c r="A3949" t="s">
        <v>37</v>
      </c>
      <c r="B3949" t="s">
        <v>57</v>
      </c>
      <c r="C3949" t="s">
        <v>212</v>
      </c>
      <c r="D3949" s="1">
        <v>46133</v>
      </c>
      <c r="E3949" s="1">
        <v>46133</v>
      </c>
      <c r="F3949" s="2">
        <v>0</v>
      </c>
      <c r="G3949" s="3" t="s">
        <v>48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 t="s">
        <v>377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</row>
    <row r="3950" spans="1:28" hidden="1" x14ac:dyDescent="0.25">
      <c r="A3950" t="s">
        <v>25</v>
      </c>
      <c r="B3950" t="s">
        <v>26</v>
      </c>
      <c r="C3950" t="s">
        <v>212</v>
      </c>
      <c r="D3950" s="1">
        <v>46133</v>
      </c>
      <c r="E3950" s="1">
        <v>46133</v>
      </c>
      <c r="F3950" s="2">
        <v>0</v>
      </c>
      <c r="G3950" s="3" t="s">
        <v>48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 t="s">
        <v>377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</row>
    <row r="3951" spans="1:28" hidden="1" x14ac:dyDescent="0.25">
      <c r="A3951" t="s">
        <v>20</v>
      </c>
      <c r="B3951" t="s">
        <v>47</v>
      </c>
      <c r="C3951" t="s">
        <v>212</v>
      </c>
      <c r="D3951" s="1">
        <v>46133</v>
      </c>
      <c r="E3951" s="1">
        <v>46133</v>
      </c>
      <c r="F3951" s="2">
        <v>0</v>
      </c>
      <c r="G3951" s="3" t="s">
        <v>48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377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</row>
    <row r="3952" spans="1:28" hidden="1" x14ac:dyDescent="0.25">
      <c r="A3952" t="s">
        <v>47</v>
      </c>
      <c r="B3952" t="s">
        <v>47</v>
      </c>
      <c r="C3952" t="s">
        <v>212</v>
      </c>
      <c r="D3952" s="1">
        <v>46133</v>
      </c>
      <c r="E3952" s="1">
        <v>46133</v>
      </c>
      <c r="F3952" s="2">
        <v>0</v>
      </c>
      <c r="G3952" s="3" t="s">
        <v>572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 t="s">
        <v>377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</row>
    <row r="3953" spans="1:28" hidden="1" x14ac:dyDescent="0.25">
      <c r="A3953" t="s">
        <v>47</v>
      </c>
      <c r="B3953" t="s">
        <v>47</v>
      </c>
      <c r="C3953" t="s">
        <v>212</v>
      </c>
      <c r="D3953" s="1">
        <v>46133</v>
      </c>
      <c r="E3953" s="1">
        <v>46133</v>
      </c>
      <c r="F3953" s="2">
        <v>0</v>
      </c>
      <c r="G3953" s="3" t="s">
        <v>572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 t="s">
        <v>377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</row>
    <row r="3954" spans="1:28" hidden="1" x14ac:dyDescent="0.25">
      <c r="A3954" t="s">
        <v>47</v>
      </c>
      <c r="B3954" t="s">
        <v>47</v>
      </c>
      <c r="C3954" t="s">
        <v>212</v>
      </c>
      <c r="D3954" s="1">
        <v>46133</v>
      </c>
      <c r="E3954" s="1">
        <v>46133</v>
      </c>
      <c r="F3954" s="2">
        <v>0</v>
      </c>
      <c r="G3954" s="3" t="s">
        <v>572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 t="s">
        <v>377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</row>
    <row r="3955" spans="1:28" hidden="1" x14ac:dyDescent="0.25">
      <c r="A3955" t="s">
        <v>47</v>
      </c>
      <c r="B3955" t="s">
        <v>47</v>
      </c>
      <c r="C3955" t="s">
        <v>212</v>
      </c>
      <c r="D3955" s="1">
        <v>46133</v>
      </c>
      <c r="E3955" s="1">
        <v>46133</v>
      </c>
      <c r="F3955" s="2">
        <v>0</v>
      </c>
      <c r="G3955" s="3" t="s">
        <v>572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 t="s">
        <v>377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</row>
    <row r="3956" spans="1:28" hidden="1" x14ac:dyDescent="0.25">
      <c r="A3956" t="s">
        <v>47</v>
      </c>
      <c r="B3956" t="s">
        <v>21</v>
      </c>
      <c r="C3956" t="s">
        <v>212</v>
      </c>
      <c r="D3956" s="1">
        <v>46133</v>
      </c>
      <c r="E3956" s="1">
        <v>46133</v>
      </c>
      <c r="F3956" s="2">
        <v>0</v>
      </c>
      <c r="G3956" s="3" t="s">
        <v>409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377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</row>
    <row r="3957" spans="1:28" hidden="1" x14ac:dyDescent="0.25">
      <c r="A3957" t="s">
        <v>47</v>
      </c>
      <c r="B3957" t="s">
        <v>47</v>
      </c>
      <c r="C3957" t="s">
        <v>212</v>
      </c>
      <c r="D3957" s="1">
        <v>46133</v>
      </c>
      <c r="E3957" s="1">
        <v>46133</v>
      </c>
      <c r="F3957" s="2">
        <v>0</v>
      </c>
      <c r="G3957" s="3" t="s">
        <v>129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377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</row>
    <row r="3958" spans="1:28" hidden="1" x14ac:dyDescent="0.25">
      <c r="A3958" t="s">
        <v>33</v>
      </c>
      <c r="B3958" t="s">
        <v>34</v>
      </c>
      <c r="C3958" t="s">
        <v>35</v>
      </c>
      <c r="D3958" s="1">
        <v>46134</v>
      </c>
      <c r="E3958" s="1">
        <v>46134</v>
      </c>
      <c r="F3958" s="2">
        <v>40</v>
      </c>
      <c r="G3958" s="3" t="s">
        <v>23</v>
      </c>
      <c r="H3958">
        <v>36</v>
      </c>
      <c r="I3958" s="2">
        <v>0</v>
      </c>
      <c r="J3958" s="2">
        <v>0</v>
      </c>
      <c r="K3958" s="2">
        <v>1</v>
      </c>
      <c r="L3958" s="2">
        <v>0</v>
      </c>
      <c r="M3958">
        <v>0</v>
      </c>
      <c r="N3958">
        <v>0</v>
      </c>
      <c r="O3958" s="2">
        <v>0</v>
      </c>
      <c r="P3958" s="2">
        <v>0</v>
      </c>
      <c r="Q3958">
        <v>0</v>
      </c>
      <c r="R3958" s="2">
        <v>0</v>
      </c>
      <c r="S3958" s="2">
        <v>0</v>
      </c>
      <c r="T3958" t="s">
        <v>1919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</row>
    <row r="3959" spans="1:28" hidden="1" x14ac:dyDescent="0.25">
      <c r="A3959" t="s">
        <v>20</v>
      </c>
      <c r="B3959" t="s">
        <v>47</v>
      </c>
      <c r="C3959" t="s">
        <v>22</v>
      </c>
      <c r="D3959" s="1">
        <v>46134</v>
      </c>
      <c r="E3959" s="1">
        <v>46134</v>
      </c>
      <c r="F3959" s="2">
        <v>46</v>
      </c>
      <c r="G3959" s="3" t="s">
        <v>23</v>
      </c>
      <c r="H3959">
        <v>30</v>
      </c>
      <c r="I3959" s="2">
        <v>0</v>
      </c>
      <c r="J3959" s="2">
        <v>0</v>
      </c>
      <c r="K3959" s="2">
        <v>0</v>
      </c>
      <c r="L3959" s="2">
        <v>1</v>
      </c>
      <c r="M3959">
        <v>0</v>
      </c>
      <c r="N3959">
        <v>0</v>
      </c>
      <c r="O3959" s="2">
        <v>0</v>
      </c>
      <c r="P3959" s="2">
        <v>0</v>
      </c>
      <c r="Q3959">
        <v>2</v>
      </c>
      <c r="R3959" s="2">
        <v>0</v>
      </c>
      <c r="S3959" s="2">
        <v>0</v>
      </c>
      <c r="T3959" t="s">
        <v>1920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</row>
    <row r="3960" spans="1:28" hidden="1" x14ac:dyDescent="0.25">
      <c r="A3960" t="s">
        <v>47</v>
      </c>
      <c r="B3960" t="s">
        <v>1323</v>
      </c>
      <c r="C3960" t="s">
        <v>22</v>
      </c>
      <c r="D3960" s="1">
        <v>46134</v>
      </c>
      <c r="E3960" s="1">
        <v>46134</v>
      </c>
      <c r="F3960" s="2">
        <v>46</v>
      </c>
      <c r="G3960" s="3" t="s">
        <v>23</v>
      </c>
      <c r="H3960">
        <v>30</v>
      </c>
      <c r="I3960" s="2">
        <v>0</v>
      </c>
      <c r="J3960" s="2">
        <v>0</v>
      </c>
      <c r="K3960" s="2">
        <v>0</v>
      </c>
      <c r="L3960" s="2">
        <v>1</v>
      </c>
      <c r="M3960">
        <v>0</v>
      </c>
      <c r="N3960">
        <v>0</v>
      </c>
      <c r="O3960" s="2">
        <v>0</v>
      </c>
      <c r="P3960" s="2">
        <v>0</v>
      </c>
      <c r="Q3960">
        <v>0</v>
      </c>
      <c r="R3960" s="2">
        <v>0</v>
      </c>
      <c r="S3960" s="2">
        <v>0</v>
      </c>
      <c r="T3960" t="s">
        <v>1920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</row>
    <row r="3961" spans="1:28" hidden="1" x14ac:dyDescent="0.25">
      <c r="A3961" t="s">
        <v>37</v>
      </c>
      <c r="B3961" t="s">
        <v>57</v>
      </c>
      <c r="C3961" t="s">
        <v>173</v>
      </c>
      <c r="D3961" s="1">
        <v>46134</v>
      </c>
      <c r="E3961" s="1">
        <v>46134</v>
      </c>
      <c r="F3961" s="2">
        <v>18</v>
      </c>
      <c r="G3961" s="3" t="s">
        <v>23</v>
      </c>
      <c r="H3961">
        <v>49</v>
      </c>
      <c r="I3961" s="2">
        <v>0</v>
      </c>
      <c r="J3961" s="2">
        <v>0</v>
      </c>
      <c r="K3961" s="2">
        <v>1</v>
      </c>
      <c r="L3961" s="2">
        <v>0</v>
      </c>
      <c r="M3961">
        <v>0</v>
      </c>
      <c r="N3961">
        <v>0</v>
      </c>
      <c r="O3961" s="2">
        <v>0</v>
      </c>
      <c r="P3961" s="2">
        <v>0</v>
      </c>
      <c r="Q3961">
        <v>0</v>
      </c>
      <c r="R3961" s="2">
        <v>0</v>
      </c>
      <c r="S3961" s="2">
        <v>0</v>
      </c>
      <c r="T3961" t="s">
        <v>1921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</row>
    <row r="3962" spans="1:28" hidden="1" x14ac:dyDescent="0.25">
      <c r="A3962" t="s">
        <v>25</v>
      </c>
      <c r="B3962" t="s">
        <v>26</v>
      </c>
      <c r="C3962" t="s">
        <v>27</v>
      </c>
      <c r="D3962" s="1">
        <v>46134</v>
      </c>
      <c r="E3962" s="1">
        <v>46134</v>
      </c>
      <c r="F3962" s="2">
        <v>20</v>
      </c>
      <c r="G3962" s="3" t="s">
        <v>23</v>
      </c>
      <c r="H3962">
        <v>49</v>
      </c>
      <c r="I3962" s="2">
        <v>0</v>
      </c>
      <c r="J3962" s="2">
        <v>0</v>
      </c>
      <c r="K3962" s="2">
        <v>1</v>
      </c>
      <c r="L3962" s="2">
        <v>0</v>
      </c>
      <c r="M3962">
        <v>0</v>
      </c>
      <c r="N3962">
        <v>1</v>
      </c>
      <c r="O3962" s="2">
        <v>0</v>
      </c>
      <c r="P3962" s="2">
        <v>0</v>
      </c>
      <c r="Q3962">
        <v>0</v>
      </c>
      <c r="R3962" s="2">
        <v>0</v>
      </c>
      <c r="S3962" s="2">
        <v>0</v>
      </c>
      <c r="T3962" t="s">
        <v>1922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</row>
    <row r="3963" spans="1:28" hidden="1" x14ac:dyDescent="0.25">
      <c r="A3963" t="s">
        <v>29</v>
      </c>
      <c r="B3963" t="s">
        <v>30</v>
      </c>
      <c r="C3963" t="s">
        <v>31</v>
      </c>
      <c r="D3963" s="1">
        <v>46134</v>
      </c>
      <c r="E3963" s="1">
        <v>46134</v>
      </c>
      <c r="F3963" s="2">
        <v>40</v>
      </c>
      <c r="G3963" s="3" t="s">
        <v>23</v>
      </c>
      <c r="H3963">
        <v>24</v>
      </c>
      <c r="I3963" s="2">
        <v>0</v>
      </c>
      <c r="J3963" s="2">
        <v>0</v>
      </c>
      <c r="K3963" s="2">
        <v>1</v>
      </c>
      <c r="L3963" s="2">
        <v>0</v>
      </c>
      <c r="M3963">
        <v>0</v>
      </c>
      <c r="N3963">
        <v>0</v>
      </c>
      <c r="O3963" s="2">
        <v>0</v>
      </c>
      <c r="P3963" s="2">
        <v>0</v>
      </c>
      <c r="Q3963">
        <v>0</v>
      </c>
      <c r="R3963" s="2">
        <v>0</v>
      </c>
      <c r="S3963" s="2">
        <v>0</v>
      </c>
      <c r="T3963" t="s">
        <v>1923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</row>
    <row r="3964" spans="1:28" hidden="1" x14ac:dyDescent="0.25">
      <c r="A3964" t="s">
        <v>53</v>
      </c>
      <c r="B3964" t="s">
        <v>38</v>
      </c>
      <c r="C3964" t="s">
        <v>31</v>
      </c>
      <c r="D3964" s="1">
        <v>46134</v>
      </c>
      <c r="E3964" s="1">
        <v>46134</v>
      </c>
      <c r="F3964" s="2">
        <v>40</v>
      </c>
      <c r="G3964" s="3" t="s">
        <v>23</v>
      </c>
      <c r="H3964">
        <v>2</v>
      </c>
      <c r="I3964" s="2">
        <v>0</v>
      </c>
      <c r="J3964" s="2">
        <v>0</v>
      </c>
      <c r="K3964" s="2">
        <v>0</v>
      </c>
      <c r="L3964" s="2">
        <v>0</v>
      </c>
      <c r="M3964">
        <v>0</v>
      </c>
      <c r="N3964">
        <v>0</v>
      </c>
      <c r="O3964" s="2">
        <v>0</v>
      </c>
      <c r="P3964" s="2">
        <v>0</v>
      </c>
      <c r="Q3964">
        <v>0</v>
      </c>
      <c r="R3964" s="2">
        <v>0</v>
      </c>
      <c r="S3964" s="2">
        <v>0</v>
      </c>
      <c r="T3964" t="s">
        <v>1923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</row>
    <row r="3965" spans="1:28" hidden="1" x14ac:dyDescent="0.25">
      <c r="A3965" t="s">
        <v>56</v>
      </c>
      <c r="B3965" t="s">
        <v>1160</v>
      </c>
      <c r="C3965" t="s">
        <v>212</v>
      </c>
      <c r="D3965" s="1">
        <v>46134</v>
      </c>
      <c r="E3965" s="1">
        <v>46134</v>
      </c>
      <c r="F3965" s="2">
        <v>0</v>
      </c>
      <c r="G3965" s="3" t="s">
        <v>48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 t="s">
        <v>377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</row>
    <row r="3966" spans="1:28" hidden="1" x14ac:dyDescent="0.25">
      <c r="A3966" t="s">
        <v>63</v>
      </c>
      <c r="B3966" t="s">
        <v>284</v>
      </c>
      <c r="C3966" t="s">
        <v>212</v>
      </c>
      <c r="D3966" s="1">
        <v>46134</v>
      </c>
      <c r="E3966" s="1">
        <v>46134</v>
      </c>
      <c r="F3966" s="2">
        <v>0</v>
      </c>
      <c r="G3966" s="3" t="s">
        <v>48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 t="s">
        <v>377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</row>
    <row r="3967" spans="1:28" hidden="1" x14ac:dyDescent="0.25">
      <c r="A3967" t="s">
        <v>47</v>
      </c>
      <c r="B3967" t="s">
        <v>21</v>
      </c>
      <c r="C3967" t="s">
        <v>212</v>
      </c>
      <c r="D3967" s="1">
        <v>46134</v>
      </c>
      <c r="E3967" s="1">
        <v>46134</v>
      </c>
      <c r="F3967" s="2">
        <v>0</v>
      </c>
      <c r="G3967" s="3" t="s">
        <v>48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 t="s">
        <v>377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</row>
    <row r="3968" spans="1:28" hidden="1" x14ac:dyDescent="0.25">
      <c r="A3968" t="s">
        <v>47</v>
      </c>
      <c r="B3968" t="s">
        <v>47</v>
      </c>
      <c r="C3968" t="s">
        <v>212</v>
      </c>
      <c r="D3968" s="1">
        <v>46134</v>
      </c>
      <c r="E3968" s="1">
        <v>46134</v>
      </c>
      <c r="F3968" s="2">
        <v>0</v>
      </c>
      <c r="G3968" s="3" t="s">
        <v>572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 t="s">
        <v>377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</row>
    <row r="3969" spans="1:28" hidden="1" x14ac:dyDescent="0.25">
      <c r="A3969" t="s">
        <v>47</v>
      </c>
      <c r="B3969" t="s">
        <v>47</v>
      </c>
      <c r="C3969" t="s">
        <v>212</v>
      </c>
      <c r="D3969" s="1">
        <v>46134</v>
      </c>
      <c r="E3969" s="1">
        <v>46134</v>
      </c>
      <c r="F3969" s="2">
        <v>0</v>
      </c>
      <c r="G3969" s="3" t="s">
        <v>572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377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</row>
    <row r="3970" spans="1:28" hidden="1" x14ac:dyDescent="0.25">
      <c r="A3970" t="s">
        <v>47</v>
      </c>
      <c r="B3970" t="s">
        <v>47</v>
      </c>
      <c r="C3970" t="s">
        <v>212</v>
      </c>
      <c r="D3970" s="1">
        <v>46134</v>
      </c>
      <c r="E3970" s="1">
        <v>46134</v>
      </c>
      <c r="F3970" s="2">
        <v>0</v>
      </c>
      <c r="G3970" s="3" t="s">
        <v>572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 t="s">
        <v>377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</row>
    <row r="3971" spans="1:28" hidden="1" x14ac:dyDescent="0.25">
      <c r="A3971" t="s">
        <v>47</v>
      </c>
      <c r="B3971" t="s">
        <v>47</v>
      </c>
      <c r="C3971" t="s">
        <v>212</v>
      </c>
      <c r="D3971" s="1">
        <v>46134</v>
      </c>
      <c r="E3971" s="1">
        <v>46134</v>
      </c>
      <c r="F3971" s="2">
        <v>0</v>
      </c>
      <c r="G3971" s="3" t="s">
        <v>572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 t="s">
        <v>377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</row>
    <row r="3972" spans="1:28" x14ac:dyDescent="0.25">
      <c r="A3972" t="s">
        <v>730</v>
      </c>
      <c r="B3972" t="s">
        <v>47</v>
      </c>
      <c r="C3972" t="s">
        <v>212</v>
      </c>
      <c r="D3972" s="1">
        <v>46134</v>
      </c>
      <c r="E3972" s="1">
        <v>46134</v>
      </c>
      <c r="F3972" s="2">
        <v>0</v>
      </c>
      <c r="G3972" s="3" t="s">
        <v>409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377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</row>
    <row r="3973" spans="1:28" hidden="1" x14ac:dyDescent="0.25">
      <c r="A3973" t="s">
        <v>47</v>
      </c>
      <c r="B3973" t="s">
        <v>47</v>
      </c>
      <c r="C3973" t="s">
        <v>212</v>
      </c>
      <c r="D3973" s="1">
        <v>46134</v>
      </c>
      <c r="E3973" s="1">
        <v>46134</v>
      </c>
      <c r="F3973" s="2">
        <v>0</v>
      </c>
      <c r="G3973" s="3" t="s">
        <v>129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377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</row>
    <row r="3974" spans="1:28" hidden="1" x14ac:dyDescent="0.25">
      <c r="A3974" t="s">
        <v>33</v>
      </c>
      <c r="B3974" t="s">
        <v>34</v>
      </c>
      <c r="C3974" t="s">
        <v>35</v>
      </c>
      <c r="D3974" s="1">
        <v>46135</v>
      </c>
      <c r="E3974" s="1">
        <v>46135</v>
      </c>
      <c r="F3974" s="2">
        <v>23</v>
      </c>
      <c r="G3974" s="3" t="s">
        <v>23</v>
      </c>
      <c r="H3974">
        <v>22</v>
      </c>
      <c r="I3974" s="2">
        <v>0</v>
      </c>
      <c r="J3974" s="2">
        <v>0</v>
      </c>
      <c r="K3974" s="2">
        <v>0</v>
      </c>
      <c r="L3974" s="2">
        <v>1</v>
      </c>
      <c r="M3974">
        <v>0</v>
      </c>
      <c r="N3974">
        <v>0</v>
      </c>
      <c r="O3974" s="2">
        <v>0</v>
      </c>
      <c r="P3974" s="2">
        <v>0</v>
      </c>
      <c r="Q3974">
        <v>0</v>
      </c>
      <c r="R3974" s="2">
        <v>0</v>
      </c>
      <c r="S3974" s="2">
        <v>0</v>
      </c>
      <c r="T3974" t="s">
        <v>1924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</row>
    <row r="3975" spans="1:28" hidden="1" x14ac:dyDescent="0.25">
      <c r="A3975" t="s">
        <v>20</v>
      </c>
      <c r="B3975" t="s">
        <v>21</v>
      </c>
      <c r="C3975" t="s">
        <v>22</v>
      </c>
      <c r="D3975" s="1">
        <v>46135</v>
      </c>
      <c r="E3975" s="1">
        <v>46135</v>
      </c>
      <c r="F3975" s="2">
        <v>37</v>
      </c>
      <c r="G3975" s="3" t="s">
        <v>23</v>
      </c>
      <c r="H3975">
        <v>32</v>
      </c>
      <c r="I3975" s="2">
        <v>0</v>
      </c>
      <c r="J3975" s="2">
        <v>0</v>
      </c>
      <c r="K3975" s="2">
        <v>1</v>
      </c>
      <c r="L3975" s="2">
        <v>0</v>
      </c>
      <c r="M3975">
        <v>0</v>
      </c>
      <c r="N3975">
        <v>0</v>
      </c>
      <c r="O3975" s="2">
        <v>0</v>
      </c>
      <c r="P3975" s="2">
        <v>0</v>
      </c>
      <c r="Q3975">
        <v>1</v>
      </c>
      <c r="R3975" s="2">
        <v>0</v>
      </c>
      <c r="S3975" s="2">
        <v>0</v>
      </c>
      <c r="T3975" t="s">
        <v>1925</v>
      </c>
      <c r="U3975" s="2">
        <v>0</v>
      </c>
      <c r="V3975" s="2">
        <f>6+2</f>
        <v>8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</row>
    <row r="3976" spans="1:28" hidden="1" x14ac:dyDescent="0.25">
      <c r="A3976" t="s">
        <v>37</v>
      </c>
      <c r="B3976" t="s">
        <v>57</v>
      </c>
      <c r="C3976" t="s">
        <v>173</v>
      </c>
      <c r="D3976" s="1">
        <v>46135</v>
      </c>
      <c r="E3976" s="1">
        <v>46135</v>
      </c>
      <c r="F3976" s="2">
        <v>16</v>
      </c>
      <c r="G3976" s="3" t="s">
        <v>23</v>
      </c>
      <c r="H3976">
        <v>36</v>
      </c>
      <c r="I3976" s="2">
        <v>0</v>
      </c>
      <c r="J3976" s="2">
        <v>0</v>
      </c>
      <c r="K3976" s="2">
        <v>1</v>
      </c>
      <c r="L3976" s="2">
        <v>0</v>
      </c>
      <c r="M3976">
        <v>0</v>
      </c>
      <c r="N3976">
        <v>0</v>
      </c>
      <c r="O3976" s="2">
        <v>0</v>
      </c>
      <c r="P3976" s="2">
        <v>0</v>
      </c>
      <c r="Q3976">
        <v>0</v>
      </c>
      <c r="R3976" s="2">
        <v>0</v>
      </c>
      <c r="S3976" s="2">
        <v>0</v>
      </c>
      <c r="T3976" t="s">
        <v>1926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</row>
    <row r="3977" spans="1:28" hidden="1" x14ac:dyDescent="0.25">
      <c r="A3977" t="s">
        <v>25</v>
      </c>
      <c r="B3977" t="s">
        <v>26</v>
      </c>
      <c r="C3977" t="s">
        <v>27</v>
      </c>
      <c r="D3977" s="1">
        <v>46135</v>
      </c>
      <c r="E3977" s="1">
        <v>46135</v>
      </c>
      <c r="F3977" s="2">
        <v>35</v>
      </c>
      <c r="G3977" s="3" t="s">
        <v>23</v>
      </c>
      <c r="H3977">
        <v>40</v>
      </c>
      <c r="I3977" s="2">
        <v>0</v>
      </c>
      <c r="J3977" s="2">
        <v>0</v>
      </c>
      <c r="K3977" s="2">
        <v>1</v>
      </c>
      <c r="L3977" s="2">
        <v>0</v>
      </c>
      <c r="M3977">
        <v>0</v>
      </c>
      <c r="N3977">
        <v>0</v>
      </c>
      <c r="O3977" s="2">
        <v>0</v>
      </c>
      <c r="P3977" s="2">
        <v>0</v>
      </c>
      <c r="Q3977">
        <v>0</v>
      </c>
      <c r="R3977" s="2">
        <v>0</v>
      </c>
      <c r="S3977" s="2">
        <v>0</v>
      </c>
      <c r="T3977" t="s">
        <v>1927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</row>
    <row r="3978" spans="1:28" hidden="1" x14ac:dyDescent="0.25">
      <c r="A3978" t="s">
        <v>63</v>
      </c>
      <c r="B3978" t="s">
        <v>284</v>
      </c>
      <c r="C3978" t="s">
        <v>102</v>
      </c>
      <c r="D3978" s="1">
        <v>46135</v>
      </c>
      <c r="E3978" s="1">
        <v>46135</v>
      </c>
      <c r="F3978" s="2">
        <v>34</v>
      </c>
      <c r="G3978" s="3" t="s">
        <v>23</v>
      </c>
      <c r="H3978">
        <v>29</v>
      </c>
      <c r="I3978" s="2">
        <v>0</v>
      </c>
      <c r="J3978" s="2">
        <v>0</v>
      </c>
      <c r="K3978" s="2">
        <v>1</v>
      </c>
      <c r="L3978" s="2">
        <v>0</v>
      </c>
      <c r="M3978">
        <v>1</v>
      </c>
      <c r="N3978">
        <v>0</v>
      </c>
      <c r="O3978" s="2">
        <v>0</v>
      </c>
      <c r="P3978" s="2">
        <v>0</v>
      </c>
      <c r="Q3978">
        <v>1</v>
      </c>
      <c r="R3978" s="2">
        <v>0</v>
      </c>
      <c r="S3978" s="2">
        <v>0</v>
      </c>
      <c r="T3978" t="s">
        <v>1928</v>
      </c>
      <c r="U3978" s="2">
        <v>0</v>
      </c>
      <c r="V3978" s="2">
        <v>3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</row>
    <row r="3979" spans="1:28" hidden="1" x14ac:dyDescent="0.25">
      <c r="A3979" t="s">
        <v>47</v>
      </c>
      <c r="B3979" t="s">
        <v>1323</v>
      </c>
      <c r="C3979" t="s">
        <v>102</v>
      </c>
      <c r="D3979" s="1">
        <v>46135</v>
      </c>
      <c r="E3979" s="1">
        <v>46135</v>
      </c>
      <c r="F3979" s="2">
        <v>34</v>
      </c>
      <c r="G3979" s="3" t="s">
        <v>23</v>
      </c>
      <c r="H3979">
        <v>5</v>
      </c>
      <c r="I3979" s="2">
        <v>0</v>
      </c>
      <c r="J3979" s="2">
        <v>0</v>
      </c>
      <c r="K3979" s="2">
        <v>0</v>
      </c>
      <c r="L3979" s="2">
        <v>0</v>
      </c>
      <c r="M3979">
        <v>1</v>
      </c>
      <c r="N3979">
        <v>0</v>
      </c>
      <c r="O3979" s="2">
        <v>0</v>
      </c>
      <c r="P3979" s="2">
        <v>0</v>
      </c>
      <c r="Q3979">
        <v>0</v>
      </c>
      <c r="R3979" s="2">
        <v>0</v>
      </c>
      <c r="S3979" s="2">
        <v>0</v>
      </c>
      <c r="T3979" t="s">
        <v>1928</v>
      </c>
      <c r="U3979" s="2">
        <v>0</v>
      </c>
      <c r="V3979" s="2">
        <v>3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</row>
    <row r="3980" spans="1:28" hidden="1" x14ac:dyDescent="0.25">
      <c r="A3980" t="s">
        <v>56</v>
      </c>
      <c r="B3980" t="s">
        <v>1160</v>
      </c>
      <c r="C3980" t="s">
        <v>64</v>
      </c>
      <c r="D3980" s="1">
        <v>46135</v>
      </c>
      <c r="E3980" s="1">
        <v>46135</v>
      </c>
      <c r="F3980" s="2">
        <v>15</v>
      </c>
      <c r="G3980" s="3" t="s">
        <v>23</v>
      </c>
      <c r="H3980">
        <f>41-5-8-3</f>
        <v>25</v>
      </c>
      <c r="I3980" s="2">
        <v>0</v>
      </c>
      <c r="J3980" s="2">
        <v>0</v>
      </c>
      <c r="K3980" s="2">
        <v>1</v>
      </c>
      <c r="L3980" s="2">
        <v>0</v>
      </c>
      <c r="M3980">
        <v>0</v>
      </c>
      <c r="N3980">
        <v>0</v>
      </c>
      <c r="O3980" s="2">
        <v>0</v>
      </c>
      <c r="P3980" s="2">
        <v>0</v>
      </c>
      <c r="Q3980">
        <v>0</v>
      </c>
      <c r="R3980" s="2">
        <v>0</v>
      </c>
      <c r="S3980" s="2">
        <v>0</v>
      </c>
      <c r="T3980" t="s">
        <v>1929</v>
      </c>
      <c r="U3980" s="2">
        <v>0</v>
      </c>
      <c r="V3980" s="2">
        <f>5+8+3</f>
        <v>16</v>
      </c>
      <c r="W3980" s="2">
        <v>2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</row>
    <row r="3981" spans="1:28" hidden="1" x14ac:dyDescent="0.25">
      <c r="A3981" t="s">
        <v>53</v>
      </c>
      <c r="B3981" t="s">
        <v>38</v>
      </c>
      <c r="C3981" t="s">
        <v>64</v>
      </c>
      <c r="D3981" s="1">
        <v>46135</v>
      </c>
      <c r="E3981" s="1">
        <v>46135</v>
      </c>
      <c r="F3981" s="2">
        <v>15</v>
      </c>
      <c r="G3981" s="3" t="s">
        <v>23</v>
      </c>
      <c r="H3981">
        <v>3</v>
      </c>
      <c r="I3981" s="2">
        <v>0</v>
      </c>
      <c r="J3981" s="2">
        <v>0</v>
      </c>
      <c r="K3981" s="2">
        <v>0</v>
      </c>
      <c r="L3981" s="2">
        <v>0</v>
      </c>
      <c r="M3981">
        <v>0</v>
      </c>
      <c r="N3981">
        <v>0</v>
      </c>
      <c r="O3981" s="2">
        <v>0</v>
      </c>
      <c r="P3981" s="2">
        <v>0</v>
      </c>
      <c r="Q3981">
        <v>0</v>
      </c>
      <c r="R3981" s="2">
        <v>0</v>
      </c>
      <c r="S3981" s="2">
        <v>0</v>
      </c>
      <c r="T3981" t="s">
        <v>1929</v>
      </c>
      <c r="U3981" s="2">
        <v>0</v>
      </c>
      <c r="V3981" s="2">
        <f>5+8+3</f>
        <v>16</v>
      </c>
      <c r="W3981" s="2">
        <v>2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</row>
    <row r="3982" spans="1:28" hidden="1" x14ac:dyDescent="0.25">
      <c r="A3982" t="s">
        <v>47</v>
      </c>
      <c r="B3982" t="s">
        <v>30</v>
      </c>
      <c r="C3982" t="s">
        <v>64</v>
      </c>
      <c r="D3982" s="1">
        <v>46135</v>
      </c>
      <c r="E3982" s="1">
        <v>46135</v>
      </c>
      <c r="F3982" s="2">
        <v>15</v>
      </c>
      <c r="G3982" s="3" t="s">
        <v>23</v>
      </c>
      <c r="H3982">
        <v>3</v>
      </c>
      <c r="I3982" s="2">
        <v>0</v>
      </c>
      <c r="J3982" s="2">
        <v>0</v>
      </c>
      <c r="K3982" s="2">
        <v>0</v>
      </c>
      <c r="L3982" s="2">
        <v>0</v>
      </c>
      <c r="M3982">
        <v>0</v>
      </c>
      <c r="N3982">
        <v>0</v>
      </c>
      <c r="O3982" s="2">
        <v>0</v>
      </c>
      <c r="P3982" s="2">
        <v>0</v>
      </c>
      <c r="Q3982">
        <v>0</v>
      </c>
      <c r="R3982" s="2">
        <v>0</v>
      </c>
      <c r="S3982" s="2">
        <v>0</v>
      </c>
      <c r="T3982" t="s">
        <v>1929</v>
      </c>
      <c r="U3982" s="2">
        <v>0</v>
      </c>
      <c r="V3982" s="2">
        <f>5+8+3</f>
        <v>16</v>
      </c>
      <c r="W3982" s="2">
        <v>2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</row>
    <row r="3983" spans="1:28" hidden="1" x14ac:dyDescent="0.25">
      <c r="A3983" t="s">
        <v>47</v>
      </c>
      <c r="B3983" t="s">
        <v>29</v>
      </c>
      <c r="C3983" t="s">
        <v>64</v>
      </c>
      <c r="D3983" s="1">
        <v>46135</v>
      </c>
      <c r="E3983" s="1">
        <v>46135</v>
      </c>
      <c r="F3983" s="2">
        <v>15</v>
      </c>
      <c r="G3983" s="3" t="s">
        <v>23</v>
      </c>
      <c r="H3983">
        <v>3</v>
      </c>
      <c r="I3983" s="2">
        <v>0</v>
      </c>
      <c r="J3983" s="2">
        <v>0</v>
      </c>
      <c r="K3983" s="2">
        <v>0</v>
      </c>
      <c r="L3983" s="2">
        <v>0</v>
      </c>
      <c r="M3983">
        <v>0</v>
      </c>
      <c r="N3983">
        <v>0</v>
      </c>
      <c r="O3983" s="2">
        <v>0</v>
      </c>
      <c r="P3983" s="2">
        <v>0</v>
      </c>
      <c r="Q3983">
        <v>0</v>
      </c>
      <c r="R3983" s="2">
        <v>0</v>
      </c>
      <c r="S3983" s="2">
        <v>0</v>
      </c>
      <c r="T3983" t="s">
        <v>1929</v>
      </c>
      <c r="U3983" s="2">
        <v>0</v>
      </c>
      <c r="V3983" s="2">
        <f>5+8+3</f>
        <v>16</v>
      </c>
      <c r="W3983" s="2">
        <v>2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</row>
    <row r="3984" spans="1:28" hidden="1" x14ac:dyDescent="0.25">
      <c r="A3984" t="s">
        <v>47</v>
      </c>
      <c r="B3984" t="s">
        <v>47</v>
      </c>
      <c r="C3984" t="s">
        <v>212</v>
      </c>
      <c r="D3984" s="1">
        <v>46135</v>
      </c>
      <c r="E3984" s="1">
        <v>46135</v>
      </c>
      <c r="F3984" s="2">
        <v>0</v>
      </c>
      <c r="G3984" s="3" t="s">
        <v>48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 t="s">
        <v>377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</row>
    <row r="3985" spans="1:28" hidden="1" x14ac:dyDescent="0.25">
      <c r="A3985" t="s">
        <v>47</v>
      </c>
      <c r="B3985" t="s">
        <v>47</v>
      </c>
      <c r="C3985" t="s">
        <v>212</v>
      </c>
      <c r="D3985" s="1">
        <v>46135</v>
      </c>
      <c r="E3985" s="1">
        <v>46135</v>
      </c>
      <c r="F3985" s="2">
        <v>0</v>
      </c>
      <c r="G3985" s="3" t="s">
        <v>48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377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</row>
    <row r="3986" spans="1:28" hidden="1" x14ac:dyDescent="0.25">
      <c r="A3986" t="s">
        <v>47</v>
      </c>
      <c r="B3986" t="s">
        <v>47</v>
      </c>
      <c r="C3986" t="s">
        <v>212</v>
      </c>
      <c r="D3986" s="1">
        <v>46135</v>
      </c>
      <c r="E3986" s="1">
        <v>46135</v>
      </c>
      <c r="F3986" s="2">
        <v>0</v>
      </c>
      <c r="G3986" s="3" t="s">
        <v>48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377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</row>
    <row r="3987" spans="1:28" hidden="1" x14ac:dyDescent="0.25">
      <c r="A3987" t="s">
        <v>47</v>
      </c>
      <c r="B3987" t="s">
        <v>47</v>
      </c>
      <c r="C3987" t="s">
        <v>212</v>
      </c>
      <c r="D3987" s="1">
        <v>46135</v>
      </c>
      <c r="E3987" s="1">
        <v>46135</v>
      </c>
      <c r="F3987" s="2">
        <v>0</v>
      </c>
      <c r="G3987" s="3" t="s">
        <v>572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377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</row>
    <row r="3988" spans="1:28" hidden="1" x14ac:dyDescent="0.25">
      <c r="A3988" t="s">
        <v>47</v>
      </c>
      <c r="B3988" t="s">
        <v>47</v>
      </c>
      <c r="C3988" t="s">
        <v>212</v>
      </c>
      <c r="D3988" s="1">
        <v>46135</v>
      </c>
      <c r="E3988" s="1">
        <v>46135</v>
      </c>
      <c r="F3988" s="2">
        <v>0</v>
      </c>
      <c r="G3988" s="3" t="s">
        <v>572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 t="s">
        <v>377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</row>
    <row r="3989" spans="1:28" hidden="1" x14ac:dyDescent="0.25">
      <c r="A3989" t="s">
        <v>29</v>
      </c>
      <c r="B3989" t="s">
        <v>47</v>
      </c>
      <c r="C3989" t="s">
        <v>212</v>
      </c>
      <c r="D3989" s="1">
        <v>46135</v>
      </c>
      <c r="E3989" s="1">
        <v>46135</v>
      </c>
      <c r="F3989" s="2">
        <v>0</v>
      </c>
      <c r="G3989" s="3" t="s">
        <v>572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377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</row>
    <row r="3990" spans="1:28" x14ac:dyDescent="0.25">
      <c r="A3990" t="s">
        <v>730</v>
      </c>
      <c r="B3990" t="s">
        <v>47</v>
      </c>
      <c r="C3990" t="s">
        <v>212</v>
      </c>
      <c r="D3990" s="1">
        <v>46135</v>
      </c>
      <c r="E3990" s="1">
        <v>46135</v>
      </c>
      <c r="F3990" s="2">
        <v>0</v>
      </c>
      <c r="G3990" s="3" t="s">
        <v>572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377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</row>
    <row r="3991" spans="1:28" hidden="1" x14ac:dyDescent="0.25">
      <c r="A3991" t="s">
        <v>47</v>
      </c>
      <c r="B3991" t="s">
        <v>47</v>
      </c>
      <c r="C3991" t="s">
        <v>212</v>
      </c>
      <c r="D3991" s="1">
        <v>46135</v>
      </c>
      <c r="E3991" s="1">
        <v>46135</v>
      </c>
      <c r="F3991" s="2">
        <v>0</v>
      </c>
      <c r="G3991" s="3" t="s">
        <v>409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377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</row>
    <row r="3992" spans="1:28" hidden="1" x14ac:dyDescent="0.25">
      <c r="A3992" t="s">
        <v>47</v>
      </c>
      <c r="B3992" t="s">
        <v>47</v>
      </c>
      <c r="C3992" t="s">
        <v>212</v>
      </c>
      <c r="D3992" s="1">
        <v>46135</v>
      </c>
      <c r="E3992" s="1">
        <v>46135</v>
      </c>
      <c r="F3992" s="2">
        <v>0</v>
      </c>
      <c r="G3992" s="3" t="s">
        <v>129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 t="s">
        <v>377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</row>
    <row r="3993" spans="1:28" hidden="1" x14ac:dyDescent="0.25">
      <c r="A3993" t="s">
        <v>53</v>
      </c>
      <c r="B3993" t="s">
        <v>38</v>
      </c>
      <c r="C3993" t="s">
        <v>54</v>
      </c>
      <c r="D3993" s="1">
        <v>46136</v>
      </c>
      <c r="E3993" s="1">
        <v>46136</v>
      </c>
      <c r="F3993" s="2">
        <v>60</v>
      </c>
      <c r="G3993" s="3" t="s">
        <v>23</v>
      </c>
      <c r="H3993">
        <f>40-14</f>
        <v>26</v>
      </c>
      <c r="I3993" s="2">
        <v>0</v>
      </c>
      <c r="J3993" s="2">
        <v>0</v>
      </c>
      <c r="K3993" s="2">
        <v>0</v>
      </c>
      <c r="L3993" s="2">
        <v>1</v>
      </c>
      <c r="M3993">
        <v>0</v>
      </c>
      <c r="N3993">
        <v>0</v>
      </c>
      <c r="O3993" s="2">
        <v>0</v>
      </c>
      <c r="P3993" s="2">
        <v>0</v>
      </c>
      <c r="Q3993">
        <v>0</v>
      </c>
      <c r="R3993" s="2">
        <v>0</v>
      </c>
      <c r="S3993" s="2">
        <v>0</v>
      </c>
      <c r="T3993" t="s">
        <v>1930</v>
      </c>
      <c r="U3993" s="2">
        <v>0</v>
      </c>
      <c r="V3993" s="2">
        <v>14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</row>
    <row r="3994" spans="1:28" hidden="1" x14ac:dyDescent="0.25">
      <c r="A3994" t="s">
        <v>20</v>
      </c>
      <c r="B3994" t="s">
        <v>21</v>
      </c>
      <c r="C3994" t="s">
        <v>22</v>
      </c>
      <c r="D3994" s="1">
        <v>46136</v>
      </c>
      <c r="E3994" s="1">
        <v>46136</v>
      </c>
      <c r="F3994" s="2">
        <v>22</v>
      </c>
      <c r="G3994" s="3" t="s">
        <v>23</v>
      </c>
      <c r="H3994">
        <v>16</v>
      </c>
      <c r="I3994" s="2">
        <v>0</v>
      </c>
      <c r="J3994" s="2">
        <v>0</v>
      </c>
      <c r="K3994" s="2">
        <v>1</v>
      </c>
      <c r="L3994" s="2">
        <v>0</v>
      </c>
      <c r="M3994">
        <v>0</v>
      </c>
      <c r="N3994">
        <v>0</v>
      </c>
      <c r="O3994" s="2">
        <v>0</v>
      </c>
      <c r="P3994" s="2">
        <v>0</v>
      </c>
      <c r="Q3994">
        <v>1</v>
      </c>
      <c r="R3994" s="2">
        <v>0</v>
      </c>
      <c r="S3994" s="2">
        <v>0</v>
      </c>
      <c r="T3994" t="s">
        <v>1931</v>
      </c>
      <c r="U3994" s="2">
        <v>0</v>
      </c>
      <c r="V3994" s="2">
        <v>14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</row>
    <row r="3995" spans="1:28" hidden="1" x14ac:dyDescent="0.25">
      <c r="A3995" t="s">
        <v>37</v>
      </c>
      <c r="B3995" t="s">
        <v>57</v>
      </c>
      <c r="C3995" t="s">
        <v>173</v>
      </c>
      <c r="D3995" s="1">
        <v>46136</v>
      </c>
      <c r="E3995" s="1">
        <v>46136</v>
      </c>
      <c r="F3995" s="2">
        <v>24</v>
      </c>
      <c r="G3995" s="3" t="s">
        <v>23</v>
      </c>
      <c r="H3995">
        <f>18+18+1+2</f>
        <v>39</v>
      </c>
      <c r="I3995" s="2">
        <v>0</v>
      </c>
      <c r="J3995" s="2">
        <v>0</v>
      </c>
      <c r="K3995" s="2">
        <v>1</v>
      </c>
      <c r="L3995" s="2">
        <v>0</v>
      </c>
      <c r="M3995">
        <v>0</v>
      </c>
      <c r="N3995">
        <v>0</v>
      </c>
      <c r="O3995" s="2">
        <v>0</v>
      </c>
      <c r="P3995" s="2">
        <v>0</v>
      </c>
      <c r="Q3995">
        <v>0</v>
      </c>
      <c r="R3995" s="2">
        <v>0</v>
      </c>
      <c r="S3995" s="2">
        <v>0</v>
      </c>
      <c r="T3995" t="s">
        <v>1932</v>
      </c>
      <c r="U3995" s="2">
        <v>0</v>
      </c>
      <c r="V3995" s="2">
        <f>7+4</f>
        <v>11</v>
      </c>
      <c r="W3995" s="2">
        <v>0</v>
      </c>
      <c r="X3995" s="2">
        <v>5</v>
      </c>
      <c r="Y3995" s="2">
        <v>0</v>
      </c>
      <c r="Z3995" s="2">
        <v>0</v>
      </c>
      <c r="AA3995" s="2">
        <v>0</v>
      </c>
      <c r="AB3995" s="2">
        <v>0</v>
      </c>
    </row>
    <row r="3996" spans="1:28" hidden="1" x14ac:dyDescent="0.25">
      <c r="A3996" t="s">
        <v>25</v>
      </c>
      <c r="B3996" t="s">
        <v>26</v>
      </c>
      <c r="C3996" t="s">
        <v>27</v>
      </c>
      <c r="D3996" s="1">
        <v>46136</v>
      </c>
      <c r="E3996" s="1">
        <v>46136</v>
      </c>
      <c r="F3996" s="2">
        <v>28</v>
      </c>
      <c r="G3996" s="3" t="s">
        <v>23</v>
      </c>
      <c r="H3996">
        <f>14+14</f>
        <v>28</v>
      </c>
      <c r="I3996" s="2">
        <v>0</v>
      </c>
      <c r="J3996" s="2">
        <v>0</v>
      </c>
      <c r="K3996" s="2">
        <v>1</v>
      </c>
      <c r="L3996" s="2">
        <v>0</v>
      </c>
      <c r="M3996">
        <v>0</v>
      </c>
      <c r="N3996">
        <v>0</v>
      </c>
      <c r="O3996" s="2">
        <v>0</v>
      </c>
      <c r="P3996" s="2">
        <v>0</v>
      </c>
      <c r="Q3996">
        <v>0</v>
      </c>
      <c r="R3996" s="2">
        <v>0</v>
      </c>
      <c r="S3996" s="2">
        <v>0</v>
      </c>
      <c r="T3996" t="s">
        <v>1933</v>
      </c>
      <c r="U3996" s="2">
        <v>0</v>
      </c>
      <c r="V3996" s="2">
        <v>16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</row>
    <row r="3997" spans="1:28" hidden="1" x14ac:dyDescent="0.25">
      <c r="A3997" t="s">
        <v>63</v>
      </c>
      <c r="B3997" t="s">
        <v>284</v>
      </c>
      <c r="C3997" t="s">
        <v>102</v>
      </c>
      <c r="D3997" s="1">
        <v>46136</v>
      </c>
      <c r="E3997" s="1">
        <v>46136</v>
      </c>
      <c r="F3997" s="2">
        <v>14</v>
      </c>
      <c r="G3997" s="3" t="s">
        <v>23</v>
      </c>
      <c r="H3997">
        <v>44</v>
      </c>
      <c r="I3997" s="2">
        <v>0</v>
      </c>
      <c r="J3997" s="2">
        <v>0</v>
      </c>
      <c r="K3997" s="2">
        <v>1</v>
      </c>
      <c r="L3997" s="2">
        <v>0</v>
      </c>
      <c r="M3997">
        <v>0</v>
      </c>
      <c r="N3997">
        <v>1</v>
      </c>
      <c r="O3997" s="2">
        <v>0</v>
      </c>
      <c r="P3997" s="2">
        <v>0</v>
      </c>
      <c r="Q3997">
        <v>1</v>
      </c>
      <c r="R3997" s="2">
        <v>0</v>
      </c>
      <c r="S3997" s="2">
        <v>0</v>
      </c>
      <c r="T3997" t="s">
        <v>1934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</row>
    <row r="3998" spans="1:28" hidden="1" x14ac:dyDescent="0.25">
      <c r="A3998" t="s">
        <v>56</v>
      </c>
      <c r="B3998" t="s">
        <v>1160</v>
      </c>
      <c r="C3998" t="s">
        <v>64</v>
      </c>
      <c r="D3998" s="1">
        <v>46136</v>
      </c>
      <c r="E3998" s="1">
        <v>46136</v>
      </c>
      <c r="F3998" s="2">
        <v>45</v>
      </c>
      <c r="G3998" s="3" t="s">
        <v>23</v>
      </c>
      <c r="H3998">
        <f>6+2+6+2</f>
        <v>16</v>
      </c>
      <c r="I3998" s="2">
        <v>0</v>
      </c>
      <c r="J3998" s="2">
        <v>0</v>
      </c>
      <c r="K3998" s="2">
        <v>1</v>
      </c>
      <c r="L3998" s="2">
        <v>0</v>
      </c>
      <c r="M3998">
        <v>0</v>
      </c>
      <c r="N3998">
        <v>0</v>
      </c>
      <c r="O3998" s="2">
        <v>0</v>
      </c>
      <c r="P3998" s="2">
        <v>0</v>
      </c>
      <c r="Q3998">
        <v>0</v>
      </c>
      <c r="R3998" s="2">
        <v>0</v>
      </c>
      <c r="S3998" s="2">
        <v>0</v>
      </c>
      <c r="T3998" t="s">
        <v>1935</v>
      </c>
      <c r="U3998" s="2">
        <v>0</v>
      </c>
      <c r="V3998" s="2">
        <f>10+4</f>
        <v>14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</row>
    <row r="3999" spans="1:28" hidden="1" x14ac:dyDescent="0.25">
      <c r="A3999" t="s">
        <v>29</v>
      </c>
      <c r="B3999" t="s">
        <v>30</v>
      </c>
      <c r="C3999" t="s">
        <v>64</v>
      </c>
      <c r="D3999" s="1">
        <v>46136</v>
      </c>
      <c r="E3999" s="1">
        <v>46136</v>
      </c>
      <c r="F3999" s="2">
        <v>45</v>
      </c>
      <c r="G3999" s="3" t="s">
        <v>23</v>
      </c>
      <c r="H3999">
        <v>0</v>
      </c>
      <c r="I3999" s="2">
        <v>0</v>
      </c>
      <c r="J3999" s="2">
        <v>0</v>
      </c>
      <c r="K3999" s="2">
        <v>0</v>
      </c>
      <c r="L3999" s="2">
        <v>0</v>
      </c>
      <c r="M3999">
        <v>0</v>
      </c>
      <c r="N3999">
        <v>0</v>
      </c>
      <c r="O3999" s="2">
        <v>0</v>
      </c>
      <c r="P3999" s="2">
        <v>0</v>
      </c>
      <c r="Q3999">
        <v>0</v>
      </c>
      <c r="R3999" s="2">
        <v>0</v>
      </c>
      <c r="S3999" s="2">
        <v>0</v>
      </c>
      <c r="T3999" t="s">
        <v>1935</v>
      </c>
      <c r="U3999" s="2">
        <v>0</v>
      </c>
      <c r="V3999" s="2">
        <f>10+3</f>
        <v>13</v>
      </c>
      <c r="W3999" s="2">
        <v>2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</row>
    <row r="4000" spans="1:28" hidden="1" x14ac:dyDescent="0.25">
      <c r="A4000" t="s">
        <v>33</v>
      </c>
      <c r="B4000" t="s">
        <v>34</v>
      </c>
      <c r="C4000" t="s">
        <v>212</v>
      </c>
      <c r="D4000" s="1">
        <v>46136</v>
      </c>
      <c r="E4000" s="1">
        <v>46136</v>
      </c>
      <c r="F4000" s="2">
        <v>0</v>
      </c>
      <c r="G4000" s="3" t="s">
        <v>48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 t="s">
        <v>377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</row>
    <row r="4001" spans="1:28" hidden="1" x14ac:dyDescent="0.25">
      <c r="A4001" t="s">
        <v>47</v>
      </c>
      <c r="B4001" t="s">
        <v>47</v>
      </c>
      <c r="C4001" t="s">
        <v>212</v>
      </c>
      <c r="D4001" s="1">
        <v>46136</v>
      </c>
      <c r="E4001" s="1">
        <v>46136</v>
      </c>
      <c r="F4001" s="2">
        <v>0</v>
      </c>
      <c r="G4001" s="3" t="s">
        <v>48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 t="s">
        <v>377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</row>
    <row r="4002" spans="1:28" hidden="1" x14ac:dyDescent="0.25">
      <c r="A4002" t="s">
        <v>47</v>
      </c>
      <c r="B4002" t="s">
        <v>47</v>
      </c>
      <c r="C4002" t="s">
        <v>212</v>
      </c>
      <c r="D4002" s="1">
        <v>46136</v>
      </c>
      <c r="E4002" s="1">
        <v>46136</v>
      </c>
      <c r="F4002" s="2">
        <v>0</v>
      </c>
      <c r="G4002" s="3" t="s">
        <v>48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377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</row>
    <row r="4003" spans="1:28" hidden="1" x14ac:dyDescent="0.25">
      <c r="A4003" t="s">
        <v>47</v>
      </c>
      <c r="B4003" t="s">
        <v>47</v>
      </c>
      <c r="C4003" t="s">
        <v>212</v>
      </c>
      <c r="D4003" s="1">
        <v>46136</v>
      </c>
      <c r="E4003" s="1">
        <v>46136</v>
      </c>
      <c r="F4003" s="2">
        <v>0</v>
      </c>
      <c r="G4003" s="3" t="s">
        <v>572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 t="s">
        <v>377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</row>
    <row r="4004" spans="1:28" hidden="1" x14ac:dyDescent="0.25">
      <c r="A4004" t="s">
        <v>47</v>
      </c>
      <c r="B4004" t="s">
        <v>47</v>
      </c>
      <c r="C4004" t="s">
        <v>212</v>
      </c>
      <c r="D4004" s="1">
        <v>46136</v>
      </c>
      <c r="E4004" s="1">
        <v>46136</v>
      </c>
      <c r="F4004" s="2">
        <v>0</v>
      </c>
      <c r="G4004" s="3" t="s">
        <v>572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 t="s">
        <v>377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</row>
    <row r="4005" spans="1:28" hidden="1" x14ac:dyDescent="0.25">
      <c r="A4005" t="s">
        <v>47</v>
      </c>
      <c r="B4005" t="s">
        <v>47</v>
      </c>
      <c r="C4005" t="s">
        <v>212</v>
      </c>
      <c r="D4005" s="1">
        <v>46136</v>
      </c>
      <c r="E4005" s="1">
        <v>46136</v>
      </c>
      <c r="F4005" s="2">
        <v>0</v>
      </c>
      <c r="G4005" s="3" t="s">
        <v>572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377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</row>
    <row r="4006" spans="1:28" x14ac:dyDescent="0.25">
      <c r="A4006" t="s">
        <v>730</v>
      </c>
      <c r="B4006" t="s">
        <v>1323</v>
      </c>
      <c r="C4006" t="s">
        <v>212</v>
      </c>
      <c r="D4006" s="1">
        <v>46136</v>
      </c>
      <c r="E4006" s="1">
        <v>46136</v>
      </c>
      <c r="F4006" s="2">
        <v>0</v>
      </c>
      <c r="G4006" s="3" t="s">
        <v>572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377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</row>
    <row r="4007" spans="1:28" hidden="1" x14ac:dyDescent="0.25">
      <c r="A4007" t="s">
        <v>47</v>
      </c>
      <c r="B4007" t="s">
        <v>47</v>
      </c>
      <c r="C4007" t="s">
        <v>212</v>
      </c>
      <c r="D4007" s="1">
        <v>46136</v>
      </c>
      <c r="E4007" s="1">
        <v>46136</v>
      </c>
      <c r="F4007" s="2">
        <v>0</v>
      </c>
      <c r="G4007" s="3" t="s">
        <v>409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377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</row>
    <row r="4008" spans="1:28" hidden="1" x14ac:dyDescent="0.25">
      <c r="A4008" t="s">
        <v>47</v>
      </c>
      <c r="B4008" t="s">
        <v>47</v>
      </c>
      <c r="C4008" t="s">
        <v>212</v>
      </c>
      <c r="D4008" s="1">
        <v>46136</v>
      </c>
      <c r="E4008" s="1">
        <v>46136</v>
      </c>
      <c r="F4008" s="2">
        <v>0</v>
      </c>
      <c r="G4008" s="3" t="s">
        <v>129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 t="s">
        <v>377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</row>
    <row r="4009" spans="1:28" hidden="1" x14ac:dyDescent="0.25">
      <c r="A4009" t="s">
        <v>33</v>
      </c>
      <c r="B4009" t="s">
        <v>34</v>
      </c>
      <c r="C4009" t="s">
        <v>35</v>
      </c>
      <c r="D4009" s="9">
        <v>46137</v>
      </c>
      <c r="E4009" s="9">
        <v>46137</v>
      </c>
      <c r="F4009" s="2">
        <v>39</v>
      </c>
      <c r="G4009" s="3" t="s">
        <v>23</v>
      </c>
      <c r="H4009">
        <v>0</v>
      </c>
      <c r="I4009" s="2">
        <v>0</v>
      </c>
      <c r="J4009" s="2">
        <v>0</v>
      </c>
      <c r="K4009" s="2">
        <v>0</v>
      </c>
      <c r="L4009" s="2">
        <v>0</v>
      </c>
      <c r="M4009">
        <v>0</v>
      </c>
      <c r="N4009">
        <v>0</v>
      </c>
      <c r="O4009" s="2">
        <v>1</v>
      </c>
      <c r="P4009" s="2">
        <v>0</v>
      </c>
      <c r="Q4009">
        <v>8</v>
      </c>
      <c r="R4009" s="2">
        <v>1</v>
      </c>
      <c r="S4009" s="2">
        <v>0</v>
      </c>
      <c r="T4009" t="s">
        <v>1936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</row>
    <row r="4010" spans="1:28" hidden="1" x14ac:dyDescent="0.25">
      <c r="A4010" t="s">
        <v>20</v>
      </c>
      <c r="B4010" t="s">
        <v>21</v>
      </c>
      <c r="C4010" t="s">
        <v>22</v>
      </c>
      <c r="D4010" s="9">
        <v>46137</v>
      </c>
      <c r="E4010" s="9">
        <v>46137</v>
      </c>
      <c r="F4010" s="2">
        <v>66</v>
      </c>
      <c r="G4010" s="3" t="s">
        <v>23</v>
      </c>
      <c r="H4010">
        <v>0</v>
      </c>
      <c r="I4010" s="2">
        <v>0</v>
      </c>
      <c r="J4010" s="2">
        <v>0</v>
      </c>
      <c r="K4010" s="2">
        <v>0</v>
      </c>
      <c r="L4010" s="2">
        <v>0</v>
      </c>
      <c r="M4010">
        <v>0</v>
      </c>
      <c r="N4010">
        <v>0</v>
      </c>
      <c r="O4010" s="2">
        <v>0</v>
      </c>
      <c r="P4010" s="2">
        <v>0</v>
      </c>
      <c r="Q4010">
        <v>4</v>
      </c>
      <c r="R4010" s="2">
        <v>1</v>
      </c>
      <c r="S4010" s="2">
        <v>0</v>
      </c>
      <c r="T4010" t="s">
        <v>1937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1</v>
      </c>
      <c r="AB4010" s="2">
        <v>0</v>
      </c>
    </row>
    <row r="4011" spans="1:28" hidden="1" x14ac:dyDescent="0.25">
      <c r="A4011" t="s">
        <v>37</v>
      </c>
      <c r="B4011" t="s">
        <v>57</v>
      </c>
      <c r="C4011" t="s">
        <v>27</v>
      </c>
      <c r="D4011" s="9">
        <v>46137</v>
      </c>
      <c r="E4011" s="9">
        <v>46137</v>
      </c>
      <c r="F4011" s="2">
        <v>25</v>
      </c>
      <c r="G4011" s="3" t="s">
        <v>23</v>
      </c>
      <c r="H4011">
        <v>0</v>
      </c>
      <c r="I4011" s="2">
        <v>0</v>
      </c>
      <c r="J4011" s="2">
        <v>0</v>
      </c>
      <c r="K4011" s="2">
        <v>0</v>
      </c>
      <c r="L4011" s="2">
        <v>0</v>
      </c>
      <c r="M4011">
        <v>0</v>
      </c>
      <c r="N4011">
        <v>0</v>
      </c>
      <c r="O4011" s="2">
        <v>1</v>
      </c>
      <c r="P4011" s="2">
        <v>0</v>
      </c>
      <c r="Q4011">
        <v>5</v>
      </c>
      <c r="R4011" s="2">
        <v>1</v>
      </c>
      <c r="S4011" s="2">
        <v>0</v>
      </c>
      <c r="T4011" t="s">
        <v>1938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</row>
    <row r="4012" spans="1:28" hidden="1" x14ac:dyDescent="0.25">
      <c r="A4012" t="s">
        <v>47</v>
      </c>
      <c r="B4012" t="s">
        <v>30</v>
      </c>
      <c r="C4012" t="s">
        <v>27</v>
      </c>
      <c r="D4012" s="9">
        <v>46137</v>
      </c>
      <c r="E4012" s="9">
        <v>46137</v>
      </c>
      <c r="F4012" s="2">
        <v>25</v>
      </c>
      <c r="G4012" s="3" t="s">
        <v>23</v>
      </c>
      <c r="H4012">
        <v>0</v>
      </c>
      <c r="I4012" s="2">
        <v>0</v>
      </c>
      <c r="J4012" s="2">
        <v>0</v>
      </c>
      <c r="K4012" s="2">
        <v>0</v>
      </c>
      <c r="L4012" s="2">
        <v>0</v>
      </c>
      <c r="M4012">
        <v>0</v>
      </c>
      <c r="N4012">
        <v>0</v>
      </c>
      <c r="O4012" s="2">
        <v>1</v>
      </c>
      <c r="P4012" s="2">
        <v>0</v>
      </c>
      <c r="Q4012">
        <v>5</v>
      </c>
      <c r="R4012" s="2">
        <v>1</v>
      </c>
      <c r="S4012" s="2">
        <v>0</v>
      </c>
      <c r="T4012" t="s">
        <v>1938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</row>
    <row r="4013" spans="1:28" hidden="1" x14ac:dyDescent="0.25">
      <c r="A4013" t="s">
        <v>25</v>
      </c>
      <c r="B4013" t="s">
        <v>26</v>
      </c>
      <c r="C4013" t="s">
        <v>27</v>
      </c>
      <c r="D4013" s="9">
        <v>46137</v>
      </c>
      <c r="E4013" s="9">
        <v>46137</v>
      </c>
      <c r="F4013" s="2">
        <v>25</v>
      </c>
      <c r="G4013" s="3" t="s">
        <v>23</v>
      </c>
      <c r="H4013">
        <v>0</v>
      </c>
      <c r="I4013" s="2">
        <v>0</v>
      </c>
      <c r="J4013" s="2">
        <v>0</v>
      </c>
      <c r="K4013" s="2">
        <v>0</v>
      </c>
      <c r="L4013" s="2">
        <v>0</v>
      </c>
      <c r="M4013">
        <v>0</v>
      </c>
      <c r="N4013">
        <v>0</v>
      </c>
      <c r="O4013" s="2">
        <v>1</v>
      </c>
      <c r="P4013" s="2">
        <v>0</v>
      </c>
      <c r="Q4013">
        <v>5</v>
      </c>
      <c r="R4013" s="2">
        <v>1</v>
      </c>
      <c r="S4013" s="2">
        <v>0</v>
      </c>
      <c r="T4013" t="s">
        <v>1938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</row>
    <row r="4014" spans="1:28" hidden="1" x14ac:dyDescent="0.25">
      <c r="A4014" t="s">
        <v>63</v>
      </c>
      <c r="B4014" t="s">
        <v>284</v>
      </c>
      <c r="C4014" t="s">
        <v>102</v>
      </c>
      <c r="D4014" s="9">
        <v>46137</v>
      </c>
      <c r="E4014" s="9">
        <v>46137</v>
      </c>
      <c r="F4014" s="2">
        <v>37</v>
      </c>
      <c r="G4014" s="3" t="s">
        <v>23</v>
      </c>
      <c r="H4014">
        <v>0</v>
      </c>
      <c r="I4014" s="2">
        <v>0</v>
      </c>
      <c r="J4014" s="2">
        <v>0</v>
      </c>
      <c r="K4014" s="2">
        <v>0</v>
      </c>
      <c r="L4014" s="2">
        <v>0</v>
      </c>
      <c r="M4014">
        <v>0</v>
      </c>
      <c r="N4014">
        <v>0</v>
      </c>
      <c r="O4014" s="2">
        <v>1</v>
      </c>
      <c r="P4014" s="2">
        <v>0</v>
      </c>
      <c r="Q4014">
        <v>6</v>
      </c>
      <c r="R4014" s="2">
        <v>1</v>
      </c>
      <c r="S4014" s="2">
        <v>0</v>
      </c>
      <c r="T4014" t="s">
        <v>1939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</row>
    <row r="4015" spans="1:28" hidden="1" x14ac:dyDescent="0.25">
      <c r="A4015" t="s">
        <v>56</v>
      </c>
      <c r="B4015" t="s">
        <v>1160</v>
      </c>
      <c r="C4015" t="s">
        <v>64</v>
      </c>
      <c r="D4015" s="9">
        <v>46137</v>
      </c>
      <c r="E4015" s="9">
        <v>46137</v>
      </c>
      <c r="F4015" s="2">
        <v>92</v>
      </c>
      <c r="G4015" s="3" t="s">
        <v>23</v>
      </c>
      <c r="H4015">
        <v>0</v>
      </c>
      <c r="I4015" s="2">
        <v>0</v>
      </c>
      <c r="J4015" s="2">
        <v>0</v>
      </c>
      <c r="K4015" s="2">
        <v>0</v>
      </c>
      <c r="L4015" s="2">
        <v>0</v>
      </c>
      <c r="M4015">
        <v>0</v>
      </c>
      <c r="N4015">
        <v>0</v>
      </c>
      <c r="O4015" s="2">
        <v>1</v>
      </c>
      <c r="P4015" s="2">
        <v>0</v>
      </c>
      <c r="Q4015">
        <v>7</v>
      </c>
      <c r="R4015" s="2">
        <v>1</v>
      </c>
      <c r="S4015" s="2">
        <v>0</v>
      </c>
      <c r="T4015" t="s">
        <v>1940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</row>
    <row r="4016" spans="1:28" hidden="1" x14ac:dyDescent="0.25">
      <c r="A4016" t="s">
        <v>53</v>
      </c>
      <c r="B4016" t="s">
        <v>38</v>
      </c>
      <c r="C4016" t="s">
        <v>27</v>
      </c>
      <c r="D4016" s="9">
        <v>46137</v>
      </c>
      <c r="E4016" s="9">
        <v>46137</v>
      </c>
      <c r="F4016" s="2">
        <v>21</v>
      </c>
      <c r="G4016" s="3" t="s">
        <v>378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 t="s">
        <v>1867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</row>
    <row r="4017" spans="1:28" x14ac:dyDescent="0.25">
      <c r="A4017" t="s">
        <v>730</v>
      </c>
      <c r="B4017" t="s">
        <v>1323</v>
      </c>
      <c r="C4017" t="s">
        <v>35</v>
      </c>
      <c r="D4017" s="9">
        <v>46137</v>
      </c>
      <c r="E4017" s="9">
        <v>46137</v>
      </c>
      <c r="F4017" s="2">
        <v>48</v>
      </c>
      <c r="G4017" s="3" t="s">
        <v>378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t="s">
        <v>1868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</row>
    <row r="4018" spans="1:28" hidden="1" x14ac:dyDescent="0.25">
      <c r="A4018" t="s">
        <v>29</v>
      </c>
      <c r="B4018" t="s">
        <v>47</v>
      </c>
      <c r="C4018" t="s">
        <v>64</v>
      </c>
      <c r="D4018" s="9">
        <v>46137</v>
      </c>
      <c r="E4018" s="9">
        <v>46137</v>
      </c>
      <c r="F4018" s="2">
        <v>64</v>
      </c>
      <c r="G4018" s="3" t="s">
        <v>378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 t="s">
        <v>1869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</row>
    <row r="4019" spans="1:28" hidden="1" x14ac:dyDescent="0.25">
      <c r="A4019" t="s">
        <v>47</v>
      </c>
      <c r="B4019" t="s">
        <v>1941</v>
      </c>
      <c r="C4019" t="s">
        <v>212</v>
      </c>
      <c r="D4019" s="9">
        <v>46137</v>
      </c>
      <c r="E4019" s="9">
        <v>46137</v>
      </c>
      <c r="F4019" s="2">
        <v>0</v>
      </c>
      <c r="G4019" s="3" t="s">
        <v>378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 t="s">
        <v>377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</row>
    <row r="4020" spans="1:28" hidden="1" x14ac:dyDescent="0.25">
      <c r="A4020" t="s">
        <v>47</v>
      </c>
      <c r="B4020" t="s">
        <v>47</v>
      </c>
      <c r="C4020" t="s">
        <v>212</v>
      </c>
      <c r="D4020" s="9">
        <v>46137</v>
      </c>
      <c r="E4020" s="9">
        <v>46137</v>
      </c>
      <c r="F4020" s="2">
        <v>0</v>
      </c>
      <c r="G4020" s="3" t="s">
        <v>378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 t="s">
        <v>377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</row>
    <row r="4021" spans="1:28" hidden="1" x14ac:dyDescent="0.25">
      <c r="A4021" t="s">
        <v>20</v>
      </c>
      <c r="B4021" t="s">
        <v>47</v>
      </c>
      <c r="C4021" t="s">
        <v>212</v>
      </c>
      <c r="D4021" s="9">
        <v>46137</v>
      </c>
      <c r="E4021" s="9">
        <v>46137</v>
      </c>
      <c r="F4021" s="2">
        <v>0</v>
      </c>
      <c r="G4021" s="3" t="s">
        <v>378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 t="s">
        <v>377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</row>
    <row r="4022" spans="1:28" hidden="1" x14ac:dyDescent="0.25">
      <c r="A4022" t="s">
        <v>47</v>
      </c>
      <c r="B4022" t="s">
        <v>47</v>
      </c>
      <c r="C4022" t="s">
        <v>212</v>
      </c>
      <c r="D4022" s="9">
        <v>46137</v>
      </c>
      <c r="E4022" s="9">
        <v>46137</v>
      </c>
      <c r="F4022" s="2">
        <v>0</v>
      </c>
      <c r="G4022" s="3" t="s">
        <v>378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377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</row>
    <row r="4023" spans="1:28" hidden="1" x14ac:dyDescent="0.25">
      <c r="A4023" t="s">
        <v>33</v>
      </c>
      <c r="B4023" t="s">
        <v>34</v>
      </c>
      <c r="C4023" t="s">
        <v>35</v>
      </c>
      <c r="D4023" s="9">
        <v>46138</v>
      </c>
      <c r="E4023" s="9">
        <v>46138</v>
      </c>
      <c r="F4023" s="2">
        <v>74</v>
      </c>
      <c r="G4023" s="3" t="s">
        <v>23</v>
      </c>
      <c r="H4023">
        <v>0</v>
      </c>
      <c r="I4023" s="2">
        <v>0</v>
      </c>
      <c r="J4023" s="2">
        <v>0</v>
      </c>
      <c r="K4023" s="2">
        <v>0</v>
      </c>
      <c r="L4023" s="2">
        <v>0</v>
      </c>
      <c r="M4023">
        <v>0</v>
      </c>
      <c r="N4023">
        <v>0</v>
      </c>
      <c r="O4023" s="2">
        <v>0</v>
      </c>
      <c r="P4023" s="2">
        <v>0</v>
      </c>
      <c r="Q4023">
        <v>8</v>
      </c>
      <c r="R4023" s="2">
        <v>0</v>
      </c>
      <c r="S4023" s="2">
        <v>1</v>
      </c>
      <c r="T4023" t="s">
        <v>1942</v>
      </c>
      <c r="U4023" s="2">
        <v>16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1</v>
      </c>
    </row>
    <row r="4024" spans="1:28" hidden="1" x14ac:dyDescent="0.25">
      <c r="A4024" t="s">
        <v>20</v>
      </c>
      <c r="B4024" t="s">
        <v>21</v>
      </c>
      <c r="C4024" t="s">
        <v>22</v>
      </c>
      <c r="D4024" s="9">
        <v>46138</v>
      </c>
      <c r="E4024" s="9">
        <v>46138</v>
      </c>
      <c r="F4024" s="2">
        <v>96</v>
      </c>
      <c r="G4024" s="3" t="s">
        <v>23</v>
      </c>
      <c r="H4024">
        <v>0</v>
      </c>
      <c r="I4024" s="2">
        <v>0</v>
      </c>
      <c r="J4024" s="2">
        <v>0</v>
      </c>
      <c r="K4024" s="2">
        <v>0</v>
      </c>
      <c r="L4024" s="2">
        <v>0</v>
      </c>
      <c r="M4024">
        <v>0</v>
      </c>
      <c r="N4024">
        <v>0</v>
      </c>
      <c r="O4024" s="2">
        <v>0</v>
      </c>
      <c r="P4024" s="2">
        <v>1</v>
      </c>
      <c r="Q4024">
        <v>8</v>
      </c>
      <c r="R4024" s="2">
        <v>0</v>
      </c>
      <c r="S4024" s="2">
        <v>1</v>
      </c>
      <c r="T4024" t="s">
        <v>1943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</row>
    <row r="4025" spans="1:28" hidden="1" x14ac:dyDescent="0.25">
      <c r="A4025" t="s">
        <v>37</v>
      </c>
      <c r="B4025" t="s">
        <v>57</v>
      </c>
      <c r="C4025" t="s">
        <v>27</v>
      </c>
      <c r="D4025" s="9">
        <v>46138</v>
      </c>
      <c r="E4025" s="9">
        <v>46138</v>
      </c>
      <c r="F4025" s="2">
        <v>25</v>
      </c>
      <c r="G4025" s="3" t="s">
        <v>23</v>
      </c>
      <c r="H4025">
        <v>0</v>
      </c>
      <c r="I4025" s="2">
        <v>0</v>
      </c>
      <c r="J4025" s="2">
        <v>0</v>
      </c>
      <c r="K4025" s="2">
        <v>0</v>
      </c>
      <c r="L4025" s="2">
        <v>0</v>
      </c>
      <c r="M4025">
        <v>0</v>
      </c>
      <c r="N4025">
        <v>0</v>
      </c>
      <c r="O4025" s="2">
        <v>0</v>
      </c>
      <c r="P4025" s="2">
        <v>1</v>
      </c>
      <c r="Q4025">
        <v>5</v>
      </c>
      <c r="R4025" s="2">
        <v>0</v>
      </c>
      <c r="S4025" s="2">
        <v>1</v>
      </c>
      <c r="T4025" t="s">
        <v>1938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</row>
    <row r="4026" spans="1:28" hidden="1" x14ac:dyDescent="0.25">
      <c r="A4026" t="s">
        <v>47</v>
      </c>
      <c r="B4026" t="s">
        <v>30</v>
      </c>
      <c r="C4026" t="s">
        <v>27</v>
      </c>
      <c r="D4026" s="9">
        <v>46138</v>
      </c>
      <c r="E4026" s="9">
        <v>46138</v>
      </c>
      <c r="F4026" s="2">
        <v>25</v>
      </c>
      <c r="G4026" s="3" t="s">
        <v>23</v>
      </c>
      <c r="H4026">
        <v>0</v>
      </c>
      <c r="I4026" s="2">
        <v>0</v>
      </c>
      <c r="J4026" s="2">
        <v>0</v>
      </c>
      <c r="K4026" s="2">
        <v>0</v>
      </c>
      <c r="L4026" s="2">
        <v>0</v>
      </c>
      <c r="M4026">
        <v>0</v>
      </c>
      <c r="N4026">
        <v>0</v>
      </c>
      <c r="O4026" s="2">
        <v>0</v>
      </c>
      <c r="P4026" s="2">
        <v>1</v>
      </c>
      <c r="Q4026">
        <v>5</v>
      </c>
      <c r="R4026" s="2">
        <v>0</v>
      </c>
      <c r="S4026" s="2">
        <v>1</v>
      </c>
      <c r="T4026" t="s">
        <v>1938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</row>
    <row r="4027" spans="1:28" hidden="1" x14ac:dyDescent="0.25">
      <c r="A4027" t="s">
        <v>25</v>
      </c>
      <c r="B4027" t="s">
        <v>26</v>
      </c>
      <c r="C4027" t="s">
        <v>27</v>
      </c>
      <c r="D4027" s="9">
        <v>46138</v>
      </c>
      <c r="E4027" s="9">
        <v>46138</v>
      </c>
      <c r="F4027" s="2">
        <v>22</v>
      </c>
      <c r="G4027" s="3" t="s">
        <v>23</v>
      </c>
      <c r="H4027">
        <v>0</v>
      </c>
      <c r="I4027" s="2">
        <v>0</v>
      </c>
      <c r="J4027" s="2">
        <v>0</v>
      </c>
      <c r="K4027" s="2">
        <v>0</v>
      </c>
      <c r="L4027" s="2">
        <v>0</v>
      </c>
      <c r="M4027">
        <v>0</v>
      </c>
      <c r="N4027">
        <v>0</v>
      </c>
      <c r="O4027" s="2">
        <v>0</v>
      </c>
      <c r="P4027" s="2">
        <v>1</v>
      </c>
      <c r="Q4027">
        <v>5</v>
      </c>
      <c r="R4027" s="2">
        <v>0</v>
      </c>
      <c r="S4027" s="2">
        <v>1</v>
      </c>
      <c r="T4027" t="s">
        <v>1944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</row>
    <row r="4028" spans="1:28" hidden="1" x14ac:dyDescent="0.25">
      <c r="A4028" t="s">
        <v>63</v>
      </c>
      <c r="B4028" t="s">
        <v>284</v>
      </c>
      <c r="C4028" t="s">
        <v>102</v>
      </c>
      <c r="D4028" s="9">
        <v>46138</v>
      </c>
      <c r="E4028" s="9">
        <v>46138</v>
      </c>
      <c r="F4028" s="2">
        <v>30</v>
      </c>
      <c r="G4028" s="3" t="s">
        <v>23</v>
      </c>
      <c r="H4028">
        <v>0</v>
      </c>
      <c r="I4028" s="2">
        <v>0</v>
      </c>
      <c r="J4028" s="2">
        <v>0</v>
      </c>
      <c r="K4028" s="2">
        <v>0</v>
      </c>
      <c r="L4028" s="2">
        <v>0</v>
      </c>
      <c r="M4028">
        <v>0</v>
      </c>
      <c r="N4028">
        <v>0</v>
      </c>
      <c r="O4028" s="2">
        <v>0</v>
      </c>
      <c r="P4028" s="2">
        <v>1</v>
      </c>
      <c r="Q4028">
        <v>5</v>
      </c>
      <c r="R4028" s="2">
        <v>0</v>
      </c>
      <c r="S4028" s="2">
        <v>1</v>
      </c>
      <c r="T4028" t="s">
        <v>1945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</row>
    <row r="4029" spans="1:28" hidden="1" x14ac:dyDescent="0.25">
      <c r="A4029" t="s">
        <v>56</v>
      </c>
      <c r="B4029" t="s">
        <v>1160</v>
      </c>
      <c r="C4029" t="s">
        <v>64</v>
      </c>
      <c r="D4029" s="9">
        <v>46138</v>
      </c>
      <c r="E4029" s="9">
        <v>46138</v>
      </c>
      <c r="F4029" s="2">
        <v>20</v>
      </c>
      <c r="G4029" s="3" t="s">
        <v>23</v>
      </c>
      <c r="H4029">
        <v>0</v>
      </c>
      <c r="I4029" s="2">
        <v>0</v>
      </c>
      <c r="J4029" s="2">
        <v>0</v>
      </c>
      <c r="K4029" s="2">
        <v>0</v>
      </c>
      <c r="L4029" s="2">
        <v>0</v>
      </c>
      <c r="M4029">
        <v>0</v>
      </c>
      <c r="N4029">
        <v>0</v>
      </c>
      <c r="O4029" s="2">
        <v>0</v>
      </c>
      <c r="P4029" s="2">
        <v>1</v>
      </c>
      <c r="Q4029">
        <v>5</v>
      </c>
      <c r="R4029" s="2">
        <v>0</v>
      </c>
      <c r="S4029" s="2">
        <v>1</v>
      </c>
      <c r="T4029" t="s">
        <v>1946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</row>
    <row r="4030" spans="1:28" ht="14.25" hidden="1" customHeight="1" x14ac:dyDescent="0.25">
      <c r="A4030" t="s">
        <v>53</v>
      </c>
      <c r="B4030" t="s">
        <v>38</v>
      </c>
      <c r="C4030" t="s">
        <v>54</v>
      </c>
      <c r="D4030" s="9">
        <v>46138</v>
      </c>
      <c r="E4030" s="9">
        <v>46138</v>
      </c>
      <c r="F4030" s="2">
        <v>81</v>
      </c>
      <c r="G4030" s="3" t="s">
        <v>23</v>
      </c>
      <c r="H4030">
        <v>0</v>
      </c>
      <c r="I4030" s="2">
        <v>0</v>
      </c>
      <c r="J4030" s="2">
        <v>0</v>
      </c>
      <c r="K4030" s="2">
        <v>0</v>
      </c>
      <c r="L4030" s="2">
        <v>0</v>
      </c>
      <c r="M4030">
        <v>0</v>
      </c>
      <c r="N4030">
        <v>0</v>
      </c>
      <c r="O4030" s="2">
        <v>0</v>
      </c>
      <c r="P4030" s="2">
        <v>1</v>
      </c>
      <c r="Q4030">
        <v>7</v>
      </c>
      <c r="R4030" s="2">
        <v>0</v>
      </c>
      <c r="S4030" s="2">
        <v>1</v>
      </c>
      <c r="T4030" t="s">
        <v>1947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</row>
    <row r="4031" spans="1:28" hidden="1" x14ac:dyDescent="0.25">
      <c r="A4031" t="s">
        <v>47</v>
      </c>
      <c r="B4031" t="s">
        <v>47</v>
      </c>
      <c r="C4031" t="s">
        <v>27</v>
      </c>
      <c r="D4031" s="9">
        <v>46138</v>
      </c>
      <c r="E4031" s="9">
        <v>46138</v>
      </c>
      <c r="F4031" s="2">
        <v>21</v>
      </c>
      <c r="G4031" s="3" t="s">
        <v>378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 t="s">
        <v>1867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</row>
    <row r="4032" spans="1:28" x14ac:dyDescent="0.25">
      <c r="A4032" t="s">
        <v>730</v>
      </c>
      <c r="B4032" t="s">
        <v>1323</v>
      </c>
      <c r="C4032" t="s">
        <v>35</v>
      </c>
      <c r="D4032" s="9">
        <v>46138</v>
      </c>
      <c r="E4032" s="9">
        <v>46138</v>
      </c>
      <c r="F4032" s="2">
        <v>48</v>
      </c>
      <c r="G4032" s="3" t="s">
        <v>378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t="s">
        <v>1868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</row>
    <row r="4033" spans="1:28" hidden="1" x14ac:dyDescent="0.25">
      <c r="A4033" t="s">
        <v>29</v>
      </c>
      <c r="B4033" t="s">
        <v>47</v>
      </c>
      <c r="C4033" t="s">
        <v>64</v>
      </c>
      <c r="D4033" s="9">
        <v>46138</v>
      </c>
      <c r="E4033" s="9">
        <v>46138</v>
      </c>
      <c r="F4033" s="2">
        <v>64</v>
      </c>
      <c r="G4033" s="3" t="s">
        <v>378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 t="s">
        <v>1869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</row>
    <row r="4034" spans="1:28" hidden="1" x14ac:dyDescent="0.25">
      <c r="A4034" t="s">
        <v>47</v>
      </c>
      <c r="B4034" t="s">
        <v>1941</v>
      </c>
      <c r="C4034" t="s">
        <v>212</v>
      </c>
      <c r="D4034" s="9">
        <v>46138</v>
      </c>
      <c r="E4034" s="9">
        <v>46138</v>
      </c>
      <c r="F4034" s="2">
        <v>0</v>
      </c>
      <c r="G4034" s="3" t="s">
        <v>378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 t="s">
        <v>377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</row>
    <row r="4035" spans="1:28" hidden="1" x14ac:dyDescent="0.25">
      <c r="A4035" t="s">
        <v>47</v>
      </c>
      <c r="B4035" t="s">
        <v>47</v>
      </c>
      <c r="C4035" t="s">
        <v>212</v>
      </c>
      <c r="D4035" s="9">
        <v>46138</v>
      </c>
      <c r="E4035" s="9">
        <v>46138</v>
      </c>
      <c r="F4035" s="2">
        <v>0</v>
      </c>
      <c r="G4035" s="3" t="s">
        <v>378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 t="s">
        <v>377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</row>
    <row r="4036" spans="1:28" hidden="1" x14ac:dyDescent="0.25">
      <c r="A4036" t="s">
        <v>20</v>
      </c>
      <c r="B4036" t="s">
        <v>47</v>
      </c>
      <c r="C4036" t="s">
        <v>212</v>
      </c>
      <c r="D4036" s="9">
        <v>46138</v>
      </c>
      <c r="E4036" s="9">
        <v>46138</v>
      </c>
      <c r="F4036" s="2">
        <v>0</v>
      </c>
      <c r="G4036" s="3" t="s">
        <v>378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377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</row>
    <row r="4037" spans="1:28" hidden="1" x14ac:dyDescent="0.25">
      <c r="A4037" t="s">
        <v>47</v>
      </c>
      <c r="B4037" t="s">
        <v>47</v>
      </c>
      <c r="C4037" t="s">
        <v>212</v>
      </c>
      <c r="D4037" s="9">
        <v>46138</v>
      </c>
      <c r="E4037" s="9">
        <v>46138</v>
      </c>
      <c r="F4037" s="2">
        <v>0</v>
      </c>
      <c r="G4037" s="3" t="s">
        <v>378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 t="s">
        <v>377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</row>
    <row r="4038" spans="1:28" x14ac:dyDescent="0.25">
      <c r="A4038" t="s">
        <v>730</v>
      </c>
      <c r="B4038" t="s">
        <v>38</v>
      </c>
      <c r="C4038" t="s">
        <v>1370</v>
      </c>
      <c r="D4038" s="1">
        <v>46139</v>
      </c>
      <c r="E4038" s="1">
        <v>46139</v>
      </c>
      <c r="F4038" s="2">
        <v>64</v>
      </c>
      <c r="G4038" s="3" t="s">
        <v>23</v>
      </c>
      <c r="H4038">
        <v>10</v>
      </c>
      <c r="I4038" s="2">
        <v>0</v>
      </c>
      <c r="J4038" s="2">
        <v>0</v>
      </c>
      <c r="K4038" s="2">
        <v>0</v>
      </c>
      <c r="L4038" s="2">
        <v>0</v>
      </c>
      <c r="M4038">
        <v>1</v>
      </c>
      <c r="N4038">
        <v>0</v>
      </c>
      <c r="O4038" s="2">
        <v>0</v>
      </c>
      <c r="P4038" s="2">
        <v>0</v>
      </c>
      <c r="Q4038">
        <v>0</v>
      </c>
      <c r="R4038" s="2">
        <v>0</v>
      </c>
      <c r="S4038" s="2">
        <v>0</v>
      </c>
      <c r="T4038" t="s">
        <v>1948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</row>
    <row r="4039" spans="1:28" hidden="1" x14ac:dyDescent="0.25">
      <c r="A4039" t="s">
        <v>56</v>
      </c>
      <c r="B4039" t="s">
        <v>1160</v>
      </c>
      <c r="C4039" t="s">
        <v>64</v>
      </c>
      <c r="D4039" s="1">
        <v>46139</v>
      </c>
      <c r="E4039" s="1">
        <v>46139</v>
      </c>
      <c r="F4039" s="2">
        <v>15</v>
      </c>
      <c r="G4039" s="3" t="s">
        <v>23</v>
      </c>
      <c r="H4039">
        <v>0</v>
      </c>
      <c r="I4039" s="2">
        <v>0</v>
      </c>
      <c r="J4039" s="2">
        <v>0</v>
      </c>
      <c r="K4039" s="2">
        <v>0</v>
      </c>
      <c r="L4039" s="2">
        <v>0</v>
      </c>
      <c r="M4039">
        <v>0</v>
      </c>
      <c r="N4039">
        <v>0</v>
      </c>
      <c r="O4039" s="2">
        <v>0</v>
      </c>
      <c r="P4039" s="2">
        <v>0</v>
      </c>
      <c r="Q4039">
        <v>0</v>
      </c>
      <c r="R4039" s="2">
        <v>0</v>
      </c>
      <c r="S4039" s="2">
        <v>0</v>
      </c>
      <c r="T4039" t="s">
        <v>1949</v>
      </c>
      <c r="U4039" s="2">
        <v>0</v>
      </c>
      <c r="V4039" s="2">
        <v>15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</row>
    <row r="4040" spans="1:28" hidden="1" x14ac:dyDescent="0.25">
      <c r="A4040" t="s">
        <v>33</v>
      </c>
      <c r="B4040" t="s">
        <v>34</v>
      </c>
      <c r="C4040" t="s">
        <v>35</v>
      </c>
      <c r="D4040" s="1">
        <v>46139</v>
      </c>
      <c r="E4040" s="1">
        <v>46139</v>
      </c>
      <c r="F4040" s="2">
        <v>27</v>
      </c>
      <c r="G4040" s="3" t="s">
        <v>23</v>
      </c>
      <c r="H4040">
        <v>0</v>
      </c>
      <c r="I4040" s="2">
        <v>0</v>
      </c>
      <c r="J4040" s="2">
        <v>0</v>
      </c>
      <c r="K4040" s="2">
        <v>0</v>
      </c>
      <c r="L4040" s="2">
        <v>0</v>
      </c>
      <c r="M4040">
        <v>0</v>
      </c>
      <c r="N4040">
        <v>0</v>
      </c>
      <c r="O4040" s="2">
        <v>0</v>
      </c>
      <c r="P4040" s="2">
        <v>0</v>
      </c>
      <c r="Q4040">
        <v>0</v>
      </c>
      <c r="R4040" s="2">
        <v>0</v>
      </c>
      <c r="S4040" s="2">
        <v>0</v>
      </c>
      <c r="T4040" t="s">
        <v>1950</v>
      </c>
      <c r="U4040" s="2">
        <v>0</v>
      </c>
      <c r="V4040" s="2">
        <v>15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</row>
    <row r="4041" spans="1:28" hidden="1" x14ac:dyDescent="0.25">
      <c r="A4041" t="s">
        <v>53</v>
      </c>
      <c r="B4041" t="s">
        <v>47</v>
      </c>
      <c r="C4041" t="s">
        <v>1370</v>
      </c>
      <c r="D4041" s="1">
        <v>46139</v>
      </c>
      <c r="E4041" s="1">
        <v>46139</v>
      </c>
      <c r="F4041" s="2">
        <v>64</v>
      </c>
      <c r="G4041" s="3" t="s">
        <v>23</v>
      </c>
      <c r="H4041">
        <v>0</v>
      </c>
      <c r="I4041" s="2">
        <v>0</v>
      </c>
      <c r="J4041" s="2">
        <v>0</v>
      </c>
      <c r="K4041" s="2">
        <v>0</v>
      </c>
      <c r="L4041" s="2">
        <v>0</v>
      </c>
      <c r="M4041">
        <v>0</v>
      </c>
      <c r="N4041">
        <v>0</v>
      </c>
      <c r="O4041" s="2">
        <v>0</v>
      </c>
      <c r="P4041" s="2">
        <v>0</v>
      </c>
      <c r="Q4041">
        <v>0</v>
      </c>
      <c r="R4041" s="2">
        <v>0</v>
      </c>
      <c r="S4041" s="2">
        <v>0</v>
      </c>
      <c r="T4041" t="s">
        <v>1948</v>
      </c>
      <c r="U4041" s="2">
        <v>0</v>
      </c>
      <c r="V4041" s="2">
        <v>8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</row>
    <row r="4042" spans="1:28" hidden="1" x14ac:dyDescent="0.25">
      <c r="A4042" t="s">
        <v>20</v>
      </c>
      <c r="B4042" t="s">
        <v>47</v>
      </c>
      <c r="C4042" t="s">
        <v>1370</v>
      </c>
      <c r="D4042" s="1">
        <v>46139</v>
      </c>
      <c r="E4042" s="1">
        <v>46139</v>
      </c>
      <c r="F4042" s="2">
        <v>64</v>
      </c>
      <c r="G4042" s="3" t="s">
        <v>23</v>
      </c>
      <c r="H4042">
        <v>0</v>
      </c>
      <c r="I4042" s="2">
        <v>0</v>
      </c>
      <c r="J4042" s="2">
        <v>0</v>
      </c>
      <c r="K4042" s="2">
        <v>0</v>
      </c>
      <c r="L4042" s="2">
        <v>0</v>
      </c>
      <c r="M4042">
        <v>0</v>
      </c>
      <c r="N4042">
        <v>0</v>
      </c>
      <c r="O4042" s="2">
        <v>0</v>
      </c>
      <c r="P4042" s="2">
        <v>0</v>
      </c>
      <c r="Q4042">
        <v>0</v>
      </c>
      <c r="R4042" s="2">
        <v>0</v>
      </c>
      <c r="S4042" s="2">
        <v>0</v>
      </c>
      <c r="T4042" t="s">
        <v>1948</v>
      </c>
      <c r="U4042" s="2">
        <v>0</v>
      </c>
      <c r="V4042" s="2">
        <v>8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</row>
    <row r="4043" spans="1:28" hidden="1" x14ac:dyDescent="0.25">
      <c r="A4043" t="s">
        <v>25</v>
      </c>
      <c r="B4043" t="s">
        <v>26</v>
      </c>
      <c r="C4043" t="s">
        <v>1370</v>
      </c>
      <c r="D4043" s="1">
        <v>46139</v>
      </c>
      <c r="E4043" s="1">
        <v>46139</v>
      </c>
      <c r="F4043" s="2">
        <v>64</v>
      </c>
      <c r="G4043" s="3" t="s">
        <v>23</v>
      </c>
      <c r="H4043">
        <v>2</v>
      </c>
      <c r="I4043" s="2">
        <v>0</v>
      </c>
      <c r="J4043" s="2">
        <v>0</v>
      </c>
      <c r="K4043" s="2">
        <v>0</v>
      </c>
      <c r="L4043" s="2">
        <v>0</v>
      </c>
      <c r="M4043">
        <v>0</v>
      </c>
      <c r="N4043">
        <v>0</v>
      </c>
      <c r="O4043" s="2">
        <v>0</v>
      </c>
      <c r="P4043" s="2">
        <v>0</v>
      </c>
      <c r="Q4043">
        <v>0</v>
      </c>
      <c r="R4043" s="2">
        <v>0</v>
      </c>
      <c r="S4043" s="2">
        <v>0</v>
      </c>
      <c r="T4043" t="s">
        <v>1948</v>
      </c>
      <c r="U4043" s="2">
        <v>0</v>
      </c>
      <c r="V4043" s="2">
        <v>4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</row>
    <row r="4044" spans="1:28" hidden="1" x14ac:dyDescent="0.25">
      <c r="A4044" t="s">
        <v>37</v>
      </c>
      <c r="B4044" t="s">
        <v>57</v>
      </c>
      <c r="C4044" t="s">
        <v>1370</v>
      </c>
      <c r="D4044" s="1">
        <v>46139</v>
      </c>
      <c r="E4044" s="1">
        <v>46139</v>
      </c>
      <c r="F4044" s="2">
        <v>64</v>
      </c>
      <c r="G4044" s="3" t="s">
        <v>23</v>
      </c>
      <c r="H4044">
        <v>6</v>
      </c>
      <c r="I4044" s="2">
        <v>0</v>
      </c>
      <c r="J4044" s="2">
        <v>0</v>
      </c>
      <c r="K4044" s="2">
        <v>0</v>
      </c>
      <c r="L4044" s="2">
        <v>0</v>
      </c>
      <c r="M4044">
        <v>0</v>
      </c>
      <c r="N4044">
        <v>0</v>
      </c>
      <c r="O4044" s="2">
        <v>0</v>
      </c>
      <c r="P4044" s="2">
        <v>0</v>
      </c>
      <c r="Q4044">
        <v>0</v>
      </c>
      <c r="R4044" s="2">
        <v>0</v>
      </c>
      <c r="S4044" s="2">
        <v>0</v>
      </c>
      <c r="T4044" t="s">
        <v>1948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</row>
    <row r="4045" spans="1:28" hidden="1" x14ac:dyDescent="0.25">
      <c r="A4045" t="s">
        <v>29</v>
      </c>
      <c r="B4045" t="s">
        <v>30</v>
      </c>
      <c r="C4045" t="s">
        <v>1370</v>
      </c>
      <c r="D4045" s="1">
        <v>46139</v>
      </c>
      <c r="E4045" s="1">
        <v>46139</v>
      </c>
      <c r="F4045" s="2">
        <v>64</v>
      </c>
      <c r="G4045" s="3" t="s">
        <v>23</v>
      </c>
      <c r="H4045">
        <f>2+1+2+1+1+1</f>
        <v>8</v>
      </c>
      <c r="I4045" s="2">
        <v>0</v>
      </c>
      <c r="J4045" s="2">
        <v>0</v>
      </c>
      <c r="K4045" s="2">
        <v>0</v>
      </c>
      <c r="L4045" s="2">
        <v>0</v>
      </c>
      <c r="M4045">
        <v>0</v>
      </c>
      <c r="N4045">
        <v>0</v>
      </c>
      <c r="O4045" s="2">
        <v>0</v>
      </c>
      <c r="P4045" s="2">
        <v>0</v>
      </c>
      <c r="Q4045">
        <v>0</v>
      </c>
      <c r="R4045" s="2">
        <v>0</v>
      </c>
      <c r="S4045" s="2">
        <v>0</v>
      </c>
      <c r="T4045" t="s">
        <v>1948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</row>
    <row r="4046" spans="1:28" hidden="1" x14ac:dyDescent="0.25">
      <c r="A4046" t="s">
        <v>47</v>
      </c>
      <c r="B4046" t="s">
        <v>47</v>
      </c>
      <c r="C4046" t="s">
        <v>212</v>
      </c>
      <c r="D4046" s="1">
        <v>46139</v>
      </c>
      <c r="E4046" s="1">
        <v>46139</v>
      </c>
      <c r="F4046" s="2">
        <v>0</v>
      </c>
      <c r="G4046" s="3" t="s">
        <v>48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 t="s">
        <v>377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</row>
    <row r="4047" spans="1:28" hidden="1" x14ac:dyDescent="0.25">
      <c r="A4047" t="s">
        <v>47</v>
      </c>
      <c r="B4047" t="s">
        <v>47</v>
      </c>
      <c r="C4047" t="s">
        <v>212</v>
      </c>
      <c r="D4047" s="1">
        <v>46139</v>
      </c>
      <c r="E4047" s="1">
        <v>46139</v>
      </c>
      <c r="F4047" s="2">
        <v>0</v>
      </c>
      <c r="G4047" s="3" t="s">
        <v>48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 t="s">
        <v>377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</row>
    <row r="4048" spans="1:28" hidden="1" x14ac:dyDescent="0.25">
      <c r="A4048" t="s">
        <v>47</v>
      </c>
      <c r="B4048" t="s">
        <v>47</v>
      </c>
      <c r="C4048" t="s">
        <v>212</v>
      </c>
      <c r="D4048" s="1">
        <v>46139</v>
      </c>
      <c r="E4048" s="1">
        <v>46139</v>
      </c>
      <c r="F4048" s="2">
        <v>0</v>
      </c>
      <c r="G4048" s="3" t="s">
        <v>48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377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</row>
    <row r="4049" spans="1:28" hidden="1" x14ac:dyDescent="0.25">
      <c r="A4049" t="s">
        <v>47</v>
      </c>
      <c r="B4049" t="s">
        <v>47</v>
      </c>
      <c r="C4049" t="s">
        <v>212</v>
      </c>
      <c r="D4049" s="1">
        <v>46139</v>
      </c>
      <c r="E4049" s="1">
        <v>46139</v>
      </c>
      <c r="F4049" s="2">
        <v>0</v>
      </c>
      <c r="G4049" s="3" t="s">
        <v>572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377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</row>
    <row r="4050" spans="1:28" hidden="1" x14ac:dyDescent="0.25">
      <c r="A4050" t="s">
        <v>63</v>
      </c>
      <c r="B4050" t="s">
        <v>284</v>
      </c>
      <c r="C4050" t="s">
        <v>212</v>
      </c>
      <c r="D4050" s="1">
        <v>46139</v>
      </c>
      <c r="E4050" s="1">
        <v>46139</v>
      </c>
      <c r="F4050" s="2">
        <v>0</v>
      </c>
      <c r="G4050" s="3" t="s">
        <v>572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 t="s">
        <v>377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</row>
    <row r="4051" spans="1:28" hidden="1" x14ac:dyDescent="0.25">
      <c r="A4051" t="s">
        <v>47</v>
      </c>
      <c r="B4051" t="s">
        <v>1323</v>
      </c>
      <c r="C4051" t="s">
        <v>212</v>
      </c>
      <c r="D4051" s="1">
        <v>46139</v>
      </c>
      <c r="E4051" s="1">
        <v>46139</v>
      </c>
      <c r="F4051" s="2">
        <v>0</v>
      </c>
      <c r="G4051" s="3" t="s">
        <v>572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 t="s">
        <v>377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</row>
    <row r="4052" spans="1:28" hidden="1" x14ac:dyDescent="0.25">
      <c r="A4052" t="s">
        <v>47</v>
      </c>
      <c r="B4052" t="s">
        <v>47</v>
      </c>
      <c r="C4052" t="s">
        <v>212</v>
      </c>
      <c r="D4052" s="1">
        <v>46139</v>
      </c>
      <c r="E4052" s="1">
        <v>46139</v>
      </c>
      <c r="F4052" s="2">
        <v>0</v>
      </c>
      <c r="G4052" s="3" t="s">
        <v>572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 t="s">
        <v>377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</row>
    <row r="4053" spans="1:28" hidden="1" x14ac:dyDescent="0.25">
      <c r="A4053" t="s">
        <v>47</v>
      </c>
      <c r="B4053" t="s">
        <v>21</v>
      </c>
      <c r="C4053" t="s">
        <v>212</v>
      </c>
      <c r="D4053" s="1">
        <v>46139</v>
      </c>
      <c r="E4053" s="1">
        <v>46139</v>
      </c>
      <c r="F4053" s="2">
        <v>0</v>
      </c>
      <c r="G4053" s="3" t="s">
        <v>409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0</v>
      </c>
      <c r="T4053" t="s">
        <v>377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</row>
    <row r="4054" spans="1:28" hidden="1" x14ac:dyDescent="0.25">
      <c r="A4054" t="s">
        <v>47</v>
      </c>
      <c r="B4054" t="s">
        <v>47</v>
      </c>
      <c r="C4054" t="s">
        <v>212</v>
      </c>
      <c r="D4054" s="1">
        <v>46139</v>
      </c>
      <c r="E4054" s="1">
        <v>46139</v>
      </c>
      <c r="F4054" s="2">
        <v>0</v>
      </c>
      <c r="G4054" s="3" t="s">
        <v>129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 t="s">
        <v>377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</row>
    <row r="4055" spans="1:28" hidden="1" x14ac:dyDescent="0.25">
      <c r="A4055" t="s">
        <v>25</v>
      </c>
      <c r="B4055" t="s">
        <v>26</v>
      </c>
      <c r="C4055" t="s">
        <v>27</v>
      </c>
      <c r="D4055" s="1">
        <v>46140</v>
      </c>
      <c r="E4055" s="1">
        <v>46140</v>
      </c>
      <c r="F4055" s="2">
        <v>71</v>
      </c>
      <c r="G4055" s="3" t="s">
        <v>23</v>
      </c>
      <c r="H4055">
        <v>20</v>
      </c>
      <c r="I4055" s="2">
        <v>0</v>
      </c>
      <c r="J4055" s="2">
        <v>0</v>
      </c>
      <c r="K4055" s="2">
        <v>0</v>
      </c>
      <c r="L4055" s="2">
        <v>1</v>
      </c>
      <c r="M4055">
        <v>0</v>
      </c>
      <c r="N4055">
        <v>0</v>
      </c>
      <c r="O4055" s="2">
        <v>0</v>
      </c>
      <c r="P4055" s="2">
        <v>0</v>
      </c>
      <c r="Q4055">
        <v>0</v>
      </c>
      <c r="R4055" s="2">
        <v>0</v>
      </c>
      <c r="S4055" s="2">
        <v>0</v>
      </c>
      <c r="T4055" t="s">
        <v>1951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</row>
    <row r="4056" spans="1:28" x14ac:dyDescent="0.25">
      <c r="A4056" t="s">
        <v>730</v>
      </c>
      <c r="B4056" t="s">
        <v>21</v>
      </c>
      <c r="C4056" t="s">
        <v>1370</v>
      </c>
      <c r="D4056" s="1">
        <v>46140</v>
      </c>
      <c r="E4056" s="1">
        <v>46140</v>
      </c>
      <c r="F4056" s="2">
        <v>42</v>
      </c>
      <c r="G4056" s="3" t="s">
        <v>23</v>
      </c>
      <c r="H4056">
        <v>16</v>
      </c>
      <c r="I4056" s="2">
        <v>0</v>
      </c>
      <c r="J4056" s="2">
        <v>0</v>
      </c>
      <c r="K4056" s="2">
        <v>1</v>
      </c>
      <c r="L4056" s="2">
        <v>0</v>
      </c>
      <c r="M4056">
        <v>0</v>
      </c>
      <c r="N4056">
        <v>0</v>
      </c>
      <c r="O4056" s="2">
        <v>0</v>
      </c>
      <c r="P4056" s="2">
        <v>0</v>
      </c>
      <c r="Q4056">
        <v>1</v>
      </c>
      <c r="R4056" s="2">
        <v>0</v>
      </c>
      <c r="S4056" s="2">
        <v>0</v>
      </c>
      <c r="T4056" t="s">
        <v>1952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</row>
    <row r="4057" spans="1:28" hidden="1" x14ac:dyDescent="0.25">
      <c r="A4057" t="s">
        <v>53</v>
      </c>
      <c r="B4057" t="s">
        <v>38</v>
      </c>
      <c r="C4057" t="s">
        <v>1370</v>
      </c>
      <c r="D4057" s="1">
        <v>46140</v>
      </c>
      <c r="E4057" s="1">
        <v>46140</v>
      </c>
      <c r="F4057" s="2">
        <v>42</v>
      </c>
      <c r="G4057" s="3" t="s">
        <v>23</v>
      </c>
      <c r="H4057">
        <f>18+18</f>
        <v>36</v>
      </c>
      <c r="I4057" s="2">
        <v>0</v>
      </c>
      <c r="J4057" s="2">
        <v>0</v>
      </c>
      <c r="K4057" s="2">
        <v>1</v>
      </c>
      <c r="L4057" s="2">
        <v>0</v>
      </c>
      <c r="M4057">
        <v>0</v>
      </c>
      <c r="N4057">
        <v>0</v>
      </c>
      <c r="O4057" s="2">
        <v>0</v>
      </c>
      <c r="P4057" s="2">
        <v>0</v>
      </c>
      <c r="Q4057">
        <v>0</v>
      </c>
      <c r="R4057" s="2">
        <v>0</v>
      </c>
      <c r="S4057" s="2">
        <v>0</v>
      </c>
      <c r="T4057" t="s">
        <v>1952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</row>
    <row r="4058" spans="1:28" hidden="1" x14ac:dyDescent="0.25">
      <c r="A4058" t="s">
        <v>29</v>
      </c>
      <c r="B4058" t="s">
        <v>30</v>
      </c>
      <c r="C4058" t="s">
        <v>1370</v>
      </c>
      <c r="D4058" s="1">
        <v>46140</v>
      </c>
      <c r="E4058" s="1">
        <v>46140</v>
      </c>
      <c r="F4058" s="2">
        <v>42</v>
      </c>
      <c r="G4058" s="3" t="s">
        <v>23</v>
      </c>
      <c r="H4058">
        <f>14+14</f>
        <v>28</v>
      </c>
      <c r="I4058" s="2">
        <v>0</v>
      </c>
      <c r="J4058" s="2">
        <v>0</v>
      </c>
      <c r="K4058" s="2">
        <v>1</v>
      </c>
      <c r="L4058" s="2">
        <v>0</v>
      </c>
      <c r="M4058">
        <v>0</v>
      </c>
      <c r="N4058">
        <v>0</v>
      </c>
      <c r="O4058" s="2">
        <v>0</v>
      </c>
      <c r="P4058" s="2">
        <v>0</v>
      </c>
      <c r="Q4058">
        <v>0</v>
      </c>
      <c r="R4058" s="2">
        <v>0</v>
      </c>
      <c r="S4058" s="2">
        <v>0</v>
      </c>
      <c r="T4058" t="s">
        <v>1952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</row>
    <row r="4059" spans="1:28" hidden="1" x14ac:dyDescent="0.25">
      <c r="A4059" t="s">
        <v>63</v>
      </c>
      <c r="B4059" t="s">
        <v>1160</v>
      </c>
      <c r="C4059" t="s">
        <v>102</v>
      </c>
      <c r="D4059" s="1">
        <v>46140</v>
      </c>
      <c r="E4059" s="1">
        <v>46140</v>
      </c>
      <c r="F4059" s="2">
        <v>43</v>
      </c>
      <c r="G4059" s="3" t="s">
        <v>23</v>
      </c>
      <c r="H4059">
        <v>32</v>
      </c>
      <c r="I4059" s="2">
        <v>0</v>
      </c>
      <c r="J4059" s="2">
        <v>0</v>
      </c>
      <c r="K4059" s="2">
        <v>1</v>
      </c>
      <c r="L4059" s="2">
        <v>0</v>
      </c>
      <c r="M4059">
        <v>0</v>
      </c>
      <c r="N4059">
        <v>0</v>
      </c>
      <c r="O4059" s="2">
        <v>0</v>
      </c>
      <c r="P4059" s="2">
        <v>0</v>
      </c>
      <c r="Q4059">
        <v>1</v>
      </c>
      <c r="R4059" s="2">
        <v>0</v>
      </c>
      <c r="S4059" s="2">
        <v>0</v>
      </c>
      <c r="T4059" t="s">
        <v>1953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</row>
    <row r="4060" spans="1:28" hidden="1" x14ac:dyDescent="0.25">
      <c r="A4060" t="s">
        <v>33</v>
      </c>
      <c r="B4060" t="s">
        <v>34</v>
      </c>
      <c r="C4060" t="s">
        <v>35</v>
      </c>
      <c r="D4060" s="1">
        <v>46140</v>
      </c>
      <c r="E4060" s="1">
        <v>46140</v>
      </c>
      <c r="F4060" s="2">
        <v>37</v>
      </c>
      <c r="G4060" s="3" t="s">
        <v>23</v>
      </c>
      <c r="H4060">
        <v>30</v>
      </c>
      <c r="I4060" s="2">
        <v>0</v>
      </c>
      <c r="J4060" s="2">
        <v>0</v>
      </c>
      <c r="K4060" s="2">
        <v>1</v>
      </c>
      <c r="L4060" s="2">
        <v>0</v>
      </c>
      <c r="M4060">
        <v>0</v>
      </c>
      <c r="N4060">
        <v>0</v>
      </c>
      <c r="O4060" s="2">
        <v>0</v>
      </c>
      <c r="P4060" s="2">
        <v>0</v>
      </c>
      <c r="Q4060">
        <v>0</v>
      </c>
      <c r="R4060" s="2">
        <v>0</v>
      </c>
      <c r="S4060" s="2">
        <v>0</v>
      </c>
      <c r="T4060" t="s">
        <v>1954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</row>
    <row r="4061" spans="1:28" hidden="1" x14ac:dyDescent="0.25">
      <c r="A4061" t="s">
        <v>37</v>
      </c>
      <c r="B4061" t="s">
        <v>57</v>
      </c>
      <c r="C4061" t="s">
        <v>173</v>
      </c>
      <c r="D4061" s="1">
        <v>46140</v>
      </c>
      <c r="E4061" s="1">
        <v>46140</v>
      </c>
      <c r="F4061" s="2">
        <v>19</v>
      </c>
      <c r="G4061" s="3" t="s">
        <v>23</v>
      </c>
      <c r="H4061">
        <v>6</v>
      </c>
      <c r="I4061" s="2">
        <v>0</v>
      </c>
      <c r="J4061" s="2">
        <v>0</v>
      </c>
      <c r="K4061" s="2">
        <v>0</v>
      </c>
      <c r="L4061" s="2">
        <v>0</v>
      </c>
      <c r="M4061">
        <v>0</v>
      </c>
      <c r="N4061">
        <v>0</v>
      </c>
      <c r="O4061" s="2">
        <v>0</v>
      </c>
      <c r="P4061" s="2">
        <v>0</v>
      </c>
      <c r="Q4061">
        <v>0</v>
      </c>
      <c r="R4061" s="2">
        <v>0</v>
      </c>
      <c r="S4061" s="2">
        <v>0</v>
      </c>
      <c r="T4061" t="s">
        <v>1955</v>
      </c>
      <c r="U4061" s="2">
        <v>0</v>
      </c>
      <c r="V4061" s="2">
        <v>0</v>
      </c>
      <c r="W4061" s="2">
        <v>2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</row>
    <row r="4062" spans="1:28" hidden="1" x14ac:dyDescent="0.25">
      <c r="A4062" t="s">
        <v>47</v>
      </c>
      <c r="B4062" t="s">
        <v>284</v>
      </c>
      <c r="C4062" t="s">
        <v>212</v>
      </c>
      <c r="D4062" s="1">
        <v>46140</v>
      </c>
      <c r="E4062" s="1">
        <v>46140</v>
      </c>
      <c r="F4062" s="2">
        <v>0</v>
      </c>
      <c r="G4062" s="3" t="s">
        <v>48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377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</row>
    <row r="4063" spans="1:28" hidden="1" x14ac:dyDescent="0.25">
      <c r="A4063" t="s">
        <v>47</v>
      </c>
      <c r="B4063" t="s">
        <v>47</v>
      </c>
      <c r="C4063" t="s">
        <v>212</v>
      </c>
      <c r="D4063" s="1">
        <v>46140</v>
      </c>
      <c r="E4063" s="1">
        <v>46140</v>
      </c>
      <c r="F4063" s="2">
        <v>0</v>
      </c>
      <c r="G4063" s="3" t="s">
        <v>48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377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</row>
    <row r="4064" spans="1:28" hidden="1" x14ac:dyDescent="0.25">
      <c r="A4064" t="s">
        <v>47</v>
      </c>
      <c r="B4064" t="s">
        <v>47</v>
      </c>
      <c r="C4064" t="s">
        <v>212</v>
      </c>
      <c r="D4064" s="1">
        <v>46140</v>
      </c>
      <c r="E4064" s="1">
        <v>46140</v>
      </c>
      <c r="F4064" s="2">
        <v>0</v>
      </c>
      <c r="G4064" s="3" t="s">
        <v>48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 t="s">
        <v>377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</row>
    <row r="4065" spans="1:28" hidden="1" x14ac:dyDescent="0.25">
      <c r="A4065" t="s">
        <v>47</v>
      </c>
      <c r="B4065" t="s">
        <v>47</v>
      </c>
      <c r="C4065" t="s">
        <v>212</v>
      </c>
      <c r="D4065" s="1">
        <v>46140</v>
      </c>
      <c r="E4065" s="1">
        <v>46140</v>
      </c>
      <c r="F4065" s="2">
        <v>0</v>
      </c>
      <c r="G4065" s="3" t="s">
        <v>572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377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</row>
    <row r="4066" spans="1:28" hidden="1" x14ac:dyDescent="0.25">
      <c r="A4066" t="s">
        <v>56</v>
      </c>
      <c r="B4066" t="s">
        <v>1160</v>
      </c>
      <c r="C4066" t="s">
        <v>212</v>
      </c>
      <c r="D4066" s="1">
        <v>46140</v>
      </c>
      <c r="E4066" s="1">
        <v>46140</v>
      </c>
      <c r="F4066" s="2">
        <v>0</v>
      </c>
      <c r="G4066" s="3" t="s">
        <v>572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377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</row>
    <row r="4067" spans="1:28" hidden="1" x14ac:dyDescent="0.25">
      <c r="A4067" t="s">
        <v>47</v>
      </c>
      <c r="B4067" t="s">
        <v>1323</v>
      </c>
      <c r="C4067" t="s">
        <v>212</v>
      </c>
      <c r="D4067" s="1">
        <v>46140</v>
      </c>
      <c r="E4067" s="1">
        <v>46140</v>
      </c>
      <c r="F4067" s="2">
        <v>0</v>
      </c>
      <c r="G4067" s="3" t="s">
        <v>572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 t="s">
        <v>377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</row>
    <row r="4068" spans="1:28" hidden="1" x14ac:dyDescent="0.25">
      <c r="A4068" t="s">
        <v>47</v>
      </c>
      <c r="B4068" t="s">
        <v>47</v>
      </c>
      <c r="C4068" t="s">
        <v>212</v>
      </c>
      <c r="D4068" s="1">
        <v>46140</v>
      </c>
      <c r="E4068" s="1">
        <v>46140</v>
      </c>
      <c r="F4068" s="2">
        <v>0</v>
      </c>
      <c r="G4068" s="3" t="s">
        <v>572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377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</row>
    <row r="4069" spans="1:28" hidden="1" x14ac:dyDescent="0.25">
      <c r="A4069" t="s">
        <v>47</v>
      </c>
      <c r="B4069" t="s">
        <v>47</v>
      </c>
      <c r="C4069" t="s">
        <v>212</v>
      </c>
      <c r="D4069" s="1">
        <v>46140</v>
      </c>
      <c r="E4069" s="1">
        <v>46140</v>
      </c>
      <c r="F4069" s="2">
        <v>0</v>
      </c>
      <c r="G4069" s="3" t="s">
        <v>409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 t="s">
        <v>377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</row>
    <row r="4070" spans="1:28" hidden="1" x14ac:dyDescent="0.25">
      <c r="A4070" t="s">
        <v>20</v>
      </c>
      <c r="B4070" t="s">
        <v>47</v>
      </c>
      <c r="C4070" t="s">
        <v>212</v>
      </c>
      <c r="D4070" s="1">
        <v>46140</v>
      </c>
      <c r="E4070" s="1">
        <v>46140</v>
      </c>
      <c r="F4070" s="2">
        <v>0</v>
      </c>
      <c r="G4070" s="3" t="s">
        <v>129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 t="s">
        <v>377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</row>
    <row r="4071" spans="1:28" hidden="1" x14ac:dyDescent="0.25">
      <c r="A4071" t="s">
        <v>25</v>
      </c>
      <c r="B4071" t="s">
        <v>26</v>
      </c>
      <c r="C4071" t="s">
        <v>27</v>
      </c>
      <c r="D4071" s="1">
        <v>46141</v>
      </c>
      <c r="E4071" s="1">
        <v>46141</v>
      </c>
      <c r="F4071" s="2">
        <v>32</v>
      </c>
      <c r="G4071" s="3" t="s">
        <v>23</v>
      </c>
      <c r="H4071">
        <v>28</v>
      </c>
      <c r="I4071" s="2">
        <v>0</v>
      </c>
      <c r="J4071" s="2">
        <v>0</v>
      </c>
      <c r="K4071" s="2">
        <v>1</v>
      </c>
      <c r="L4071" s="2">
        <v>0</v>
      </c>
      <c r="M4071">
        <v>0</v>
      </c>
      <c r="N4071">
        <v>0</v>
      </c>
      <c r="O4071" s="2">
        <v>0</v>
      </c>
      <c r="P4071" s="2">
        <v>0</v>
      </c>
      <c r="Q4071">
        <v>0</v>
      </c>
      <c r="R4071" s="2">
        <v>0</v>
      </c>
      <c r="S4071" s="2">
        <v>0</v>
      </c>
      <c r="T4071" t="s">
        <v>1956</v>
      </c>
      <c r="U4071" s="2">
        <v>0</v>
      </c>
      <c r="V4071" s="2">
        <v>17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</row>
    <row r="4072" spans="1:28" x14ac:dyDescent="0.25">
      <c r="A4072" t="s">
        <v>730</v>
      </c>
      <c r="B4072" t="s">
        <v>47</v>
      </c>
      <c r="C4072" t="s">
        <v>1370</v>
      </c>
      <c r="D4072" s="1">
        <v>46141</v>
      </c>
      <c r="E4072" s="1">
        <v>46141</v>
      </c>
      <c r="F4072" s="2">
        <v>41</v>
      </c>
      <c r="G4072" s="3" t="s">
        <v>23</v>
      </c>
      <c r="H4072">
        <v>28</v>
      </c>
      <c r="I4072" s="2">
        <v>0</v>
      </c>
      <c r="J4072" s="2">
        <v>0</v>
      </c>
      <c r="K4072" s="2">
        <v>0</v>
      </c>
      <c r="L4072" s="2">
        <v>1</v>
      </c>
      <c r="M4072">
        <v>0</v>
      </c>
      <c r="N4072">
        <v>0</v>
      </c>
      <c r="O4072" s="2">
        <v>0</v>
      </c>
      <c r="P4072" s="2">
        <v>0</v>
      </c>
      <c r="Q4072">
        <v>2</v>
      </c>
      <c r="R4072" s="2">
        <v>0</v>
      </c>
      <c r="S4072" s="2">
        <v>0</v>
      </c>
      <c r="T4072" t="s">
        <v>1957</v>
      </c>
      <c r="U4072" s="2">
        <v>0</v>
      </c>
      <c r="V4072" s="2">
        <v>14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</row>
    <row r="4073" spans="1:28" hidden="1" x14ac:dyDescent="0.25">
      <c r="A4073" t="s">
        <v>47</v>
      </c>
      <c r="B4073" t="s">
        <v>21</v>
      </c>
      <c r="C4073" t="s">
        <v>1370</v>
      </c>
      <c r="D4073" s="1">
        <v>46141</v>
      </c>
      <c r="E4073" s="1">
        <v>46141</v>
      </c>
      <c r="F4073" s="2">
        <v>41</v>
      </c>
      <c r="G4073" s="3" t="s">
        <v>23</v>
      </c>
      <c r="H4073">
        <f>28+4</f>
        <v>32</v>
      </c>
      <c r="I4073" s="2">
        <v>0</v>
      </c>
      <c r="J4073" s="2">
        <v>0</v>
      </c>
      <c r="K4073" s="2">
        <v>0</v>
      </c>
      <c r="L4073" s="2">
        <v>1</v>
      </c>
      <c r="M4073">
        <v>0</v>
      </c>
      <c r="N4073">
        <v>0</v>
      </c>
      <c r="O4073" s="2">
        <v>0</v>
      </c>
      <c r="P4073" s="2">
        <v>0</v>
      </c>
      <c r="Q4073">
        <v>2</v>
      </c>
      <c r="R4073" s="2">
        <v>0</v>
      </c>
      <c r="S4073" s="2">
        <v>0</v>
      </c>
      <c r="T4073" t="s">
        <v>1957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</row>
    <row r="4074" spans="1:28" hidden="1" x14ac:dyDescent="0.25">
      <c r="A4074" t="s">
        <v>37</v>
      </c>
      <c r="B4074" t="s">
        <v>57</v>
      </c>
      <c r="C4074" t="s">
        <v>173</v>
      </c>
      <c r="D4074" s="1">
        <v>46141</v>
      </c>
      <c r="E4074" s="1">
        <v>46141</v>
      </c>
      <c r="F4074" s="2">
        <v>15</v>
      </c>
      <c r="G4074" s="3" t="s">
        <v>23</v>
      </c>
      <c r="H4074">
        <v>55</v>
      </c>
      <c r="I4074" s="2">
        <v>0</v>
      </c>
      <c r="J4074" s="2">
        <v>0</v>
      </c>
      <c r="K4074" s="2">
        <v>1</v>
      </c>
      <c r="L4074" s="2">
        <v>0</v>
      </c>
      <c r="M4074">
        <v>0</v>
      </c>
      <c r="N4074">
        <v>1</v>
      </c>
      <c r="O4074" s="2">
        <v>0</v>
      </c>
      <c r="P4074" s="2">
        <v>0</v>
      </c>
      <c r="Q4074">
        <v>0</v>
      </c>
      <c r="R4074" s="2">
        <v>0</v>
      </c>
      <c r="S4074" s="2">
        <v>0</v>
      </c>
      <c r="T4074" t="s">
        <v>1958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</row>
    <row r="4075" spans="1:28" hidden="1" x14ac:dyDescent="0.25">
      <c r="A4075" t="s">
        <v>56</v>
      </c>
      <c r="B4075" t="s">
        <v>47</v>
      </c>
      <c r="C4075" t="s">
        <v>64</v>
      </c>
      <c r="D4075" s="1">
        <v>46141</v>
      </c>
      <c r="E4075" s="1">
        <v>46141</v>
      </c>
      <c r="F4075" s="2">
        <v>36</v>
      </c>
      <c r="G4075" s="3" t="s">
        <v>23</v>
      </c>
      <c r="H4075">
        <v>40</v>
      </c>
      <c r="I4075" s="2">
        <v>0</v>
      </c>
      <c r="J4075" s="2">
        <v>0</v>
      </c>
      <c r="K4075" s="2">
        <v>1</v>
      </c>
      <c r="L4075" s="2">
        <v>0</v>
      </c>
      <c r="M4075">
        <v>0</v>
      </c>
      <c r="N4075">
        <v>0</v>
      </c>
      <c r="O4075" s="2">
        <v>0</v>
      </c>
      <c r="P4075" s="2">
        <v>0</v>
      </c>
      <c r="Q4075">
        <v>2</v>
      </c>
      <c r="R4075" s="2">
        <v>0</v>
      </c>
      <c r="S4075" s="2">
        <v>0</v>
      </c>
      <c r="T4075" t="s">
        <v>1959</v>
      </c>
      <c r="U4075" s="2">
        <v>0</v>
      </c>
      <c r="V4075" s="2">
        <v>14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</row>
    <row r="4076" spans="1:28" hidden="1" x14ac:dyDescent="0.25">
      <c r="A4076" t="s">
        <v>47</v>
      </c>
      <c r="B4076" t="s">
        <v>1323</v>
      </c>
      <c r="C4076" t="s">
        <v>64</v>
      </c>
      <c r="D4076" s="1">
        <v>46141</v>
      </c>
      <c r="E4076" s="1">
        <v>46141</v>
      </c>
      <c r="F4076" s="2">
        <v>36</v>
      </c>
      <c r="G4076" s="3" t="s">
        <v>23</v>
      </c>
      <c r="H4076">
        <v>40</v>
      </c>
      <c r="I4076" s="2">
        <v>0</v>
      </c>
      <c r="J4076" s="2">
        <v>0</v>
      </c>
      <c r="K4076" s="2">
        <v>1</v>
      </c>
      <c r="L4076" s="2">
        <v>0</v>
      </c>
      <c r="M4076">
        <v>0</v>
      </c>
      <c r="N4076">
        <v>0</v>
      </c>
      <c r="O4076" s="2">
        <v>0</v>
      </c>
      <c r="P4076" s="2">
        <v>0</v>
      </c>
      <c r="Q4076">
        <v>0</v>
      </c>
      <c r="R4076" s="2">
        <v>0</v>
      </c>
      <c r="S4076" s="2">
        <v>0</v>
      </c>
      <c r="T4076" t="s">
        <v>1959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</row>
    <row r="4077" spans="1:28" hidden="1" x14ac:dyDescent="0.25">
      <c r="A4077" t="s">
        <v>63</v>
      </c>
      <c r="B4077" t="s">
        <v>47</v>
      </c>
      <c r="C4077" t="s">
        <v>102</v>
      </c>
      <c r="D4077" s="1">
        <v>46141</v>
      </c>
      <c r="E4077" s="1">
        <v>46141</v>
      </c>
      <c r="F4077" s="2">
        <v>19</v>
      </c>
      <c r="G4077" s="3" t="s">
        <v>23</v>
      </c>
      <c r="H4077">
        <v>19</v>
      </c>
      <c r="I4077" s="2">
        <v>0</v>
      </c>
      <c r="J4077" s="2">
        <v>0</v>
      </c>
      <c r="K4077" s="2">
        <v>1</v>
      </c>
      <c r="L4077" s="2">
        <v>0</v>
      </c>
      <c r="M4077">
        <v>1</v>
      </c>
      <c r="N4077">
        <v>0</v>
      </c>
      <c r="O4077" s="2">
        <v>0</v>
      </c>
      <c r="P4077" s="2">
        <v>0</v>
      </c>
      <c r="Q4077">
        <v>2</v>
      </c>
      <c r="R4077" s="2">
        <v>0</v>
      </c>
      <c r="S4077" s="2">
        <v>0</v>
      </c>
      <c r="T4077" t="s">
        <v>1960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</row>
    <row r="4078" spans="1:28" hidden="1" x14ac:dyDescent="0.25">
      <c r="A4078" t="s">
        <v>47</v>
      </c>
      <c r="B4078" t="s">
        <v>284</v>
      </c>
      <c r="C4078" t="s">
        <v>102</v>
      </c>
      <c r="D4078" s="1">
        <v>46141</v>
      </c>
      <c r="E4078" s="1">
        <v>46141</v>
      </c>
      <c r="F4078" s="2">
        <v>19</v>
      </c>
      <c r="G4078" s="3" t="s">
        <v>23</v>
      </c>
      <c r="H4078">
        <v>19</v>
      </c>
      <c r="I4078" s="2">
        <v>0</v>
      </c>
      <c r="J4078" s="2">
        <v>0</v>
      </c>
      <c r="K4078" s="2">
        <v>1</v>
      </c>
      <c r="L4078" s="2">
        <v>0</v>
      </c>
      <c r="M4078">
        <v>1</v>
      </c>
      <c r="N4078">
        <v>0</v>
      </c>
      <c r="O4078" s="2">
        <v>0</v>
      </c>
      <c r="P4078" s="2">
        <v>0</v>
      </c>
      <c r="Q4078">
        <v>0</v>
      </c>
      <c r="R4078" s="2">
        <v>0</v>
      </c>
      <c r="S4078" s="2">
        <v>0</v>
      </c>
      <c r="T4078" t="s">
        <v>1960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</row>
    <row r="4079" spans="1:28" hidden="1" x14ac:dyDescent="0.25">
      <c r="A4079" t="s">
        <v>33</v>
      </c>
      <c r="B4079" t="s">
        <v>47</v>
      </c>
      <c r="C4079" t="s">
        <v>35</v>
      </c>
      <c r="D4079" s="1">
        <v>46141</v>
      </c>
      <c r="E4079" s="1">
        <v>46141</v>
      </c>
      <c r="F4079" s="2">
        <v>23</v>
      </c>
      <c r="G4079" s="3" t="s">
        <v>23</v>
      </c>
      <c r="H4079">
        <v>4</v>
      </c>
      <c r="I4079" s="2">
        <v>0</v>
      </c>
      <c r="J4079" s="2">
        <v>0</v>
      </c>
      <c r="K4079" s="2">
        <v>0</v>
      </c>
      <c r="L4079" s="2">
        <v>0</v>
      </c>
      <c r="M4079">
        <v>0</v>
      </c>
      <c r="N4079">
        <v>0</v>
      </c>
      <c r="O4079" s="2">
        <v>0</v>
      </c>
      <c r="P4079" s="2">
        <v>0</v>
      </c>
      <c r="Q4079">
        <v>0</v>
      </c>
      <c r="R4079" s="2">
        <v>0</v>
      </c>
      <c r="S4079" s="2">
        <v>0</v>
      </c>
      <c r="T4079" t="s">
        <v>1961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</row>
    <row r="4080" spans="1:28" hidden="1" x14ac:dyDescent="0.25">
      <c r="A4080" t="s">
        <v>47</v>
      </c>
      <c r="B4080" t="s">
        <v>1160</v>
      </c>
      <c r="C4080" t="s">
        <v>212</v>
      </c>
      <c r="D4080" s="1">
        <v>46141</v>
      </c>
      <c r="E4080" s="1">
        <v>46141</v>
      </c>
      <c r="F4080" s="2">
        <v>0</v>
      </c>
      <c r="G4080" s="3" t="s">
        <v>48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 t="s">
        <v>377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</row>
    <row r="4081" spans="1:28" hidden="1" x14ac:dyDescent="0.25">
      <c r="A4081" t="s">
        <v>47</v>
      </c>
      <c r="B4081" t="s">
        <v>34</v>
      </c>
      <c r="C4081" t="s">
        <v>212</v>
      </c>
      <c r="D4081" s="1">
        <v>46141</v>
      </c>
      <c r="E4081" s="1">
        <v>46141</v>
      </c>
      <c r="F4081" s="2">
        <v>0</v>
      </c>
      <c r="G4081" s="3" t="s">
        <v>48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377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</row>
    <row r="4082" spans="1:28" hidden="1" x14ac:dyDescent="0.25">
      <c r="A4082" t="s">
        <v>53</v>
      </c>
      <c r="B4082" t="s">
        <v>38</v>
      </c>
      <c r="C4082" t="s">
        <v>212</v>
      </c>
      <c r="D4082" s="1">
        <v>46141</v>
      </c>
      <c r="E4082" s="1">
        <v>46141</v>
      </c>
      <c r="F4082" s="2">
        <v>0</v>
      </c>
      <c r="G4082" s="3" t="s">
        <v>48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 t="s">
        <v>377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2">
        <v>0</v>
      </c>
    </row>
    <row r="4083" spans="1:28" hidden="1" x14ac:dyDescent="0.25">
      <c r="A4083" t="s">
        <v>29</v>
      </c>
      <c r="B4083" t="s">
        <v>30</v>
      </c>
      <c r="C4083" t="s">
        <v>212</v>
      </c>
      <c r="D4083" s="1">
        <v>46141</v>
      </c>
      <c r="E4083" s="1">
        <v>46141</v>
      </c>
      <c r="F4083" s="2">
        <v>0</v>
      </c>
      <c r="G4083" s="3" t="s">
        <v>48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 t="s">
        <v>377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</row>
    <row r="4084" spans="1:28" hidden="1" x14ac:dyDescent="0.25">
      <c r="A4084" t="s">
        <v>47</v>
      </c>
      <c r="B4084" t="s">
        <v>47</v>
      </c>
      <c r="C4084" t="s">
        <v>212</v>
      </c>
      <c r="D4084" s="1">
        <v>46141</v>
      </c>
      <c r="E4084" s="1">
        <v>46141</v>
      </c>
      <c r="F4084" s="2">
        <v>0</v>
      </c>
      <c r="G4084" s="3" t="s">
        <v>572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 t="s">
        <v>377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</row>
    <row r="4085" spans="1:28" hidden="1" x14ac:dyDescent="0.25">
      <c r="A4085" t="s">
        <v>47</v>
      </c>
      <c r="B4085" t="s">
        <v>47</v>
      </c>
      <c r="C4085" t="s">
        <v>212</v>
      </c>
      <c r="D4085" s="1">
        <v>46141</v>
      </c>
      <c r="E4085" s="1">
        <v>46141</v>
      </c>
      <c r="F4085" s="2">
        <v>0</v>
      </c>
      <c r="G4085" s="3" t="s">
        <v>572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 t="s">
        <v>377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</row>
    <row r="4086" spans="1:28" hidden="1" x14ac:dyDescent="0.25">
      <c r="A4086" t="s">
        <v>47</v>
      </c>
      <c r="B4086" t="s">
        <v>47</v>
      </c>
      <c r="C4086" t="s">
        <v>212</v>
      </c>
      <c r="D4086" s="1">
        <v>46141</v>
      </c>
      <c r="E4086" s="1">
        <v>46141</v>
      </c>
      <c r="F4086" s="2">
        <v>0</v>
      </c>
      <c r="G4086" s="3" t="s">
        <v>572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 t="s">
        <v>377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</row>
    <row r="4087" spans="1:28" hidden="1" x14ac:dyDescent="0.25">
      <c r="A4087" t="s">
        <v>47</v>
      </c>
      <c r="B4087" t="s">
        <v>47</v>
      </c>
      <c r="C4087" t="s">
        <v>212</v>
      </c>
      <c r="D4087" s="1">
        <v>46141</v>
      </c>
      <c r="E4087" s="1">
        <v>46141</v>
      </c>
      <c r="F4087" s="2">
        <v>0</v>
      </c>
      <c r="G4087" s="3" t="s">
        <v>572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t="s">
        <v>377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</row>
    <row r="4088" spans="1:28" hidden="1" x14ac:dyDescent="0.25">
      <c r="A4088" t="s">
        <v>47</v>
      </c>
      <c r="B4088" t="s">
        <v>47</v>
      </c>
      <c r="C4088" t="s">
        <v>212</v>
      </c>
      <c r="D4088" s="1">
        <v>46141</v>
      </c>
      <c r="E4088" s="1">
        <v>46141</v>
      </c>
      <c r="F4088" s="2">
        <v>0</v>
      </c>
      <c r="G4088" s="3" t="s">
        <v>409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 t="s">
        <v>377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</row>
    <row r="4089" spans="1:28" hidden="1" x14ac:dyDescent="0.25">
      <c r="A4089" t="s">
        <v>20</v>
      </c>
      <c r="B4089" t="s">
        <v>47</v>
      </c>
      <c r="C4089" t="s">
        <v>212</v>
      </c>
      <c r="D4089" s="1">
        <v>46141</v>
      </c>
      <c r="E4089" s="1">
        <v>46141</v>
      </c>
      <c r="F4089" s="2">
        <v>0</v>
      </c>
      <c r="G4089" s="3" t="s">
        <v>129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377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</row>
    <row r="4090" spans="1:28" hidden="1" x14ac:dyDescent="0.25">
      <c r="A4090" t="s">
        <v>56</v>
      </c>
      <c r="B4090" t="s">
        <v>1160</v>
      </c>
      <c r="C4090" t="s">
        <v>64</v>
      </c>
      <c r="D4090" s="1">
        <v>46142</v>
      </c>
      <c r="E4090" s="1">
        <v>46142</v>
      </c>
      <c r="F4090" s="2">
        <v>23</v>
      </c>
      <c r="G4090" s="3" t="s">
        <v>23</v>
      </c>
      <c r="H4090">
        <v>25</v>
      </c>
      <c r="I4090" s="2">
        <v>0</v>
      </c>
      <c r="J4090" s="2">
        <v>0</v>
      </c>
      <c r="K4090" s="2">
        <v>0</v>
      </c>
      <c r="L4090" s="2">
        <v>1</v>
      </c>
      <c r="M4090">
        <v>0</v>
      </c>
      <c r="N4090">
        <v>0</v>
      </c>
      <c r="O4090" s="2">
        <v>0</v>
      </c>
      <c r="P4090" s="2">
        <v>0</v>
      </c>
      <c r="Q4090">
        <v>0</v>
      </c>
      <c r="R4090" s="2">
        <v>0</v>
      </c>
      <c r="S4090" s="2">
        <v>0</v>
      </c>
      <c r="T4090" t="s">
        <v>1962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</row>
    <row r="4091" spans="1:28" hidden="1" x14ac:dyDescent="0.25">
      <c r="A4091" t="s">
        <v>37</v>
      </c>
      <c r="B4091" t="s">
        <v>57</v>
      </c>
      <c r="C4091" t="s">
        <v>173</v>
      </c>
      <c r="D4091" s="1">
        <v>46142</v>
      </c>
      <c r="E4091" s="1">
        <v>46142</v>
      </c>
      <c r="F4091" s="2">
        <v>15</v>
      </c>
      <c r="G4091" s="3" t="s">
        <v>23</v>
      </c>
      <c r="H4091">
        <v>32</v>
      </c>
      <c r="I4091" s="2">
        <v>0</v>
      </c>
      <c r="J4091" s="2">
        <v>0</v>
      </c>
      <c r="K4091" s="2">
        <v>1</v>
      </c>
      <c r="L4091" s="2">
        <v>0</v>
      </c>
      <c r="M4091">
        <v>0</v>
      </c>
      <c r="N4091">
        <v>1</v>
      </c>
      <c r="O4091" s="2">
        <v>0</v>
      </c>
      <c r="P4091" s="2">
        <v>0</v>
      </c>
      <c r="Q4091">
        <v>0</v>
      </c>
      <c r="R4091" s="2">
        <v>0</v>
      </c>
      <c r="S4091" s="2">
        <v>0</v>
      </c>
      <c r="T4091" t="s">
        <v>1963</v>
      </c>
      <c r="U4091" s="2">
        <v>0</v>
      </c>
      <c r="V4091" s="2">
        <v>10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</row>
    <row r="4092" spans="1:28" hidden="1" x14ac:dyDescent="0.25">
      <c r="A4092" t="s">
        <v>53</v>
      </c>
      <c r="B4092" t="s">
        <v>38</v>
      </c>
      <c r="C4092" t="s">
        <v>31</v>
      </c>
      <c r="D4092" s="1">
        <v>46142</v>
      </c>
      <c r="E4092" s="1">
        <v>46142</v>
      </c>
      <c r="F4092" s="2">
        <v>28</v>
      </c>
      <c r="G4092" s="3" t="s">
        <v>23</v>
      </c>
      <c r="H4092">
        <v>44</v>
      </c>
      <c r="I4092" s="2">
        <v>0</v>
      </c>
      <c r="J4092" s="2">
        <v>0</v>
      </c>
      <c r="K4092" s="2">
        <v>1</v>
      </c>
      <c r="L4092" s="2">
        <v>0</v>
      </c>
      <c r="M4092">
        <v>0</v>
      </c>
      <c r="N4092">
        <v>0</v>
      </c>
      <c r="O4092" s="2">
        <v>0</v>
      </c>
      <c r="P4092" s="2">
        <v>0</v>
      </c>
      <c r="Q4092">
        <v>1</v>
      </c>
      <c r="R4092" s="2">
        <v>0</v>
      </c>
      <c r="S4092" s="2">
        <v>0</v>
      </c>
      <c r="T4092" t="s">
        <v>1964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</row>
    <row r="4093" spans="1:28" hidden="1" x14ac:dyDescent="0.25">
      <c r="A4093" t="s">
        <v>29</v>
      </c>
      <c r="B4093" t="s">
        <v>30</v>
      </c>
      <c r="C4093" t="s">
        <v>31</v>
      </c>
      <c r="D4093" s="1">
        <v>46142</v>
      </c>
      <c r="E4093" s="1">
        <v>46142</v>
      </c>
      <c r="F4093" s="2">
        <v>28</v>
      </c>
      <c r="G4093" s="3" t="s">
        <v>23</v>
      </c>
      <c r="H4093">
        <v>40</v>
      </c>
      <c r="I4093" s="2">
        <v>0</v>
      </c>
      <c r="J4093" s="2">
        <v>0</v>
      </c>
      <c r="K4093" s="2">
        <v>1</v>
      </c>
      <c r="L4093" s="2">
        <v>0</v>
      </c>
      <c r="M4093">
        <v>0</v>
      </c>
      <c r="N4093">
        <v>0</v>
      </c>
      <c r="O4093" s="2">
        <v>0</v>
      </c>
      <c r="P4093" s="2">
        <v>0</v>
      </c>
      <c r="Q4093">
        <v>0</v>
      </c>
      <c r="R4093" s="2">
        <v>0</v>
      </c>
      <c r="S4093" s="2">
        <v>0</v>
      </c>
      <c r="T4093" t="s">
        <v>1964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</row>
    <row r="4094" spans="1:28" hidden="1" x14ac:dyDescent="0.25">
      <c r="A4094" t="s">
        <v>20</v>
      </c>
      <c r="B4094" t="s">
        <v>284</v>
      </c>
      <c r="C4094" t="s">
        <v>22</v>
      </c>
      <c r="D4094" s="1">
        <v>46142</v>
      </c>
      <c r="E4094" s="1">
        <v>46142</v>
      </c>
      <c r="F4094" s="2">
        <v>34</v>
      </c>
      <c r="G4094" s="3" t="s">
        <v>23</v>
      </c>
      <c r="H4094">
        <v>38</v>
      </c>
      <c r="I4094" s="2">
        <v>0</v>
      </c>
      <c r="J4094" s="2">
        <v>0</v>
      </c>
      <c r="K4094" s="2">
        <v>1</v>
      </c>
      <c r="L4094" s="2">
        <v>0</v>
      </c>
      <c r="M4094">
        <v>1</v>
      </c>
      <c r="N4094">
        <v>0</v>
      </c>
      <c r="O4094" s="2">
        <v>0</v>
      </c>
      <c r="P4094" s="2">
        <v>0</v>
      </c>
      <c r="Q4094">
        <v>0</v>
      </c>
      <c r="R4094" s="2">
        <v>0</v>
      </c>
      <c r="S4094" s="2">
        <v>0</v>
      </c>
      <c r="T4094" t="s">
        <v>1965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>
        <v>0</v>
      </c>
    </row>
    <row r="4095" spans="1:28" hidden="1" x14ac:dyDescent="0.25">
      <c r="A4095" t="s">
        <v>33</v>
      </c>
      <c r="B4095" t="s">
        <v>34</v>
      </c>
      <c r="C4095" t="s">
        <v>35</v>
      </c>
      <c r="D4095" s="1">
        <v>46142</v>
      </c>
      <c r="E4095" s="1">
        <v>46142</v>
      </c>
      <c r="F4095" s="13">
        <v>3054</v>
      </c>
      <c r="G4095" s="3" t="s">
        <v>23</v>
      </c>
      <c r="H4095">
        <v>27</v>
      </c>
      <c r="I4095" s="2">
        <v>0</v>
      </c>
      <c r="J4095" s="2">
        <v>0</v>
      </c>
      <c r="K4095" s="2">
        <v>1</v>
      </c>
      <c r="L4095" s="2">
        <v>0</v>
      </c>
      <c r="M4095">
        <v>0</v>
      </c>
      <c r="N4095">
        <v>0</v>
      </c>
      <c r="O4095" s="2">
        <v>0</v>
      </c>
      <c r="P4095" s="2">
        <v>0</v>
      </c>
      <c r="Q4095">
        <v>1</v>
      </c>
      <c r="R4095" s="2">
        <v>0</v>
      </c>
      <c r="S4095" s="2">
        <v>0</v>
      </c>
      <c r="T4095" t="s">
        <v>1966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</row>
    <row r="4096" spans="1:28" hidden="1" x14ac:dyDescent="0.25">
      <c r="A4096" t="s">
        <v>25</v>
      </c>
      <c r="B4096" t="s">
        <v>26</v>
      </c>
      <c r="C4096" t="s">
        <v>27</v>
      </c>
      <c r="D4096" s="1">
        <v>46142</v>
      </c>
      <c r="E4096" s="1">
        <v>46142</v>
      </c>
      <c r="F4096" s="2">
        <v>18</v>
      </c>
      <c r="G4096" s="3" t="s">
        <v>23</v>
      </c>
      <c r="H4096">
        <v>12</v>
      </c>
      <c r="I4096" s="2">
        <v>0</v>
      </c>
      <c r="J4096" s="2">
        <v>0</v>
      </c>
      <c r="K4096" s="2">
        <v>0</v>
      </c>
      <c r="L4096" s="2">
        <v>0</v>
      </c>
      <c r="M4096">
        <v>0</v>
      </c>
      <c r="N4096">
        <v>0</v>
      </c>
      <c r="O4096" s="2">
        <v>0</v>
      </c>
      <c r="P4096" s="2">
        <v>0</v>
      </c>
      <c r="Q4096">
        <v>0</v>
      </c>
      <c r="R4096" s="2">
        <v>0</v>
      </c>
      <c r="S4096" s="2">
        <v>0</v>
      </c>
      <c r="T4096" t="s">
        <v>1967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0</v>
      </c>
      <c r="AA4096" s="2">
        <v>0</v>
      </c>
      <c r="AB4096" s="2">
        <v>0</v>
      </c>
    </row>
    <row r="4097" spans="1:28" x14ac:dyDescent="0.25">
      <c r="A4097" t="s">
        <v>730</v>
      </c>
      <c r="B4097" t="s">
        <v>47</v>
      </c>
      <c r="C4097" t="s">
        <v>212</v>
      </c>
      <c r="D4097" s="1">
        <v>46142</v>
      </c>
      <c r="E4097" s="1">
        <v>46142</v>
      </c>
      <c r="F4097" s="2">
        <v>0</v>
      </c>
      <c r="G4097" s="3" t="s">
        <v>48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 t="s">
        <v>377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0</v>
      </c>
      <c r="AB4097" s="2">
        <v>0</v>
      </c>
    </row>
    <row r="4098" spans="1:28" hidden="1" x14ac:dyDescent="0.25">
      <c r="A4098" t="s">
        <v>63</v>
      </c>
      <c r="B4098" t="s">
        <v>47</v>
      </c>
      <c r="C4098" t="s">
        <v>212</v>
      </c>
      <c r="D4098" s="1">
        <v>46142</v>
      </c>
      <c r="E4098" s="1">
        <v>46142</v>
      </c>
      <c r="F4098" s="2">
        <v>0</v>
      </c>
      <c r="G4098" s="3" t="s">
        <v>48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 t="s">
        <v>377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0</v>
      </c>
      <c r="AA4098" s="2">
        <v>0</v>
      </c>
      <c r="AB4098" s="2">
        <v>0</v>
      </c>
    </row>
    <row r="4099" spans="1:28" hidden="1" x14ac:dyDescent="0.25">
      <c r="A4099" t="s">
        <v>47</v>
      </c>
      <c r="B4099" t="s">
        <v>47</v>
      </c>
      <c r="C4099" t="s">
        <v>212</v>
      </c>
      <c r="D4099" s="1">
        <v>46142</v>
      </c>
      <c r="E4099" s="1">
        <v>46142</v>
      </c>
      <c r="F4099" s="2">
        <v>0</v>
      </c>
      <c r="G4099" s="3" t="s">
        <v>48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377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0</v>
      </c>
      <c r="AA4099" s="2">
        <v>0</v>
      </c>
      <c r="AB4099" s="2">
        <v>0</v>
      </c>
    </row>
    <row r="4100" spans="1:28" hidden="1" x14ac:dyDescent="0.25">
      <c r="A4100" t="s">
        <v>47</v>
      </c>
      <c r="B4100" t="s">
        <v>47</v>
      </c>
      <c r="C4100" t="s">
        <v>212</v>
      </c>
      <c r="D4100" s="1">
        <v>46142</v>
      </c>
      <c r="E4100" s="1">
        <v>46142</v>
      </c>
      <c r="F4100" s="2">
        <v>0</v>
      </c>
      <c r="G4100" s="3" t="s">
        <v>48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 t="s">
        <v>377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 s="2">
        <v>0</v>
      </c>
      <c r="AA4100" s="2">
        <v>0</v>
      </c>
      <c r="AB4100" s="2">
        <v>0</v>
      </c>
    </row>
    <row r="4101" spans="1:28" hidden="1" x14ac:dyDescent="0.25">
      <c r="A4101" t="s">
        <v>47</v>
      </c>
      <c r="B4101" t="s">
        <v>1323</v>
      </c>
      <c r="C4101" t="s">
        <v>212</v>
      </c>
      <c r="D4101" s="1">
        <v>46142</v>
      </c>
      <c r="E4101" s="1">
        <v>46142</v>
      </c>
      <c r="F4101" s="2">
        <v>0</v>
      </c>
      <c r="G4101" s="3" t="s">
        <v>572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t="s">
        <v>377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</row>
    <row r="4102" spans="1:28" hidden="1" x14ac:dyDescent="0.25">
      <c r="A4102" t="s">
        <v>47</v>
      </c>
      <c r="B4102" t="s">
        <v>21</v>
      </c>
      <c r="C4102" t="s">
        <v>212</v>
      </c>
      <c r="D4102" s="1">
        <v>46142</v>
      </c>
      <c r="E4102" s="1">
        <v>46142</v>
      </c>
      <c r="F4102" s="2">
        <v>0</v>
      </c>
      <c r="G4102" s="3" t="s">
        <v>572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 t="s">
        <v>377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</row>
    <row r="4103" spans="1:28" hidden="1" x14ac:dyDescent="0.25">
      <c r="A4103" t="s">
        <v>47</v>
      </c>
      <c r="B4103" t="s">
        <v>47</v>
      </c>
      <c r="C4103" t="s">
        <v>212</v>
      </c>
      <c r="D4103" s="1">
        <v>46142</v>
      </c>
      <c r="E4103" s="1">
        <v>46142</v>
      </c>
      <c r="F4103" s="2">
        <v>0</v>
      </c>
      <c r="G4103" s="3" t="s">
        <v>572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 t="s">
        <v>377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</row>
    <row r="4104" spans="1:28" hidden="1" x14ac:dyDescent="0.25">
      <c r="A4104" t="s">
        <v>47</v>
      </c>
      <c r="B4104" t="s">
        <v>47</v>
      </c>
      <c r="C4104" t="s">
        <v>212</v>
      </c>
      <c r="D4104" s="1">
        <v>46142</v>
      </c>
      <c r="E4104" s="1">
        <v>46142</v>
      </c>
      <c r="F4104" s="2">
        <v>0</v>
      </c>
      <c r="G4104" s="3" t="s">
        <v>572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 t="s">
        <v>377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0</v>
      </c>
      <c r="AA4104" s="2">
        <v>0</v>
      </c>
      <c r="AB4104" s="2">
        <v>0</v>
      </c>
    </row>
    <row r="4105" spans="1:28" hidden="1" x14ac:dyDescent="0.25">
      <c r="A4105" t="s">
        <v>47</v>
      </c>
      <c r="B4105" t="s">
        <v>47</v>
      </c>
      <c r="C4105" t="s">
        <v>212</v>
      </c>
      <c r="D4105" s="1">
        <v>46142</v>
      </c>
      <c r="E4105" s="1">
        <v>46142</v>
      </c>
      <c r="F4105" s="2">
        <v>0</v>
      </c>
      <c r="G4105" s="3" t="s">
        <v>409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 t="s">
        <v>377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</row>
    <row r="4106" spans="1:28" hidden="1" x14ac:dyDescent="0.25">
      <c r="A4106" t="s">
        <v>47</v>
      </c>
      <c r="B4106" t="s">
        <v>47</v>
      </c>
      <c r="C4106" t="s">
        <v>212</v>
      </c>
      <c r="D4106" s="1">
        <v>46142</v>
      </c>
      <c r="E4106" s="1">
        <v>46142</v>
      </c>
      <c r="F4106" s="2">
        <v>0</v>
      </c>
      <c r="G4106" s="3" t="s">
        <v>129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377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</row>
    <row r="4107" spans="1:28" hidden="1" x14ac:dyDescent="0.25">
      <c r="A4107" t="s">
        <v>211</v>
      </c>
      <c r="B4107" t="s">
        <v>34</v>
      </c>
      <c r="C4107" t="s">
        <v>212</v>
      </c>
      <c r="D4107" s="9">
        <v>46143</v>
      </c>
      <c r="E4107" s="9">
        <v>46143</v>
      </c>
      <c r="F4107" s="2">
        <v>73</v>
      </c>
      <c r="G4107" s="3" t="s">
        <v>23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>
        <v>0</v>
      </c>
      <c r="N4107">
        <v>0</v>
      </c>
      <c r="O4107" s="2">
        <v>0</v>
      </c>
      <c r="P4107" s="2">
        <v>0</v>
      </c>
      <c r="Q4107">
        <v>0</v>
      </c>
      <c r="R4107" s="2">
        <v>0</v>
      </c>
      <c r="S4107" s="2">
        <v>1</v>
      </c>
      <c r="T4107" t="s">
        <v>1968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1</v>
      </c>
    </row>
    <row r="4108" spans="1:28" x14ac:dyDescent="0.25">
      <c r="A4108" t="s">
        <v>730</v>
      </c>
      <c r="B4108" t="s">
        <v>1160</v>
      </c>
      <c r="C4108" t="s">
        <v>1370</v>
      </c>
      <c r="D4108" s="9">
        <v>46143</v>
      </c>
      <c r="E4108" s="9">
        <v>46143</v>
      </c>
      <c r="F4108" s="2">
        <v>81</v>
      </c>
      <c r="G4108" s="3" t="s">
        <v>23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>
        <v>0</v>
      </c>
      <c r="N4108">
        <v>0</v>
      </c>
      <c r="O4108" s="2">
        <v>0</v>
      </c>
      <c r="P4108" s="2">
        <v>1</v>
      </c>
      <c r="Q4108">
        <v>6</v>
      </c>
      <c r="R4108" s="2">
        <v>0</v>
      </c>
      <c r="S4108" s="2">
        <v>1</v>
      </c>
      <c r="T4108" t="s">
        <v>1969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 s="2">
        <v>0</v>
      </c>
      <c r="AA4108" s="2">
        <v>0</v>
      </c>
      <c r="AB4108" s="2">
        <v>0</v>
      </c>
    </row>
    <row r="4109" spans="1:28" hidden="1" x14ac:dyDescent="0.25">
      <c r="A4109" t="s">
        <v>53</v>
      </c>
      <c r="B4109" t="s">
        <v>38</v>
      </c>
      <c r="C4109" t="s">
        <v>54</v>
      </c>
      <c r="D4109" s="9">
        <v>46143</v>
      </c>
      <c r="E4109" s="9">
        <v>46143</v>
      </c>
      <c r="F4109" s="2">
        <v>47</v>
      </c>
      <c r="G4109" s="3" t="s">
        <v>23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>
        <v>0</v>
      </c>
      <c r="N4109">
        <v>0</v>
      </c>
      <c r="O4109" s="2">
        <v>0</v>
      </c>
      <c r="P4109" s="2">
        <v>1</v>
      </c>
      <c r="Q4109">
        <v>2</v>
      </c>
      <c r="R4109" s="2">
        <v>0</v>
      </c>
      <c r="S4109" s="2">
        <v>1</v>
      </c>
      <c r="T4109" t="s">
        <v>1970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0</v>
      </c>
    </row>
    <row r="4110" spans="1:28" hidden="1" x14ac:dyDescent="0.25">
      <c r="A4110" t="s">
        <v>29</v>
      </c>
      <c r="B4110" t="s">
        <v>563</v>
      </c>
      <c r="C4110" t="s">
        <v>54</v>
      </c>
      <c r="D4110" s="9">
        <v>46143</v>
      </c>
      <c r="E4110" s="9">
        <v>46143</v>
      </c>
      <c r="F4110" s="2">
        <v>47</v>
      </c>
      <c r="G4110" s="3" t="s">
        <v>23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>
        <v>0</v>
      </c>
      <c r="N4110">
        <v>0</v>
      </c>
      <c r="O4110" s="2">
        <v>0</v>
      </c>
      <c r="P4110" s="2">
        <v>1</v>
      </c>
      <c r="Q4110">
        <v>3</v>
      </c>
      <c r="R4110" s="2">
        <v>0</v>
      </c>
      <c r="S4110" s="2">
        <v>1</v>
      </c>
      <c r="T4110" t="s">
        <v>1970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</row>
    <row r="4111" spans="1:28" hidden="1" x14ac:dyDescent="0.25">
      <c r="A4111" t="s">
        <v>1240</v>
      </c>
      <c r="B4111" t="s">
        <v>284</v>
      </c>
      <c r="C4111" t="s">
        <v>1297</v>
      </c>
      <c r="D4111" s="9">
        <v>46143</v>
      </c>
      <c r="E4111" s="9">
        <v>46143</v>
      </c>
      <c r="F4111" s="2">
        <v>25</v>
      </c>
      <c r="G4111" s="3" t="s">
        <v>23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>
        <v>0</v>
      </c>
      <c r="N4111">
        <v>0</v>
      </c>
      <c r="O4111" s="2">
        <v>0</v>
      </c>
      <c r="P4111" s="2">
        <v>1</v>
      </c>
      <c r="Q4111">
        <v>0</v>
      </c>
      <c r="R4111" s="2">
        <v>0</v>
      </c>
      <c r="S4111" s="2">
        <v>1</v>
      </c>
      <c r="T4111" t="s">
        <v>1971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</row>
    <row r="4112" spans="1:28" hidden="1" x14ac:dyDescent="0.25">
      <c r="A4112" t="s">
        <v>193</v>
      </c>
      <c r="B4112" t="s">
        <v>30</v>
      </c>
      <c r="C4112" t="s">
        <v>1297</v>
      </c>
      <c r="D4112" s="9">
        <v>46143</v>
      </c>
      <c r="E4112" s="9">
        <v>46143</v>
      </c>
      <c r="F4112" s="2">
        <v>25</v>
      </c>
      <c r="G4112" s="3" t="s">
        <v>23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>
        <v>0</v>
      </c>
      <c r="N4112">
        <v>0</v>
      </c>
      <c r="O4112" s="2">
        <v>0</v>
      </c>
      <c r="P4112" s="2">
        <v>1</v>
      </c>
      <c r="Q4112">
        <v>0</v>
      </c>
      <c r="R4112" s="2">
        <v>0</v>
      </c>
      <c r="S4112" s="2">
        <v>1</v>
      </c>
      <c r="T4112" t="s">
        <v>1971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</row>
    <row r="4113" spans="1:28" hidden="1" x14ac:dyDescent="0.25">
      <c r="A4113" t="s">
        <v>56</v>
      </c>
      <c r="B4113" t="s">
        <v>57</v>
      </c>
      <c r="C4113" t="s">
        <v>27</v>
      </c>
      <c r="D4113" s="9">
        <v>46143</v>
      </c>
      <c r="E4113" s="9">
        <v>46143</v>
      </c>
      <c r="F4113" s="2">
        <v>21</v>
      </c>
      <c r="G4113" s="3" t="s">
        <v>378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 t="s">
        <v>1867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</row>
    <row r="4114" spans="1:28" hidden="1" x14ac:dyDescent="0.25">
      <c r="A4114" t="s">
        <v>37</v>
      </c>
      <c r="B4114" t="s">
        <v>1323</v>
      </c>
      <c r="C4114" t="s">
        <v>35</v>
      </c>
      <c r="D4114" s="9">
        <v>46143</v>
      </c>
      <c r="E4114" s="9">
        <v>46143</v>
      </c>
      <c r="F4114" s="2">
        <v>48</v>
      </c>
      <c r="G4114" s="3" t="s">
        <v>378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 t="s">
        <v>1868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</row>
    <row r="4115" spans="1:28" hidden="1" x14ac:dyDescent="0.25">
      <c r="A4115" t="s">
        <v>33</v>
      </c>
      <c r="B4115" t="s">
        <v>47</v>
      </c>
      <c r="C4115" t="s">
        <v>64</v>
      </c>
      <c r="D4115" s="9">
        <v>46143</v>
      </c>
      <c r="E4115" s="9">
        <v>46143</v>
      </c>
      <c r="F4115" s="2">
        <v>64</v>
      </c>
      <c r="G4115" s="3" t="s">
        <v>378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 t="s">
        <v>1869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</row>
    <row r="4116" spans="1:28" hidden="1" x14ac:dyDescent="0.25">
      <c r="A4116" t="s">
        <v>25</v>
      </c>
      <c r="B4116" t="s">
        <v>26</v>
      </c>
      <c r="C4116" t="s">
        <v>212</v>
      </c>
      <c r="D4116" s="9">
        <v>46143</v>
      </c>
      <c r="E4116" s="9">
        <v>46143</v>
      </c>
      <c r="F4116" s="2">
        <v>0</v>
      </c>
      <c r="G4116" s="3" t="s">
        <v>378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 t="s">
        <v>377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</row>
    <row r="4117" spans="1:28" hidden="1" x14ac:dyDescent="0.25">
      <c r="A4117" t="s">
        <v>63</v>
      </c>
      <c r="B4117" t="s">
        <v>47</v>
      </c>
      <c r="C4117" t="s">
        <v>212</v>
      </c>
      <c r="D4117" s="9">
        <v>46143</v>
      </c>
      <c r="E4117" s="9">
        <v>46143</v>
      </c>
      <c r="F4117" s="2">
        <v>0</v>
      </c>
      <c r="G4117" s="3" t="s">
        <v>378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 t="s">
        <v>377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</row>
    <row r="4118" spans="1:28" hidden="1" x14ac:dyDescent="0.25">
      <c r="A4118" t="s">
        <v>20</v>
      </c>
      <c r="B4118" t="s">
        <v>21</v>
      </c>
      <c r="C4118" t="s">
        <v>212</v>
      </c>
      <c r="D4118" s="9">
        <v>46143</v>
      </c>
      <c r="E4118" s="9">
        <v>46143</v>
      </c>
      <c r="F4118" s="2">
        <v>0</v>
      </c>
      <c r="G4118" s="3" t="s">
        <v>378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 t="s">
        <v>377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</row>
    <row r="4119" spans="1:28" hidden="1" x14ac:dyDescent="0.25">
      <c r="A4119" t="s">
        <v>47</v>
      </c>
      <c r="B4119" t="s">
        <v>47</v>
      </c>
      <c r="C4119" t="s">
        <v>212</v>
      </c>
      <c r="D4119" s="9">
        <v>46143</v>
      </c>
      <c r="E4119" s="9">
        <v>46143</v>
      </c>
      <c r="F4119" s="2">
        <v>0</v>
      </c>
      <c r="G4119" s="3" t="s">
        <v>378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 t="s">
        <v>377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</row>
    <row r="4120" spans="1:28" hidden="1" x14ac:dyDescent="0.25">
      <c r="A4120" t="s">
        <v>211</v>
      </c>
      <c r="B4120" t="s">
        <v>34</v>
      </c>
      <c r="C4120" t="s">
        <v>212</v>
      </c>
      <c r="D4120" s="9">
        <v>46144</v>
      </c>
      <c r="E4120" s="9">
        <v>46144</v>
      </c>
      <c r="F4120" s="2">
        <v>62</v>
      </c>
      <c r="G4120" s="3" t="s">
        <v>23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>
        <v>0</v>
      </c>
      <c r="N4120">
        <v>0</v>
      </c>
      <c r="O4120" s="2">
        <v>1</v>
      </c>
      <c r="P4120" s="2">
        <v>0</v>
      </c>
      <c r="Q4120">
        <v>0</v>
      </c>
      <c r="R4120" s="2">
        <v>1</v>
      </c>
      <c r="S4120" s="2">
        <v>0</v>
      </c>
      <c r="T4120" t="s">
        <v>1972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</row>
    <row r="4121" spans="1:28" x14ac:dyDescent="0.25">
      <c r="A4121" t="s">
        <v>730</v>
      </c>
      <c r="B4121" t="s">
        <v>1160</v>
      </c>
      <c r="C4121" t="s">
        <v>1370</v>
      </c>
      <c r="D4121" s="9">
        <v>46144</v>
      </c>
      <c r="E4121" s="9">
        <v>46144</v>
      </c>
      <c r="F4121" s="2">
        <v>48</v>
      </c>
      <c r="G4121" s="3" t="s">
        <v>23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>
        <v>0</v>
      </c>
      <c r="N4121">
        <v>0</v>
      </c>
      <c r="O4121" s="2">
        <v>0</v>
      </c>
      <c r="P4121" s="2">
        <v>0</v>
      </c>
      <c r="Q4121">
        <v>0</v>
      </c>
      <c r="R4121" s="2">
        <v>1</v>
      </c>
      <c r="S4121" s="2">
        <v>0</v>
      </c>
      <c r="T4121" t="s">
        <v>1973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1</v>
      </c>
      <c r="AB4121" s="2">
        <v>0</v>
      </c>
    </row>
    <row r="4122" spans="1:28" hidden="1" x14ac:dyDescent="0.25">
      <c r="A4122" t="s">
        <v>53</v>
      </c>
      <c r="B4122" t="s">
        <v>38</v>
      </c>
      <c r="C4122" t="s">
        <v>54</v>
      </c>
      <c r="D4122" s="9">
        <v>46144</v>
      </c>
      <c r="E4122" s="9">
        <v>46144</v>
      </c>
      <c r="F4122" s="2">
        <v>51</v>
      </c>
      <c r="G4122" s="3" t="s">
        <v>23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>
        <v>0</v>
      </c>
      <c r="N4122">
        <v>0</v>
      </c>
      <c r="O4122" s="2">
        <v>1</v>
      </c>
      <c r="P4122" s="2">
        <v>0</v>
      </c>
      <c r="Q4122">
        <v>0</v>
      </c>
      <c r="R4122" s="2">
        <v>1</v>
      </c>
      <c r="S4122" s="2">
        <v>0</v>
      </c>
      <c r="T4122" t="s">
        <v>1974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</row>
    <row r="4123" spans="1:28" hidden="1" x14ac:dyDescent="0.25">
      <c r="A4123" t="s">
        <v>29</v>
      </c>
      <c r="B4123" t="s">
        <v>563</v>
      </c>
      <c r="C4123" t="s">
        <v>54</v>
      </c>
      <c r="D4123" s="9">
        <v>46144</v>
      </c>
      <c r="E4123" s="9">
        <v>46144</v>
      </c>
      <c r="F4123" s="2">
        <v>51</v>
      </c>
      <c r="G4123" s="3" t="s">
        <v>23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>
        <v>0</v>
      </c>
      <c r="N4123">
        <v>0</v>
      </c>
      <c r="O4123" s="2">
        <v>1</v>
      </c>
      <c r="P4123" s="2">
        <v>0</v>
      </c>
      <c r="Q4123">
        <v>1</v>
      </c>
      <c r="R4123" s="2">
        <v>1</v>
      </c>
      <c r="S4123" s="2">
        <v>0</v>
      </c>
      <c r="T4123" t="s">
        <v>1974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</row>
    <row r="4124" spans="1:28" hidden="1" x14ac:dyDescent="0.25">
      <c r="A4124" t="s">
        <v>1240</v>
      </c>
      <c r="B4124" t="s">
        <v>284</v>
      </c>
      <c r="C4124" t="s">
        <v>1297</v>
      </c>
      <c r="D4124" s="9">
        <v>46144</v>
      </c>
      <c r="E4124" s="9">
        <v>46144</v>
      </c>
      <c r="F4124" s="2">
        <v>38</v>
      </c>
      <c r="G4124" s="3" t="s">
        <v>23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>
        <v>0</v>
      </c>
      <c r="N4124">
        <v>0</v>
      </c>
      <c r="O4124" s="2">
        <v>1</v>
      </c>
      <c r="P4124" s="2">
        <v>0</v>
      </c>
      <c r="Q4124">
        <v>0</v>
      </c>
      <c r="R4124" s="2">
        <v>1</v>
      </c>
      <c r="S4124" s="2">
        <v>0</v>
      </c>
      <c r="T4124" t="s">
        <v>1975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</row>
    <row r="4125" spans="1:28" hidden="1" x14ac:dyDescent="0.25">
      <c r="A4125" t="s">
        <v>193</v>
      </c>
      <c r="B4125" t="s">
        <v>30</v>
      </c>
      <c r="C4125" t="s">
        <v>195</v>
      </c>
      <c r="D4125" s="9">
        <v>46144</v>
      </c>
      <c r="E4125" s="9">
        <v>46144</v>
      </c>
      <c r="F4125" s="2">
        <v>20</v>
      </c>
      <c r="G4125" s="3" t="s">
        <v>23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>
        <v>0</v>
      </c>
      <c r="N4125">
        <v>0</v>
      </c>
      <c r="O4125" s="2">
        <v>1</v>
      </c>
      <c r="P4125" s="2">
        <v>0</v>
      </c>
      <c r="Q4125">
        <v>0</v>
      </c>
      <c r="R4125" s="2">
        <v>1</v>
      </c>
      <c r="S4125" s="2">
        <v>0</v>
      </c>
      <c r="T4125" t="s">
        <v>1976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</row>
    <row r="4126" spans="1:28" hidden="1" x14ac:dyDescent="0.25">
      <c r="A4126" t="s">
        <v>56</v>
      </c>
      <c r="B4126" t="s">
        <v>57</v>
      </c>
      <c r="C4126" t="s">
        <v>27</v>
      </c>
      <c r="D4126" s="9">
        <v>46144</v>
      </c>
      <c r="E4126" s="9">
        <v>46144</v>
      </c>
      <c r="F4126" s="2">
        <v>21</v>
      </c>
      <c r="G4126" s="3" t="s">
        <v>378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 t="s">
        <v>1867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</row>
    <row r="4127" spans="1:28" hidden="1" x14ac:dyDescent="0.25">
      <c r="A4127" t="s">
        <v>37</v>
      </c>
      <c r="B4127" t="s">
        <v>1323</v>
      </c>
      <c r="C4127" t="s">
        <v>35</v>
      </c>
      <c r="D4127" s="9">
        <v>46144</v>
      </c>
      <c r="E4127" s="9">
        <v>46144</v>
      </c>
      <c r="F4127" s="2">
        <v>48</v>
      </c>
      <c r="G4127" s="3" t="s">
        <v>378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 t="s">
        <v>1868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</row>
    <row r="4128" spans="1:28" hidden="1" x14ac:dyDescent="0.25">
      <c r="A4128" t="s">
        <v>33</v>
      </c>
      <c r="B4128" t="s">
        <v>47</v>
      </c>
      <c r="C4128" t="s">
        <v>64</v>
      </c>
      <c r="D4128" s="9">
        <v>46144</v>
      </c>
      <c r="E4128" s="9">
        <v>46144</v>
      </c>
      <c r="F4128" s="2">
        <v>64</v>
      </c>
      <c r="G4128" s="3" t="s">
        <v>378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1869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</row>
    <row r="4129" spans="1:28" hidden="1" x14ac:dyDescent="0.25">
      <c r="A4129" t="s">
        <v>25</v>
      </c>
      <c r="B4129" t="s">
        <v>26</v>
      </c>
      <c r="C4129" t="s">
        <v>212</v>
      </c>
      <c r="D4129" s="9">
        <v>46144</v>
      </c>
      <c r="E4129" s="9">
        <v>46144</v>
      </c>
      <c r="F4129" s="2">
        <v>0</v>
      </c>
      <c r="G4129" s="3" t="s">
        <v>378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 t="s">
        <v>377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</row>
    <row r="4130" spans="1:28" hidden="1" x14ac:dyDescent="0.25">
      <c r="A4130" t="s">
        <v>63</v>
      </c>
      <c r="B4130" t="s">
        <v>47</v>
      </c>
      <c r="C4130" t="s">
        <v>212</v>
      </c>
      <c r="D4130" s="9">
        <v>46144</v>
      </c>
      <c r="E4130" s="9">
        <v>46144</v>
      </c>
      <c r="F4130" s="2">
        <v>0</v>
      </c>
      <c r="G4130" s="3" t="s">
        <v>378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 t="s">
        <v>377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</row>
    <row r="4131" spans="1:28" hidden="1" x14ac:dyDescent="0.25">
      <c r="A4131" t="s">
        <v>20</v>
      </c>
      <c r="B4131" t="s">
        <v>21</v>
      </c>
      <c r="C4131" t="s">
        <v>212</v>
      </c>
      <c r="D4131" s="9">
        <v>46144</v>
      </c>
      <c r="E4131" s="9">
        <v>46144</v>
      </c>
      <c r="F4131" s="2">
        <v>0</v>
      </c>
      <c r="G4131" s="3" t="s">
        <v>378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 t="s">
        <v>377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0</v>
      </c>
      <c r="AA4131" s="2">
        <v>0</v>
      </c>
      <c r="AB4131" s="2">
        <v>0</v>
      </c>
    </row>
    <row r="4132" spans="1:28" hidden="1" x14ac:dyDescent="0.25">
      <c r="A4132" t="s">
        <v>47</v>
      </c>
      <c r="B4132" t="s">
        <v>47</v>
      </c>
      <c r="C4132" t="s">
        <v>212</v>
      </c>
      <c r="D4132" s="9">
        <v>46144</v>
      </c>
      <c r="E4132" s="9">
        <v>46144</v>
      </c>
      <c r="F4132" s="2">
        <v>0</v>
      </c>
      <c r="G4132" s="3" t="s">
        <v>378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 t="s">
        <v>377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</row>
    <row r="4133" spans="1:28" hidden="1" x14ac:dyDescent="0.25">
      <c r="A4133" t="s">
        <v>211</v>
      </c>
      <c r="B4133" t="s">
        <v>34</v>
      </c>
      <c r="C4133" t="s">
        <v>212</v>
      </c>
      <c r="D4133" s="9">
        <v>46145</v>
      </c>
      <c r="E4133" s="9">
        <v>46145</v>
      </c>
      <c r="F4133" s="2">
        <v>44</v>
      </c>
      <c r="G4133" s="3" t="s">
        <v>23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>
        <v>0</v>
      </c>
      <c r="N4133">
        <v>0</v>
      </c>
      <c r="O4133" s="2">
        <v>0</v>
      </c>
      <c r="P4133" s="2">
        <v>0</v>
      </c>
      <c r="Q4133">
        <v>2</v>
      </c>
      <c r="R4133" s="2">
        <v>0</v>
      </c>
      <c r="S4133" s="2">
        <v>1</v>
      </c>
      <c r="T4133" t="s">
        <v>1977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1</v>
      </c>
    </row>
    <row r="4134" spans="1:28" x14ac:dyDescent="0.25">
      <c r="A4134" t="s">
        <v>730</v>
      </c>
      <c r="B4134" t="s">
        <v>1160</v>
      </c>
      <c r="C4134" t="s">
        <v>1370</v>
      </c>
      <c r="D4134" s="9">
        <v>46145</v>
      </c>
      <c r="E4134" s="9">
        <v>46145</v>
      </c>
      <c r="F4134" s="2">
        <v>90</v>
      </c>
      <c r="G4134" s="3" t="s">
        <v>23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>
        <v>0</v>
      </c>
      <c r="N4134">
        <v>0</v>
      </c>
      <c r="O4134" s="2">
        <v>0</v>
      </c>
      <c r="P4134" s="2">
        <v>1</v>
      </c>
      <c r="Q4134">
        <v>3</v>
      </c>
      <c r="R4134" s="2">
        <v>0</v>
      </c>
      <c r="S4134" s="2">
        <v>1</v>
      </c>
      <c r="T4134" t="s">
        <v>1978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</row>
    <row r="4135" spans="1:28" hidden="1" x14ac:dyDescent="0.25">
      <c r="A4135" t="s">
        <v>53</v>
      </c>
      <c r="B4135" t="s">
        <v>38</v>
      </c>
      <c r="C4135" t="s">
        <v>54</v>
      </c>
      <c r="D4135" s="9">
        <v>46145</v>
      </c>
      <c r="E4135" s="9">
        <v>46145</v>
      </c>
      <c r="F4135" s="2">
        <v>40</v>
      </c>
      <c r="G4135" s="3" t="s">
        <v>23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>
        <v>0</v>
      </c>
      <c r="N4135">
        <v>0</v>
      </c>
      <c r="O4135" s="2">
        <v>0</v>
      </c>
      <c r="P4135" s="2">
        <v>1</v>
      </c>
      <c r="Q4135">
        <v>1</v>
      </c>
      <c r="R4135" s="2">
        <v>0</v>
      </c>
      <c r="S4135" s="2">
        <v>1</v>
      </c>
      <c r="T4135" t="s">
        <v>1979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</row>
    <row r="4136" spans="1:28" hidden="1" x14ac:dyDescent="0.25">
      <c r="A4136" t="s">
        <v>29</v>
      </c>
      <c r="B4136" t="s">
        <v>563</v>
      </c>
      <c r="C4136" t="s">
        <v>54</v>
      </c>
      <c r="D4136" s="9">
        <v>46145</v>
      </c>
      <c r="E4136" s="9">
        <v>46145</v>
      </c>
      <c r="F4136" s="2">
        <v>47</v>
      </c>
      <c r="G4136" s="3" t="s">
        <v>23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>
        <v>0</v>
      </c>
      <c r="N4136">
        <v>0</v>
      </c>
      <c r="O4136" s="2">
        <v>0</v>
      </c>
      <c r="P4136" s="2">
        <v>1</v>
      </c>
      <c r="Q4136">
        <v>1</v>
      </c>
      <c r="R4136" s="2">
        <v>0</v>
      </c>
      <c r="S4136" s="2">
        <v>1</v>
      </c>
      <c r="T4136" t="s">
        <v>1970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</row>
    <row r="4137" spans="1:28" hidden="1" x14ac:dyDescent="0.25">
      <c r="A4137" t="s">
        <v>1240</v>
      </c>
      <c r="B4137" t="s">
        <v>284</v>
      </c>
      <c r="C4137" t="s">
        <v>1297</v>
      </c>
      <c r="D4137" s="9">
        <v>46145</v>
      </c>
      <c r="E4137" s="9">
        <v>46145</v>
      </c>
      <c r="F4137" s="2">
        <v>28</v>
      </c>
      <c r="G4137" s="3" t="s">
        <v>23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>
        <v>0</v>
      </c>
      <c r="N4137">
        <v>0</v>
      </c>
      <c r="O4137" s="2">
        <v>0</v>
      </c>
      <c r="P4137" s="2">
        <v>1</v>
      </c>
      <c r="Q4137">
        <v>1</v>
      </c>
      <c r="R4137" s="2">
        <v>0</v>
      </c>
      <c r="S4137" s="2">
        <v>1</v>
      </c>
      <c r="T4137" t="s">
        <v>1980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</row>
    <row r="4138" spans="1:28" hidden="1" x14ac:dyDescent="0.25">
      <c r="A4138" t="s">
        <v>193</v>
      </c>
      <c r="B4138" t="s">
        <v>30</v>
      </c>
      <c r="C4138" t="s">
        <v>1297</v>
      </c>
      <c r="D4138" s="9">
        <v>46145</v>
      </c>
      <c r="E4138" s="9">
        <v>46145</v>
      </c>
      <c r="F4138" s="2">
        <v>25</v>
      </c>
      <c r="G4138" s="3" t="s">
        <v>23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>
        <v>0</v>
      </c>
      <c r="N4138">
        <v>0</v>
      </c>
      <c r="O4138" s="2">
        <v>0</v>
      </c>
      <c r="P4138" s="2">
        <v>1</v>
      </c>
      <c r="Q4138">
        <v>0</v>
      </c>
      <c r="R4138" s="2">
        <v>0</v>
      </c>
      <c r="S4138" s="2">
        <v>1</v>
      </c>
      <c r="T4138" t="s">
        <v>1971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</row>
    <row r="4139" spans="1:28" hidden="1" x14ac:dyDescent="0.25">
      <c r="A4139" t="s">
        <v>56</v>
      </c>
      <c r="B4139" t="s">
        <v>57</v>
      </c>
      <c r="C4139" t="s">
        <v>27</v>
      </c>
      <c r="D4139" s="9">
        <v>46145</v>
      </c>
      <c r="E4139" s="9">
        <v>46145</v>
      </c>
      <c r="F4139" s="2">
        <v>21</v>
      </c>
      <c r="G4139" s="3" t="s">
        <v>378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 t="s">
        <v>1867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</row>
    <row r="4140" spans="1:28" hidden="1" x14ac:dyDescent="0.25">
      <c r="A4140" t="s">
        <v>37</v>
      </c>
      <c r="B4140" t="s">
        <v>1323</v>
      </c>
      <c r="C4140" t="s">
        <v>35</v>
      </c>
      <c r="D4140" s="9">
        <v>46145</v>
      </c>
      <c r="E4140" s="9">
        <v>46145</v>
      </c>
      <c r="F4140" s="2">
        <v>48</v>
      </c>
      <c r="G4140" s="3" t="s">
        <v>378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 t="s">
        <v>1868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</row>
    <row r="4141" spans="1:28" hidden="1" x14ac:dyDescent="0.25">
      <c r="A4141" t="s">
        <v>33</v>
      </c>
      <c r="B4141" t="s">
        <v>47</v>
      </c>
      <c r="C4141" t="s">
        <v>64</v>
      </c>
      <c r="D4141" s="9">
        <v>46145</v>
      </c>
      <c r="E4141" s="9">
        <v>46145</v>
      </c>
      <c r="F4141" s="2">
        <v>64</v>
      </c>
      <c r="G4141" s="3" t="s">
        <v>378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 t="s">
        <v>1869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</row>
    <row r="4142" spans="1:28" hidden="1" x14ac:dyDescent="0.25">
      <c r="A4142" t="s">
        <v>25</v>
      </c>
      <c r="B4142" t="s">
        <v>26</v>
      </c>
      <c r="C4142" t="s">
        <v>212</v>
      </c>
      <c r="D4142" s="9">
        <v>46145</v>
      </c>
      <c r="E4142" s="9">
        <v>46145</v>
      </c>
      <c r="F4142" s="2">
        <v>0</v>
      </c>
      <c r="G4142" s="3" t="s">
        <v>378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 t="s">
        <v>377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</row>
    <row r="4143" spans="1:28" hidden="1" x14ac:dyDescent="0.25">
      <c r="A4143" t="s">
        <v>63</v>
      </c>
      <c r="B4143" t="s">
        <v>47</v>
      </c>
      <c r="C4143" t="s">
        <v>212</v>
      </c>
      <c r="D4143" s="9">
        <v>46145</v>
      </c>
      <c r="E4143" s="9">
        <v>46145</v>
      </c>
      <c r="F4143" s="2">
        <v>0</v>
      </c>
      <c r="G4143" s="3" t="s">
        <v>378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 t="s">
        <v>377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</row>
    <row r="4144" spans="1:28" hidden="1" x14ac:dyDescent="0.25">
      <c r="A4144" t="s">
        <v>20</v>
      </c>
      <c r="B4144" t="s">
        <v>21</v>
      </c>
      <c r="C4144" t="s">
        <v>212</v>
      </c>
      <c r="D4144" s="9">
        <v>46145</v>
      </c>
      <c r="E4144" s="9">
        <v>46145</v>
      </c>
      <c r="F4144" s="2">
        <v>0</v>
      </c>
      <c r="G4144" s="3" t="s">
        <v>378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 t="s">
        <v>377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</row>
    <row r="4145" spans="1:28" hidden="1" x14ac:dyDescent="0.25">
      <c r="A4145" t="s">
        <v>47</v>
      </c>
      <c r="B4145" t="s">
        <v>47</v>
      </c>
      <c r="C4145" t="s">
        <v>212</v>
      </c>
      <c r="D4145" s="9">
        <v>46145</v>
      </c>
      <c r="E4145" s="9">
        <v>46145</v>
      </c>
      <c r="F4145" s="2">
        <v>0</v>
      </c>
      <c r="G4145" s="3" t="s">
        <v>378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377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</row>
    <row r="4146" spans="1:28" hidden="1" x14ac:dyDescent="0.25">
      <c r="A4146" t="s">
        <v>37</v>
      </c>
      <c r="B4146" t="s">
        <v>57</v>
      </c>
      <c r="C4146" t="s">
        <v>173</v>
      </c>
      <c r="D4146" s="1">
        <v>46146</v>
      </c>
      <c r="E4146" s="1">
        <v>46146</v>
      </c>
      <c r="F4146" s="2">
        <v>17</v>
      </c>
      <c r="G4146" s="3" t="s">
        <v>23</v>
      </c>
      <c r="H4146">
        <v>0</v>
      </c>
      <c r="I4146" s="2">
        <v>0</v>
      </c>
      <c r="J4146" s="2">
        <v>0</v>
      </c>
      <c r="K4146" s="2">
        <v>0</v>
      </c>
      <c r="L4146" s="2">
        <v>0</v>
      </c>
      <c r="M4146">
        <v>0</v>
      </c>
      <c r="N4146">
        <v>1</v>
      </c>
      <c r="O4146" s="2">
        <v>0</v>
      </c>
      <c r="P4146" s="2">
        <v>0</v>
      </c>
      <c r="Q4146">
        <v>0</v>
      </c>
      <c r="R4146" s="2">
        <v>0</v>
      </c>
      <c r="S4146" s="2">
        <v>0</v>
      </c>
      <c r="T4146" t="s">
        <v>1981</v>
      </c>
      <c r="U4146" s="2">
        <v>0</v>
      </c>
      <c r="V4146" s="2">
        <v>10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</row>
    <row r="4147" spans="1:28" hidden="1" x14ac:dyDescent="0.25">
      <c r="A4147" t="s">
        <v>25</v>
      </c>
      <c r="B4147" t="s">
        <v>26</v>
      </c>
      <c r="C4147" t="s">
        <v>173</v>
      </c>
      <c r="D4147" s="1">
        <v>46146</v>
      </c>
      <c r="E4147" s="1">
        <v>46146</v>
      </c>
      <c r="F4147" s="2">
        <v>17</v>
      </c>
      <c r="G4147" s="3" t="s">
        <v>23</v>
      </c>
      <c r="H4147">
        <v>0</v>
      </c>
      <c r="I4147" s="2">
        <v>1</v>
      </c>
      <c r="J4147" s="2">
        <v>0</v>
      </c>
      <c r="K4147" s="2">
        <v>0</v>
      </c>
      <c r="L4147" s="2">
        <v>0</v>
      </c>
      <c r="M4147">
        <v>0</v>
      </c>
      <c r="N4147">
        <v>0</v>
      </c>
      <c r="O4147" s="2">
        <v>0</v>
      </c>
      <c r="P4147" s="2">
        <v>0</v>
      </c>
      <c r="Q4147">
        <v>0</v>
      </c>
      <c r="R4147" s="2">
        <v>0</v>
      </c>
      <c r="S4147" s="2">
        <v>0</v>
      </c>
      <c r="T4147" t="s">
        <v>1981</v>
      </c>
      <c r="U4147" s="2">
        <v>0</v>
      </c>
      <c r="V4147" s="2">
        <v>1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</row>
    <row r="4148" spans="1:28" hidden="1" x14ac:dyDescent="0.25">
      <c r="A4148" t="s">
        <v>56</v>
      </c>
      <c r="B4148" t="s">
        <v>47</v>
      </c>
      <c r="C4148" t="s">
        <v>64</v>
      </c>
      <c r="D4148" s="1">
        <v>46146</v>
      </c>
      <c r="E4148" s="1">
        <v>46146</v>
      </c>
      <c r="F4148" s="2">
        <v>17</v>
      </c>
      <c r="G4148" s="3" t="s">
        <v>23</v>
      </c>
      <c r="H4148">
        <v>0</v>
      </c>
      <c r="I4148" s="2">
        <v>0</v>
      </c>
      <c r="J4148" s="2">
        <v>0</v>
      </c>
      <c r="K4148" s="2">
        <v>0</v>
      </c>
      <c r="L4148" s="2">
        <v>0</v>
      </c>
      <c r="M4148">
        <v>0</v>
      </c>
      <c r="N4148">
        <v>0</v>
      </c>
      <c r="O4148" s="2">
        <v>0</v>
      </c>
      <c r="P4148" s="2">
        <v>0</v>
      </c>
      <c r="Q4148">
        <v>1</v>
      </c>
      <c r="R4148" s="2">
        <v>0</v>
      </c>
      <c r="S4148" s="2">
        <v>0</v>
      </c>
      <c r="T4148" t="s">
        <v>1982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</row>
    <row r="4149" spans="1:28" x14ac:dyDescent="0.25">
      <c r="A4149" t="s">
        <v>730</v>
      </c>
      <c r="B4149" t="s">
        <v>47</v>
      </c>
      <c r="C4149" t="s">
        <v>1370</v>
      </c>
      <c r="D4149" s="1">
        <v>46146</v>
      </c>
      <c r="E4149" s="1">
        <v>46146</v>
      </c>
      <c r="F4149" s="2">
        <v>170</v>
      </c>
      <c r="G4149" s="3" t="s">
        <v>23</v>
      </c>
      <c r="H4149">
        <v>0</v>
      </c>
      <c r="I4149" s="2">
        <v>0</v>
      </c>
      <c r="J4149" s="2">
        <v>0</v>
      </c>
      <c r="K4149" s="2">
        <v>0</v>
      </c>
      <c r="L4149" s="2">
        <v>0</v>
      </c>
      <c r="M4149">
        <v>0</v>
      </c>
      <c r="N4149">
        <v>0</v>
      </c>
      <c r="O4149" s="2">
        <v>0</v>
      </c>
      <c r="P4149" s="2">
        <v>0</v>
      </c>
      <c r="Q4149">
        <v>6</v>
      </c>
      <c r="R4149" s="2">
        <v>0</v>
      </c>
      <c r="S4149" s="2">
        <v>0</v>
      </c>
      <c r="T4149" t="s">
        <v>1983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</row>
    <row r="4150" spans="1:28" hidden="1" x14ac:dyDescent="0.25">
      <c r="A4150" t="s">
        <v>47</v>
      </c>
      <c r="B4150" t="s">
        <v>1160</v>
      </c>
      <c r="C4150" t="s">
        <v>1370</v>
      </c>
      <c r="D4150" s="1">
        <v>46146</v>
      </c>
      <c r="E4150" s="1">
        <v>46146</v>
      </c>
      <c r="F4150" s="2">
        <v>170</v>
      </c>
      <c r="G4150" s="3" t="s">
        <v>23</v>
      </c>
      <c r="H4150">
        <v>0</v>
      </c>
      <c r="I4150" s="2">
        <v>0</v>
      </c>
      <c r="J4150" s="2">
        <v>0</v>
      </c>
      <c r="K4150" s="2">
        <v>0</v>
      </c>
      <c r="L4150" s="2">
        <v>0</v>
      </c>
      <c r="M4150">
        <v>0</v>
      </c>
      <c r="N4150">
        <v>0</v>
      </c>
      <c r="O4150" s="2">
        <v>0</v>
      </c>
      <c r="P4150" s="2">
        <v>0</v>
      </c>
      <c r="Q4150">
        <v>6</v>
      </c>
      <c r="R4150" s="2">
        <v>0</v>
      </c>
      <c r="S4150" s="2">
        <v>0</v>
      </c>
      <c r="T4150" t="s">
        <v>1983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</row>
    <row r="4151" spans="1:28" hidden="1" x14ac:dyDescent="0.25">
      <c r="A4151" t="s">
        <v>33</v>
      </c>
      <c r="B4151" t="s">
        <v>34</v>
      </c>
      <c r="C4151" t="s">
        <v>35</v>
      </c>
      <c r="D4151" s="1">
        <v>46146</v>
      </c>
      <c r="E4151" s="1">
        <v>46146</v>
      </c>
      <c r="F4151" s="2">
        <v>60</v>
      </c>
      <c r="G4151" s="3" t="s">
        <v>23</v>
      </c>
      <c r="H4151">
        <v>7</v>
      </c>
      <c r="I4151" s="2">
        <v>0</v>
      </c>
      <c r="J4151" s="2">
        <v>0</v>
      </c>
      <c r="K4151" s="2">
        <v>0</v>
      </c>
      <c r="L4151" s="2">
        <v>0</v>
      </c>
      <c r="M4151">
        <v>0</v>
      </c>
      <c r="N4151">
        <v>0</v>
      </c>
      <c r="O4151" s="2">
        <v>0</v>
      </c>
      <c r="P4151" s="2">
        <v>0</v>
      </c>
      <c r="Q4151">
        <v>0</v>
      </c>
      <c r="R4151" s="2">
        <v>0</v>
      </c>
      <c r="S4151" s="2">
        <v>0</v>
      </c>
      <c r="T4151" t="s">
        <v>1984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</row>
    <row r="4152" spans="1:28" hidden="1" x14ac:dyDescent="0.25">
      <c r="A4152" t="s">
        <v>53</v>
      </c>
      <c r="B4152" t="s">
        <v>38</v>
      </c>
      <c r="C4152" t="s">
        <v>35</v>
      </c>
      <c r="D4152" s="1">
        <v>46146</v>
      </c>
      <c r="E4152" s="1">
        <v>46146</v>
      </c>
      <c r="F4152" s="2">
        <v>60</v>
      </c>
      <c r="G4152" s="3" t="s">
        <v>23</v>
      </c>
      <c r="H4152">
        <v>5</v>
      </c>
      <c r="I4152" s="2">
        <v>0</v>
      </c>
      <c r="J4152" s="2">
        <v>0</v>
      </c>
      <c r="K4152" s="2">
        <v>0</v>
      </c>
      <c r="L4152" s="2">
        <v>0</v>
      </c>
      <c r="M4152">
        <v>0</v>
      </c>
      <c r="N4152">
        <v>0</v>
      </c>
      <c r="O4152" s="2">
        <v>0</v>
      </c>
      <c r="P4152" s="2">
        <v>0</v>
      </c>
      <c r="Q4152">
        <v>0</v>
      </c>
      <c r="R4152" s="2">
        <v>0</v>
      </c>
      <c r="S4152" s="2">
        <v>0</v>
      </c>
      <c r="T4152" t="s">
        <v>1984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</row>
    <row r="4153" spans="1:28" hidden="1" x14ac:dyDescent="0.25">
      <c r="A4153" t="s">
        <v>20</v>
      </c>
      <c r="B4153" t="s">
        <v>47</v>
      </c>
      <c r="C4153" t="s">
        <v>64</v>
      </c>
      <c r="D4153" s="1">
        <v>46146</v>
      </c>
      <c r="E4153" s="1">
        <v>46146</v>
      </c>
      <c r="F4153" s="2">
        <v>17</v>
      </c>
      <c r="G4153" s="3" t="s">
        <v>23</v>
      </c>
      <c r="H4153">
        <v>0</v>
      </c>
      <c r="I4153" s="2">
        <v>0</v>
      </c>
      <c r="J4153" s="2">
        <v>0</v>
      </c>
      <c r="K4153" s="2">
        <v>0</v>
      </c>
      <c r="L4153" s="2">
        <v>0</v>
      </c>
      <c r="M4153">
        <v>0</v>
      </c>
      <c r="N4153">
        <v>0</v>
      </c>
      <c r="O4153" s="2">
        <v>0</v>
      </c>
      <c r="P4153" s="2">
        <v>0</v>
      </c>
      <c r="Q4153">
        <v>1</v>
      </c>
      <c r="R4153" s="2">
        <v>0</v>
      </c>
      <c r="S4153" s="2">
        <v>0</v>
      </c>
      <c r="T4153" t="s">
        <v>1982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</row>
    <row r="4154" spans="1:28" hidden="1" x14ac:dyDescent="0.25">
      <c r="A4154" t="s">
        <v>47</v>
      </c>
      <c r="B4154" t="s">
        <v>47</v>
      </c>
      <c r="C4154" t="s">
        <v>212</v>
      </c>
      <c r="D4154" s="1">
        <v>46146</v>
      </c>
      <c r="E4154" s="1">
        <v>46146</v>
      </c>
      <c r="F4154" s="2">
        <v>0</v>
      </c>
      <c r="G4154" s="3" t="s">
        <v>48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 t="s">
        <v>377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</row>
    <row r="4155" spans="1:28" hidden="1" x14ac:dyDescent="0.25">
      <c r="A4155" t="s">
        <v>63</v>
      </c>
      <c r="B4155" t="s">
        <v>47</v>
      </c>
      <c r="C4155" t="s">
        <v>212</v>
      </c>
      <c r="D4155" s="1">
        <v>46146</v>
      </c>
      <c r="E4155" s="1">
        <v>46146</v>
      </c>
      <c r="F4155" s="2">
        <v>0</v>
      </c>
      <c r="G4155" s="3" t="s">
        <v>48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377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</row>
    <row r="4156" spans="1:28" hidden="1" x14ac:dyDescent="0.25">
      <c r="A4156" t="s">
        <v>47</v>
      </c>
      <c r="B4156" t="s">
        <v>47</v>
      </c>
      <c r="C4156" t="s">
        <v>212</v>
      </c>
      <c r="D4156" s="1">
        <v>46146</v>
      </c>
      <c r="E4156" s="1">
        <v>46146</v>
      </c>
      <c r="F4156" s="2">
        <v>0</v>
      </c>
      <c r="G4156" s="3" t="s">
        <v>48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377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</row>
    <row r="4157" spans="1:28" hidden="1" x14ac:dyDescent="0.25">
      <c r="A4157" t="s">
        <v>47</v>
      </c>
      <c r="B4157" t="s">
        <v>47</v>
      </c>
      <c r="C4157" t="s">
        <v>212</v>
      </c>
      <c r="D4157" s="1">
        <v>46146</v>
      </c>
      <c r="E4157" s="1">
        <v>46146</v>
      </c>
      <c r="F4157" s="2">
        <v>0</v>
      </c>
      <c r="G4157" s="3" t="s">
        <v>48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377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</row>
    <row r="4158" spans="1:28" hidden="1" x14ac:dyDescent="0.25">
      <c r="A4158" t="s">
        <v>47</v>
      </c>
      <c r="B4158" t="s">
        <v>21</v>
      </c>
      <c r="C4158" t="s">
        <v>212</v>
      </c>
      <c r="D4158" s="1">
        <v>46146</v>
      </c>
      <c r="E4158" s="1">
        <v>46146</v>
      </c>
      <c r="F4158" s="2">
        <v>0</v>
      </c>
      <c r="G4158" s="3" t="s">
        <v>572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t="s">
        <v>377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</row>
    <row r="4159" spans="1:28" hidden="1" x14ac:dyDescent="0.25">
      <c r="A4159" t="s">
        <v>29</v>
      </c>
      <c r="B4159" t="s">
        <v>30</v>
      </c>
      <c r="C4159" t="s">
        <v>212</v>
      </c>
      <c r="D4159" s="1">
        <v>46146</v>
      </c>
      <c r="E4159" s="1">
        <v>46146</v>
      </c>
      <c r="F4159" s="2">
        <v>0</v>
      </c>
      <c r="G4159" s="3" t="s">
        <v>572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377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0</v>
      </c>
    </row>
    <row r="4160" spans="1:28" hidden="1" x14ac:dyDescent="0.25">
      <c r="A4160" t="s">
        <v>47</v>
      </c>
      <c r="B4160" t="s">
        <v>284</v>
      </c>
      <c r="C4160" t="s">
        <v>212</v>
      </c>
      <c r="D4160" s="1">
        <v>46146</v>
      </c>
      <c r="E4160" s="1">
        <v>46146</v>
      </c>
      <c r="F4160" s="2">
        <v>0</v>
      </c>
      <c r="G4160" s="3" t="s">
        <v>572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 t="s">
        <v>377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</row>
    <row r="4161" spans="1:28" hidden="1" x14ac:dyDescent="0.25">
      <c r="A4161" t="s">
        <v>47</v>
      </c>
      <c r="B4161" t="s">
        <v>47</v>
      </c>
      <c r="C4161" t="s">
        <v>212</v>
      </c>
      <c r="D4161" s="1">
        <v>46146</v>
      </c>
      <c r="E4161" s="1">
        <v>46146</v>
      </c>
      <c r="F4161" s="2">
        <v>0</v>
      </c>
      <c r="G4161" s="3" t="s">
        <v>572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 t="s">
        <v>377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</row>
    <row r="4162" spans="1:28" hidden="1" x14ac:dyDescent="0.25">
      <c r="A4162" t="s">
        <v>47</v>
      </c>
      <c r="B4162" t="s">
        <v>47</v>
      </c>
      <c r="C4162" t="s">
        <v>212</v>
      </c>
      <c r="D4162" s="1">
        <v>46146</v>
      </c>
      <c r="E4162" s="1">
        <v>46146</v>
      </c>
      <c r="F4162" s="2">
        <v>0</v>
      </c>
      <c r="G4162" s="3" t="s">
        <v>409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 t="s">
        <v>377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</row>
    <row r="4163" spans="1:28" hidden="1" x14ac:dyDescent="0.25">
      <c r="A4163" t="s">
        <v>47</v>
      </c>
      <c r="B4163" t="s">
        <v>1323</v>
      </c>
      <c r="C4163" t="s">
        <v>212</v>
      </c>
      <c r="D4163" s="1">
        <v>46146</v>
      </c>
      <c r="E4163" s="1">
        <v>46146</v>
      </c>
      <c r="F4163" s="2">
        <v>0</v>
      </c>
      <c r="G4163" s="3" t="s">
        <v>129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377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</row>
    <row r="4164" spans="1:28" x14ac:dyDescent="0.25">
      <c r="A4164" t="s">
        <v>730</v>
      </c>
      <c r="B4164" t="s">
        <v>2075</v>
      </c>
      <c r="C4164" t="s">
        <v>1370</v>
      </c>
      <c r="D4164" s="1">
        <v>46147</v>
      </c>
      <c r="E4164" s="1">
        <v>46147</v>
      </c>
      <c r="F4164" s="2">
        <v>41</v>
      </c>
      <c r="G4164" s="3" t="s">
        <v>23</v>
      </c>
      <c r="H4164">
        <v>27</v>
      </c>
      <c r="I4164" s="2">
        <v>0</v>
      </c>
      <c r="J4164" s="2">
        <v>0</v>
      </c>
      <c r="K4164" s="2">
        <v>0</v>
      </c>
      <c r="L4164" s="2">
        <v>1</v>
      </c>
      <c r="M4164">
        <v>0</v>
      </c>
      <c r="N4164">
        <v>0</v>
      </c>
      <c r="O4164" s="2">
        <v>0</v>
      </c>
      <c r="P4164" s="2">
        <v>0</v>
      </c>
      <c r="Q4164">
        <v>2</v>
      </c>
      <c r="R4164" s="2">
        <v>0</v>
      </c>
      <c r="S4164" s="2">
        <v>0</v>
      </c>
      <c r="T4164" t="s">
        <v>1985</v>
      </c>
      <c r="U4164" s="2">
        <v>0</v>
      </c>
      <c r="V4164" s="2">
        <v>13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</row>
    <row r="4165" spans="1:28" hidden="1" x14ac:dyDescent="0.25">
      <c r="A4165" t="s">
        <v>47</v>
      </c>
      <c r="B4165" t="s">
        <v>1323</v>
      </c>
      <c r="C4165" t="s">
        <v>1370</v>
      </c>
      <c r="D4165" s="1">
        <v>46147</v>
      </c>
      <c r="E4165" s="1">
        <v>46147</v>
      </c>
      <c r="F4165" s="2">
        <v>41</v>
      </c>
      <c r="G4165" s="3" t="s">
        <v>23</v>
      </c>
      <c r="H4165">
        <v>27</v>
      </c>
      <c r="I4165" s="2">
        <v>0</v>
      </c>
      <c r="J4165" s="2">
        <v>0</v>
      </c>
      <c r="K4165" s="2">
        <v>0</v>
      </c>
      <c r="L4165" s="2">
        <v>1</v>
      </c>
      <c r="M4165">
        <v>0</v>
      </c>
      <c r="N4165">
        <v>0</v>
      </c>
      <c r="O4165" s="2">
        <v>0</v>
      </c>
      <c r="P4165" s="2">
        <v>0</v>
      </c>
      <c r="Q4165">
        <v>0</v>
      </c>
      <c r="R4165" s="2">
        <v>0</v>
      </c>
      <c r="S4165" s="2">
        <v>0</v>
      </c>
      <c r="T4165" t="s">
        <v>1985</v>
      </c>
      <c r="U4165" s="2">
        <v>0</v>
      </c>
      <c r="V4165" s="2">
        <v>13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</row>
    <row r="4166" spans="1:28" hidden="1" x14ac:dyDescent="0.25">
      <c r="A4166" t="s">
        <v>37</v>
      </c>
      <c r="B4166" t="s">
        <v>57</v>
      </c>
      <c r="C4166" t="s">
        <v>173</v>
      </c>
      <c r="D4166" s="1">
        <v>46147</v>
      </c>
      <c r="E4166" s="1">
        <v>46147</v>
      </c>
      <c r="F4166" s="2">
        <v>22</v>
      </c>
      <c r="G4166" s="3" t="s">
        <v>23</v>
      </c>
      <c r="H4166">
        <f>8+8+14</f>
        <v>30</v>
      </c>
      <c r="I4166" s="2">
        <v>0</v>
      </c>
      <c r="J4166" s="2">
        <v>0</v>
      </c>
      <c r="K4166" s="2">
        <v>1</v>
      </c>
      <c r="L4166" s="2">
        <v>0</v>
      </c>
      <c r="M4166">
        <v>0</v>
      </c>
      <c r="N4166">
        <v>0</v>
      </c>
      <c r="O4166" s="2">
        <v>0</v>
      </c>
      <c r="P4166" s="2">
        <v>0</v>
      </c>
      <c r="Q4166">
        <v>0</v>
      </c>
      <c r="R4166" s="2">
        <v>0</v>
      </c>
      <c r="S4166" s="2">
        <v>0</v>
      </c>
      <c r="T4166" t="s">
        <v>1986</v>
      </c>
      <c r="U4166" s="2">
        <v>0</v>
      </c>
      <c r="V4166" s="2">
        <f>22+22</f>
        <v>44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</row>
    <row r="4167" spans="1:28" hidden="1" x14ac:dyDescent="0.25">
      <c r="A4167" t="s">
        <v>56</v>
      </c>
      <c r="B4167" t="s">
        <v>1160</v>
      </c>
      <c r="C4167" t="s">
        <v>64</v>
      </c>
      <c r="D4167" s="1">
        <v>46147</v>
      </c>
      <c r="E4167" s="1">
        <v>46147</v>
      </c>
      <c r="F4167" s="2">
        <v>36</v>
      </c>
      <c r="G4167" s="3" t="s">
        <v>23</v>
      </c>
      <c r="H4167">
        <f>18+18</f>
        <v>36</v>
      </c>
      <c r="I4167" s="2">
        <v>0</v>
      </c>
      <c r="J4167" s="2">
        <v>0</v>
      </c>
      <c r="K4167" s="2">
        <v>1</v>
      </c>
      <c r="L4167" s="2">
        <v>0</v>
      </c>
      <c r="M4167">
        <v>0</v>
      </c>
      <c r="N4167">
        <v>0</v>
      </c>
      <c r="O4167" s="2">
        <v>0</v>
      </c>
      <c r="P4167" s="2">
        <v>0</v>
      </c>
      <c r="Q4167">
        <v>0</v>
      </c>
      <c r="R4167" s="2">
        <v>0</v>
      </c>
      <c r="S4167" s="2">
        <v>0</v>
      </c>
      <c r="T4167" t="s">
        <v>1987</v>
      </c>
      <c r="U4167" s="2">
        <v>0</v>
      </c>
      <c r="V4167" s="2">
        <f>22+22</f>
        <v>44</v>
      </c>
      <c r="W4167" s="2">
        <v>0</v>
      </c>
      <c r="X4167" s="2">
        <v>0</v>
      </c>
      <c r="Y4167" s="2">
        <v>0</v>
      </c>
      <c r="Z4167" s="2">
        <v>0</v>
      </c>
      <c r="AA4167" s="2">
        <v>0</v>
      </c>
      <c r="AB4167" s="2">
        <v>0</v>
      </c>
    </row>
    <row r="4168" spans="1:28" hidden="1" x14ac:dyDescent="0.25">
      <c r="A4168" t="s">
        <v>33</v>
      </c>
      <c r="B4168" t="s">
        <v>34</v>
      </c>
      <c r="C4168" t="s">
        <v>35</v>
      </c>
      <c r="D4168" s="1">
        <v>46147</v>
      </c>
      <c r="E4168" s="1">
        <v>46147</v>
      </c>
      <c r="F4168" s="2">
        <v>32</v>
      </c>
      <c r="G4168" s="3" t="s">
        <v>23</v>
      </c>
      <c r="H4168">
        <f>14+14</f>
        <v>28</v>
      </c>
      <c r="I4168" s="2">
        <v>0</v>
      </c>
      <c r="J4168" s="2">
        <v>0</v>
      </c>
      <c r="K4168" s="2">
        <v>1</v>
      </c>
      <c r="L4168" s="2">
        <v>0</v>
      </c>
      <c r="M4168">
        <v>0</v>
      </c>
      <c r="N4168">
        <v>0</v>
      </c>
      <c r="O4168" s="2">
        <v>0</v>
      </c>
      <c r="P4168" s="2">
        <v>0</v>
      </c>
      <c r="Q4168">
        <v>0</v>
      </c>
      <c r="R4168" s="2">
        <v>0</v>
      </c>
      <c r="S4168" s="2">
        <v>0</v>
      </c>
      <c r="T4168" t="s">
        <v>1988</v>
      </c>
      <c r="U4168" s="2">
        <v>0</v>
      </c>
      <c r="V4168" s="2">
        <f>22+22</f>
        <v>44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0</v>
      </c>
    </row>
    <row r="4169" spans="1:28" hidden="1" x14ac:dyDescent="0.25">
      <c r="A4169" t="s">
        <v>63</v>
      </c>
      <c r="B4169" t="s">
        <v>284</v>
      </c>
      <c r="C4169" t="s">
        <v>102</v>
      </c>
      <c r="D4169" s="1">
        <v>46147</v>
      </c>
      <c r="E4169" s="1">
        <v>46147</v>
      </c>
      <c r="F4169" s="2">
        <v>89</v>
      </c>
      <c r="G4169" s="3" t="s">
        <v>23</v>
      </c>
      <c r="H4169">
        <f>12+4+12+4+4+1+3+4</f>
        <v>44</v>
      </c>
      <c r="I4169" s="2">
        <v>0</v>
      </c>
      <c r="J4169" s="2">
        <v>0</v>
      </c>
      <c r="K4169" s="2">
        <v>1</v>
      </c>
      <c r="L4169" s="2">
        <v>0</v>
      </c>
      <c r="M4169">
        <v>1</v>
      </c>
      <c r="N4169">
        <v>0</v>
      </c>
      <c r="O4169" s="2">
        <v>0</v>
      </c>
      <c r="P4169" s="2">
        <v>0</v>
      </c>
      <c r="Q4169">
        <v>0</v>
      </c>
      <c r="R4169" s="2">
        <v>0</v>
      </c>
      <c r="S4169" s="2">
        <v>0</v>
      </c>
      <c r="T4169" t="s">
        <v>1989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</row>
    <row r="4170" spans="1:28" hidden="1" x14ac:dyDescent="0.25">
      <c r="A4170" t="s">
        <v>53</v>
      </c>
      <c r="B4170" t="s">
        <v>38</v>
      </c>
      <c r="C4170" t="s">
        <v>102</v>
      </c>
      <c r="D4170" s="1">
        <v>46147</v>
      </c>
      <c r="E4170" s="1">
        <v>46147</v>
      </c>
      <c r="F4170" s="2">
        <v>89</v>
      </c>
      <c r="G4170" s="3" t="s">
        <v>23</v>
      </c>
      <c r="H4170">
        <f>8+4+8+4+1+1+6</f>
        <v>32</v>
      </c>
      <c r="I4170" s="2">
        <v>0</v>
      </c>
      <c r="J4170" s="2">
        <v>0</v>
      </c>
      <c r="K4170" s="2">
        <v>1</v>
      </c>
      <c r="L4170" s="2">
        <v>0</v>
      </c>
      <c r="M4170">
        <v>1</v>
      </c>
      <c r="N4170">
        <v>0</v>
      </c>
      <c r="O4170" s="2">
        <v>0</v>
      </c>
      <c r="P4170" s="2">
        <v>0</v>
      </c>
      <c r="Q4170">
        <v>0</v>
      </c>
      <c r="R4170" s="2">
        <v>0</v>
      </c>
      <c r="S4170" s="2">
        <v>0</v>
      </c>
      <c r="T4170" t="s">
        <v>1989</v>
      </c>
      <c r="U4170" s="2">
        <v>0</v>
      </c>
      <c r="V4170" s="2">
        <v>20</v>
      </c>
      <c r="W4170" s="2">
        <v>0</v>
      </c>
      <c r="X4170" s="2">
        <v>0</v>
      </c>
      <c r="Y4170" s="2">
        <v>0</v>
      </c>
      <c r="Z4170" s="2">
        <v>0</v>
      </c>
      <c r="AA4170" s="2">
        <v>0</v>
      </c>
      <c r="AB4170" s="2">
        <v>0</v>
      </c>
    </row>
    <row r="4171" spans="1:28" hidden="1" x14ac:dyDescent="0.25">
      <c r="A4171" t="s">
        <v>25</v>
      </c>
      <c r="B4171" t="s">
        <v>26</v>
      </c>
      <c r="C4171" t="s">
        <v>212</v>
      </c>
      <c r="D4171" s="1">
        <v>46147</v>
      </c>
      <c r="E4171" s="1">
        <v>46147</v>
      </c>
      <c r="F4171" s="2">
        <v>0</v>
      </c>
      <c r="G4171" s="3" t="s">
        <v>48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377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</row>
    <row r="4172" spans="1:28" hidden="1" x14ac:dyDescent="0.25">
      <c r="A4172" t="s">
        <v>29</v>
      </c>
      <c r="B4172" t="s">
        <v>30</v>
      </c>
      <c r="C4172" t="s">
        <v>212</v>
      </c>
      <c r="D4172" s="1">
        <v>46147</v>
      </c>
      <c r="E4172" s="1">
        <v>46147</v>
      </c>
      <c r="F4172" s="2">
        <v>0</v>
      </c>
      <c r="G4172" s="3" t="s">
        <v>48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 t="s">
        <v>377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</row>
    <row r="4173" spans="1:28" hidden="1" x14ac:dyDescent="0.25">
      <c r="A4173" t="s">
        <v>47</v>
      </c>
      <c r="B4173" t="s">
        <v>21</v>
      </c>
      <c r="C4173" t="s">
        <v>212</v>
      </c>
      <c r="D4173" s="1">
        <v>46147</v>
      </c>
      <c r="E4173" s="1">
        <v>46147</v>
      </c>
      <c r="F4173" s="2">
        <v>0</v>
      </c>
      <c r="G4173" s="3" t="s">
        <v>48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377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</row>
    <row r="4174" spans="1:28" hidden="1" x14ac:dyDescent="0.25">
      <c r="A4174" t="s">
        <v>47</v>
      </c>
      <c r="B4174" t="s">
        <v>47</v>
      </c>
      <c r="C4174" t="s">
        <v>212</v>
      </c>
      <c r="D4174" s="1">
        <v>46147</v>
      </c>
      <c r="E4174" s="1">
        <v>46147</v>
      </c>
      <c r="F4174" s="2">
        <v>0</v>
      </c>
      <c r="G4174" s="3" t="s">
        <v>48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377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</row>
    <row r="4175" spans="1:28" hidden="1" x14ac:dyDescent="0.25">
      <c r="A4175" t="s">
        <v>47</v>
      </c>
      <c r="B4175" t="s">
        <v>47</v>
      </c>
      <c r="C4175" t="s">
        <v>212</v>
      </c>
      <c r="D4175" s="1">
        <v>46147</v>
      </c>
      <c r="E4175" s="1">
        <v>46147</v>
      </c>
      <c r="F4175" s="2">
        <v>0</v>
      </c>
      <c r="G4175" s="3" t="s">
        <v>572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377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</row>
    <row r="4176" spans="1:28" hidden="1" x14ac:dyDescent="0.25">
      <c r="A4176" t="s">
        <v>47</v>
      </c>
      <c r="B4176" t="s">
        <v>47</v>
      </c>
      <c r="C4176" t="s">
        <v>212</v>
      </c>
      <c r="D4176" s="1">
        <v>46147</v>
      </c>
      <c r="E4176" s="1">
        <v>46147</v>
      </c>
      <c r="F4176" s="2">
        <v>0</v>
      </c>
      <c r="G4176" s="3" t="s">
        <v>572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 t="s">
        <v>377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</row>
    <row r="4177" spans="1:28" hidden="1" x14ac:dyDescent="0.25">
      <c r="A4177" t="s">
        <v>47</v>
      </c>
      <c r="B4177" t="s">
        <v>47</v>
      </c>
      <c r="C4177" t="s">
        <v>212</v>
      </c>
      <c r="D4177" s="1">
        <v>46147</v>
      </c>
      <c r="E4177" s="1">
        <v>46147</v>
      </c>
      <c r="F4177" s="2">
        <v>0</v>
      </c>
      <c r="G4177" s="3" t="s">
        <v>572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 t="s">
        <v>377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</row>
    <row r="4178" spans="1:28" hidden="1" x14ac:dyDescent="0.25">
      <c r="A4178" t="s">
        <v>47</v>
      </c>
      <c r="B4178" t="s">
        <v>47</v>
      </c>
      <c r="C4178" t="s">
        <v>212</v>
      </c>
      <c r="D4178" s="1">
        <v>46147</v>
      </c>
      <c r="E4178" s="1">
        <v>46147</v>
      </c>
      <c r="F4178" s="2">
        <v>0</v>
      </c>
      <c r="G4178" s="3" t="s">
        <v>572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t="s">
        <v>377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</row>
    <row r="4179" spans="1:28" hidden="1" x14ac:dyDescent="0.25">
      <c r="A4179" t="s">
        <v>47</v>
      </c>
      <c r="B4179" t="s">
        <v>47</v>
      </c>
      <c r="C4179" t="s">
        <v>212</v>
      </c>
      <c r="D4179" s="1">
        <v>46147</v>
      </c>
      <c r="E4179" s="1">
        <v>46147</v>
      </c>
      <c r="F4179" s="2">
        <v>0</v>
      </c>
      <c r="G4179" s="3" t="s">
        <v>409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 t="s">
        <v>377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</row>
    <row r="4180" spans="1:28" hidden="1" x14ac:dyDescent="0.25">
      <c r="A4180" t="s">
        <v>20</v>
      </c>
      <c r="B4180" t="s">
        <v>47</v>
      </c>
      <c r="C4180" t="s">
        <v>212</v>
      </c>
      <c r="D4180" s="1">
        <v>46147</v>
      </c>
      <c r="E4180" s="1">
        <v>46147</v>
      </c>
      <c r="F4180" s="2">
        <v>0</v>
      </c>
      <c r="G4180" s="3" t="s">
        <v>129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 t="s">
        <v>377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0</v>
      </c>
      <c r="AA4180" s="2">
        <v>0</v>
      </c>
      <c r="AB4180" s="2">
        <v>0</v>
      </c>
    </row>
    <row r="4181" spans="1:28" hidden="1" x14ac:dyDescent="0.25">
      <c r="A4181" t="s">
        <v>25</v>
      </c>
      <c r="B4181" t="s">
        <v>21</v>
      </c>
      <c r="C4181" t="s">
        <v>27</v>
      </c>
      <c r="D4181" s="1">
        <v>46148</v>
      </c>
      <c r="E4181" s="1">
        <v>46148</v>
      </c>
      <c r="F4181" s="2">
        <v>21</v>
      </c>
      <c r="G4181" s="3" t="s">
        <v>23</v>
      </c>
      <c r="H4181">
        <f>14+14+2+1+2+1</f>
        <v>34</v>
      </c>
      <c r="I4181" s="2">
        <v>0</v>
      </c>
      <c r="J4181" s="2">
        <v>0</v>
      </c>
      <c r="K4181" s="2">
        <v>1</v>
      </c>
      <c r="L4181" s="2">
        <v>0</v>
      </c>
      <c r="M4181">
        <v>0</v>
      </c>
      <c r="N4181">
        <v>0</v>
      </c>
      <c r="O4181" s="2">
        <v>0</v>
      </c>
      <c r="P4181" s="2">
        <v>0</v>
      </c>
      <c r="Q4181">
        <v>1</v>
      </c>
      <c r="R4181" s="2">
        <v>0</v>
      </c>
      <c r="S4181" s="2">
        <v>0</v>
      </c>
      <c r="T4181" t="s">
        <v>1990</v>
      </c>
      <c r="U4181" s="2">
        <v>0</v>
      </c>
      <c r="V4181" s="2">
        <f>20+20</f>
        <v>40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</row>
    <row r="4182" spans="1:28" hidden="1" x14ac:dyDescent="0.25">
      <c r="A4182" t="s">
        <v>29</v>
      </c>
      <c r="B4182" t="s">
        <v>30</v>
      </c>
      <c r="C4182" t="s">
        <v>27</v>
      </c>
      <c r="D4182" s="1">
        <v>46148</v>
      </c>
      <c r="E4182" s="1">
        <v>46148</v>
      </c>
      <c r="F4182" s="2">
        <v>21</v>
      </c>
      <c r="G4182" s="3" t="s">
        <v>23</v>
      </c>
      <c r="H4182">
        <f>12+2+12+2+1+2+1+1+2+1</f>
        <v>36</v>
      </c>
      <c r="I4182" s="2">
        <v>0</v>
      </c>
      <c r="J4182" s="2">
        <v>0</v>
      </c>
      <c r="K4182" s="2">
        <v>0</v>
      </c>
      <c r="L4182" s="2">
        <v>1</v>
      </c>
      <c r="M4182">
        <v>0</v>
      </c>
      <c r="N4182">
        <v>0</v>
      </c>
      <c r="O4182" s="2">
        <v>0</v>
      </c>
      <c r="P4182" s="2">
        <v>0</v>
      </c>
      <c r="Q4182">
        <v>0</v>
      </c>
      <c r="R4182" s="2">
        <v>0</v>
      </c>
      <c r="S4182" s="2">
        <v>0</v>
      </c>
      <c r="T4182" t="s">
        <v>1990</v>
      </c>
      <c r="U4182" s="2">
        <v>0</v>
      </c>
      <c r="V4182" s="2">
        <v>22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</row>
    <row r="4183" spans="1:28" hidden="1" x14ac:dyDescent="0.25">
      <c r="A4183" t="s">
        <v>53</v>
      </c>
      <c r="B4183" t="s">
        <v>38</v>
      </c>
      <c r="C4183" t="s">
        <v>27</v>
      </c>
      <c r="D4183" s="1">
        <v>46148</v>
      </c>
      <c r="E4183" s="1">
        <v>46148</v>
      </c>
      <c r="F4183" s="2">
        <v>21</v>
      </c>
      <c r="G4183" s="3" t="s">
        <v>23</v>
      </c>
      <c r="H4183">
        <f>21+21</f>
        <v>42</v>
      </c>
      <c r="I4183" s="2">
        <v>0</v>
      </c>
      <c r="J4183" s="2">
        <v>0</v>
      </c>
      <c r="K4183" s="2">
        <v>1</v>
      </c>
      <c r="L4183" s="2">
        <v>0</v>
      </c>
      <c r="M4183">
        <v>0</v>
      </c>
      <c r="N4183">
        <v>0</v>
      </c>
      <c r="O4183" s="2">
        <v>0</v>
      </c>
      <c r="P4183" s="2">
        <v>0</v>
      </c>
      <c r="Q4183">
        <v>0</v>
      </c>
      <c r="R4183" s="2">
        <v>0</v>
      </c>
      <c r="S4183" s="2">
        <v>0</v>
      </c>
      <c r="T4183" t="s">
        <v>1990</v>
      </c>
      <c r="U4183" s="2">
        <v>0</v>
      </c>
      <c r="V4183" s="2">
        <f>22+22+22</f>
        <v>66</v>
      </c>
      <c r="W4183" s="2">
        <v>0</v>
      </c>
      <c r="X4183" s="2">
        <v>0</v>
      </c>
      <c r="Y4183" s="2">
        <v>0</v>
      </c>
      <c r="Z4183" s="2">
        <v>0</v>
      </c>
      <c r="AA4183" s="2">
        <v>0</v>
      </c>
      <c r="AB4183" s="2">
        <v>0</v>
      </c>
    </row>
    <row r="4184" spans="1:28" hidden="1" x14ac:dyDescent="0.25">
      <c r="A4184" t="s">
        <v>33</v>
      </c>
      <c r="B4184" t="s">
        <v>1323</v>
      </c>
      <c r="C4184" t="s">
        <v>35</v>
      </c>
      <c r="D4184" s="1">
        <v>46148</v>
      </c>
      <c r="E4184" s="1">
        <v>46148</v>
      </c>
      <c r="F4184" s="2">
        <v>26</v>
      </c>
      <c r="G4184" s="3" t="s">
        <v>23</v>
      </c>
      <c r="H4184">
        <f>20+20+4</f>
        <v>44</v>
      </c>
      <c r="I4184" s="2">
        <v>0</v>
      </c>
      <c r="J4184" s="2">
        <v>0</v>
      </c>
      <c r="K4184" s="2">
        <v>1</v>
      </c>
      <c r="L4184" s="2">
        <v>0</v>
      </c>
      <c r="M4184">
        <v>0</v>
      </c>
      <c r="N4184">
        <v>0</v>
      </c>
      <c r="O4184" s="2">
        <v>0</v>
      </c>
      <c r="P4184" s="2">
        <v>0</v>
      </c>
      <c r="Q4184">
        <v>0</v>
      </c>
      <c r="R4184" s="2">
        <v>0</v>
      </c>
      <c r="S4184" s="2">
        <v>0</v>
      </c>
      <c r="T4184" t="s">
        <v>1991</v>
      </c>
      <c r="U4184" s="2">
        <v>0</v>
      </c>
      <c r="V4184" s="2">
        <f>22+2</f>
        <v>24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</row>
    <row r="4185" spans="1:28" hidden="1" x14ac:dyDescent="0.25">
      <c r="A4185" t="s">
        <v>63</v>
      </c>
      <c r="B4185" t="s">
        <v>284</v>
      </c>
      <c r="C4185" t="s">
        <v>102</v>
      </c>
      <c r="D4185" s="1">
        <v>46148</v>
      </c>
      <c r="E4185" s="1">
        <v>46148</v>
      </c>
      <c r="F4185" s="2">
        <v>15</v>
      </c>
      <c r="G4185" s="3" t="s">
        <v>23</v>
      </c>
      <c r="H4185">
        <v>23</v>
      </c>
      <c r="I4185" s="2">
        <v>0</v>
      </c>
      <c r="J4185" s="2">
        <v>0</v>
      </c>
      <c r="K4185" s="2">
        <v>1</v>
      </c>
      <c r="L4185" s="2">
        <v>0</v>
      </c>
      <c r="M4185">
        <v>0</v>
      </c>
      <c r="N4185">
        <v>0</v>
      </c>
      <c r="O4185" s="2">
        <v>0</v>
      </c>
      <c r="P4185" s="2">
        <v>0</v>
      </c>
      <c r="Q4185">
        <v>0</v>
      </c>
      <c r="R4185" s="2">
        <v>0</v>
      </c>
      <c r="S4185" s="2">
        <v>0</v>
      </c>
      <c r="T4185" t="s">
        <v>1992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</row>
    <row r="4186" spans="1:28" hidden="1" x14ac:dyDescent="0.25">
      <c r="A4186" t="s">
        <v>20</v>
      </c>
      <c r="B4186" t="s">
        <v>47</v>
      </c>
      <c r="C4186" t="s">
        <v>22</v>
      </c>
      <c r="D4186" s="1">
        <v>46148</v>
      </c>
      <c r="E4186" s="1">
        <v>46148</v>
      </c>
      <c r="F4186" s="2">
        <v>48</v>
      </c>
      <c r="G4186" s="3" t="s">
        <v>23</v>
      </c>
      <c r="H4186">
        <v>15</v>
      </c>
      <c r="I4186" s="2">
        <v>0</v>
      </c>
      <c r="J4186" s="2">
        <v>0</v>
      </c>
      <c r="K4186" s="2">
        <v>0</v>
      </c>
      <c r="L4186" s="2">
        <v>0</v>
      </c>
      <c r="M4186">
        <v>1</v>
      </c>
      <c r="N4186">
        <v>0</v>
      </c>
      <c r="O4186" s="2">
        <v>0</v>
      </c>
      <c r="P4186" s="2">
        <v>0</v>
      </c>
      <c r="Q4186">
        <v>0</v>
      </c>
      <c r="R4186" s="2">
        <v>0</v>
      </c>
      <c r="S4186" s="2">
        <v>0</v>
      </c>
      <c r="T4186" t="s">
        <v>1993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</row>
    <row r="4187" spans="1:28" x14ac:dyDescent="0.25">
      <c r="A4187" t="s">
        <v>730</v>
      </c>
      <c r="B4187" t="s">
        <v>47</v>
      </c>
      <c r="C4187" t="s">
        <v>22</v>
      </c>
      <c r="D4187" s="1">
        <v>46148</v>
      </c>
      <c r="E4187" s="1">
        <v>46148</v>
      </c>
      <c r="F4187" s="2">
        <v>48</v>
      </c>
      <c r="G4187" s="3" t="s">
        <v>23</v>
      </c>
      <c r="H4187">
        <v>15</v>
      </c>
      <c r="I4187" s="2">
        <v>0</v>
      </c>
      <c r="J4187" s="2">
        <v>0</v>
      </c>
      <c r="K4187" s="2">
        <v>0</v>
      </c>
      <c r="L4187" s="2">
        <v>0</v>
      </c>
      <c r="M4187">
        <v>1</v>
      </c>
      <c r="N4187">
        <v>0</v>
      </c>
      <c r="O4187" s="2">
        <v>0</v>
      </c>
      <c r="P4187" s="2">
        <v>0</v>
      </c>
      <c r="Q4187">
        <v>1</v>
      </c>
      <c r="R4187" s="2">
        <v>0</v>
      </c>
      <c r="S4187" s="2">
        <v>0</v>
      </c>
      <c r="T4187" t="s">
        <v>1993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</row>
    <row r="4188" spans="1:28" hidden="1" x14ac:dyDescent="0.25">
      <c r="A4188" t="s">
        <v>37</v>
      </c>
      <c r="B4188" t="s">
        <v>57</v>
      </c>
      <c r="C4188" t="s">
        <v>212</v>
      </c>
      <c r="D4188" s="1">
        <v>46148</v>
      </c>
      <c r="E4188" s="1">
        <v>46148</v>
      </c>
      <c r="F4188" s="2">
        <v>0</v>
      </c>
      <c r="G4188" s="3" t="s">
        <v>48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 t="s">
        <v>377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</row>
    <row r="4189" spans="1:28" hidden="1" x14ac:dyDescent="0.25">
      <c r="A4189" t="s">
        <v>47</v>
      </c>
      <c r="B4189" t="s">
        <v>34</v>
      </c>
      <c r="C4189" t="s">
        <v>212</v>
      </c>
      <c r="D4189" s="1">
        <v>46148</v>
      </c>
      <c r="E4189" s="1">
        <v>46148</v>
      </c>
      <c r="F4189" s="2">
        <v>0</v>
      </c>
      <c r="G4189" s="3" t="s">
        <v>48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377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</row>
    <row r="4190" spans="1:28" hidden="1" x14ac:dyDescent="0.25">
      <c r="A4190" t="s">
        <v>47</v>
      </c>
      <c r="B4190" t="s">
        <v>26</v>
      </c>
      <c r="C4190" t="s">
        <v>212</v>
      </c>
      <c r="D4190" s="1">
        <v>46148</v>
      </c>
      <c r="E4190" s="1">
        <v>46148</v>
      </c>
      <c r="F4190" s="2">
        <v>0</v>
      </c>
      <c r="G4190" s="3" t="s">
        <v>614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 t="s">
        <v>377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</row>
    <row r="4191" spans="1:28" hidden="1" x14ac:dyDescent="0.25">
      <c r="A4191" t="s">
        <v>56</v>
      </c>
      <c r="B4191" t="s">
        <v>1160</v>
      </c>
      <c r="C4191" t="s">
        <v>212</v>
      </c>
      <c r="D4191" s="1">
        <v>46148</v>
      </c>
      <c r="E4191" s="1">
        <v>46148</v>
      </c>
      <c r="F4191" s="2">
        <v>0</v>
      </c>
      <c r="G4191" s="3" t="s">
        <v>48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 t="s">
        <v>377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0</v>
      </c>
    </row>
    <row r="4192" spans="1:28" hidden="1" x14ac:dyDescent="0.25">
      <c r="A4192" t="s">
        <v>47</v>
      </c>
      <c r="B4192" t="s">
        <v>47</v>
      </c>
      <c r="C4192" t="s">
        <v>212</v>
      </c>
      <c r="D4192" s="1">
        <v>46148</v>
      </c>
      <c r="E4192" s="1">
        <v>46148</v>
      </c>
      <c r="F4192" s="2">
        <v>0</v>
      </c>
      <c r="G4192" s="3" t="s">
        <v>572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377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</row>
    <row r="4193" spans="1:28" hidden="1" x14ac:dyDescent="0.25">
      <c r="A4193" t="s">
        <v>47</v>
      </c>
      <c r="B4193" t="s">
        <v>47</v>
      </c>
      <c r="C4193" t="s">
        <v>212</v>
      </c>
      <c r="D4193" s="1">
        <v>46148</v>
      </c>
      <c r="E4193" s="1">
        <v>46148</v>
      </c>
      <c r="F4193" s="2">
        <v>0</v>
      </c>
      <c r="G4193" s="3" t="s">
        <v>572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 t="s">
        <v>377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0</v>
      </c>
      <c r="AA4193" s="2">
        <v>0</v>
      </c>
      <c r="AB4193" s="2">
        <v>0</v>
      </c>
    </row>
    <row r="4194" spans="1:28" hidden="1" x14ac:dyDescent="0.25">
      <c r="A4194" t="s">
        <v>47</v>
      </c>
      <c r="B4194" t="s">
        <v>47</v>
      </c>
      <c r="C4194" t="s">
        <v>212</v>
      </c>
      <c r="D4194" s="1">
        <v>46148</v>
      </c>
      <c r="E4194" s="1">
        <v>46148</v>
      </c>
      <c r="F4194" s="2">
        <v>0</v>
      </c>
      <c r="G4194" s="3" t="s">
        <v>572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377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0</v>
      </c>
      <c r="AA4194" s="2">
        <v>0</v>
      </c>
      <c r="AB4194" s="2">
        <v>0</v>
      </c>
    </row>
    <row r="4195" spans="1:28" hidden="1" x14ac:dyDescent="0.25">
      <c r="A4195" t="s">
        <v>47</v>
      </c>
      <c r="B4195" t="s">
        <v>47</v>
      </c>
      <c r="C4195" t="s">
        <v>212</v>
      </c>
      <c r="D4195" s="1">
        <v>46148</v>
      </c>
      <c r="E4195" s="1">
        <v>46148</v>
      </c>
      <c r="F4195" s="2">
        <v>0</v>
      </c>
      <c r="G4195" s="3" t="s">
        <v>572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377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</row>
    <row r="4196" spans="1:28" hidden="1" x14ac:dyDescent="0.25">
      <c r="A4196" t="s">
        <v>47</v>
      </c>
      <c r="B4196" t="s">
        <v>47</v>
      </c>
      <c r="C4196" t="s">
        <v>212</v>
      </c>
      <c r="D4196" s="1">
        <v>46148</v>
      </c>
      <c r="E4196" s="1">
        <v>46148</v>
      </c>
      <c r="F4196" s="2">
        <v>0</v>
      </c>
      <c r="G4196" s="3" t="s">
        <v>409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 t="s">
        <v>377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 s="2">
        <v>0</v>
      </c>
      <c r="AA4196" s="2">
        <v>0</v>
      </c>
      <c r="AB4196" s="2">
        <v>0</v>
      </c>
    </row>
    <row r="4197" spans="1:28" hidden="1" x14ac:dyDescent="0.25">
      <c r="A4197" t="s">
        <v>47</v>
      </c>
      <c r="B4197" t="s">
        <v>47</v>
      </c>
      <c r="C4197" t="s">
        <v>212</v>
      </c>
      <c r="D4197" s="1">
        <v>46148</v>
      </c>
      <c r="E4197" s="1">
        <v>46148</v>
      </c>
      <c r="F4197" s="2">
        <v>0</v>
      </c>
      <c r="G4197" s="3" t="s">
        <v>129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 t="s">
        <v>377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</row>
    <row r="4198" spans="1:28" hidden="1" x14ac:dyDescent="0.25">
      <c r="A4198" t="s">
        <v>25</v>
      </c>
      <c r="B4198" t="s">
        <v>26</v>
      </c>
      <c r="C4198" t="s">
        <v>27</v>
      </c>
      <c r="D4198" s="1">
        <v>46149</v>
      </c>
      <c r="E4198" s="1">
        <v>46149</v>
      </c>
      <c r="F4198" s="2">
        <v>20</v>
      </c>
      <c r="G4198" s="3" t="s">
        <v>23</v>
      </c>
      <c r="H4198">
        <f>11+11</f>
        <v>22</v>
      </c>
      <c r="I4198" s="2">
        <v>0</v>
      </c>
      <c r="J4198" s="2">
        <v>0</v>
      </c>
      <c r="K4198" s="2">
        <v>0</v>
      </c>
      <c r="L4198" s="2">
        <v>1</v>
      </c>
      <c r="M4198">
        <v>0</v>
      </c>
      <c r="N4198">
        <v>0</v>
      </c>
      <c r="O4198" s="2">
        <v>0</v>
      </c>
      <c r="P4198" s="2">
        <v>0</v>
      </c>
      <c r="Q4198">
        <v>0</v>
      </c>
      <c r="R4198" s="2">
        <v>0</v>
      </c>
      <c r="S4198" s="2">
        <v>0</v>
      </c>
      <c r="T4198" t="s">
        <v>1994</v>
      </c>
      <c r="U4198" s="2">
        <v>0</v>
      </c>
      <c r="V4198" s="2">
        <f>20+20</f>
        <v>40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</row>
    <row r="4199" spans="1:28" hidden="1" x14ac:dyDescent="0.25">
      <c r="A4199" t="s">
        <v>37</v>
      </c>
      <c r="B4199" t="s">
        <v>57</v>
      </c>
      <c r="C4199" t="s">
        <v>173</v>
      </c>
      <c r="D4199" s="1">
        <v>46149</v>
      </c>
      <c r="E4199" s="1">
        <v>46149</v>
      </c>
      <c r="F4199" s="2">
        <v>29</v>
      </c>
      <c r="G4199" s="3" t="s">
        <v>23</v>
      </c>
      <c r="H4199">
        <f>16+16</f>
        <v>32</v>
      </c>
      <c r="I4199" s="2">
        <v>0</v>
      </c>
      <c r="J4199" s="2">
        <v>0</v>
      </c>
      <c r="K4199" s="2">
        <v>1</v>
      </c>
      <c r="L4199" s="2">
        <v>0</v>
      </c>
      <c r="M4199">
        <v>0</v>
      </c>
      <c r="N4199">
        <v>0</v>
      </c>
      <c r="O4199" s="2">
        <v>0</v>
      </c>
      <c r="P4199" s="2">
        <v>0</v>
      </c>
      <c r="Q4199">
        <v>0</v>
      </c>
      <c r="R4199" s="2">
        <v>0</v>
      </c>
      <c r="S4199" s="2">
        <v>0</v>
      </c>
      <c r="T4199" t="s">
        <v>1995</v>
      </c>
      <c r="U4199" s="2">
        <v>0</v>
      </c>
      <c r="V4199" s="2">
        <f>22+10+2</f>
        <v>34</v>
      </c>
      <c r="W4199" s="2">
        <v>15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</row>
    <row r="4200" spans="1:28" hidden="1" x14ac:dyDescent="0.25">
      <c r="A4200" t="s">
        <v>53</v>
      </c>
      <c r="B4200" t="s">
        <v>47</v>
      </c>
      <c r="C4200" t="s">
        <v>173</v>
      </c>
      <c r="D4200" s="1">
        <v>46149</v>
      </c>
      <c r="E4200" s="1">
        <v>46149</v>
      </c>
      <c r="F4200" s="2">
        <v>29</v>
      </c>
      <c r="G4200" s="3" t="s">
        <v>23</v>
      </c>
      <c r="H4200">
        <v>0</v>
      </c>
      <c r="I4200" s="2">
        <v>0</v>
      </c>
      <c r="J4200" s="2">
        <v>0</v>
      </c>
      <c r="K4200" s="2">
        <v>0</v>
      </c>
      <c r="L4200" s="2">
        <v>0</v>
      </c>
      <c r="M4200">
        <v>0</v>
      </c>
      <c r="N4200">
        <v>0</v>
      </c>
      <c r="O4200" s="2">
        <v>0</v>
      </c>
      <c r="P4200" s="2">
        <v>0</v>
      </c>
      <c r="Q4200">
        <v>0</v>
      </c>
      <c r="R4200" s="2">
        <v>0</v>
      </c>
      <c r="S4200" s="2">
        <v>0</v>
      </c>
      <c r="T4200" t="s">
        <v>1995</v>
      </c>
      <c r="U4200" s="2">
        <v>0</v>
      </c>
      <c r="V4200" s="2">
        <f>22+10+2</f>
        <v>34</v>
      </c>
      <c r="W4200" s="2">
        <v>10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</row>
    <row r="4201" spans="1:28" hidden="1" x14ac:dyDescent="0.25">
      <c r="A4201" t="s">
        <v>56</v>
      </c>
      <c r="B4201" t="s">
        <v>1160</v>
      </c>
      <c r="C4201" t="s">
        <v>64</v>
      </c>
      <c r="D4201" s="1">
        <v>46149</v>
      </c>
      <c r="E4201" s="1">
        <v>46149</v>
      </c>
      <c r="F4201" s="2">
        <v>60</v>
      </c>
      <c r="G4201" s="3" t="s">
        <v>23</v>
      </c>
      <c r="H4201">
        <f>18+18</f>
        <v>36</v>
      </c>
      <c r="I4201" s="2">
        <v>0</v>
      </c>
      <c r="J4201" s="2">
        <v>0</v>
      </c>
      <c r="K4201" s="2">
        <v>1</v>
      </c>
      <c r="L4201" s="2">
        <v>0</v>
      </c>
      <c r="M4201">
        <v>0</v>
      </c>
      <c r="N4201">
        <v>0</v>
      </c>
      <c r="O4201" s="2">
        <v>0</v>
      </c>
      <c r="P4201" s="2">
        <v>0</v>
      </c>
      <c r="Q4201">
        <v>0</v>
      </c>
      <c r="R4201" s="2">
        <v>0</v>
      </c>
      <c r="S4201" s="2">
        <v>0</v>
      </c>
      <c r="T4201" t="s">
        <v>1996</v>
      </c>
      <c r="U4201" s="2">
        <v>0</v>
      </c>
      <c r="V4201" s="2">
        <f>10+7+20</f>
        <v>37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</row>
    <row r="4202" spans="1:28" hidden="1" x14ac:dyDescent="0.25">
      <c r="A4202" t="s">
        <v>33</v>
      </c>
      <c r="B4202" t="s">
        <v>34</v>
      </c>
      <c r="C4202" t="s">
        <v>35</v>
      </c>
      <c r="D4202" s="1">
        <v>46149</v>
      </c>
      <c r="E4202" s="1">
        <v>46149</v>
      </c>
      <c r="F4202" s="2">
        <v>33</v>
      </c>
      <c r="G4202" s="3" t="s">
        <v>23</v>
      </c>
      <c r="H4202">
        <f>20+20</f>
        <v>40</v>
      </c>
      <c r="I4202" s="2">
        <v>0</v>
      </c>
      <c r="J4202" s="2">
        <v>0</v>
      </c>
      <c r="K4202" s="2">
        <v>1</v>
      </c>
      <c r="L4202" s="2">
        <v>0</v>
      </c>
      <c r="M4202">
        <v>0</v>
      </c>
      <c r="N4202">
        <v>0</v>
      </c>
      <c r="O4202" s="2">
        <v>0</v>
      </c>
      <c r="P4202" s="2">
        <v>0</v>
      </c>
      <c r="Q4202">
        <v>0</v>
      </c>
      <c r="R4202" s="2">
        <v>0</v>
      </c>
      <c r="S4202" s="2">
        <v>0</v>
      </c>
      <c r="T4202" t="s">
        <v>1997</v>
      </c>
      <c r="U4202" s="2">
        <v>0</v>
      </c>
      <c r="V4202" s="2">
        <f>20+20</f>
        <v>40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</row>
    <row r="4203" spans="1:28" hidden="1" x14ac:dyDescent="0.25">
      <c r="A4203" t="s">
        <v>63</v>
      </c>
      <c r="B4203" t="s">
        <v>284</v>
      </c>
      <c r="C4203" t="s">
        <v>102</v>
      </c>
      <c r="D4203" s="1">
        <v>46149</v>
      </c>
      <c r="E4203" s="1">
        <v>46149</v>
      </c>
      <c r="F4203" s="2">
        <v>27</v>
      </c>
      <c r="G4203" s="3" t="s">
        <v>23</v>
      </c>
      <c r="H4203">
        <f>1+2+1+10+10</f>
        <v>24</v>
      </c>
      <c r="I4203" s="2">
        <v>0</v>
      </c>
      <c r="J4203" s="2">
        <v>0</v>
      </c>
      <c r="K4203" s="2">
        <v>1</v>
      </c>
      <c r="L4203" s="2">
        <v>0</v>
      </c>
      <c r="M4203">
        <v>0</v>
      </c>
      <c r="N4203">
        <v>0</v>
      </c>
      <c r="O4203" s="2">
        <v>0</v>
      </c>
      <c r="P4203" s="2">
        <v>0</v>
      </c>
      <c r="Q4203">
        <v>1</v>
      </c>
      <c r="R4203" s="2">
        <v>0</v>
      </c>
      <c r="S4203" s="2">
        <v>0</v>
      </c>
      <c r="T4203" t="s">
        <v>1998</v>
      </c>
      <c r="U4203" s="2">
        <v>0</v>
      </c>
      <c r="V4203" s="2">
        <f>7+10</f>
        <v>17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</row>
    <row r="4204" spans="1:28" hidden="1" x14ac:dyDescent="0.25">
      <c r="A4204" t="s">
        <v>47</v>
      </c>
      <c r="B4204" t="s">
        <v>38</v>
      </c>
      <c r="C4204" t="s">
        <v>102</v>
      </c>
      <c r="D4204" s="1">
        <v>46149</v>
      </c>
      <c r="E4204" s="1">
        <v>46149</v>
      </c>
      <c r="F4204" s="2">
        <v>27</v>
      </c>
      <c r="G4204" s="3" t="s">
        <v>23</v>
      </c>
      <c r="H4204">
        <f>1+2+1+10</f>
        <v>14</v>
      </c>
      <c r="I4204" s="2">
        <v>0</v>
      </c>
      <c r="J4204" s="2">
        <v>0</v>
      </c>
      <c r="K4204" s="2">
        <v>0</v>
      </c>
      <c r="L4204" s="2">
        <v>0</v>
      </c>
      <c r="M4204">
        <v>0</v>
      </c>
      <c r="N4204">
        <v>0</v>
      </c>
      <c r="O4204" s="2">
        <v>0</v>
      </c>
      <c r="P4204" s="2">
        <v>0</v>
      </c>
      <c r="Q4204">
        <v>1</v>
      </c>
      <c r="R4204" s="2">
        <v>0</v>
      </c>
      <c r="S4204" s="2">
        <v>0</v>
      </c>
      <c r="T4204" t="s">
        <v>1998</v>
      </c>
      <c r="U4204" s="2">
        <v>0</v>
      </c>
      <c r="V4204" s="2">
        <v>22</v>
      </c>
      <c r="W4204" s="2">
        <v>10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</row>
    <row r="4205" spans="1:28" hidden="1" x14ac:dyDescent="0.25">
      <c r="A4205" t="s">
        <v>29</v>
      </c>
      <c r="B4205" t="s">
        <v>30</v>
      </c>
      <c r="C4205" t="s">
        <v>31</v>
      </c>
      <c r="D4205" s="1">
        <v>46149</v>
      </c>
      <c r="E4205" s="1">
        <v>46149</v>
      </c>
      <c r="F4205" s="2">
        <v>22</v>
      </c>
      <c r="G4205" s="3" t="s">
        <v>23</v>
      </c>
      <c r="H4205">
        <f>10+10+2+4+1+3+5</f>
        <v>35</v>
      </c>
      <c r="I4205" s="2">
        <v>0</v>
      </c>
      <c r="J4205" s="2">
        <v>0</v>
      </c>
      <c r="K4205" s="2">
        <v>1</v>
      </c>
      <c r="L4205" s="2">
        <v>0</v>
      </c>
      <c r="M4205">
        <v>0</v>
      </c>
      <c r="N4205">
        <v>0</v>
      </c>
      <c r="O4205" s="2">
        <v>0</v>
      </c>
      <c r="P4205" s="2">
        <v>0</v>
      </c>
      <c r="Q4205">
        <v>0</v>
      </c>
      <c r="R4205" s="2">
        <v>0</v>
      </c>
      <c r="S4205" s="2">
        <v>0</v>
      </c>
      <c r="T4205" t="s">
        <v>1999</v>
      </c>
      <c r="U4205" s="2">
        <v>0</v>
      </c>
      <c r="V4205" s="2">
        <v>14</v>
      </c>
      <c r="W4205" s="2">
        <v>0</v>
      </c>
      <c r="X4205" s="2">
        <v>0</v>
      </c>
      <c r="Y4205" s="2">
        <v>0</v>
      </c>
      <c r="Z4205" s="2">
        <v>0</v>
      </c>
      <c r="AA4205" s="2">
        <v>0</v>
      </c>
      <c r="AB4205" s="2">
        <v>0</v>
      </c>
    </row>
    <row r="4206" spans="1:28" hidden="1" x14ac:dyDescent="0.25">
      <c r="A4206" t="s">
        <v>20</v>
      </c>
      <c r="B4206" t="s">
        <v>1323</v>
      </c>
      <c r="C4206" t="s">
        <v>22</v>
      </c>
      <c r="D4206" s="1">
        <v>46149</v>
      </c>
      <c r="E4206" s="1">
        <v>46149</v>
      </c>
      <c r="F4206" s="2">
        <v>43</v>
      </c>
      <c r="G4206" s="3" t="s">
        <v>23</v>
      </c>
      <c r="H4206">
        <v>0</v>
      </c>
      <c r="I4206" s="2">
        <v>0</v>
      </c>
      <c r="J4206" s="2">
        <v>0</v>
      </c>
      <c r="K4206" s="2">
        <v>0</v>
      </c>
      <c r="L4206" s="2">
        <v>0</v>
      </c>
      <c r="M4206">
        <v>0</v>
      </c>
      <c r="N4206">
        <v>0</v>
      </c>
      <c r="O4206" s="2">
        <v>0</v>
      </c>
      <c r="P4206" s="2">
        <v>0</v>
      </c>
      <c r="Q4206">
        <v>0</v>
      </c>
      <c r="R4206" s="2">
        <v>0</v>
      </c>
      <c r="S4206" s="2">
        <v>0</v>
      </c>
      <c r="T4206" t="s">
        <v>2000</v>
      </c>
      <c r="U4206" s="2">
        <v>0</v>
      </c>
      <c r="V4206" s="2">
        <v>36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</row>
    <row r="4207" spans="1:28" x14ac:dyDescent="0.25">
      <c r="A4207" t="s">
        <v>730</v>
      </c>
      <c r="B4207" t="s">
        <v>47</v>
      </c>
      <c r="C4207" t="s">
        <v>22</v>
      </c>
      <c r="D4207" s="1">
        <v>46149</v>
      </c>
      <c r="E4207" s="1">
        <v>46149</v>
      </c>
      <c r="F4207" s="2">
        <v>43</v>
      </c>
      <c r="G4207" s="3" t="s">
        <v>23</v>
      </c>
      <c r="H4207">
        <v>0</v>
      </c>
      <c r="I4207" s="2">
        <v>0</v>
      </c>
      <c r="J4207" s="2">
        <v>0</v>
      </c>
      <c r="K4207" s="2">
        <v>0</v>
      </c>
      <c r="L4207" s="2">
        <v>0</v>
      </c>
      <c r="M4207">
        <v>0</v>
      </c>
      <c r="N4207">
        <v>0</v>
      </c>
      <c r="O4207" s="2">
        <v>0</v>
      </c>
      <c r="P4207" s="2">
        <v>0</v>
      </c>
      <c r="Q4207">
        <v>0</v>
      </c>
      <c r="R4207" s="2">
        <v>0</v>
      </c>
      <c r="S4207" s="2">
        <v>0</v>
      </c>
      <c r="T4207" t="s">
        <v>2000</v>
      </c>
      <c r="U4207" s="2">
        <v>0</v>
      </c>
      <c r="V4207" s="2">
        <v>36</v>
      </c>
      <c r="W4207" s="2">
        <v>0</v>
      </c>
      <c r="X4207" s="2">
        <v>0</v>
      </c>
      <c r="Y4207" s="2">
        <v>0</v>
      </c>
      <c r="Z4207" s="2">
        <v>0</v>
      </c>
      <c r="AA4207" s="2">
        <v>0</v>
      </c>
      <c r="AB4207" s="2">
        <v>0</v>
      </c>
    </row>
    <row r="4208" spans="1:28" hidden="1" x14ac:dyDescent="0.25">
      <c r="A4208" t="s">
        <v>47</v>
      </c>
      <c r="B4208" t="s">
        <v>47</v>
      </c>
      <c r="C4208" t="s">
        <v>212</v>
      </c>
      <c r="D4208" s="1">
        <v>46149</v>
      </c>
      <c r="E4208" s="1">
        <v>46149</v>
      </c>
      <c r="F4208" s="2">
        <v>0</v>
      </c>
      <c r="G4208" s="3" t="s">
        <v>48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 t="s">
        <v>377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</row>
    <row r="4209" spans="1:28" hidden="1" x14ac:dyDescent="0.25">
      <c r="A4209" t="s">
        <v>47</v>
      </c>
      <c r="B4209" t="s">
        <v>47</v>
      </c>
      <c r="C4209" t="s">
        <v>212</v>
      </c>
      <c r="D4209" s="1">
        <v>46149</v>
      </c>
      <c r="E4209" s="1">
        <v>46149</v>
      </c>
      <c r="F4209" s="2">
        <v>0</v>
      </c>
      <c r="G4209" s="3" t="s">
        <v>48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 t="s">
        <v>377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  <c r="AA4209" s="2">
        <v>0</v>
      </c>
      <c r="AB4209" s="2">
        <v>0</v>
      </c>
    </row>
    <row r="4210" spans="1:28" hidden="1" x14ac:dyDescent="0.25">
      <c r="A4210" t="s">
        <v>47</v>
      </c>
      <c r="B4210" t="s">
        <v>47</v>
      </c>
      <c r="C4210" t="s">
        <v>212</v>
      </c>
      <c r="D4210" s="1">
        <v>46149</v>
      </c>
      <c r="E4210" s="1">
        <v>46149</v>
      </c>
      <c r="F4210" s="2">
        <v>0</v>
      </c>
      <c r="G4210" s="3" t="s">
        <v>614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 t="s">
        <v>377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0</v>
      </c>
      <c r="AA4210" s="2">
        <v>0</v>
      </c>
      <c r="AB4210" s="2">
        <v>0</v>
      </c>
    </row>
    <row r="4211" spans="1:28" hidden="1" x14ac:dyDescent="0.25">
      <c r="A4211" t="s">
        <v>47</v>
      </c>
      <c r="B4211" t="s">
        <v>47</v>
      </c>
      <c r="C4211" t="s">
        <v>212</v>
      </c>
      <c r="D4211" s="1">
        <v>46149</v>
      </c>
      <c r="E4211" s="1">
        <v>46149</v>
      </c>
      <c r="F4211" s="2">
        <v>0</v>
      </c>
      <c r="G4211" s="3" t="s">
        <v>48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377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0</v>
      </c>
      <c r="AA4211" s="2">
        <v>0</v>
      </c>
      <c r="AB4211" s="2">
        <v>0</v>
      </c>
    </row>
    <row r="4212" spans="1:28" hidden="1" x14ac:dyDescent="0.25">
      <c r="A4212" t="s">
        <v>47</v>
      </c>
      <c r="B4212" t="s">
        <v>47</v>
      </c>
      <c r="C4212" t="s">
        <v>212</v>
      </c>
      <c r="D4212" s="1">
        <v>46149</v>
      </c>
      <c r="E4212" s="1">
        <v>46149</v>
      </c>
      <c r="F4212" s="2">
        <v>0</v>
      </c>
      <c r="G4212" s="3" t="s">
        <v>572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377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</row>
    <row r="4213" spans="1:28" hidden="1" x14ac:dyDescent="0.25">
      <c r="A4213" t="s">
        <v>47</v>
      </c>
      <c r="B4213" t="s">
        <v>47</v>
      </c>
      <c r="C4213" t="s">
        <v>212</v>
      </c>
      <c r="D4213" s="1">
        <v>46149</v>
      </c>
      <c r="E4213" s="1">
        <v>46149</v>
      </c>
      <c r="F4213" s="2">
        <v>0</v>
      </c>
      <c r="G4213" s="3" t="s">
        <v>572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 t="s">
        <v>377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</row>
    <row r="4214" spans="1:28" hidden="1" x14ac:dyDescent="0.25">
      <c r="A4214" t="s">
        <v>47</v>
      </c>
      <c r="B4214" t="s">
        <v>47</v>
      </c>
      <c r="C4214" t="s">
        <v>212</v>
      </c>
      <c r="D4214" s="1">
        <v>46149</v>
      </c>
      <c r="E4214" s="1">
        <v>46149</v>
      </c>
      <c r="F4214" s="2">
        <v>0</v>
      </c>
      <c r="G4214" s="3" t="s">
        <v>572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 t="s">
        <v>377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</row>
    <row r="4215" spans="1:28" hidden="1" x14ac:dyDescent="0.25">
      <c r="A4215" t="s">
        <v>47</v>
      </c>
      <c r="B4215" t="s">
        <v>47</v>
      </c>
      <c r="C4215" t="s">
        <v>212</v>
      </c>
      <c r="D4215" s="1">
        <v>46149</v>
      </c>
      <c r="E4215" s="1">
        <v>46149</v>
      </c>
      <c r="F4215" s="2">
        <v>0</v>
      </c>
      <c r="G4215" s="3" t="s">
        <v>572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377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</row>
    <row r="4216" spans="1:28" hidden="1" x14ac:dyDescent="0.25">
      <c r="A4216" t="s">
        <v>47</v>
      </c>
      <c r="B4216" t="s">
        <v>21</v>
      </c>
      <c r="C4216" t="s">
        <v>212</v>
      </c>
      <c r="D4216" s="1">
        <v>46149</v>
      </c>
      <c r="E4216" s="1">
        <v>46149</v>
      </c>
      <c r="F4216" s="2">
        <v>0</v>
      </c>
      <c r="G4216" s="3" t="s">
        <v>409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 t="s">
        <v>377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0</v>
      </c>
    </row>
    <row r="4217" spans="1:28" hidden="1" x14ac:dyDescent="0.25">
      <c r="A4217" t="s">
        <v>47</v>
      </c>
      <c r="B4217" t="s">
        <v>47</v>
      </c>
      <c r="C4217" t="s">
        <v>212</v>
      </c>
      <c r="D4217" s="1">
        <v>46149</v>
      </c>
      <c r="E4217" s="1">
        <v>46149</v>
      </c>
      <c r="F4217" s="2">
        <v>0</v>
      </c>
      <c r="G4217" s="3" t="s">
        <v>129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377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0</v>
      </c>
      <c r="AB4217" s="2">
        <v>0</v>
      </c>
    </row>
    <row r="4218" spans="1:28" hidden="1" x14ac:dyDescent="0.25">
      <c r="A4218" t="s">
        <v>25</v>
      </c>
      <c r="B4218" t="s">
        <v>26</v>
      </c>
      <c r="C4218" t="s">
        <v>27</v>
      </c>
      <c r="D4218" s="1">
        <v>46150</v>
      </c>
      <c r="E4218" s="1">
        <v>46150</v>
      </c>
      <c r="F4218" s="2">
        <v>28</v>
      </c>
      <c r="G4218" s="3" t="s">
        <v>23</v>
      </c>
      <c r="H4218">
        <f>9+4+9+4</f>
        <v>26</v>
      </c>
      <c r="I4218" s="2">
        <v>0</v>
      </c>
      <c r="J4218" s="2">
        <v>0</v>
      </c>
      <c r="K4218" s="2">
        <v>0</v>
      </c>
      <c r="L4218" s="2">
        <v>1</v>
      </c>
      <c r="M4218">
        <v>0</v>
      </c>
      <c r="N4218">
        <v>0</v>
      </c>
      <c r="O4218" s="2">
        <v>0</v>
      </c>
      <c r="P4218" s="2">
        <v>0</v>
      </c>
      <c r="Q4218">
        <v>0</v>
      </c>
      <c r="R4218" s="2">
        <v>0</v>
      </c>
      <c r="S4218" s="2">
        <v>0</v>
      </c>
      <c r="T4218" t="s">
        <v>2001</v>
      </c>
      <c r="U4218" s="2">
        <v>0</v>
      </c>
      <c r="V4218" s="2">
        <f>20+20</f>
        <v>40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</row>
    <row r="4219" spans="1:28" hidden="1" x14ac:dyDescent="0.25">
      <c r="A4219" t="s">
        <v>37</v>
      </c>
      <c r="B4219" t="s">
        <v>57</v>
      </c>
      <c r="C4219" t="s">
        <v>173</v>
      </c>
      <c r="D4219" s="1">
        <v>46150</v>
      </c>
      <c r="E4219" s="1">
        <v>46150</v>
      </c>
      <c r="F4219" s="2">
        <v>25</v>
      </c>
      <c r="G4219" s="3" t="s">
        <v>23</v>
      </c>
      <c r="H4219">
        <f>8+8</f>
        <v>16</v>
      </c>
      <c r="I4219" s="2">
        <v>0</v>
      </c>
      <c r="J4219" s="2">
        <v>0</v>
      </c>
      <c r="K4219" s="2">
        <v>1</v>
      </c>
      <c r="L4219" s="2">
        <v>0</v>
      </c>
      <c r="M4219">
        <v>0</v>
      </c>
      <c r="N4219">
        <v>0</v>
      </c>
      <c r="O4219" s="2">
        <v>0</v>
      </c>
      <c r="P4219" s="2">
        <v>0</v>
      </c>
      <c r="Q4219">
        <v>0</v>
      </c>
      <c r="R4219" s="2">
        <v>0</v>
      </c>
      <c r="S4219" s="2">
        <v>0</v>
      </c>
      <c r="T4219" t="s">
        <v>2002</v>
      </c>
      <c r="U4219" s="2">
        <v>0</v>
      </c>
      <c r="V4219" s="2">
        <f>22+10+2+20+2+6</f>
        <v>62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</row>
    <row r="4220" spans="1:28" hidden="1" x14ac:dyDescent="0.25">
      <c r="A4220" t="s">
        <v>56</v>
      </c>
      <c r="B4220" t="s">
        <v>1160</v>
      </c>
      <c r="C4220" t="s">
        <v>64</v>
      </c>
      <c r="D4220" s="1">
        <v>46150</v>
      </c>
      <c r="E4220" s="1">
        <v>46150</v>
      </c>
      <c r="F4220" s="2">
        <v>49</v>
      </c>
      <c r="G4220" s="3" t="s">
        <v>23</v>
      </c>
      <c r="H4220">
        <f>18+18+2+1+2+1</f>
        <v>42</v>
      </c>
      <c r="I4220" s="2">
        <v>0</v>
      </c>
      <c r="J4220" s="2">
        <v>0</v>
      </c>
      <c r="K4220" s="2">
        <v>1</v>
      </c>
      <c r="L4220" s="2">
        <v>0</v>
      </c>
      <c r="M4220">
        <v>0</v>
      </c>
      <c r="N4220">
        <v>0</v>
      </c>
      <c r="O4220" s="2">
        <v>0</v>
      </c>
      <c r="P4220" s="2">
        <v>0</v>
      </c>
      <c r="Q4220">
        <v>0</v>
      </c>
      <c r="R4220" s="2">
        <v>0</v>
      </c>
      <c r="S4220" s="2">
        <v>0</v>
      </c>
      <c r="T4220" t="s">
        <v>2003</v>
      </c>
      <c r="U4220" s="2">
        <v>0</v>
      </c>
      <c r="V4220" s="2">
        <v>2</v>
      </c>
      <c r="W4220" s="2">
        <v>0</v>
      </c>
      <c r="X4220" s="2">
        <v>0</v>
      </c>
      <c r="Y4220" s="2">
        <v>0</v>
      </c>
      <c r="Z4220" s="2">
        <v>0</v>
      </c>
      <c r="AA4220" s="2">
        <v>0</v>
      </c>
      <c r="AB4220" s="2">
        <v>0</v>
      </c>
    </row>
    <row r="4221" spans="1:28" hidden="1" x14ac:dyDescent="0.25">
      <c r="A4221" t="s">
        <v>20</v>
      </c>
      <c r="B4221" t="s">
        <v>47</v>
      </c>
      <c r="C4221" t="s">
        <v>22</v>
      </c>
      <c r="D4221" s="1">
        <v>46150</v>
      </c>
      <c r="E4221" s="1">
        <v>46150</v>
      </c>
      <c r="F4221" s="2">
        <v>28</v>
      </c>
      <c r="G4221" s="3" t="s">
        <v>23</v>
      </c>
      <c r="H4221">
        <v>44</v>
      </c>
      <c r="I4221" s="2">
        <v>0</v>
      </c>
      <c r="J4221" s="2">
        <v>0</v>
      </c>
      <c r="K4221" s="2">
        <v>1</v>
      </c>
      <c r="L4221" s="2">
        <v>0</v>
      </c>
      <c r="M4221">
        <v>1</v>
      </c>
      <c r="N4221">
        <v>0</v>
      </c>
      <c r="O4221" s="2">
        <v>0</v>
      </c>
      <c r="P4221" s="2">
        <v>0</v>
      </c>
      <c r="Q4221">
        <v>0</v>
      </c>
      <c r="R4221" s="2">
        <v>0</v>
      </c>
      <c r="S4221" s="2">
        <v>0</v>
      </c>
      <c r="T4221" t="s">
        <v>2004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</row>
    <row r="4222" spans="1:28" x14ac:dyDescent="0.25">
      <c r="A4222" t="s">
        <v>730</v>
      </c>
      <c r="B4222" t="s">
        <v>47</v>
      </c>
      <c r="C4222" t="s">
        <v>22</v>
      </c>
      <c r="D4222" s="1">
        <v>46150</v>
      </c>
      <c r="E4222" s="1">
        <v>46150</v>
      </c>
      <c r="F4222" s="2">
        <v>28</v>
      </c>
      <c r="G4222" s="3" t="s">
        <v>23</v>
      </c>
      <c r="H4222">
        <v>44</v>
      </c>
      <c r="I4222" s="2">
        <v>0</v>
      </c>
      <c r="J4222" s="2">
        <v>0</v>
      </c>
      <c r="K4222" s="2">
        <v>1</v>
      </c>
      <c r="L4222" s="2">
        <v>0</v>
      </c>
      <c r="M4222">
        <v>1</v>
      </c>
      <c r="N4222">
        <v>0</v>
      </c>
      <c r="O4222" s="2">
        <v>0</v>
      </c>
      <c r="P4222" s="2">
        <v>0</v>
      </c>
      <c r="Q4222">
        <v>0</v>
      </c>
      <c r="R4222" s="2">
        <v>0</v>
      </c>
      <c r="S4222" s="2">
        <v>0</v>
      </c>
      <c r="T4222" t="s">
        <v>2004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</row>
    <row r="4223" spans="1:28" hidden="1" x14ac:dyDescent="0.25">
      <c r="A4223" t="s">
        <v>63</v>
      </c>
      <c r="B4223" t="s">
        <v>21</v>
      </c>
      <c r="C4223" t="s">
        <v>102</v>
      </c>
      <c r="D4223" s="1">
        <v>46150</v>
      </c>
      <c r="E4223" s="1">
        <v>46150</v>
      </c>
      <c r="F4223" s="2">
        <v>112</v>
      </c>
      <c r="G4223" s="3" t="s">
        <v>23</v>
      </c>
      <c r="H4223">
        <f>43-5</f>
        <v>38</v>
      </c>
      <c r="I4223" s="2">
        <v>0</v>
      </c>
      <c r="J4223" s="2">
        <v>0</v>
      </c>
      <c r="K4223" s="2">
        <v>1</v>
      </c>
      <c r="L4223" s="2">
        <v>0</v>
      </c>
      <c r="M4223">
        <v>1</v>
      </c>
      <c r="N4223">
        <v>0</v>
      </c>
      <c r="O4223" s="2">
        <v>0</v>
      </c>
      <c r="P4223" s="2">
        <v>0</v>
      </c>
      <c r="Q4223">
        <v>1</v>
      </c>
      <c r="R4223" s="2">
        <v>0</v>
      </c>
      <c r="S4223" s="2">
        <v>0</v>
      </c>
      <c r="T4223" t="s">
        <v>2005</v>
      </c>
      <c r="U4223" s="2">
        <v>0</v>
      </c>
      <c r="V4223" s="2">
        <v>5</v>
      </c>
      <c r="W4223" s="2">
        <v>22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</row>
    <row r="4224" spans="1:28" hidden="1" x14ac:dyDescent="0.25">
      <c r="A4224" t="s">
        <v>29</v>
      </c>
      <c r="B4224" t="s">
        <v>30</v>
      </c>
      <c r="C4224" t="s">
        <v>31</v>
      </c>
      <c r="D4224" s="1">
        <v>46150</v>
      </c>
      <c r="E4224" s="1">
        <v>46150</v>
      </c>
      <c r="F4224" s="2">
        <v>18</v>
      </c>
      <c r="G4224" s="3" t="s">
        <v>23</v>
      </c>
      <c r="H4224">
        <v>16</v>
      </c>
      <c r="I4224" s="2">
        <v>0</v>
      </c>
      <c r="J4224" s="2">
        <v>0</v>
      </c>
      <c r="K4224" s="2">
        <v>1</v>
      </c>
      <c r="L4224" s="2">
        <v>0</v>
      </c>
      <c r="M4224">
        <v>0</v>
      </c>
      <c r="N4224">
        <v>0</v>
      </c>
      <c r="O4224" s="2">
        <v>0</v>
      </c>
      <c r="P4224" s="2">
        <v>0</v>
      </c>
      <c r="Q4224">
        <v>0</v>
      </c>
      <c r="R4224" s="2">
        <v>0</v>
      </c>
      <c r="S4224" s="2">
        <v>0</v>
      </c>
      <c r="T4224" t="s">
        <v>2006</v>
      </c>
      <c r="U4224" s="2">
        <v>0</v>
      </c>
      <c r="V4224" s="2">
        <v>4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</row>
    <row r="4225" spans="1:28" hidden="1" x14ac:dyDescent="0.25">
      <c r="A4225" t="s">
        <v>53</v>
      </c>
      <c r="B4225" t="s">
        <v>38</v>
      </c>
      <c r="C4225" t="s">
        <v>31</v>
      </c>
      <c r="D4225" s="1">
        <v>46150</v>
      </c>
      <c r="E4225" s="1">
        <v>46150</v>
      </c>
      <c r="F4225" s="2">
        <v>18</v>
      </c>
      <c r="G4225" s="3" t="s">
        <v>23</v>
      </c>
      <c r="H4225">
        <v>16</v>
      </c>
      <c r="I4225" s="2">
        <v>0</v>
      </c>
      <c r="J4225" s="2">
        <v>0</v>
      </c>
      <c r="K4225" s="2">
        <v>1</v>
      </c>
      <c r="L4225" s="2">
        <v>0</v>
      </c>
      <c r="M4225">
        <v>0</v>
      </c>
      <c r="N4225">
        <v>0</v>
      </c>
      <c r="O4225" s="2">
        <v>0</v>
      </c>
      <c r="P4225" s="2">
        <v>0</v>
      </c>
      <c r="Q4225">
        <v>0</v>
      </c>
      <c r="R4225" s="2">
        <v>0</v>
      </c>
      <c r="S4225" s="2">
        <v>0</v>
      </c>
      <c r="T4225" t="s">
        <v>2006</v>
      </c>
      <c r="U4225" s="2">
        <v>0</v>
      </c>
      <c r="V4225" s="2">
        <f>8+4+5</f>
        <v>17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</row>
    <row r="4226" spans="1:28" hidden="1" x14ac:dyDescent="0.25">
      <c r="A4226" t="s">
        <v>33</v>
      </c>
      <c r="B4226" t="s">
        <v>284</v>
      </c>
      <c r="C4226" t="s">
        <v>212</v>
      </c>
      <c r="D4226" s="1">
        <v>46150</v>
      </c>
      <c r="E4226" s="1">
        <v>46150</v>
      </c>
      <c r="F4226" s="2">
        <v>0</v>
      </c>
      <c r="G4226" s="3" t="s">
        <v>48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 t="s">
        <v>377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</row>
    <row r="4227" spans="1:28" hidden="1" x14ac:dyDescent="0.25">
      <c r="A4227" t="s">
        <v>47</v>
      </c>
      <c r="B4227" t="s">
        <v>47</v>
      </c>
      <c r="C4227" t="s">
        <v>212</v>
      </c>
      <c r="D4227" s="1">
        <v>46150</v>
      </c>
      <c r="E4227" s="1">
        <v>46150</v>
      </c>
      <c r="F4227" s="2">
        <v>0</v>
      </c>
      <c r="G4227" s="3" t="s">
        <v>48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 t="s">
        <v>377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</row>
    <row r="4228" spans="1:28" hidden="1" x14ac:dyDescent="0.25">
      <c r="A4228" t="s">
        <v>47</v>
      </c>
      <c r="B4228" t="s">
        <v>47</v>
      </c>
      <c r="C4228" t="s">
        <v>212</v>
      </c>
      <c r="D4228" s="1">
        <v>46150</v>
      </c>
      <c r="E4228" s="1">
        <v>46150</v>
      </c>
      <c r="F4228" s="2">
        <v>0</v>
      </c>
      <c r="G4228" s="3" t="s">
        <v>614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 t="s">
        <v>377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</row>
    <row r="4229" spans="1:28" hidden="1" x14ac:dyDescent="0.25">
      <c r="A4229" t="s">
        <v>47</v>
      </c>
      <c r="B4229" t="s">
        <v>47</v>
      </c>
      <c r="C4229" t="s">
        <v>212</v>
      </c>
      <c r="D4229" s="1">
        <v>46150</v>
      </c>
      <c r="E4229" s="1">
        <v>46150</v>
      </c>
      <c r="F4229" s="2">
        <v>0</v>
      </c>
      <c r="G4229" s="3" t="s">
        <v>48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 t="s">
        <v>377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 s="2">
        <v>0</v>
      </c>
      <c r="AA4229" s="2">
        <v>0</v>
      </c>
      <c r="AB4229" s="2">
        <v>0</v>
      </c>
    </row>
    <row r="4230" spans="1:28" hidden="1" x14ac:dyDescent="0.25">
      <c r="A4230" t="s">
        <v>47</v>
      </c>
      <c r="B4230" t="s">
        <v>34</v>
      </c>
      <c r="C4230" t="s">
        <v>212</v>
      </c>
      <c r="D4230" s="1">
        <v>46150</v>
      </c>
      <c r="E4230" s="1">
        <v>46150</v>
      </c>
      <c r="F4230" s="2">
        <v>0</v>
      </c>
      <c r="G4230" s="3" t="s">
        <v>572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377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0</v>
      </c>
    </row>
    <row r="4231" spans="1:28" hidden="1" x14ac:dyDescent="0.25">
      <c r="A4231" t="s">
        <v>47</v>
      </c>
      <c r="B4231" t="s">
        <v>47</v>
      </c>
      <c r="C4231" t="s">
        <v>212</v>
      </c>
      <c r="D4231" s="1">
        <v>46150</v>
      </c>
      <c r="E4231" s="1">
        <v>46150</v>
      </c>
      <c r="F4231" s="2">
        <v>0</v>
      </c>
      <c r="G4231" s="3" t="s">
        <v>572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377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</row>
    <row r="4232" spans="1:28" hidden="1" x14ac:dyDescent="0.25">
      <c r="A4232" t="s">
        <v>47</v>
      </c>
      <c r="B4232" t="s">
        <v>47</v>
      </c>
      <c r="C4232" t="s">
        <v>212</v>
      </c>
      <c r="D4232" s="1">
        <v>46150</v>
      </c>
      <c r="E4232" s="1">
        <v>46150</v>
      </c>
      <c r="F4232" s="2">
        <v>0</v>
      </c>
      <c r="G4232" s="3" t="s">
        <v>572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 t="s">
        <v>377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</row>
    <row r="4233" spans="1:28" hidden="1" x14ac:dyDescent="0.25">
      <c r="A4233" t="s">
        <v>47</v>
      </c>
      <c r="B4233" t="s">
        <v>47</v>
      </c>
      <c r="C4233" t="s">
        <v>212</v>
      </c>
      <c r="D4233" s="1">
        <v>46150</v>
      </c>
      <c r="E4233" s="1">
        <v>46150</v>
      </c>
      <c r="F4233" s="2">
        <v>0</v>
      </c>
      <c r="G4233" s="3" t="s">
        <v>572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377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</row>
    <row r="4234" spans="1:28" hidden="1" x14ac:dyDescent="0.25">
      <c r="A4234" t="s">
        <v>47</v>
      </c>
      <c r="B4234" t="s">
        <v>1323</v>
      </c>
      <c r="C4234" t="s">
        <v>212</v>
      </c>
      <c r="D4234" s="1">
        <v>46150</v>
      </c>
      <c r="E4234" s="1">
        <v>46150</v>
      </c>
      <c r="F4234" s="2">
        <v>0</v>
      </c>
      <c r="G4234" s="3" t="s">
        <v>409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t="s">
        <v>377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</row>
    <row r="4235" spans="1:28" hidden="1" x14ac:dyDescent="0.25">
      <c r="A4235" t="s">
        <v>47</v>
      </c>
      <c r="B4235" t="s">
        <v>47</v>
      </c>
      <c r="C4235" t="s">
        <v>212</v>
      </c>
      <c r="D4235" s="1">
        <v>46150</v>
      </c>
      <c r="E4235" s="1">
        <v>46150</v>
      </c>
      <c r="F4235" s="2">
        <v>0</v>
      </c>
      <c r="G4235" s="3" t="s">
        <v>129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377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</row>
    <row r="4236" spans="1:28" hidden="1" x14ac:dyDescent="0.25">
      <c r="A4236" t="s">
        <v>25</v>
      </c>
      <c r="B4236" t="s">
        <v>26</v>
      </c>
      <c r="C4236" t="s">
        <v>27</v>
      </c>
      <c r="D4236" s="9">
        <v>46151</v>
      </c>
      <c r="E4236" s="9">
        <v>46151</v>
      </c>
      <c r="F4236" s="2">
        <v>83</v>
      </c>
      <c r="G4236" s="3" t="s">
        <v>23</v>
      </c>
      <c r="H4236">
        <v>0</v>
      </c>
      <c r="I4236" s="2">
        <v>0</v>
      </c>
      <c r="J4236" s="2">
        <v>0</v>
      </c>
      <c r="K4236" s="2">
        <v>0</v>
      </c>
      <c r="L4236" s="2">
        <v>0</v>
      </c>
      <c r="M4236">
        <v>0</v>
      </c>
      <c r="N4236">
        <v>0</v>
      </c>
      <c r="O4236" s="2">
        <v>1</v>
      </c>
      <c r="P4236" s="2">
        <v>0</v>
      </c>
      <c r="Q4236">
        <v>5</v>
      </c>
      <c r="R4236" s="2">
        <v>1</v>
      </c>
      <c r="S4236" s="2">
        <v>0</v>
      </c>
      <c r="T4236" t="s">
        <v>2007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  <c r="AA4236" s="2">
        <v>0</v>
      </c>
      <c r="AB4236" s="2">
        <v>0</v>
      </c>
    </row>
    <row r="4237" spans="1:28" hidden="1" x14ac:dyDescent="0.25">
      <c r="A4237" t="s">
        <v>37</v>
      </c>
      <c r="B4237" t="s">
        <v>57</v>
      </c>
      <c r="C4237" t="s">
        <v>173</v>
      </c>
      <c r="D4237" s="9">
        <v>46151</v>
      </c>
      <c r="E4237" s="9">
        <v>46151</v>
      </c>
      <c r="F4237" s="2">
        <v>72</v>
      </c>
      <c r="G4237" s="3" t="s">
        <v>23</v>
      </c>
      <c r="H4237">
        <v>0</v>
      </c>
      <c r="I4237" s="2">
        <v>0</v>
      </c>
      <c r="J4237" s="2">
        <v>0</v>
      </c>
      <c r="K4237" s="2">
        <v>0</v>
      </c>
      <c r="L4237" s="2">
        <v>0</v>
      </c>
      <c r="M4237">
        <v>0</v>
      </c>
      <c r="N4237">
        <v>0</v>
      </c>
      <c r="O4237" s="2">
        <v>0</v>
      </c>
      <c r="P4237" s="2">
        <v>0</v>
      </c>
      <c r="Q4237">
        <v>4</v>
      </c>
      <c r="R4237" s="2">
        <v>1</v>
      </c>
      <c r="S4237" s="2">
        <v>0</v>
      </c>
      <c r="T4237" t="s">
        <v>2008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1</v>
      </c>
      <c r="AB4237" s="2">
        <v>0</v>
      </c>
    </row>
    <row r="4238" spans="1:28" hidden="1" x14ac:dyDescent="0.25">
      <c r="A4238" t="s">
        <v>33</v>
      </c>
      <c r="B4238" t="s">
        <v>34</v>
      </c>
      <c r="C4238" t="s">
        <v>35</v>
      </c>
      <c r="D4238" s="9">
        <v>46151</v>
      </c>
      <c r="E4238" s="9">
        <v>46151</v>
      </c>
      <c r="F4238" s="2">
        <v>47</v>
      </c>
      <c r="G4238" s="3" t="s">
        <v>23</v>
      </c>
      <c r="H4238">
        <v>0</v>
      </c>
      <c r="I4238" s="2">
        <v>0</v>
      </c>
      <c r="J4238" s="2">
        <v>0</v>
      </c>
      <c r="K4238" s="2">
        <v>0</v>
      </c>
      <c r="L4238" s="2">
        <v>0</v>
      </c>
      <c r="M4238">
        <v>0</v>
      </c>
      <c r="N4238">
        <v>0</v>
      </c>
      <c r="O4238" s="2">
        <v>1</v>
      </c>
      <c r="P4238" s="2">
        <v>0</v>
      </c>
      <c r="Q4238">
        <v>4</v>
      </c>
      <c r="R4238" s="2">
        <v>1</v>
      </c>
      <c r="S4238" s="2">
        <v>0</v>
      </c>
      <c r="T4238" t="s">
        <v>2009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</row>
    <row r="4239" spans="1:28" hidden="1" x14ac:dyDescent="0.25">
      <c r="A4239" t="s">
        <v>56</v>
      </c>
      <c r="B4239" t="s">
        <v>1160</v>
      </c>
      <c r="C4239" t="s">
        <v>64</v>
      </c>
      <c r="D4239" s="9">
        <v>46151</v>
      </c>
      <c r="E4239" s="9">
        <v>46151</v>
      </c>
      <c r="F4239" s="2">
        <v>46</v>
      </c>
      <c r="G4239" s="3" t="s">
        <v>23</v>
      </c>
      <c r="H4239">
        <v>0</v>
      </c>
      <c r="I4239" s="2">
        <v>0</v>
      </c>
      <c r="J4239" s="2">
        <v>0</v>
      </c>
      <c r="K4239" s="2">
        <v>0</v>
      </c>
      <c r="L4239" s="2">
        <v>0</v>
      </c>
      <c r="M4239">
        <v>0</v>
      </c>
      <c r="N4239">
        <v>0</v>
      </c>
      <c r="O4239" s="2">
        <v>1</v>
      </c>
      <c r="P4239" s="2">
        <v>0</v>
      </c>
      <c r="Q4239">
        <v>10</v>
      </c>
      <c r="R4239" s="2">
        <v>1</v>
      </c>
      <c r="S4239" s="2">
        <v>0</v>
      </c>
      <c r="T4239" t="s">
        <v>2010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0</v>
      </c>
    </row>
    <row r="4240" spans="1:28" hidden="1" x14ac:dyDescent="0.25">
      <c r="A4240" t="s">
        <v>63</v>
      </c>
      <c r="B4240" t="s">
        <v>21</v>
      </c>
      <c r="C4240" t="s">
        <v>102</v>
      </c>
      <c r="D4240" s="9">
        <v>46151</v>
      </c>
      <c r="E4240" s="9">
        <v>46151</v>
      </c>
      <c r="F4240" s="2">
        <v>69</v>
      </c>
      <c r="G4240" s="3" t="s">
        <v>23</v>
      </c>
      <c r="H4240">
        <v>0</v>
      </c>
      <c r="I4240" s="2">
        <v>0</v>
      </c>
      <c r="J4240" s="2">
        <v>0</v>
      </c>
      <c r="K4240" s="2">
        <v>0</v>
      </c>
      <c r="L4240" s="2">
        <v>0</v>
      </c>
      <c r="M4240">
        <v>0</v>
      </c>
      <c r="N4240">
        <v>0</v>
      </c>
      <c r="O4240" s="2">
        <v>1</v>
      </c>
      <c r="P4240" s="2">
        <v>0</v>
      </c>
      <c r="Q4240">
        <v>13</v>
      </c>
      <c r="R4240" s="2">
        <v>1</v>
      </c>
      <c r="S4240" s="2">
        <v>0</v>
      </c>
      <c r="T4240" t="s">
        <v>2011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 s="2">
        <v>0</v>
      </c>
      <c r="AA4240" s="2">
        <v>0</v>
      </c>
      <c r="AB4240" s="2">
        <v>0</v>
      </c>
    </row>
    <row r="4241" spans="1:28" hidden="1" x14ac:dyDescent="0.25">
      <c r="A4241" t="s">
        <v>29</v>
      </c>
      <c r="B4241" t="s">
        <v>30</v>
      </c>
      <c r="C4241" t="s">
        <v>102</v>
      </c>
      <c r="D4241" s="9">
        <v>46151</v>
      </c>
      <c r="E4241" s="9">
        <v>46151</v>
      </c>
      <c r="F4241" s="2">
        <v>69</v>
      </c>
      <c r="G4241" s="3" t="s">
        <v>23</v>
      </c>
      <c r="H4241">
        <v>0</v>
      </c>
      <c r="I4241" s="2">
        <v>0</v>
      </c>
      <c r="J4241" s="2">
        <v>0</v>
      </c>
      <c r="K4241" s="2">
        <v>0</v>
      </c>
      <c r="L4241" s="2">
        <v>0</v>
      </c>
      <c r="M4241">
        <v>0</v>
      </c>
      <c r="N4241">
        <v>0</v>
      </c>
      <c r="O4241" s="2">
        <v>1</v>
      </c>
      <c r="P4241" s="2">
        <v>0</v>
      </c>
      <c r="Q4241">
        <v>8</v>
      </c>
      <c r="R4241" s="2">
        <v>1</v>
      </c>
      <c r="S4241" s="2">
        <v>0</v>
      </c>
      <c r="T4241" t="s">
        <v>2011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 s="2">
        <v>0</v>
      </c>
      <c r="AA4241" s="2">
        <v>0</v>
      </c>
      <c r="AB4241" s="2">
        <v>0</v>
      </c>
    </row>
    <row r="4242" spans="1:28" x14ac:dyDescent="0.25">
      <c r="A4242" t="s">
        <v>730</v>
      </c>
      <c r="B4242" t="s">
        <v>1323</v>
      </c>
      <c r="C4242" t="s">
        <v>27</v>
      </c>
      <c r="D4242" s="9">
        <v>46151</v>
      </c>
      <c r="E4242" s="9">
        <v>46151</v>
      </c>
      <c r="F4242" s="2">
        <v>21</v>
      </c>
      <c r="G4242" s="3" t="s">
        <v>378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t="s">
        <v>1867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 s="2">
        <v>0</v>
      </c>
      <c r="AA4242" s="2">
        <v>0</v>
      </c>
      <c r="AB4242" s="2">
        <v>0</v>
      </c>
    </row>
    <row r="4243" spans="1:28" hidden="1" x14ac:dyDescent="0.25">
      <c r="A4243" t="s">
        <v>20</v>
      </c>
      <c r="B4243" t="s">
        <v>284</v>
      </c>
      <c r="C4243" t="s">
        <v>35</v>
      </c>
      <c r="D4243" s="9">
        <v>46151</v>
      </c>
      <c r="E4243" s="9">
        <v>46151</v>
      </c>
      <c r="F4243" s="2">
        <v>48</v>
      </c>
      <c r="G4243" s="3" t="s">
        <v>378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1868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 s="2">
        <v>0</v>
      </c>
      <c r="AA4243" s="2">
        <v>0</v>
      </c>
      <c r="AB4243" s="2">
        <v>0</v>
      </c>
    </row>
    <row r="4244" spans="1:28" hidden="1" x14ac:dyDescent="0.25">
      <c r="A4244" t="s">
        <v>53</v>
      </c>
      <c r="B4244" t="s">
        <v>38</v>
      </c>
      <c r="C4244" t="s">
        <v>64</v>
      </c>
      <c r="D4244" s="9">
        <v>46151</v>
      </c>
      <c r="E4244" s="9">
        <v>46151</v>
      </c>
      <c r="F4244" s="2">
        <v>64</v>
      </c>
      <c r="G4244" s="3" t="s">
        <v>378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1869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0</v>
      </c>
    </row>
    <row r="4245" spans="1:28" hidden="1" x14ac:dyDescent="0.25">
      <c r="A4245" t="s">
        <v>47</v>
      </c>
      <c r="B4245" t="s">
        <v>47</v>
      </c>
      <c r="C4245" t="s">
        <v>212</v>
      </c>
      <c r="D4245" s="9">
        <v>46151</v>
      </c>
      <c r="E4245" s="9">
        <v>46151</v>
      </c>
      <c r="F4245" s="2">
        <v>0</v>
      </c>
      <c r="G4245" s="3" t="s">
        <v>378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t="s">
        <v>377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 s="2">
        <v>0</v>
      </c>
      <c r="AA4245" s="2">
        <v>0</v>
      </c>
      <c r="AB4245" s="2">
        <v>0</v>
      </c>
    </row>
    <row r="4246" spans="1:28" hidden="1" x14ac:dyDescent="0.25">
      <c r="A4246" t="s">
        <v>47</v>
      </c>
      <c r="B4246" t="s">
        <v>47</v>
      </c>
      <c r="C4246" t="s">
        <v>212</v>
      </c>
      <c r="D4246" s="9">
        <v>46151</v>
      </c>
      <c r="E4246" s="9">
        <v>46151</v>
      </c>
      <c r="F4246" s="2">
        <v>0</v>
      </c>
      <c r="G4246" s="3" t="s">
        <v>378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377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 s="2">
        <v>0</v>
      </c>
      <c r="AA4246" s="2">
        <v>0</v>
      </c>
      <c r="AB4246" s="2">
        <v>0</v>
      </c>
    </row>
    <row r="4247" spans="1:28" hidden="1" x14ac:dyDescent="0.25">
      <c r="A4247" t="s">
        <v>47</v>
      </c>
      <c r="B4247" t="s">
        <v>47</v>
      </c>
      <c r="C4247" t="s">
        <v>212</v>
      </c>
      <c r="D4247" s="9">
        <v>46151</v>
      </c>
      <c r="E4247" s="9">
        <v>46151</v>
      </c>
      <c r="F4247" s="2">
        <v>0</v>
      </c>
      <c r="G4247" s="3" t="s">
        <v>378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377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</row>
    <row r="4248" spans="1:28" hidden="1" x14ac:dyDescent="0.25">
      <c r="A4248" t="s">
        <v>47</v>
      </c>
      <c r="B4248" t="s">
        <v>47</v>
      </c>
      <c r="C4248" t="s">
        <v>212</v>
      </c>
      <c r="D4248" s="9">
        <v>46151</v>
      </c>
      <c r="E4248" s="9">
        <v>46151</v>
      </c>
      <c r="F4248" s="2">
        <v>0</v>
      </c>
      <c r="G4248" s="3" t="s">
        <v>378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377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 s="2">
        <v>0</v>
      </c>
      <c r="AA4248" s="2">
        <v>0</v>
      </c>
      <c r="AB4248" s="2">
        <v>0</v>
      </c>
    </row>
    <row r="4249" spans="1:28" hidden="1" x14ac:dyDescent="0.25">
      <c r="A4249" t="s">
        <v>25</v>
      </c>
      <c r="B4249" t="s">
        <v>26</v>
      </c>
      <c r="C4249" t="s">
        <v>27</v>
      </c>
      <c r="D4249" s="9">
        <v>46152</v>
      </c>
      <c r="E4249" s="9">
        <v>46152</v>
      </c>
      <c r="F4249" s="2">
        <v>46</v>
      </c>
      <c r="G4249" s="3" t="s">
        <v>23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>
        <v>0</v>
      </c>
      <c r="N4249">
        <v>0</v>
      </c>
      <c r="O4249" s="2">
        <v>0</v>
      </c>
      <c r="P4249" s="2">
        <v>0</v>
      </c>
      <c r="Q4249">
        <v>3</v>
      </c>
      <c r="R4249" s="2">
        <v>0</v>
      </c>
      <c r="S4249" s="2">
        <v>1</v>
      </c>
      <c r="T4249" t="s">
        <v>2012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1</v>
      </c>
    </row>
    <row r="4250" spans="1:28" hidden="1" x14ac:dyDescent="0.25">
      <c r="A4250" t="s">
        <v>57</v>
      </c>
      <c r="B4250" t="s">
        <v>47</v>
      </c>
      <c r="C4250" t="s">
        <v>27</v>
      </c>
      <c r="D4250" s="9">
        <v>46152</v>
      </c>
      <c r="E4250" s="9">
        <v>46152</v>
      </c>
      <c r="F4250" s="2">
        <v>46</v>
      </c>
      <c r="G4250" s="3" t="s">
        <v>23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>
        <v>0</v>
      </c>
      <c r="N4250">
        <v>0</v>
      </c>
      <c r="O4250" s="2">
        <v>0</v>
      </c>
      <c r="P4250" s="2">
        <v>1</v>
      </c>
      <c r="Q4250">
        <v>2</v>
      </c>
      <c r="R4250" s="2">
        <v>0</v>
      </c>
      <c r="S4250" s="2">
        <v>1</v>
      </c>
      <c r="T4250" t="s">
        <v>2012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</row>
    <row r="4251" spans="1:28" hidden="1" x14ac:dyDescent="0.25">
      <c r="A4251" t="s">
        <v>56</v>
      </c>
      <c r="B4251" t="s">
        <v>1160</v>
      </c>
      <c r="C4251" t="s">
        <v>64</v>
      </c>
      <c r="D4251" s="9">
        <v>46152</v>
      </c>
      <c r="E4251" s="9">
        <v>46152</v>
      </c>
      <c r="F4251" s="2">
        <v>42</v>
      </c>
      <c r="G4251" s="3" t="s">
        <v>23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>
        <v>0</v>
      </c>
      <c r="N4251">
        <v>0</v>
      </c>
      <c r="O4251" s="2">
        <v>0</v>
      </c>
      <c r="P4251" s="2">
        <v>0</v>
      </c>
      <c r="Q4251">
        <v>7</v>
      </c>
      <c r="R4251" s="2">
        <v>0</v>
      </c>
      <c r="S4251" s="2">
        <v>1</v>
      </c>
      <c r="T4251" t="s">
        <v>2013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1</v>
      </c>
    </row>
    <row r="4252" spans="1:28" hidden="1" x14ac:dyDescent="0.25">
      <c r="A4252" t="s">
        <v>33</v>
      </c>
      <c r="B4252" t="s">
        <v>34</v>
      </c>
      <c r="C4252" t="s">
        <v>35</v>
      </c>
      <c r="D4252" s="9">
        <v>46152</v>
      </c>
      <c r="E4252" s="9">
        <v>46152</v>
      </c>
      <c r="F4252" s="2">
        <v>31</v>
      </c>
      <c r="G4252" s="3" t="s">
        <v>23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>
        <v>0</v>
      </c>
      <c r="N4252">
        <v>0</v>
      </c>
      <c r="O4252" s="2">
        <v>0</v>
      </c>
      <c r="P4252" s="2">
        <v>1</v>
      </c>
      <c r="Q4252">
        <v>2</v>
      </c>
      <c r="R4252" s="2">
        <v>0</v>
      </c>
      <c r="S4252" s="2">
        <v>1</v>
      </c>
      <c r="T4252" t="s">
        <v>2014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</row>
    <row r="4253" spans="1:28" hidden="1" x14ac:dyDescent="0.25">
      <c r="A4253" t="s">
        <v>63</v>
      </c>
      <c r="B4253" t="s">
        <v>21</v>
      </c>
      <c r="C4253" t="s">
        <v>102</v>
      </c>
      <c r="D4253" s="9">
        <v>46152</v>
      </c>
      <c r="E4253" s="9">
        <v>46152</v>
      </c>
      <c r="F4253" s="2">
        <v>21</v>
      </c>
      <c r="G4253" s="3" t="s">
        <v>23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>
        <v>0</v>
      </c>
      <c r="N4253">
        <v>0</v>
      </c>
      <c r="O4253" s="2">
        <v>0</v>
      </c>
      <c r="P4253" s="2">
        <v>1</v>
      </c>
      <c r="Q4253">
        <v>7</v>
      </c>
      <c r="R4253" s="2">
        <v>0</v>
      </c>
      <c r="S4253" s="2">
        <v>1</v>
      </c>
      <c r="T4253" t="s">
        <v>2015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</row>
    <row r="4254" spans="1:28" hidden="1" x14ac:dyDescent="0.25">
      <c r="A4254" t="s">
        <v>29</v>
      </c>
      <c r="B4254" t="s">
        <v>30</v>
      </c>
      <c r="C4254" t="s">
        <v>31</v>
      </c>
      <c r="D4254" s="9">
        <v>46152</v>
      </c>
      <c r="E4254" s="9">
        <v>46152</v>
      </c>
      <c r="F4254" s="2">
        <v>24</v>
      </c>
      <c r="G4254" s="3" t="s">
        <v>23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>
        <v>0</v>
      </c>
      <c r="N4254">
        <v>0</v>
      </c>
      <c r="O4254" s="2">
        <v>0</v>
      </c>
      <c r="P4254" s="2">
        <v>1</v>
      </c>
      <c r="Q4254">
        <v>2</v>
      </c>
      <c r="R4254" s="2">
        <v>0</v>
      </c>
      <c r="S4254" s="2">
        <v>1</v>
      </c>
      <c r="T4254" t="s">
        <v>2016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</row>
    <row r="4255" spans="1:28" x14ac:dyDescent="0.25">
      <c r="A4255" t="s">
        <v>730</v>
      </c>
      <c r="B4255" t="s">
        <v>1323</v>
      </c>
      <c r="C4255" t="s">
        <v>27</v>
      </c>
      <c r="D4255" s="9">
        <v>46152</v>
      </c>
      <c r="E4255" s="9">
        <v>46152</v>
      </c>
      <c r="F4255" s="2">
        <v>21</v>
      </c>
      <c r="G4255" s="3" t="s">
        <v>378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t="s">
        <v>1867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 s="2">
        <v>0</v>
      </c>
      <c r="AA4255" s="2">
        <v>0</v>
      </c>
      <c r="AB4255" s="2">
        <v>0</v>
      </c>
    </row>
    <row r="4256" spans="1:28" hidden="1" x14ac:dyDescent="0.25">
      <c r="A4256" t="s">
        <v>20</v>
      </c>
      <c r="B4256" t="s">
        <v>284</v>
      </c>
      <c r="C4256" t="s">
        <v>35</v>
      </c>
      <c r="D4256" s="9">
        <v>46152</v>
      </c>
      <c r="E4256" s="9">
        <v>46152</v>
      </c>
      <c r="F4256" s="2">
        <v>48</v>
      </c>
      <c r="G4256" s="3" t="s">
        <v>378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 t="s">
        <v>1868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</row>
    <row r="4257" spans="1:28" hidden="1" x14ac:dyDescent="0.25">
      <c r="A4257" t="s">
        <v>53</v>
      </c>
      <c r="B4257" t="s">
        <v>38</v>
      </c>
      <c r="C4257" t="s">
        <v>64</v>
      </c>
      <c r="D4257" s="9">
        <v>46152</v>
      </c>
      <c r="E4257" s="9">
        <v>46152</v>
      </c>
      <c r="F4257" s="2">
        <v>64</v>
      </c>
      <c r="G4257" s="3" t="s">
        <v>378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t="s">
        <v>1869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 s="2">
        <v>0</v>
      </c>
      <c r="AA4257" s="2">
        <v>0</v>
      </c>
      <c r="AB4257" s="2">
        <v>0</v>
      </c>
    </row>
    <row r="4258" spans="1:28" hidden="1" x14ac:dyDescent="0.25">
      <c r="A4258" t="s">
        <v>37</v>
      </c>
      <c r="B4258" t="s">
        <v>47</v>
      </c>
      <c r="C4258" t="s">
        <v>212</v>
      </c>
      <c r="D4258" s="9">
        <v>46152</v>
      </c>
      <c r="E4258" s="9">
        <v>46152</v>
      </c>
      <c r="F4258" s="2">
        <v>0</v>
      </c>
      <c r="G4258" s="3" t="s">
        <v>2017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 t="s">
        <v>377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 s="2">
        <v>0</v>
      </c>
      <c r="AA4258" s="2">
        <v>0</v>
      </c>
      <c r="AB4258" s="2">
        <v>0</v>
      </c>
    </row>
    <row r="4259" spans="1:28" hidden="1" x14ac:dyDescent="0.25">
      <c r="A4259" t="s">
        <v>47</v>
      </c>
      <c r="B4259" t="s">
        <v>47</v>
      </c>
      <c r="C4259" t="s">
        <v>212</v>
      </c>
      <c r="D4259" s="9">
        <v>46152</v>
      </c>
      <c r="E4259" s="9">
        <v>46152</v>
      </c>
      <c r="F4259" s="2">
        <v>0</v>
      </c>
      <c r="G4259" s="3" t="s">
        <v>378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 t="s">
        <v>377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 s="2">
        <v>0</v>
      </c>
      <c r="AA4259" s="2">
        <v>0</v>
      </c>
      <c r="AB4259" s="2">
        <v>0</v>
      </c>
    </row>
    <row r="4260" spans="1:28" hidden="1" x14ac:dyDescent="0.25">
      <c r="A4260" t="s">
        <v>47</v>
      </c>
      <c r="B4260" t="s">
        <v>47</v>
      </c>
      <c r="C4260" t="s">
        <v>212</v>
      </c>
      <c r="D4260" s="9">
        <v>46152</v>
      </c>
      <c r="E4260" s="9">
        <v>46152</v>
      </c>
      <c r="F4260" s="2">
        <v>0</v>
      </c>
      <c r="G4260" s="3" t="s">
        <v>378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 t="s">
        <v>377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</row>
    <row r="4261" spans="1:28" hidden="1" x14ac:dyDescent="0.25">
      <c r="A4261" t="s">
        <v>47</v>
      </c>
      <c r="B4261" t="s">
        <v>47</v>
      </c>
      <c r="C4261" t="s">
        <v>212</v>
      </c>
      <c r="D4261" s="9">
        <v>46152</v>
      </c>
      <c r="E4261" s="9">
        <v>46152</v>
      </c>
      <c r="F4261" s="2">
        <v>0</v>
      </c>
      <c r="G4261" s="3" t="s">
        <v>378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 t="s">
        <v>377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 s="2">
        <v>0</v>
      </c>
      <c r="AA4261" s="2">
        <v>0</v>
      </c>
      <c r="AB4261" s="2">
        <v>0</v>
      </c>
    </row>
    <row r="4262" spans="1:28" hidden="1" x14ac:dyDescent="0.25">
      <c r="A4262" t="s">
        <v>33</v>
      </c>
      <c r="B4262" t="s">
        <v>34</v>
      </c>
      <c r="C4262" t="s">
        <v>35</v>
      </c>
      <c r="D4262" s="1">
        <v>46153</v>
      </c>
      <c r="E4262" s="1">
        <v>46153</v>
      </c>
      <c r="F4262" s="2">
        <v>19</v>
      </c>
      <c r="G4262" s="3" t="s">
        <v>23</v>
      </c>
      <c r="H4262">
        <v>0</v>
      </c>
      <c r="I4262" s="2">
        <v>0</v>
      </c>
      <c r="J4262" s="2">
        <v>0</v>
      </c>
      <c r="K4262" s="2">
        <v>0</v>
      </c>
      <c r="L4262" s="2">
        <v>0</v>
      </c>
      <c r="M4262">
        <v>0</v>
      </c>
      <c r="N4262">
        <v>0</v>
      </c>
      <c r="O4262" s="2">
        <v>0</v>
      </c>
      <c r="P4262" s="2">
        <v>0</v>
      </c>
      <c r="Q4262">
        <v>1</v>
      </c>
      <c r="R4262" s="2">
        <v>0</v>
      </c>
      <c r="S4262" s="2">
        <v>0</v>
      </c>
      <c r="T4262" t="s">
        <v>2018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</row>
    <row r="4263" spans="1:28" hidden="1" x14ac:dyDescent="0.25">
      <c r="A4263" t="s">
        <v>20</v>
      </c>
      <c r="B4263" t="s">
        <v>21</v>
      </c>
      <c r="C4263" t="s">
        <v>22</v>
      </c>
      <c r="D4263" s="1">
        <v>46153</v>
      </c>
      <c r="E4263" s="1">
        <v>46153</v>
      </c>
      <c r="F4263" s="2">
        <v>29</v>
      </c>
      <c r="G4263" s="3" t="s">
        <v>23</v>
      </c>
      <c r="H4263">
        <v>7</v>
      </c>
      <c r="I4263" s="2">
        <v>0</v>
      </c>
      <c r="J4263" s="2">
        <v>0</v>
      </c>
      <c r="K4263" s="2">
        <v>0</v>
      </c>
      <c r="L4263" s="2">
        <v>0</v>
      </c>
      <c r="M4263">
        <v>0</v>
      </c>
      <c r="N4263">
        <v>0</v>
      </c>
      <c r="O4263" s="2">
        <v>0</v>
      </c>
      <c r="P4263" s="2">
        <v>0</v>
      </c>
      <c r="Q4263">
        <v>1</v>
      </c>
      <c r="R4263" s="2">
        <v>0</v>
      </c>
      <c r="S4263" s="2">
        <v>0</v>
      </c>
      <c r="T4263" t="s">
        <v>2019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 s="2">
        <v>0</v>
      </c>
      <c r="AA4263" s="2">
        <v>0</v>
      </c>
      <c r="AB4263" s="2">
        <v>0</v>
      </c>
    </row>
    <row r="4264" spans="1:28" hidden="1" x14ac:dyDescent="0.25">
      <c r="A4264" t="s">
        <v>63</v>
      </c>
      <c r="B4264" t="s">
        <v>284</v>
      </c>
      <c r="C4264" t="s">
        <v>102</v>
      </c>
      <c r="D4264" s="1">
        <v>46153</v>
      </c>
      <c r="E4264" s="1">
        <v>46153</v>
      </c>
      <c r="F4264" s="2">
        <v>16</v>
      </c>
      <c r="G4264" s="3" t="s">
        <v>23</v>
      </c>
      <c r="H4264">
        <f>8+4+1+2</f>
        <v>15</v>
      </c>
      <c r="I4264" s="2">
        <v>0</v>
      </c>
      <c r="J4264" s="2">
        <v>0</v>
      </c>
      <c r="K4264" s="2">
        <v>0</v>
      </c>
      <c r="L4264" s="2">
        <v>0</v>
      </c>
      <c r="M4264">
        <v>0</v>
      </c>
      <c r="N4264">
        <v>0</v>
      </c>
      <c r="O4264" s="2">
        <v>0</v>
      </c>
      <c r="P4264" s="2">
        <v>0</v>
      </c>
      <c r="Q4264">
        <v>1</v>
      </c>
      <c r="R4264" s="2">
        <v>0</v>
      </c>
      <c r="S4264" s="2">
        <v>0</v>
      </c>
      <c r="T4264" t="s">
        <v>2020</v>
      </c>
      <c r="U4264" s="2">
        <v>0</v>
      </c>
      <c r="V4264" s="2">
        <v>2</v>
      </c>
      <c r="W4264" s="2">
        <v>0</v>
      </c>
      <c r="X4264" s="2">
        <v>0</v>
      </c>
      <c r="Y4264" s="2">
        <v>0</v>
      </c>
      <c r="Z4264" s="2">
        <v>0</v>
      </c>
      <c r="AA4264" s="2">
        <v>0</v>
      </c>
      <c r="AB4264" s="2">
        <v>0</v>
      </c>
    </row>
    <row r="4265" spans="1:28" hidden="1" x14ac:dyDescent="0.25">
      <c r="A4265" t="s">
        <v>29</v>
      </c>
      <c r="B4265" t="s">
        <v>30</v>
      </c>
      <c r="C4265" t="s">
        <v>22</v>
      </c>
      <c r="D4265" s="1">
        <v>46153</v>
      </c>
      <c r="E4265" s="1">
        <v>46153</v>
      </c>
      <c r="F4265" s="2">
        <v>29</v>
      </c>
      <c r="G4265" s="3" t="s">
        <v>23</v>
      </c>
      <c r="H4265">
        <v>7</v>
      </c>
      <c r="I4265" s="2">
        <v>0</v>
      </c>
      <c r="J4265" s="2">
        <v>0</v>
      </c>
      <c r="K4265" s="2">
        <v>0</v>
      </c>
      <c r="L4265" s="2">
        <v>0</v>
      </c>
      <c r="M4265">
        <v>0</v>
      </c>
      <c r="N4265">
        <v>0</v>
      </c>
      <c r="O4265" s="2">
        <v>0</v>
      </c>
      <c r="P4265" s="2">
        <v>0</v>
      </c>
      <c r="Q4265">
        <v>1</v>
      </c>
      <c r="R4265" s="2">
        <v>0</v>
      </c>
      <c r="S4265" s="2">
        <v>0</v>
      </c>
      <c r="T4265" t="s">
        <v>2019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 s="2">
        <v>0</v>
      </c>
      <c r="AA4265" s="2">
        <v>0</v>
      </c>
      <c r="AB4265" s="2">
        <v>0</v>
      </c>
    </row>
    <row r="4266" spans="1:28" hidden="1" x14ac:dyDescent="0.25">
      <c r="A4266" t="s">
        <v>47</v>
      </c>
      <c r="B4266" t="s">
        <v>47</v>
      </c>
      <c r="C4266" t="s">
        <v>212</v>
      </c>
      <c r="D4266" s="1">
        <v>46153</v>
      </c>
      <c r="E4266" s="1">
        <v>46153</v>
      </c>
      <c r="F4266" s="2">
        <v>0</v>
      </c>
      <c r="G4266" s="3" t="s">
        <v>48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377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0</v>
      </c>
    </row>
    <row r="4267" spans="1:28" hidden="1" x14ac:dyDescent="0.25">
      <c r="A4267" t="s">
        <v>47</v>
      </c>
      <c r="B4267" t="s">
        <v>47</v>
      </c>
      <c r="C4267" t="s">
        <v>212</v>
      </c>
      <c r="D4267" s="1">
        <v>46153</v>
      </c>
      <c r="E4267" s="1">
        <v>46153</v>
      </c>
      <c r="F4267" s="2">
        <v>0</v>
      </c>
      <c r="G4267" s="3" t="s">
        <v>48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 t="s">
        <v>377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</row>
    <row r="4268" spans="1:28" hidden="1" x14ac:dyDescent="0.25">
      <c r="A4268" t="s">
        <v>47</v>
      </c>
      <c r="B4268" t="s">
        <v>47</v>
      </c>
      <c r="C4268" t="s">
        <v>212</v>
      </c>
      <c r="D4268" s="1">
        <v>46153</v>
      </c>
      <c r="E4268" s="1">
        <v>46153</v>
      </c>
      <c r="F4268" s="2">
        <v>0</v>
      </c>
      <c r="G4268" s="3" t="s">
        <v>614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 t="s">
        <v>377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 s="2">
        <v>0</v>
      </c>
      <c r="AA4268" s="2">
        <v>0</v>
      </c>
      <c r="AB4268" s="2">
        <v>0</v>
      </c>
    </row>
    <row r="4269" spans="1:28" hidden="1" x14ac:dyDescent="0.25">
      <c r="A4269" t="s">
        <v>47</v>
      </c>
      <c r="B4269" t="s">
        <v>47</v>
      </c>
      <c r="C4269" t="s">
        <v>212</v>
      </c>
      <c r="D4269" s="1">
        <v>46153</v>
      </c>
      <c r="E4269" s="1">
        <v>46153</v>
      </c>
      <c r="F4269" s="2">
        <v>0</v>
      </c>
      <c r="G4269" s="3" t="s">
        <v>48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 t="s">
        <v>377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 s="2">
        <v>0</v>
      </c>
      <c r="AA4269" s="2">
        <v>0</v>
      </c>
      <c r="AB4269" s="2">
        <v>0</v>
      </c>
    </row>
    <row r="4270" spans="1:28" hidden="1" x14ac:dyDescent="0.25">
      <c r="A4270" t="s">
        <v>25</v>
      </c>
      <c r="B4270" t="s">
        <v>26</v>
      </c>
      <c r="C4270" t="s">
        <v>212</v>
      </c>
      <c r="D4270" s="1">
        <v>46153</v>
      </c>
      <c r="E4270" s="1">
        <v>46153</v>
      </c>
      <c r="F4270" s="2">
        <v>0</v>
      </c>
      <c r="G4270" s="3" t="s">
        <v>572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 t="s">
        <v>377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 s="2">
        <v>0</v>
      </c>
      <c r="AA4270" s="2">
        <v>0</v>
      </c>
      <c r="AB4270" s="2">
        <v>0</v>
      </c>
    </row>
    <row r="4271" spans="1:28" hidden="1" x14ac:dyDescent="0.25">
      <c r="A4271" t="s">
        <v>53</v>
      </c>
      <c r="B4271" t="s">
        <v>38</v>
      </c>
      <c r="C4271" t="s">
        <v>212</v>
      </c>
      <c r="D4271" s="1">
        <v>46153</v>
      </c>
      <c r="E4271" s="1">
        <v>46153</v>
      </c>
      <c r="F4271" s="2">
        <v>0</v>
      </c>
      <c r="G4271" s="3" t="s">
        <v>572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 t="s">
        <v>377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</row>
    <row r="4272" spans="1:28" hidden="1" x14ac:dyDescent="0.25">
      <c r="A4272" t="s">
        <v>56</v>
      </c>
      <c r="B4272" t="s">
        <v>57</v>
      </c>
      <c r="C4272" t="s">
        <v>212</v>
      </c>
      <c r="D4272" s="1">
        <v>46153</v>
      </c>
      <c r="E4272" s="1">
        <v>46153</v>
      </c>
      <c r="F4272" s="2">
        <v>0</v>
      </c>
      <c r="G4272" s="3" t="s">
        <v>572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 t="s">
        <v>377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</row>
    <row r="4273" spans="1:28" x14ac:dyDescent="0.25">
      <c r="A4273" t="s">
        <v>730</v>
      </c>
      <c r="B4273" t="s">
        <v>47</v>
      </c>
      <c r="C4273" t="s">
        <v>212</v>
      </c>
      <c r="D4273" s="1">
        <v>46153</v>
      </c>
      <c r="E4273" s="1">
        <v>46153</v>
      </c>
      <c r="F4273" s="2">
        <v>0</v>
      </c>
      <c r="G4273" s="3" t="s">
        <v>572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 t="s">
        <v>377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</row>
    <row r="4274" spans="1:28" hidden="1" x14ac:dyDescent="0.25">
      <c r="A4274" t="s">
        <v>37</v>
      </c>
      <c r="B4274" t="s">
        <v>47</v>
      </c>
      <c r="C4274" t="s">
        <v>212</v>
      </c>
      <c r="D4274" s="1">
        <v>46153</v>
      </c>
      <c r="E4274" s="1">
        <v>46153</v>
      </c>
      <c r="F4274" s="2">
        <v>0</v>
      </c>
      <c r="G4274" s="3" t="s">
        <v>2017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 t="s">
        <v>377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</row>
    <row r="4275" spans="1:28" hidden="1" x14ac:dyDescent="0.25">
      <c r="A4275" t="s">
        <v>47</v>
      </c>
      <c r="B4275" t="s">
        <v>1160</v>
      </c>
      <c r="C4275" t="s">
        <v>212</v>
      </c>
      <c r="D4275" s="1">
        <v>46153</v>
      </c>
      <c r="E4275" s="1">
        <v>46153</v>
      </c>
      <c r="F4275" s="2">
        <v>0</v>
      </c>
      <c r="G4275" s="3" t="s">
        <v>409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 t="s">
        <v>377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</row>
    <row r="4276" spans="1:28" hidden="1" x14ac:dyDescent="0.25">
      <c r="A4276" t="s">
        <v>47</v>
      </c>
      <c r="B4276" t="s">
        <v>1323</v>
      </c>
      <c r="C4276" t="s">
        <v>212</v>
      </c>
      <c r="D4276" s="1">
        <v>46153</v>
      </c>
      <c r="E4276" s="1">
        <v>46153</v>
      </c>
      <c r="F4276" s="2">
        <v>0</v>
      </c>
      <c r="G4276" s="3" t="s">
        <v>129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t="s">
        <v>377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</row>
    <row r="4277" spans="1:28" hidden="1" x14ac:dyDescent="0.25">
      <c r="A4277" t="s">
        <v>25</v>
      </c>
      <c r="B4277" t="s">
        <v>26</v>
      </c>
      <c r="C4277" t="s">
        <v>27</v>
      </c>
      <c r="D4277" s="1">
        <v>46154</v>
      </c>
      <c r="E4277" s="1">
        <v>46154</v>
      </c>
      <c r="F4277" s="2">
        <v>47</v>
      </c>
      <c r="G4277" s="3" t="s">
        <v>23</v>
      </c>
      <c r="H4277">
        <v>32</v>
      </c>
      <c r="I4277" s="2">
        <v>0</v>
      </c>
      <c r="J4277" s="2">
        <v>0</v>
      </c>
      <c r="K4277" s="2">
        <v>0</v>
      </c>
      <c r="L4277" s="2">
        <v>1</v>
      </c>
      <c r="M4277">
        <v>0</v>
      </c>
      <c r="N4277">
        <v>0</v>
      </c>
      <c r="O4277" s="2">
        <v>0</v>
      </c>
      <c r="P4277" s="2">
        <v>0</v>
      </c>
      <c r="Q4277">
        <v>0</v>
      </c>
      <c r="R4277" s="2">
        <v>0</v>
      </c>
      <c r="S4277" s="2">
        <v>0</v>
      </c>
      <c r="T4277" t="s">
        <v>2021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</row>
    <row r="4278" spans="1:28" hidden="1" x14ac:dyDescent="0.25">
      <c r="A4278" t="s">
        <v>56</v>
      </c>
      <c r="B4278" t="s">
        <v>1160</v>
      </c>
      <c r="C4278" t="s">
        <v>64</v>
      </c>
      <c r="D4278" s="1">
        <v>46154</v>
      </c>
      <c r="E4278" s="1">
        <v>46154</v>
      </c>
      <c r="F4278" s="2">
        <v>103</v>
      </c>
      <c r="G4278" s="3" t="s">
        <v>23</v>
      </c>
      <c r="H4278">
        <f>31-3</f>
        <v>28</v>
      </c>
      <c r="I4278" s="2">
        <v>0</v>
      </c>
      <c r="J4278" s="2">
        <v>0</v>
      </c>
      <c r="K4278" s="2">
        <v>1</v>
      </c>
      <c r="L4278" s="2">
        <v>0</v>
      </c>
      <c r="M4278">
        <v>0</v>
      </c>
      <c r="N4278">
        <v>0</v>
      </c>
      <c r="O4278" s="2">
        <v>0</v>
      </c>
      <c r="P4278" s="2">
        <v>0</v>
      </c>
      <c r="Q4278">
        <v>1</v>
      </c>
      <c r="R4278" s="2">
        <v>0</v>
      </c>
      <c r="S4278" s="2">
        <v>0</v>
      </c>
      <c r="T4278" t="s">
        <v>2022</v>
      </c>
      <c r="U4278" s="2">
        <v>0</v>
      </c>
      <c r="V4278" s="2">
        <v>3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</row>
    <row r="4279" spans="1:28" x14ac:dyDescent="0.25">
      <c r="A4279" t="s">
        <v>730</v>
      </c>
      <c r="B4279" t="s">
        <v>57</v>
      </c>
      <c r="C4279" t="s">
        <v>1370</v>
      </c>
      <c r="D4279" s="1">
        <v>46154</v>
      </c>
      <c r="E4279" s="1">
        <v>46154</v>
      </c>
      <c r="F4279" s="2">
        <v>34</v>
      </c>
      <c r="G4279" s="3" t="s">
        <v>23</v>
      </c>
      <c r="H4279">
        <v>48</v>
      </c>
      <c r="I4279" s="2">
        <v>0</v>
      </c>
      <c r="J4279" s="2">
        <v>0</v>
      </c>
      <c r="K4279" s="2">
        <v>1</v>
      </c>
      <c r="L4279" s="2">
        <v>0</v>
      </c>
      <c r="M4279">
        <v>0</v>
      </c>
      <c r="N4279">
        <v>0</v>
      </c>
      <c r="O4279" s="2">
        <v>0</v>
      </c>
      <c r="P4279" s="2">
        <v>0</v>
      </c>
      <c r="Q4279">
        <v>0</v>
      </c>
      <c r="R4279" s="2">
        <v>0</v>
      </c>
      <c r="S4279" s="2">
        <v>0</v>
      </c>
      <c r="T4279" t="s">
        <v>2023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</row>
    <row r="4280" spans="1:28" hidden="1" x14ac:dyDescent="0.25">
      <c r="A4280" t="s">
        <v>53</v>
      </c>
      <c r="B4280" t="s">
        <v>38</v>
      </c>
      <c r="C4280" t="s">
        <v>54</v>
      </c>
      <c r="D4280" s="1">
        <v>46154</v>
      </c>
      <c r="E4280" s="1">
        <v>46154</v>
      </c>
      <c r="F4280" s="2">
        <v>32</v>
      </c>
      <c r="G4280" s="3" t="s">
        <v>23</v>
      </c>
      <c r="H4280">
        <v>44</v>
      </c>
      <c r="I4280" s="2">
        <v>0</v>
      </c>
      <c r="J4280" s="2">
        <v>0</v>
      </c>
      <c r="K4280" s="2">
        <v>1</v>
      </c>
      <c r="L4280" s="2">
        <v>0</v>
      </c>
      <c r="M4280">
        <v>0</v>
      </c>
      <c r="N4280">
        <v>0</v>
      </c>
      <c r="O4280" s="2">
        <v>0</v>
      </c>
      <c r="P4280" s="2">
        <v>0</v>
      </c>
      <c r="Q4280">
        <v>0</v>
      </c>
      <c r="R4280" s="2">
        <v>0</v>
      </c>
      <c r="S4280" s="2">
        <v>0</v>
      </c>
      <c r="T4280" t="s">
        <v>2024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</row>
    <row r="4281" spans="1:28" hidden="1" x14ac:dyDescent="0.25">
      <c r="A4281" t="s">
        <v>63</v>
      </c>
      <c r="B4281" t="s">
        <v>284</v>
      </c>
      <c r="C4281" t="s">
        <v>102</v>
      </c>
      <c r="D4281" s="1">
        <v>46154</v>
      </c>
      <c r="E4281" s="1">
        <v>46154</v>
      </c>
      <c r="F4281" s="2">
        <v>22</v>
      </c>
      <c r="G4281" s="3" t="s">
        <v>23</v>
      </c>
      <c r="H4281">
        <v>32</v>
      </c>
      <c r="I4281" s="2">
        <v>0</v>
      </c>
      <c r="J4281" s="2">
        <v>0</v>
      </c>
      <c r="K4281" s="2">
        <v>1</v>
      </c>
      <c r="L4281" s="2">
        <v>0</v>
      </c>
      <c r="M4281">
        <v>0</v>
      </c>
      <c r="N4281">
        <v>0</v>
      </c>
      <c r="O4281" s="2">
        <v>0</v>
      </c>
      <c r="P4281" s="2">
        <v>0</v>
      </c>
      <c r="Q4281">
        <v>0</v>
      </c>
      <c r="R4281" s="2">
        <v>0</v>
      </c>
      <c r="S4281" s="2">
        <v>0</v>
      </c>
      <c r="T4281" t="s">
        <v>2025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</row>
    <row r="4282" spans="1:28" hidden="1" x14ac:dyDescent="0.25">
      <c r="A4282" t="s">
        <v>33</v>
      </c>
      <c r="B4282" t="s">
        <v>34</v>
      </c>
      <c r="C4282" t="s">
        <v>35</v>
      </c>
      <c r="D4282" s="1">
        <v>46154</v>
      </c>
      <c r="E4282" s="1">
        <v>46154</v>
      </c>
      <c r="F4282" s="2">
        <v>32</v>
      </c>
      <c r="G4282" s="3" t="s">
        <v>23</v>
      </c>
      <c r="H4282">
        <v>36</v>
      </c>
      <c r="I4282" s="2">
        <v>0</v>
      </c>
      <c r="J4282" s="2">
        <v>0</v>
      </c>
      <c r="K4282" s="2">
        <v>1</v>
      </c>
      <c r="L4282" s="2">
        <v>0</v>
      </c>
      <c r="M4282">
        <v>0</v>
      </c>
      <c r="N4282">
        <v>0</v>
      </c>
      <c r="O4282" s="2">
        <v>0</v>
      </c>
      <c r="P4282" s="2">
        <v>0</v>
      </c>
      <c r="Q4282">
        <v>0</v>
      </c>
      <c r="R4282" s="2">
        <v>0</v>
      </c>
      <c r="S4282" s="2">
        <v>0</v>
      </c>
      <c r="T4282" t="s">
        <v>2026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</row>
    <row r="4283" spans="1:28" hidden="1" x14ac:dyDescent="0.25">
      <c r="A4283" t="s">
        <v>29</v>
      </c>
      <c r="B4283" t="s">
        <v>47</v>
      </c>
      <c r="C4283" t="s">
        <v>102</v>
      </c>
      <c r="D4283" s="1">
        <v>46154</v>
      </c>
      <c r="E4283" s="1">
        <v>46154</v>
      </c>
      <c r="F4283" s="2">
        <v>16</v>
      </c>
      <c r="G4283" s="3" t="s">
        <v>23</v>
      </c>
      <c r="H4283">
        <v>0</v>
      </c>
      <c r="I4283" s="2">
        <v>0</v>
      </c>
      <c r="J4283" s="2">
        <v>0</v>
      </c>
      <c r="K4283" s="2">
        <v>0</v>
      </c>
      <c r="L4283" s="2">
        <v>0</v>
      </c>
      <c r="M4283">
        <v>0</v>
      </c>
      <c r="N4283">
        <v>0</v>
      </c>
      <c r="O4283" s="2">
        <v>0</v>
      </c>
      <c r="P4283" s="2">
        <v>0</v>
      </c>
      <c r="Q4283">
        <v>1</v>
      </c>
      <c r="R4283" s="2">
        <v>0</v>
      </c>
      <c r="S4283" s="2">
        <v>0</v>
      </c>
      <c r="T4283" t="s">
        <v>2020</v>
      </c>
      <c r="U4283" s="2">
        <v>0</v>
      </c>
      <c r="V4283" s="2">
        <v>2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</row>
    <row r="4284" spans="1:28" hidden="1" x14ac:dyDescent="0.25">
      <c r="A4284" t="s">
        <v>20</v>
      </c>
      <c r="B4284" t="s">
        <v>21</v>
      </c>
      <c r="C4284" t="s">
        <v>212</v>
      </c>
      <c r="D4284" s="1">
        <v>46154</v>
      </c>
      <c r="E4284" s="1">
        <v>46154</v>
      </c>
      <c r="F4284" s="2">
        <v>0</v>
      </c>
      <c r="G4284" s="3" t="s">
        <v>48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 t="s">
        <v>377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</row>
    <row r="4285" spans="1:28" hidden="1" x14ac:dyDescent="0.25">
      <c r="A4285" t="s">
        <v>47</v>
      </c>
      <c r="B4285" t="s">
        <v>30</v>
      </c>
      <c r="C4285" t="s">
        <v>212</v>
      </c>
      <c r="D4285" s="1">
        <v>46154</v>
      </c>
      <c r="E4285" s="1">
        <v>46154</v>
      </c>
      <c r="F4285" s="2">
        <v>0</v>
      </c>
      <c r="G4285" s="3" t="s">
        <v>48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 t="s">
        <v>377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</row>
    <row r="4286" spans="1:28" hidden="1" x14ac:dyDescent="0.25">
      <c r="A4286" t="s">
        <v>47</v>
      </c>
      <c r="B4286" t="s">
        <v>1323</v>
      </c>
      <c r="C4286" t="s">
        <v>212</v>
      </c>
      <c r="D4286" s="1">
        <v>46154</v>
      </c>
      <c r="E4286" s="1">
        <v>46154</v>
      </c>
      <c r="F4286" s="2">
        <v>0</v>
      </c>
      <c r="G4286" s="3" t="s">
        <v>48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 t="s">
        <v>377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</row>
    <row r="4287" spans="1:28" hidden="1" x14ac:dyDescent="0.25">
      <c r="A4287" t="s">
        <v>47</v>
      </c>
      <c r="B4287" t="s">
        <v>47</v>
      </c>
      <c r="C4287" t="s">
        <v>212</v>
      </c>
      <c r="D4287" s="1">
        <v>46154</v>
      </c>
      <c r="E4287" s="1">
        <v>46154</v>
      </c>
      <c r="F4287" s="2">
        <v>0</v>
      </c>
      <c r="G4287" s="3" t="s">
        <v>48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 t="s">
        <v>377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</row>
    <row r="4288" spans="1:28" hidden="1" x14ac:dyDescent="0.25">
      <c r="A4288" t="s">
        <v>47</v>
      </c>
      <c r="B4288" t="s">
        <v>47</v>
      </c>
      <c r="C4288" t="s">
        <v>212</v>
      </c>
      <c r="D4288" s="1">
        <v>46154</v>
      </c>
      <c r="E4288" s="1">
        <v>46154</v>
      </c>
      <c r="F4288" s="2">
        <v>0</v>
      </c>
      <c r="G4288" s="3" t="s">
        <v>572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 t="s">
        <v>377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</row>
    <row r="4289" spans="1:28" hidden="1" x14ac:dyDescent="0.25">
      <c r="A4289" t="s">
        <v>47</v>
      </c>
      <c r="B4289" t="s">
        <v>47</v>
      </c>
      <c r="C4289" t="s">
        <v>212</v>
      </c>
      <c r="D4289" s="1">
        <v>46154</v>
      </c>
      <c r="E4289" s="1">
        <v>46154</v>
      </c>
      <c r="F4289" s="2">
        <v>0</v>
      </c>
      <c r="G4289" s="3" t="s">
        <v>572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 t="s">
        <v>377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</row>
    <row r="4290" spans="1:28" hidden="1" x14ac:dyDescent="0.25">
      <c r="A4290" t="s">
        <v>47</v>
      </c>
      <c r="B4290" t="s">
        <v>47</v>
      </c>
      <c r="C4290" t="s">
        <v>212</v>
      </c>
      <c r="D4290" s="1">
        <v>46154</v>
      </c>
      <c r="E4290" s="1">
        <v>46154</v>
      </c>
      <c r="F4290" s="2">
        <v>0</v>
      </c>
      <c r="G4290" s="3" t="s">
        <v>572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 t="s">
        <v>377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 s="2">
        <v>0</v>
      </c>
      <c r="AA4290" s="2">
        <v>0</v>
      </c>
      <c r="AB4290" s="2">
        <v>0</v>
      </c>
    </row>
    <row r="4291" spans="1:28" hidden="1" x14ac:dyDescent="0.25">
      <c r="A4291" t="s">
        <v>47</v>
      </c>
      <c r="B4291" t="s">
        <v>47</v>
      </c>
      <c r="C4291" t="s">
        <v>212</v>
      </c>
      <c r="D4291" s="1">
        <v>46154</v>
      </c>
      <c r="E4291" s="1">
        <v>46154</v>
      </c>
      <c r="F4291" s="2">
        <v>0</v>
      </c>
      <c r="G4291" s="3" t="s">
        <v>572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377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</row>
    <row r="4292" spans="1:28" hidden="1" x14ac:dyDescent="0.25">
      <c r="A4292" t="s">
        <v>37</v>
      </c>
      <c r="B4292" t="s">
        <v>47</v>
      </c>
      <c r="C4292" t="s">
        <v>212</v>
      </c>
      <c r="D4292" s="1">
        <v>46154</v>
      </c>
      <c r="E4292" s="1">
        <v>46154</v>
      </c>
      <c r="F4292" s="2">
        <v>0</v>
      </c>
      <c r="G4292" s="3" t="s">
        <v>2017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377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 s="2">
        <v>0</v>
      </c>
      <c r="AA4292" s="2">
        <v>0</v>
      </c>
      <c r="AB4292" s="2">
        <v>0</v>
      </c>
    </row>
    <row r="4293" spans="1:28" hidden="1" x14ac:dyDescent="0.25">
      <c r="A4293" t="s">
        <v>47</v>
      </c>
      <c r="B4293" t="s">
        <v>47</v>
      </c>
      <c r="C4293" t="s">
        <v>212</v>
      </c>
      <c r="D4293" s="1">
        <v>46154</v>
      </c>
      <c r="E4293" s="1">
        <v>46154</v>
      </c>
      <c r="F4293" s="2">
        <v>0</v>
      </c>
      <c r="G4293" s="3" t="s">
        <v>409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377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</row>
    <row r="4294" spans="1:28" hidden="1" x14ac:dyDescent="0.25">
      <c r="A4294" t="s">
        <v>47</v>
      </c>
      <c r="B4294" t="s">
        <v>47</v>
      </c>
      <c r="C4294" t="s">
        <v>212</v>
      </c>
      <c r="D4294" s="1">
        <v>46154</v>
      </c>
      <c r="E4294" s="1">
        <v>46154</v>
      </c>
      <c r="F4294" s="2">
        <v>0</v>
      </c>
      <c r="G4294" s="3" t="s">
        <v>129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377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</row>
    <row r="4295" spans="1:28" x14ac:dyDescent="0.25">
      <c r="A4295" t="s">
        <v>730</v>
      </c>
      <c r="B4295" t="s">
        <v>47</v>
      </c>
      <c r="C4295" t="s">
        <v>64</v>
      </c>
      <c r="D4295" s="1">
        <v>46155</v>
      </c>
      <c r="E4295" s="1">
        <v>46155</v>
      </c>
      <c r="F4295" s="2">
        <v>880</v>
      </c>
      <c r="G4295" s="3" t="s">
        <v>23</v>
      </c>
      <c r="H4295">
        <v>28</v>
      </c>
      <c r="I4295" s="2">
        <v>0</v>
      </c>
      <c r="J4295" s="2">
        <v>0</v>
      </c>
      <c r="K4295" s="2">
        <v>1</v>
      </c>
      <c r="L4295" s="2">
        <v>0</v>
      </c>
      <c r="M4295">
        <v>0</v>
      </c>
      <c r="N4295">
        <v>0</v>
      </c>
      <c r="O4295" s="2">
        <v>0</v>
      </c>
      <c r="P4295" s="2">
        <v>0</v>
      </c>
      <c r="Q4295">
        <v>1</v>
      </c>
      <c r="R4295" s="2">
        <v>0</v>
      </c>
      <c r="S4295" s="2">
        <v>0</v>
      </c>
      <c r="T4295" t="s">
        <v>2027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0</v>
      </c>
    </row>
    <row r="4296" spans="1:28" hidden="1" x14ac:dyDescent="0.25">
      <c r="A4296" t="s">
        <v>47</v>
      </c>
      <c r="B4296" t="s">
        <v>30</v>
      </c>
      <c r="C4296" t="s">
        <v>64</v>
      </c>
      <c r="D4296" s="1">
        <v>46155</v>
      </c>
      <c r="E4296" s="1">
        <v>46155</v>
      </c>
      <c r="F4296" s="2">
        <v>880</v>
      </c>
      <c r="G4296" s="3" t="s">
        <v>23</v>
      </c>
      <c r="H4296">
        <f>28+4</f>
        <v>32</v>
      </c>
      <c r="I4296" s="2">
        <v>0</v>
      </c>
      <c r="J4296" s="2">
        <v>0</v>
      </c>
      <c r="K4296" s="2">
        <v>1</v>
      </c>
      <c r="L4296" s="2">
        <v>0</v>
      </c>
      <c r="M4296">
        <v>0</v>
      </c>
      <c r="N4296">
        <v>0</v>
      </c>
      <c r="O4296" s="2">
        <v>0</v>
      </c>
      <c r="P4296" s="2">
        <v>0</v>
      </c>
      <c r="Q4296">
        <v>0</v>
      </c>
      <c r="R4296" s="2">
        <v>0</v>
      </c>
      <c r="S4296" s="2">
        <v>0</v>
      </c>
      <c r="T4296" t="s">
        <v>2027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 s="2">
        <v>0</v>
      </c>
      <c r="AA4296" s="2">
        <v>0</v>
      </c>
      <c r="AB4296" s="2">
        <v>0</v>
      </c>
    </row>
    <row r="4297" spans="1:28" hidden="1" x14ac:dyDescent="0.25">
      <c r="A4297" t="s">
        <v>56</v>
      </c>
      <c r="B4297" t="s">
        <v>1323</v>
      </c>
      <c r="C4297" t="s">
        <v>64</v>
      </c>
      <c r="D4297" s="1">
        <v>46155</v>
      </c>
      <c r="E4297" s="1">
        <v>46155</v>
      </c>
      <c r="F4297" s="2">
        <v>880</v>
      </c>
      <c r="G4297" s="3" t="s">
        <v>23</v>
      </c>
      <c r="H4297">
        <v>37</v>
      </c>
      <c r="I4297" s="2">
        <v>0</v>
      </c>
      <c r="J4297" s="2">
        <v>0</v>
      </c>
      <c r="K4297" s="2">
        <v>0</v>
      </c>
      <c r="L4297" s="2">
        <v>1</v>
      </c>
      <c r="M4297">
        <v>0</v>
      </c>
      <c r="N4297">
        <v>0</v>
      </c>
      <c r="O4297" s="2">
        <v>0</v>
      </c>
      <c r="P4297" s="2">
        <v>0</v>
      </c>
      <c r="Q4297">
        <v>1</v>
      </c>
      <c r="R4297" s="2">
        <v>0</v>
      </c>
      <c r="S4297" s="2">
        <v>0</v>
      </c>
      <c r="T4297" t="s">
        <v>2027</v>
      </c>
      <c r="U4297" s="2">
        <v>0</v>
      </c>
      <c r="V4297" s="2">
        <v>7</v>
      </c>
      <c r="W4297" s="2">
        <v>0</v>
      </c>
      <c r="X4297" s="2">
        <v>0</v>
      </c>
      <c r="Y4297" s="2">
        <v>0</v>
      </c>
      <c r="Z4297" s="2">
        <v>0</v>
      </c>
      <c r="AA4297" s="2">
        <v>0</v>
      </c>
      <c r="AB4297" s="2">
        <v>0</v>
      </c>
    </row>
    <row r="4298" spans="1:28" hidden="1" x14ac:dyDescent="0.25">
      <c r="A4298" t="s">
        <v>20</v>
      </c>
      <c r="B4298" t="s">
        <v>21</v>
      </c>
      <c r="C4298" t="s">
        <v>22</v>
      </c>
      <c r="D4298" s="1">
        <v>46155</v>
      </c>
      <c r="E4298" s="1">
        <v>46155</v>
      </c>
      <c r="F4298" s="2">
        <v>34</v>
      </c>
      <c r="G4298" s="3" t="s">
        <v>23</v>
      </c>
      <c r="H4298">
        <v>42</v>
      </c>
      <c r="I4298" s="2">
        <v>0</v>
      </c>
      <c r="J4298" s="2">
        <v>0</v>
      </c>
      <c r="K4298" s="2">
        <v>1</v>
      </c>
      <c r="L4298" s="2">
        <v>0</v>
      </c>
      <c r="M4298">
        <v>0</v>
      </c>
      <c r="N4298">
        <v>0</v>
      </c>
      <c r="O4298" s="2">
        <v>0</v>
      </c>
      <c r="P4298" s="2">
        <v>0</v>
      </c>
      <c r="Q4298">
        <v>1</v>
      </c>
      <c r="R4298" s="2">
        <v>0</v>
      </c>
      <c r="S4298" s="2">
        <v>0</v>
      </c>
      <c r="T4298" t="s">
        <v>2028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0</v>
      </c>
    </row>
    <row r="4299" spans="1:28" hidden="1" x14ac:dyDescent="0.25">
      <c r="A4299" t="s">
        <v>53</v>
      </c>
      <c r="B4299" t="s">
        <v>38</v>
      </c>
      <c r="C4299" t="s">
        <v>54</v>
      </c>
      <c r="D4299" s="1">
        <v>46155</v>
      </c>
      <c r="E4299" s="1">
        <v>46155</v>
      </c>
      <c r="F4299" s="2">
        <v>35</v>
      </c>
      <c r="G4299" s="3" t="s">
        <v>23</v>
      </c>
      <c r="H4299">
        <v>40</v>
      </c>
      <c r="I4299" s="2">
        <v>0</v>
      </c>
      <c r="J4299" s="2">
        <v>0</v>
      </c>
      <c r="K4299" s="2">
        <v>1</v>
      </c>
      <c r="L4299" s="2">
        <v>0</v>
      </c>
      <c r="M4299">
        <v>0</v>
      </c>
      <c r="N4299">
        <v>0</v>
      </c>
      <c r="O4299" s="2">
        <v>0</v>
      </c>
      <c r="P4299" s="2">
        <v>0</v>
      </c>
      <c r="Q4299">
        <v>0</v>
      </c>
      <c r="R4299" s="2">
        <v>0</v>
      </c>
      <c r="S4299" s="2">
        <v>0</v>
      </c>
      <c r="T4299" t="s">
        <v>2029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 s="2">
        <v>0</v>
      </c>
      <c r="AA4299" s="2">
        <v>0</v>
      </c>
      <c r="AB4299" s="2">
        <v>0</v>
      </c>
    </row>
    <row r="4300" spans="1:28" hidden="1" x14ac:dyDescent="0.25">
      <c r="A4300" t="s">
        <v>33</v>
      </c>
      <c r="B4300" t="s">
        <v>34</v>
      </c>
      <c r="C4300" t="s">
        <v>35</v>
      </c>
      <c r="D4300" s="1">
        <v>46155</v>
      </c>
      <c r="E4300" s="1">
        <v>46155</v>
      </c>
      <c r="F4300" s="2">
        <v>56</v>
      </c>
      <c r="G4300" s="3" t="s">
        <v>23</v>
      </c>
      <c r="H4300">
        <v>16</v>
      </c>
      <c r="I4300" s="2">
        <v>0</v>
      </c>
      <c r="J4300" s="2">
        <v>0</v>
      </c>
      <c r="K4300" s="2">
        <v>1</v>
      </c>
      <c r="L4300" s="2">
        <v>0</v>
      </c>
      <c r="M4300">
        <v>0</v>
      </c>
      <c r="N4300">
        <v>0</v>
      </c>
      <c r="O4300" s="2">
        <v>0</v>
      </c>
      <c r="P4300" s="2">
        <v>0</v>
      </c>
      <c r="Q4300">
        <v>0</v>
      </c>
      <c r="R4300" s="2">
        <v>0</v>
      </c>
      <c r="S4300" s="2">
        <v>0</v>
      </c>
      <c r="T4300" t="s">
        <v>2030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 s="2">
        <v>0</v>
      </c>
      <c r="AA4300" s="2">
        <v>0</v>
      </c>
      <c r="AB4300" s="2">
        <v>0</v>
      </c>
    </row>
    <row r="4301" spans="1:28" hidden="1" x14ac:dyDescent="0.25">
      <c r="A4301" t="s">
        <v>29</v>
      </c>
      <c r="B4301" t="s">
        <v>47</v>
      </c>
      <c r="C4301" t="s">
        <v>35</v>
      </c>
      <c r="D4301" s="1">
        <v>46155</v>
      </c>
      <c r="E4301" s="1">
        <v>46155</v>
      </c>
      <c r="F4301" s="2">
        <v>56</v>
      </c>
      <c r="G4301" s="3" t="s">
        <v>23</v>
      </c>
      <c r="H4301">
        <v>4</v>
      </c>
      <c r="I4301" s="2">
        <v>0</v>
      </c>
      <c r="J4301" s="2">
        <v>0</v>
      </c>
      <c r="K4301" s="2">
        <v>0</v>
      </c>
      <c r="L4301" s="2">
        <v>0</v>
      </c>
      <c r="M4301">
        <v>0</v>
      </c>
      <c r="N4301">
        <v>0</v>
      </c>
      <c r="O4301" s="2">
        <v>0</v>
      </c>
      <c r="P4301" s="2">
        <v>0</v>
      </c>
      <c r="Q4301">
        <v>0</v>
      </c>
      <c r="R4301" s="2">
        <v>0</v>
      </c>
      <c r="S4301" s="2">
        <v>0</v>
      </c>
      <c r="T4301" t="s">
        <v>2030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 s="2">
        <v>0</v>
      </c>
      <c r="AA4301" s="2">
        <v>0</v>
      </c>
      <c r="AB4301" s="2">
        <v>0</v>
      </c>
    </row>
    <row r="4302" spans="1:28" hidden="1" x14ac:dyDescent="0.25">
      <c r="A4302" t="s">
        <v>47</v>
      </c>
      <c r="B4302" t="s">
        <v>21</v>
      </c>
      <c r="C4302" t="s">
        <v>212</v>
      </c>
      <c r="D4302" s="1">
        <v>46155</v>
      </c>
      <c r="E4302" s="1">
        <v>46155</v>
      </c>
      <c r="F4302" s="2">
        <v>0</v>
      </c>
      <c r="G4302" s="3" t="s">
        <v>48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 t="s">
        <v>377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</row>
    <row r="4303" spans="1:28" hidden="1" x14ac:dyDescent="0.25">
      <c r="A4303" t="s">
        <v>47</v>
      </c>
      <c r="B4303" t="s">
        <v>30</v>
      </c>
      <c r="C4303" t="s">
        <v>212</v>
      </c>
      <c r="D4303" s="1">
        <v>46155</v>
      </c>
      <c r="E4303" s="1">
        <v>46155</v>
      </c>
      <c r="F4303" s="2">
        <v>0</v>
      </c>
      <c r="G4303" s="3" t="s">
        <v>48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377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 s="2">
        <v>0</v>
      </c>
      <c r="AA4303" s="2">
        <v>0</v>
      </c>
      <c r="AB4303" s="2">
        <v>0</v>
      </c>
    </row>
    <row r="4304" spans="1:28" hidden="1" x14ac:dyDescent="0.25">
      <c r="A4304" t="s">
        <v>47</v>
      </c>
      <c r="B4304" t="s">
        <v>1160</v>
      </c>
      <c r="C4304" t="s">
        <v>212</v>
      </c>
      <c r="D4304" s="1">
        <v>46155</v>
      </c>
      <c r="E4304" s="1">
        <v>46155</v>
      </c>
      <c r="F4304" s="2">
        <v>0</v>
      </c>
      <c r="G4304" s="3" t="s">
        <v>48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 t="s">
        <v>377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 s="2">
        <v>0</v>
      </c>
      <c r="AA4304" s="2">
        <v>0</v>
      </c>
      <c r="AB4304" s="2">
        <v>0</v>
      </c>
    </row>
    <row r="4305" spans="1:28" hidden="1" x14ac:dyDescent="0.25">
      <c r="A4305" t="s">
        <v>47</v>
      </c>
      <c r="B4305" t="s">
        <v>47</v>
      </c>
      <c r="C4305" t="s">
        <v>212</v>
      </c>
      <c r="D4305" s="1">
        <v>46155</v>
      </c>
      <c r="E4305" s="1">
        <v>46155</v>
      </c>
      <c r="F4305" s="2">
        <v>0</v>
      </c>
      <c r="G4305" s="3" t="s">
        <v>48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 t="s">
        <v>377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</row>
    <row r="4306" spans="1:28" hidden="1" x14ac:dyDescent="0.25">
      <c r="A4306" t="s">
        <v>25</v>
      </c>
      <c r="B4306" t="s">
        <v>26</v>
      </c>
      <c r="C4306" t="s">
        <v>212</v>
      </c>
      <c r="D4306" s="1">
        <v>46155</v>
      </c>
      <c r="E4306" s="1">
        <v>46155</v>
      </c>
      <c r="F4306" s="2">
        <v>0</v>
      </c>
      <c r="G4306" s="3" t="s">
        <v>572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377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</row>
    <row r="4307" spans="1:28" hidden="1" x14ac:dyDescent="0.25">
      <c r="A4307" t="s">
        <v>47</v>
      </c>
      <c r="B4307" t="s">
        <v>57</v>
      </c>
      <c r="C4307" t="s">
        <v>212</v>
      </c>
      <c r="D4307" s="1">
        <v>46155</v>
      </c>
      <c r="E4307" s="1">
        <v>46155</v>
      </c>
      <c r="F4307" s="2">
        <v>0</v>
      </c>
      <c r="G4307" s="3" t="s">
        <v>572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 t="s">
        <v>377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</row>
    <row r="4308" spans="1:28" hidden="1" x14ac:dyDescent="0.25">
      <c r="A4308" t="s">
        <v>63</v>
      </c>
      <c r="B4308" t="s">
        <v>284</v>
      </c>
      <c r="C4308" t="s">
        <v>212</v>
      </c>
      <c r="D4308" s="1">
        <v>46155</v>
      </c>
      <c r="E4308" s="1">
        <v>46155</v>
      </c>
      <c r="F4308" s="2">
        <v>0</v>
      </c>
      <c r="G4308" s="3" t="s">
        <v>572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377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</row>
    <row r="4309" spans="1:28" hidden="1" x14ac:dyDescent="0.25">
      <c r="A4309" t="s">
        <v>47</v>
      </c>
      <c r="B4309" t="s">
        <v>47</v>
      </c>
      <c r="C4309" t="s">
        <v>212</v>
      </c>
      <c r="D4309" s="1">
        <v>46155</v>
      </c>
      <c r="E4309" s="1">
        <v>46155</v>
      </c>
      <c r="F4309" s="2">
        <v>0</v>
      </c>
      <c r="G4309" s="3" t="s">
        <v>572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377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</row>
    <row r="4310" spans="1:28" hidden="1" x14ac:dyDescent="0.25">
      <c r="A4310" t="s">
        <v>37</v>
      </c>
      <c r="B4310" t="s">
        <v>47</v>
      </c>
      <c r="C4310" t="s">
        <v>212</v>
      </c>
      <c r="D4310" s="1">
        <v>46155</v>
      </c>
      <c r="E4310" s="1">
        <v>46155</v>
      </c>
      <c r="F4310" s="2">
        <v>0</v>
      </c>
      <c r="G4310" s="3" t="s">
        <v>2017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 t="s">
        <v>377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>
        <v>0</v>
      </c>
    </row>
    <row r="4311" spans="1:28" hidden="1" x14ac:dyDescent="0.25">
      <c r="A4311" t="s">
        <v>20</v>
      </c>
      <c r="B4311" t="s">
        <v>47</v>
      </c>
      <c r="C4311" t="s">
        <v>212</v>
      </c>
      <c r="D4311" s="1">
        <v>46155</v>
      </c>
      <c r="E4311" s="1">
        <v>46155</v>
      </c>
      <c r="F4311" s="2">
        <v>0</v>
      </c>
      <c r="G4311" s="3" t="s">
        <v>409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377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0</v>
      </c>
      <c r="AA4311" s="2">
        <v>0</v>
      </c>
      <c r="AB4311" s="2">
        <v>0</v>
      </c>
    </row>
    <row r="4312" spans="1:28" hidden="1" x14ac:dyDescent="0.25">
      <c r="A4312" t="s">
        <v>47</v>
      </c>
      <c r="B4312" t="s">
        <v>47</v>
      </c>
      <c r="C4312" t="s">
        <v>212</v>
      </c>
      <c r="D4312" s="1">
        <v>46155</v>
      </c>
      <c r="E4312" s="1">
        <v>46155</v>
      </c>
      <c r="F4312" s="2">
        <v>0</v>
      </c>
      <c r="G4312" s="3" t="s">
        <v>129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 t="s">
        <v>377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 s="2">
        <v>0</v>
      </c>
      <c r="AA4312" s="2">
        <v>0</v>
      </c>
      <c r="AB4312" s="2">
        <v>0</v>
      </c>
    </row>
    <row r="4313" spans="1:28" x14ac:dyDescent="0.25">
      <c r="A4313" t="s">
        <v>730</v>
      </c>
      <c r="B4313" t="s">
        <v>30</v>
      </c>
      <c r="C4313" t="s">
        <v>1370</v>
      </c>
      <c r="D4313" s="1">
        <v>46156</v>
      </c>
      <c r="E4313" s="1">
        <v>46156</v>
      </c>
      <c r="F4313" s="2">
        <v>22</v>
      </c>
      <c r="G4313" s="3" t="s">
        <v>23</v>
      </c>
      <c r="H4313">
        <v>22</v>
      </c>
      <c r="I4313" s="2">
        <v>0</v>
      </c>
      <c r="J4313" s="2">
        <v>0</v>
      </c>
      <c r="K4313" s="2">
        <v>0</v>
      </c>
      <c r="L4313" s="2">
        <v>1</v>
      </c>
      <c r="M4313">
        <v>0</v>
      </c>
      <c r="N4313">
        <v>0</v>
      </c>
      <c r="O4313" s="2">
        <v>0</v>
      </c>
      <c r="P4313" s="2">
        <v>0</v>
      </c>
      <c r="Q4313">
        <v>0</v>
      </c>
      <c r="R4313" s="2">
        <v>0</v>
      </c>
      <c r="S4313" s="2">
        <v>0</v>
      </c>
      <c r="T4313" t="s">
        <v>2031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</row>
    <row r="4314" spans="1:28" hidden="1" x14ac:dyDescent="0.25">
      <c r="A4314" t="s">
        <v>56</v>
      </c>
      <c r="B4314" t="s">
        <v>1160</v>
      </c>
      <c r="C4314" t="s">
        <v>64</v>
      </c>
      <c r="D4314" s="1">
        <v>46156</v>
      </c>
      <c r="E4314" s="1">
        <v>46156</v>
      </c>
      <c r="F4314" s="2">
        <v>15</v>
      </c>
      <c r="G4314" s="3" t="s">
        <v>23</v>
      </c>
      <c r="H4314">
        <v>32</v>
      </c>
      <c r="I4314" s="2">
        <v>0</v>
      </c>
      <c r="J4314" s="2">
        <v>0</v>
      </c>
      <c r="K4314" s="2">
        <v>1</v>
      </c>
      <c r="L4314" s="2">
        <v>0</v>
      </c>
      <c r="M4314">
        <v>0</v>
      </c>
      <c r="N4314">
        <v>0</v>
      </c>
      <c r="O4314" s="2">
        <v>0</v>
      </c>
      <c r="P4314" s="2">
        <v>0</v>
      </c>
      <c r="Q4314">
        <v>0</v>
      </c>
      <c r="R4314" s="2">
        <v>0</v>
      </c>
      <c r="S4314" s="2">
        <v>0</v>
      </c>
      <c r="T4314" t="s">
        <v>2032</v>
      </c>
      <c r="U4314" s="2">
        <v>0</v>
      </c>
      <c r="V4314" s="2">
        <v>1</v>
      </c>
      <c r="W4314" s="2">
        <v>0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</row>
    <row r="4315" spans="1:28" hidden="1" x14ac:dyDescent="0.25">
      <c r="A4315" t="s">
        <v>20</v>
      </c>
      <c r="B4315" t="s">
        <v>21</v>
      </c>
      <c r="C4315" t="s">
        <v>22</v>
      </c>
      <c r="D4315" s="1">
        <v>46156</v>
      </c>
      <c r="E4315" s="1">
        <v>46156</v>
      </c>
      <c r="F4315" s="2">
        <v>37</v>
      </c>
      <c r="G4315" s="3" t="s">
        <v>23</v>
      </c>
      <c r="H4315">
        <v>36</v>
      </c>
      <c r="I4315" s="2">
        <v>0</v>
      </c>
      <c r="J4315" s="2">
        <v>0</v>
      </c>
      <c r="K4315" s="2">
        <v>1</v>
      </c>
      <c r="L4315" s="2">
        <v>0</v>
      </c>
      <c r="M4315">
        <v>0</v>
      </c>
      <c r="N4315">
        <v>0</v>
      </c>
      <c r="O4315" s="2">
        <v>0</v>
      </c>
      <c r="P4315" s="2">
        <v>0</v>
      </c>
      <c r="Q4315">
        <v>0</v>
      </c>
      <c r="R4315" s="2">
        <v>0</v>
      </c>
      <c r="S4315" s="2">
        <v>0</v>
      </c>
      <c r="T4315" t="s">
        <v>2033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</row>
    <row r="4316" spans="1:28" hidden="1" x14ac:dyDescent="0.25">
      <c r="A4316" t="s">
        <v>29</v>
      </c>
      <c r="B4316" t="s">
        <v>1323</v>
      </c>
      <c r="C4316" t="s">
        <v>31</v>
      </c>
      <c r="D4316" s="1">
        <v>46156</v>
      </c>
      <c r="E4316" s="1">
        <v>46156</v>
      </c>
      <c r="F4316" s="2">
        <v>23</v>
      </c>
      <c r="G4316" s="3" t="s">
        <v>23</v>
      </c>
      <c r="H4316">
        <v>40</v>
      </c>
      <c r="I4316" s="2">
        <v>0</v>
      </c>
      <c r="J4316" s="2">
        <v>0</v>
      </c>
      <c r="K4316" s="2">
        <v>1</v>
      </c>
      <c r="L4316" s="2">
        <v>0</v>
      </c>
      <c r="M4316">
        <v>0</v>
      </c>
      <c r="N4316">
        <v>0</v>
      </c>
      <c r="O4316" s="2">
        <v>0</v>
      </c>
      <c r="P4316" s="2">
        <v>0</v>
      </c>
      <c r="Q4316">
        <v>0</v>
      </c>
      <c r="R4316" s="2">
        <v>0</v>
      </c>
      <c r="S4316" s="2">
        <v>0</v>
      </c>
      <c r="T4316" t="s">
        <v>2034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</row>
    <row r="4317" spans="1:28" hidden="1" x14ac:dyDescent="0.25">
      <c r="A4317" t="s">
        <v>63</v>
      </c>
      <c r="B4317" t="s">
        <v>284</v>
      </c>
      <c r="C4317" t="s">
        <v>102</v>
      </c>
      <c r="D4317" s="1">
        <v>46156</v>
      </c>
      <c r="E4317" s="1">
        <v>46156</v>
      </c>
      <c r="F4317" s="2">
        <v>18</v>
      </c>
      <c r="G4317" s="3" t="s">
        <v>23</v>
      </c>
      <c r="H4317">
        <v>24</v>
      </c>
      <c r="I4317" s="2">
        <v>0</v>
      </c>
      <c r="J4317" s="2">
        <v>0</v>
      </c>
      <c r="K4317" s="2">
        <v>1</v>
      </c>
      <c r="L4317" s="2">
        <v>0</v>
      </c>
      <c r="M4317">
        <v>0</v>
      </c>
      <c r="N4317">
        <v>0</v>
      </c>
      <c r="O4317" s="2">
        <v>0</v>
      </c>
      <c r="P4317" s="2">
        <v>0</v>
      </c>
      <c r="Q4317">
        <v>0</v>
      </c>
      <c r="R4317" s="2">
        <v>0</v>
      </c>
      <c r="S4317" s="2">
        <v>0</v>
      </c>
      <c r="T4317" t="s">
        <v>2035</v>
      </c>
      <c r="U4317" s="2">
        <v>0</v>
      </c>
      <c r="V4317" s="2">
        <v>6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</row>
    <row r="4318" spans="1:28" hidden="1" x14ac:dyDescent="0.25">
      <c r="A4318" t="s">
        <v>33</v>
      </c>
      <c r="B4318" t="s">
        <v>34</v>
      </c>
      <c r="C4318" t="s">
        <v>35</v>
      </c>
      <c r="D4318" s="1">
        <v>46156</v>
      </c>
      <c r="E4318" s="1">
        <v>46156</v>
      </c>
      <c r="F4318" s="2">
        <v>59</v>
      </c>
      <c r="G4318" s="3" t="s">
        <v>23</v>
      </c>
      <c r="H4318">
        <v>20</v>
      </c>
      <c r="I4318" s="2">
        <v>0</v>
      </c>
      <c r="J4318" s="2">
        <v>0</v>
      </c>
      <c r="K4318" s="2">
        <v>1</v>
      </c>
      <c r="L4318" s="2">
        <v>0</v>
      </c>
      <c r="M4318">
        <v>0</v>
      </c>
      <c r="N4318">
        <v>0</v>
      </c>
      <c r="O4318" s="2">
        <v>0</v>
      </c>
      <c r="P4318" s="2">
        <v>0</v>
      </c>
      <c r="Q4318">
        <v>0</v>
      </c>
      <c r="R4318" s="2">
        <v>0</v>
      </c>
      <c r="S4318" s="2">
        <v>0</v>
      </c>
      <c r="T4318" t="s">
        <v>2036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 s="2">
        <v>0</v>
      </c>
      <c r="AA4318" s="2">
        <v>0</v>
      </c>
      <c r="AB4318" s="2">
        <v>0</v>
      </c>
    </row>
    <row r="4319" spans="1:28" hidden="1" x14ac:dyDescent="0.25">
      <c r="A4319" t="s">
        <v>25</v>
      </c>
      <c r="B4319" t="s">
        <v>26</v>
      </c>
      <c r="C4319" t="s">
        <v>27</v>
      </c>
      <c r="D4319" s="1">
        <v>46156</v>
      </c>
      <c r="E4319" s="1">
        <v>46156</v>
      </c>
      <c r="F4319" s="2">
        <v>25</v>
      </c>
      <c r="G4319" s="3" t="s">
        <v>23</v>
      </c>
      <c r="H4319">
        <v>6</v>
      </c>
      <c r="I4319" s="2">
        <v>0</v>
      </c>
      <c r="J4319" s="2">
        <v>0</v>
      </c>
      <c r="K4319" s="2">
        <v>0</v>
      </c>
      <c r="L4319" s="2">
        <v>0</v>
      </c>
      <c r="M4319">
        <v>0</v>
      </c>
      <c r="N4319">
        <v>0</v>
      </c>
      <c r="O4319" s="2">
        <v>0</v>
      </c>
      <c r="P4319" s="2">
        <v>0</v>
      </c>
      <c r="Q4319">
        <v>0</v>
      </c>
      <c r="R4319" s="2">
        <v>0</v>
      </c>
      <c r="S4319" s="2">
        <v>0</v>
      </c>
      <c r="T4319" t="s">
        <v>2037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0</v>
      </c>
    </row>
    <row r="4320" spans="1:28" hidden="1" x14ac:dyDescent="0.25">
      <c r="A4320" t="s">
        <v>53</v>
      </c>
      <c r="B4320" t="s">
        <v>2038</v>
      </c>
      <c r="C4320" t="s">
        <v>212</v>
      </c>
      <c r="D4320" s="1">
        <v>46156</v>
      </c>
      <c r="E4320" s="1">
        <v>46156</v>
      </c>
      <c r="F4320" s="2">
        <v>0</v>
      </c>
      <c r="G4320" s="3" t="s">
        <v>48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377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</row>
    <row r="4321" spans="1:28" hidden="1" x14ac:dyDescent="0.25">
      <c r="A4321" t="s">
        <v>47</v>
      </c>
      <c r="B4321" t="s">
        <v>47</v>
      </c>
      <c r="C4321" t="s">
        <v>212</v>
      </c>
      <c r="D4321" s="1">
        <v>46156</v>
      </c>
      <c r="E4321" s="1">
        <v>46156</v>
      </c>
      <c r="F4321" s="2">
        <v>0</v>
      </c>
      <c r="G4321" s="3" t="s">
        <v>48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 t="s">
        <v>377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 s="2">
        <v>0</v>
      </c>
      <c r="AA4321" s="2">
        <v>0</v>
      </c>
      <c r="AB4321" s="2">
        <v>0</v>
      </c>
    </row>
    <row r="4322" spans="1:28" hidden="1" x14ac:dyDescent="0.25">
      <c r="A4322" t="s">
        <v>47</v>
      </c>
      <c r="B4322" t="s">
        <v>47</v>
      </c>
      <c r="C4322" t="s">
        <v>212</v>
      </c>
      <c r="D4322" s="1">
        <v>46156</v>
      </c>
      <c r="E4322" s="1">
        <v>46156</v>
      </c>
      <c r="F4322" s="2">
        <v>0</v>
      </c>
      <c r="G4322" s="3" t="s">
        <v>614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 t="s">
        <v>377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0</v>
      </c>
    </row>
    <row r="4323" spans="1:28" hidden="1" x14ac:dyDescent="0.25">
      <c r="A4323" t="s">
        <v>47</v>
      </c>
      <c r="B4323" t="s">
        <v>47</v>
      </c>
      <c r="C4323" t="s">
        <v>212</v>
      </c>
      <c r="D4323" s="1">
        <v>46156</v>
      </c>
      <c r="E4323" s="1">
        <v>46156</v>
      </c>
      <c r="F4323" s="2">
        <v>0</v>
      </c>
      <c r="G4323" s="3" t="s">
        <v>48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377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</row>
    <row r="4324" spans="1:28" hidden="1" x14ac:dyDescent="0.25">
      <c r="A4324" t="s">
        <v>47</v>
      </c>
      <c r="B4324" t="s">
        <v>57</v>
      </c>
      <c r="C4324" t="s">
        <v>212</v>
      </c>
      <c r="D4324" s="1">
        <v>46156</v>
      </c>
      <c r="E4324" s="1">
        <v>46156</v>
      </c>
      <c r="F4324" s="2">
        <v>0</v>
      </c>
      <c r="G4324" s="3" t="s">
        <v>572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 t="s">
        <v>377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 s="2">
        <v>0</v>
      </c>
      <c r="AA4324" s="2">
        <v>0</v>
      </c>
      <c r="AB4324" s="2">
        <v>0</v>
      </c>
    </row>
    <row r="4325" spans="1:28" hidden="1" x14ac:dyDescent="0.25">
      <c r="A4325" t="s">
        <v>47</v>
      </c>
      <c r="B4325" t="s">
        <v>47</v>
      </c>
      <c r="C4325" t="s">
        <v>212</v>
      </c>
      <c r="D4325" s="1">
        <v>46156</v>
      </c>
      <c r="E4325" s="1">
        <v>46156</v>
      </c>
      <c r="F4325" s="2">
        <v>0</v>
      </c>
      <c r="G4325" s="3" t="s">
        <v>572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 t="s">
        <v>377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</row>
    <row r="4326" spans="1:28" hidden="1" x14ac:dyDescent="0.25">
      <c r="A4326" t="s">
        <v>47</v>
      </c>
      <c r="B4326" t="s">
        <v>47</v>
      </c>
      <c r="C4326" t="s">
        <v>212</v>
      </c>
      <c r="D4326" s="1">
        <v>46156</v>
      </c>
      <c r="E4326" s="1">
        <v>46156</v>
      </c>
      <c r="F4326" s="2">
        <v>0</v>
      </c>
      <c r="G4326" s="3" t="s">
        <v>572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377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</row>
    <row r="4327" spans="1:28" hidden="1" x14ac:dyDescent="0.25">
      <c r="A4327" t="s">
        <v>47</v>
      </c>
      <c r="B4327" t="s">
        <v>47</v>
      </c>
      <c r="C4327" t="s">
        <v>212</v>
      </c>
      <c r="D4327" s="1">
        <v>46156</v>
      </c>
      <c r="E4327" s="1">
        <v>46156</v>
      </c>
      <c r="F4327" s="2">
        <v>0</v>
      </c>
      <c r="G4327" s="3" t="s">
        <v>572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 t="s">
        <v>377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</row>
    <row r="4328" spans="1:28" hidden="1" x14ac:dyDescent="0.25">
      <c r="A4328" t="s">
        <v>37</v>
      </c>
      <c r="B4328" t="s">
        <v>47</v>
      </c>
      <c r="C4328" t="s">
        <v>212</v>
      </c>
      <c r="D4328" s="1">
        <v>46156</v>
      </c>
      <c r="E4328" s="1">
        <v>46156</v>
      </c>
      <c r="F4328" s="2">
        <v>0</v>
      </c>
      <c r="G4328" s="3" t="s">
        <v>2017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 t="s">
        <v>377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</row>
    <row r="4329" spans="1:28" hidden="1" x14ac:dyDescent="0.25">
      <c r="A4329" t="s">
        <v>47</v>
      </c>
      <c r="B4329" t="s">
        <v>47</v>
      </c>
      <c r="C4329" t="s">
        <v>212</v>
      </c>
      <c r="D4329" s="1">
        <v>46156</v>
      </c>
      <c r="E4329" s="1">
        <v>46156</v>
      </c>
      <c r="F4329" s="2">
        <v>0</v>
      </c>
      <c r="G4329" s="3" t="s">
        <v>409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 t="s">
        <v>377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0</v>
      </c>
    </row>
    <row r="4330" spans="1:28" hidden="1" x14ac:dyDescent="0.25">
      <c r="A4330" t="s">
        <v>47</v>
      </c>
      <c r="B4330" t="s">
        <v>47</v>
      </c>
      <c r="C4330" t="s">
        <v>212</v>
      </c>
      <c r="D4330" s="1">
        <v>46156</v>
      </c>
      <c r="E4330" s="1">
        <v>46156</v>
      </c>
      <c r="F4330" s="2">
        <v>0</v>
      </c>
      <c r="G4330" s="3" t="s">
        <v>129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377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0</v>
      </c>
    </row>
    <row r="4331" spans="1:28" hidden="1" x14ac:dyDescent="0.25">
      <c r="A4331" t="s">
        <v>29</v>
      </c>
      <c r="B4331" t="s">
        <v>30</v>
      </c>
      <c r="C4331" t="s">
        <v>31</v>
      </c>
      <c r="D4331" s="1">
        <v>46157</v>
      </c>
      <c r="E4331" s="1">
        <v>46157</v>
      </c>
      <c r="F4331" s="2">
        <v>24</v>
      </c>
      <c r="G4331" s="3" t="s">
        <v>23</v>
      </c>
      <c r="H4331">
        <v>26</v>
      </c>
      <c r="I4331" s="2">
        <v>0</v>
      </c>
      <c r="J4331" s="2">
        <v>0</v>
      </c>
      <c r="K4331" s="2">
        <v>0</v>
      </c>
      <c r="L4331" s="2">
        <v>1</v>
      </c>
      <c r="M4331">
        <v>0</v>
      </c>
      <c r="N4331">
        <v>0</v>
      </c>
      <c r="O4331" s="2">
        <v>0</v>
      </c>
      <c r="P4331" s="2">
        <v>0</v>
      </c>
      <c r="Q4331">
        <v>0</v>
      </c>
      <c r="R4331" s="2">
        <v>0</v>
      </c>
      <c r="S4331" s="2">
        <v>0</v>
      </c>
      <c r="T4331" t="s">
        <v>2039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 s="2">
        <v>0</v>
      </c>
      <c r="AA4331" s="2">
        <v>0</v>
      </c>
      <c r="AB4331" s="2">
        <v>0</v>
      </c>
    </row>
    <row r="4332" spans="1:28" hidden="1" x14ac:dyDescent="0.25">
      <c r="A4332" t="s">
        <v>56</v>
      </c>
      <c r="B4332" t="s">
        <v>1160</v>
      </c>
      <c r="C4332" t="s">
        <v>64</v>
      </c>
      <c r="D4332" s="1">
        <v>46157</v>
      </c>
      <c r="E4332" s="1">
        <v>46157</v>
      </c>
      <c r="F4332" s="2">
        <v>60</v>
      </c>
      <c r="G4332" s="3" t="s">
        <v>23</v>
      </c>
      <c r="H4332">
        <f>8+8+1</f>
        <v>17</v>
      </c>
      <c r="I4332" s="2">
        <v>0</v>
      </c>
      <c r="J4332" s="2">
        <v>0</v>
      </c>
      <c r="K4332" s="2">
        <v>1</v>
      </c>
      <c r="L4332" s="2">
        <v>0</v>
      </c>
      <c r="M4332">
        <v>0</v>
      </c>
      <c r="N4332">
        <v>0</v>
      </c>
      <c r="O4332" s="2">
        <v>0</v>
      </c>
      <c r="P4332" s="2">
        <v>0</v>
      </c>
      <c r="Q4332">
        <v>0</v>
      </c>
      <c r="R4332" s="2">
        <v>0</v>
      </c>
      <c r="S4332" s="2">
        <v>0</v>
      </c>
      <c r="T4332" t="s">
        <v>2040</v>
      </c>
      <c r="U4332" s="2">
        <v>0</v>
      </c>
      <c r="V4332" s="2">
        <f>6+2</f>
        <v>8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0</v>
      </c>
    </row>
    <row r="4333" spans="1:28" hidden="1" x14ac:dyDescent="0.25">
      <c r="A4333" t="s">
        <v>20</v>
      </c>
      <c r="B4333" t="s">
        <v>21</v>
      </c>
      <c r="C4333" t="s">
        <v>22</v>
      </c>
      <c r="D4333" s="1">
        <v>46157</v>
      </c>
      <c r="E4333" s="1">
        <v>46157</v>
      </c>
      <c r="F4333" s="2">
        <v>24</v>
      </c>
      <c r="G4333" s="3" t="s">
        <v>23</v>
      </c>
      <c r="H4333">
        <f>18+18</f>
        <v>36</v>
      </c>
      <c r="I4333" s="2">
        <v>0</v>
      </c>
      <c r="J4333" s="2">
        <v>0</v>
      </c>
      <c r="K4333" s="2">
        <v>1</v>
      </c>
      <c r="L4333" s="2">
        <v>0</v>
      </c>
      <c r="M4333">
        <v>0</v>
      </c>
      <c r="N4333">
        <v>0</v>
      </c>
      <c r="O4333" s="2">
        <v>0</v>
      </c>
      <c r="P4333" s="2">
        <v>0</v>
      </c>
      <c r="Q4333">
        <v>0</v>
      </c>
      <c r="R4333" s="2">
        <v>0</v>
      </c>
      <c r="S4333" s="2">
        <v>0</v>
      </c>
      <c r="T4333" t="s">
        <v>2041</v>
      </c>
      <c r="U4333" s="2">
        <v>0</v>
      </c>
      <c r="V4333" s="2">
        <v>11</v>
      </c>
      <c r="W4333" s="2">
        <v>0</v>
      </c>
      <c r="X4333" s="2">
        <v>0</v>
      </c>
      <c r="Y4333" s="2">
        <v>0</v>
      </c>
      <c r="Z4333" s="2">
        <v>0</v>
      </c>
      <c r="AA4333" s="2">
        <v>0</v>
      </c>
      <c r="AB4333" s="2">
        <v>0</v>
      </c>
    </row>
    <row r="4334" spans="1:28" hidden="1" x14ac:dyDescent="0.25">
      <c r="A4334" t="s">
        <v>53</v>
      </c>
      <c r="B4334" t="s">
        <v>38</v>
      </c>
      <c r="C4334" t="s">
        <v>54</v>
      </c>
      <c r="D4334" s="1">
        <v>46157</v>
      </c>
      <c r="E4334" s="1">
        <v>46157</v>
      </c>
      <c r="F4334" s="2">
        <v>56</v>
      </c>
      <c r="G4334" s="3" t="s">
        <v>23</v>
      </c>
      <c r="H4334">
        <f>14+14</f>
        <v>28</v>
      </c>
      <c r="I4334" s="2">
        <v>0</v>
      </c>
      <c r="J4334" s="2">
        <v>0</v>
      </c>
      <c r="K4334" s="2">
        <v>1</v>
      </c>
      <c r="L4334" s="2">
        <v>0</v>
      </c>
      <c r="M4334">
        <v>0</v>
      </c>
      <c r="N4334">
        <v>0</v>
      </c>
      <c r="O4334" s="2">
        <v>0</v>
      </c>
      <c r="P4334" s="2">
        <v>0</v>
      </c>
      <c r="Q4334">
        <v>0</v>
      </c>
      <c r="R4334" s="2">
        <v>0</v>
      </c>
      <c r="S4334" s="2">
        <v>0</v>
      </c>
      <c r="T4334" t="s">
        <v>2042</v>
      </c>
      <c r="U4334" s="2">
        <v>0</v>
      </c>
      <c r="V4334" s="2">
        <v>11</v>
      </c>
      <c r="W4334" s="2">
        <v>0</v>
      </c>
      <c r="X4334" s="2">
        <v>0</v>
      </c>
      <c r="Y4334" s="2">
        <v>0</v>
      </c>
      <c r="Z4334" s="2">
        <v>0</v>
      </c>
      <c r="AA4334" s="2">
        <v>0</v>
      </c>
      <c r="AB4334" s="2">
        <v>0</v>
      </c>
    </row>
    <row r="4335" spans="1:28" hidden="1" x14ac:dyDescent="0.25">
      <c r="A4335" t="s">
        <v>63</v>
      </c>
      <c r="B4335" t="s">
        <v>284</v>
      </c>
      <c r="C4335" t="s">
        <v>102</v>
      </c>
      <c r="D4335" s="1">
        <v>46157</v>
      </c>
      <c r="E4335" s="1">
        <v>46157</v>
      </c>
      <c r="F4335" s="2">
        <v>93</v>
      </c>
      <c r="G4335" s="3" t="s">
        <v>23</v>
      </c>
      <c r="H4335">
        <f>16+16+2+3+2</f>
        <v>39</v>
      </c>
      <c r="I4335" s="2">
        <v>0</v>
      </c>
      <c r="J4335" s="2">
        <v>0</v>
      </c>
      <c r="K4335" s="2">
        <v>1</v>
      </c>
      <c r="L4335" s="2">
        <v>0</v>
      </c>
      <c r="M4335">
        <v>1</v>
      </c>
      <c r="N4335">
        <v>0</v>
      </c>
      <c r="O4335" s="2">
        <v>0</v>
      </c>
      <c r="P4335" s="2">
        <v>0</v>
      </c>
      <c r="Q4335">
        <v>0</v>
      </c>
      <c r="R4335" s="2">
        <v>0</v>
      </c>
      <c r="S4335" s="2">
        <v>0</v>
      </c>
      <c r="T4335" t="s">
        <v>2043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</row>
    <row r="4336" spans="1:28" hidden="1" x14ac:dyDescent="0.25">
      <c r="A4336" t="s">
        <v>33</v>
      </c>
      <c r="B4336" t="s">
        <v>34</v>
      </c>
      <c r="C4336" t="s">
        <v>35</v>
      </c>
      <c r="D4336" s="1">
        <v>46157</v>
      </c>
      <c r="E4336" s="1">
        <v>46157</v>
      </c>
      <c r="F4336" s="2">
        <v>65</v>
      </c>
      <c r="G4336" s="3" t="s">
        <v>23</v>
      </c>
      <c r="H4336">
        <v>16</v>
      </c>
      <c r="I4336" s="2">
        <v>0</v>
      </c>
      <c r="J4336" s="2">
        <v>0</v>
      </c>
      <c r="K4336" s="2">
        <v>1</v>
      </c>
      <c r="L4336" s="2">
        <v>0</v>
      </c>
      <c r="M4336">
        <v>0</v>
      </c>
      <c r="N4336">
        <v>0</v>
      </c>
      <c r="O4336" s="2">
        <v>0</v>
      </c>
      <c r="P4336" s="2">
        <v>0</v>
      </c>
      <c r="Q4336">
        <v>0</v>
      </c>
      <c r="R4336" s="2">
        <v>0</v>
      </c>
      <c r="S4336" s="2">
        <v>0</v>
      </c>
      <c r="T4336" t="s">
        <v>2044</v>
      </c>
      <c r="U4336" s="2">
        <v>0</v>
      </c>
      <c r="V4336" s="2">
        <v>16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</row>
    <row r="4337" spans="1:28" hidden="1" x14ac:dyDescent="0.25">
      <c r="A4337" t="s">
        <v>25</v>
      </c>
      <c r="B4337" t="s">
        <v>26</v>
      </c>
      <c r="C4337" t="s">
        <v>27</v>
      </c>
      <c r="D4337" s="1">
        <v>46157</v>
      </c>
      <c r="E4337" s="1">
        <v>46157</v>
      </c>
      <c r="F4337" s="2">
        <v>48</v>
      </c>
      <c r="G4337" s="3" t="s">
        <v>23</v>
      </c>
      <c r="H4337">
        <v>11</v>
      </c>
      <c r="I4337" s="2">
        <v>0</v>
      </c>
      <c r="J4337" s="2">
        <v>0</v>
      </c>
      <c r="K4337" s="2">
        <v>0</v>
      </c>
      <c r="L4337" s="2">
        <v>0</v>
      </c>
      <c r="M4337">
        <v>0</v>
      </c>
      <c r="N4337">
        <v>0</v>
      </c>
      <c r="O4337" s="2">
        <v>0</v>
      </c>
      <c r="P4337" s="2">
        <v>0</v>
      </c>
      <c r="Q4337">
        <v>0</v>
      </c>
      <c r="R4337" s="2">
        <v>0</v>
      </c>
      <c r="S4337" s="2">
        <v>0</v>
      </c>
      <c r="T4337" t="s">
        <v>2045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</row>
    <row r="4338" spans="1:28" hidden="1" x14ac:dyDescent="0.25">
      <c r="A4338" t="s">
        <v>57</v>
      </c>
      <c r="B4338" t="s">
        <v>1323</v>
      </c>
      <c r="C4338" t="s">
        <v>27</v>
      </c>
      <c r="D4338" s="1">
        <v>46157</v>
      </c>
      <c r="E4338" s="1">
        <v>46157</v>
      </c>
      <c r="F4338" s="2">
        <v>48</v>
      </c>
      <c r="G4338" s="3" t="s">
        <v>23</v>
      </c>
      <c r="H4338">
        <v>14</v>
      </c>
      <c r="I4338" s="2">
        <v>0</v>
      </c>
      <c r="J4338" s="2">
        <v>0</v>
      </c>
      <c r="K4338" s="2">
        <v>0</v>
      </c>
      <c r="L4338" s="2">
        <v>0</v>
      </c>
      <c r="M4338">
        <v>0</v>
      </c>
      <c r="N4338">
        <v>0</v>
      </c>
      <c r="O4338" s="2">
        <v>0</v>
      </c>
      <c r="P4338" s="2">
        <v>0</v>
      </c>
      <c r="Q4338">
        <v>0</v>
      </c>
      <c r="R4338" s="2">
        <v>0</v>
      </c>
      <c r="S4338" s="2">
        <v>0</v>
      </c>
      <c r="T4338" t="s">
        <v>2045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</row>
    <row r="4339" spans="1:28" x14ac:dyDescent="0.25">
      <c r="A4339" t="s">
        <v>730</v>
      </c>
      <c r="B4339" t="s">
        <v>47</v>
      </c>
      <c r="C4339" t="s">
        <v>212</v>
      </c>
      <c r="D4339" s="1">
        <v>46157</v>
      </c>
      <c r="E4339" s="1">
        <v>46157</v>
      </c>
      <c r="F4339" s="2">
        <v>0</v>
      </c>
      <c r="G4339" s="3" t="s">
        <v>48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 t="s">
        <v>377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</row>
    <row r="4340" spans="1:28" hidden="1" x14ac:dyDescent="0.25">
      <c r="A4340" t="s">
        <v>47</v>
      </c>
      <c r="B4340" t="s">
        <v>47</v>
      </c>
      <c r="C4340" t="s">
        <v>212</v>
      </c>
      <c r="D4340" s="1">
        <v>46157</v>
      </c>
      <c r="E4340" s="1">
        <v>46157</v>
      </c>
      <c r="F4340" s="2">
        <v>0</v>
      </c>
      <c r="G4340" s="3" t="s">
        <v>48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 t="s">
        <v>377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 s="2">
        <v>0</v>
      </c>
      <c r="AA4340" s="2">
        <v>0</v>
      </c>
      <c r="AB4340" s="2">
        <v>0</v>
      </c>
    </row>
    <row r="4341" spans="1:28" hidden="1" x14ac:dyDescent="0.25">
      <c r="A4341" t="s">
        <v>47</v>
      </c>
      <c r="B4341" t="s">
        <v>47</v>
      </c>
      <c r="C4341" t="s">
        <v>212</v>
      </c>
      <c r="D4341" s="1">
        <v>46157</v>
      </c>
      <c r="E4341" s="1">
        <v>46157</v>
      </c>
      <c r="F4341" s="2">
        <v>0</v>
      </c>
      <c r="G4341" s="3" t="s">
        <v>614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 t="s">
        <v>377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 s="2">
        <v>0</v>
      </c>
      <c r="AA4341" s="2">
        <v>0</v>
      </c>
      <c r="AB4341" s="2">
        <v>0</v>
      </c>
    </row>
    <row r="4342" spans="1:28" hidden="1" x14ac:dyDescent="0.25">
      <c r="A4342" t="s">
        <v>47</v>
      </c>
      <c r="B4342" t="s">
        <v>47</v>
      </c>
      <c r="C4342" t="s">
        <v>212</v>
      </c>
      <c r="D4342" s="1">
        <v>46157</v>
      </c>
      <c r="E4342" s="1">
        <v>46157</v>
      </c>
      <c r="F4342" s="2">
        <v>0</v>
      </c>
      <c r="G4342" s="3" t="s">
        <v>48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 t="s">
        <v>377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 s="2">
        <v>0</v>
      </c>
      <c r="AA4342" s="2">
        <v>0</v>
      </c>
      <c r="AB4342" s="2">
        <v>0</v>
      </c>
    </row>
    <row r="4343" spans="1:28" hidden="1" x14ac:dyDescent="0.25">
      <c r="A4343" t="s">
        <v>47</v>
      </c>
      <c r="B4343" t="s">
        <v>47</v>
      </c>
      <c r="C4343" t="s">
        <v>212</v>
      </c>
      <c r="D4343" s="1">
        <v>46157</v>
      </c>
      <c r="E4343" s="1">
        <v>46157</v>
      </c>
      <c r="F4343" s="2">
        <v>0</v>
      </c>
      <c r="G4343" s="3" t="s">
        <v>572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377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 s="2">
        <v>0</v>
      </c>
      <c r="AA4343" s="2">
        <v>0</v>
      </c>
      <c r="AB4343" s="2">
        <v>0</v>
      </c>
    </row>
    <row r="4344" spans="1:28" hidden="1" x14ac:dyDescent="0.25">
      <c r="A4344" t="s">
        <v>47</v>
      </c>
      <c r="B4344" t="s">
        <v>47</v>
      </c>
      <c r="C4344" t="s">
        <v>212</v>
      </c>
      <c r="D4344" s="1">
        <v>46157</v>
      </c>
      <c r="E4344" s="1">
        <v>46157</v>
      </c>
      <c r="F4344" s="2">
        <v>0</v>
      </c>
      <c r="G4344" s="3" t="s">
        <v>572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377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 s="2">
        <v>0</v>
      </c>
      <c r="AA4344" s="2">
        <v>0</v>
      </c>
      <c r="AB4344" s="2">
        <v>0</v>
      </c>
    </row>
    <row r="4345" spans="1:28" hidden="1" x14ac:dyDescent="0.25">
      <c r="A4345" t="s">
        <v>47</v>
      </c>
      <c r="B4345" t="s">
        <v>47</v>
      </c>
      <c r="C4345" t="s">
        <v>212</v>
      </c>
      <c r="D4345" s="1">
        <v>46157</v>
      </c>
      <c r="E4345" s="1">
        <v>46157</v>
      </c>
      <c r="F4345" s="2">
        <v>0</v>
      </c>
      <c r="G4345" s="3" t="s">
        <v>572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377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</row>
    <row r="4346" spans="1:28" hidden="1" x14ac:dyDescent="0.25">
      <c r="A4346" t="s">
        <v>47</v>
      </c>
      <c r="B4346" t="s">
        <v>47</v>
      </c>
      <c r="C4346" t="s">
        <v>212</v>
      </c>
      <c r="D4346" s="1">
        <v>46157</v>
      </c>
      <c r="E4346" s="1">
        <v>46157</v>
      </c>
      <c r="F4346" s="2">
        <v>0</v>
      </c>
      <c r="G4346" s="3" t="s">
        <v>572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 t="s">
        <v>377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</row>
    <row r="4347" spans="1:28" hidden="1" x14ac:dyDescent="0.25">
      <c r="A4347" t="s">
        <v>37</v>
      </c>
      <c r="B4347" t="s">
        <v>47</v>
      </c>
      <c r="C4347" t="s">
        <v>212</v>
      </c>
      <c r="D4347" s="1">
        <v>46157</v>
      </c>
      <c r="E4347" s="1">
        <v>46157</v>
      </c>
      <c r="F4347" s="2">
        <v>0</v>
      </c>
      <c r="G4347" s="3" t="s">
        <v>2017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 t="s">
        <v>377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</row>
    <row r="4348" spans="1:28" hidden="1" x14ac:dyDescent="0.25">
      <c r="A4348" t="s">
        <v>47</v>
      </c>
      <c r="B4348" t="s">
        <v>47</v>
      </c>
      <c r="C4348" t="s">
        <v>212</v>
      </c>
      <c r="D4348" s="1">
        <v>46157</v>
      </c>
      <c r="E4348" s="1">
        <v>46157</v>
      </c>
      <c r="F4348" s="2">
        <v>0</v>
      </c>
      <c r="G4348" s="3" t="s">
        <v>409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 t="s">
        <v>377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</row>
    <row r="4349" spans="1:28" hidden="1" x14ac:dyDescent="0.25">
      <c r="A4349" t="s">
        <v>47</v>
      </c>
      <c r="B4349" t="s">
        <v>47</v>
      </c>
      <c r="C4349" t="s">
        <v>212</v>
      </c>
      <c r="D4349" s="1">
        <v>46157</v>
      </c>
      <c r="E4349" s="1">
        <v>46157</v>
      </c>
      <c r="F4349" s="2">
        <v>0</v>
      </c>
      <c r="G4349" s="3" t="s">
        <v>129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 t="s">
        <v>377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 s="2">
        <v>0</v>
      </c>
      <c r="AA4349" s="2">
        <v>0</v>
      </c>
      <c r="AB4349" s="2">
        <v>0</v>
      </c>
    </row>
    <row r="4350" spans="1:28" x14ac:dyDescent="0.25">
      <c r="A4350" t="s">
        <v>730</v>
      </c>
      <c r="B4350" t="s">
        <v>30</v>
      </c>
      <c r="C4350" t="s">
        <v>1370</v>
      </c>
      <c r="D4350" s="9">
        <v>46158</v>
      </c>
      <c r="E4350" s="9">
        <v>46158</v>
      </c>
      <c r="F4350" s="2">
        <v>19</v>
      </c>
      <c r="G4350" s="3" t="s">
        <v>23</v>
      </c>
      <c r="H4350">
        <v>0</v>
      </c>
      <c r="I4350" s="2">
        <v>0</v>
      </c>
      <c r="J4350" s="2">
        <v>0</v>
      </c>
      <c r="K4350" s="2">
        <v>0</v>
      </c>
      <c r="L4350" s="2">
        <v>0</v>
      </c>
      <c r="M4350">
        <v>0</v>
      </c>
      <c r="N4350">
        <v>0</v>
      </c>
      <c r="O4350" s="2">
        <v>1</v>
      </c>
      <c r="P4350" s="2">
        <v>0</v>
      </c>
      <c r="Q4350">
        <v>0</v>
      </c>
      <c r="R4350" s="2">
        <v>1</v>
      </c>
      <c r="S4350" s="2">
        <v>0</v>
      </c>
      <c r="T4350" t="s">
        <v>2046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</row>
    <row r="4351" spans="1:28" hidden="1" x14ac:dyDescent="0.25">
      <c r="A4351" t="s">
        <v>193</v>
      </c>
      <c r="B4351" t="s">
        <v>1160</v>
      </c>
      <c r="C4351" t="s">
        <v>1370</v>
      </c>
      <c r="D4351" s="9">
        <v>46158</v>
      </c>
      <c r="E4351" s="9">
        <v>46158</v>
      </c>
      <c r="F4351" s="2">
        <v>19</v>
      </c>
      <c r="G4351" s="3" t="s">
        <v>23</v>
      </c>
      <c r="H4351">
        <v>0</v>
      </c>
      <c r="I4351" s="2">
        <v>0</v>
      </c>
      <c r="J4351" s="2">
        <v>0</v>
      </c>
      <c r="K4351" s="2">
        <v>0</v>
      </c>
      <c r="L4351" s="2">
        <v>0</v>
      </c>
      <c r="M4351">
        <v>0</v>
      </c>
      <c r="N4351">
        <v>0</v>
      </c>
      <c r="O4351" s="2">
        <v>0</v>
      </c>
      <c r="P4351" s="2">
        <v>0</v>
      </c>
      <c r="Q4351">
        <v>0</v>
      </c>
      <c r="R4351" s="2">
        <v>1</v>
      </c>
      <c r="S4351" s="2">
        <v>0</v>
      </c>
      <c r="T4351" t="s">
        <v>2046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 s="2">
        <v>0</v>
      </c>
      <c r="AA4351" s="2">
        <v>1</v>
      </c>
      <c r="AB4351" s="2">
        <v>0</v>
      </c>
    </row>
    <row r="4352" spans="1:28" hidden="1" x14ac:dyDescent="0.25">
      <c r="A4352" t="s">
        <v>20</v>
      </c>
      <c r="B4352" t="s">
        <v>21</v>
      </c>
      <c r="C4352" t="s">
        <v>22</v>
      </c>
      <c r="D4352" s="9">
        <v>46158</v>
      </c>
      <c r="E4352" s="9">
        <v>46158</v>
      </c>
      <c r="F4352" s="2">
        <v>59</v>
      </c>
      <c r="G4352" s="3" t="s">
        <v>23</v>
      </c>
      <c r="H4352">
        <v>0</v>
      </c>
      <c r="I4352" s="2">
        <v>0</v>
      </c>
      <c r="J4352" s="2">
        <v>0</v>
      </c>
      <c r="K4352" s="2">
        <v>0</v>
      </c>
      <c r="L4352" s="2">
        <v>0</v>
      </c>
      <c r="M4352">
        <v>0</v>
      </c>
      <c r="N4352">
        <v>0</v>
      </c>
      <c r="O4352" s="2">
        <v>1</v>
      </c>
      <c r="P4352" s="2">
        <v>0</v>
      </c>
      <c r="Q4352">
        <v>1</v>
      </c>
      <c r="R4352" s="2">
        <v>1</v>
      </c>
      <c r="S4352" s="2">
        <v>0</v>
      </c>
      <c r="T4352" t="s">
        <v>2047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</row>
    <row r="4353" spans="1:28" hidden="1" x14ac:dyDescent="0.25">
      <c r="A4353" t="s">
        <v>53</v>
      </c>
      <c r="B4353" t="s">
        <v>38</v>
      </c>
      <c r="C4353" t="s">
        <v>54</v>
      </c>
      <c r="D4353" s="9">
        <v>46158</v>
      </c>
      <c r="E4353" s="9">
        <v>46158</v>
      </c>
      <c r="F4353" s="2">
        <v>62</v>
      </c>
      <c r="G4353" s="3" t="s">
        <v>23</v>
      </c>
      <c r="H4353">
        <v>0</v>
      </c>
      <c r="I4353" s="2">
        <v>0</v>
      </c>
      <c r="J4353" s="2">
        <v>0</v>
      </c>
      <c r="K4353" s="2">
        <v>0</v>
      </c>
      <c r="L4353" s="2">
        <v>0</v>
      </c>
      <c r="M4353">
        <v>0</v>
      </c>
      <c r="N4353">
        <v>0</v>
      </c>
      <c r="O4353" s="2">
        <v>1</v>
      </c>
      <c r="P4353" s="2">
        <v>0</v>
      </c>
      <c r="Q4353">
        <v>2</v>
      </c>
      <c r="R4353" s="2">
        <v>1</v>
      </c>
      <c r="S4353" s="2">
        <v>0</v>
      </c>
      <c r="T4353" t="s">
        <v>2048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</row>
    <row r="4354" spans="1:28" hidden="1" x14ac:dyDescent="0.25">
      <c r="A4354" t="s">
        <v>63</v>
      </c>
      <c r="B4354" t="s">
        <v>284</v>
      </c>
      <c r="C4354" t="s">
        <v>102</v>
      </c>
      <c r="D4354" s="9">
        <v>46158</v>
      </c>
      <c r="E4354" s="9">
        <v>46158</v>
      </c>
      <c r="F4354" s="2">
        <v>28</v>
      </c>
      <c r="G4354" s="3" t="s">
        <v>23</v>
      </c>
      <c r="H4354">
        <v>0</v>
      </c>
      <c r="I4354" s="2">
        <v>0</v>
      </c>
      <c r="J4354" s="2">
        <v>0</v>
      </c>
      <c r="K4354" s="2">
        <v>0</v>
      </c>
      <c r="L4354" s="2">
        <v>0</v>
      </c>
      <c r="M4354">
        <v>0</v>
      </c>
      <c r="N4354">
        <v>0</v>
      </c>
      <c r="O4354" s="2">
        <v>1</v>
      </c>
      <c r="P4354" s="2">
        <v>0</v>
      </c>
      <c r="Q4354">
        <v>6</v>
      </c>
      <c r="R4354" s="2">
        <v>1</v>
      </c>
      <c r="S4354" s="2">
        <v>0</v>
      </c>
      <c r="T4354" t="s">
        <v>2049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 s="2">
        <v>0</v>
      </c>
      <c r="AA4354" s="2">
        <v>0</v>
      </c>
      <c r="AB4354" s="2">
        <v>0</v>
      </c>
    </row>
    <row r="4355" spans="1:28" hidden="1" x14ac:dyDescent="0.25">
      <c r="A4355" t="s">
        <v>1240</v>
      </c>
      <c r="B4355" t="s">
        <v>1323</v>
      </c>
      <c r="C4355" t="s">
        <v>102</v>
      </c>
      <c r="D4355" s="9">
        <v>46158</v>
      </c>
      <c r="E4355" s="9">
        <v>46158</v>
      </c>
      <c r="F4355" s="2">
        <v>28</v>
      </c>
      <c r="G4355" s="3" t="s">
        <v>23</v>
      </c>
      <c r="H4355">
        <v>0</v>
      </c>
      <c r="I4355" s="2">
        <v>0</v>
      </c>
      <c r="J4355" s="2">
        <v>0</v>
      </c>
      <c r="K4355" s="2">
        <v>0</v>
      </c>
      <c r="L4355" s="2">
        <v>0</v>
      </c>
      <c r="M4355">
        <v>0</v>
      </c>
      <c r="N4355">
        <v>0</v>
      </c>
      <c r="O4355" s="2">
        <v>1</v>
      </c>
      <c r="P4355" s="2">
        <v>0</v>
      </c>
      <c r="Q4355">
        <v>0</v>
      </c>
      <c r="R4355" s="2">
        <v>1</v>
      </c>
      <c r="S4355" s="2">
        <v>0</v>
      </c>
      <c r="T4355" t="s">
        <v>2049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 s="2">
        <v>0</v>
      </c>
      <c r="AA4355" s="2">
        <v>0</v>
      </c>
      <c r="AB4355" s="2">
        <v>0</v>
      </c>
    </row>
    <row r="4356" spans="1:28" hidden="1" x14ac:dyDescent="0.25">
      <c r="A4356" t="s">
        <v>33</v>
      </c>
      <c r="B4356" t="s">
        <v>34</v>
      </c>
      <c r="C4356" t="s">
        <v>27</v>
      </c>
      <c r="D4356" s="9">
        <v>46158</v>
      </c>
      <c r="E4356" s="9">
        <v>46158</v>
      </c>
      <c r="F4356" s="2">
        <v>21</v>
      </c>
      <c r="G4356" s="3" t="s">
        <v>378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 t="s">
        <v>1867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</row>
    <row r="4357" spans="1:28" hidden="1" x14ac:dyDescent="0.25">
      <c r="A4357" t="s">
        <v>25</v>
      </c>
      <c r="B4357" t="s">
        <v>26</v>
      </c>
      <c r="C4357" t="s">
        <v>35</v>
      </c>
      <c r="D4357" s="9">
        <v>46158</v>
      </c>
      <c r="E4357" s="9">
        <v>46158</v>
      </c>
      <c r="F4357" s="2">
        <v>48</v>
      </c>
      <c r="G4357" s="3" t="s">
        <v>378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t="s">
        <v>1868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 s="2">
        <v>0</v>
      </c>
      <c r="AA4357" s="2">
        <v>0</v>
      </c>
      <c r="AB4357" s="2">
        <v>0</v>
      </c>
    </row>
    <row r="4358" spans="1:28" hidden="1" x14ac:dyDescent="0.25">
      <c r="A4358" t="s">
        <v>56</v>
      </c>
      <c r="B4358" t="s">
        <v>47</v>
      </c>
      <c r="C4358" t="s">
        <v>64</v>
      </c>
      <c r="D4358" s="9">
        <v>46158</v>
      </c>
      <c r="E4358" s="9">
        <v>46158</v>
      </c>
      <c r="F4358" s="2">
        <v>64</v>
      </c>
      <c r="G4358" s="3" t="s">
        <v>48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1869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</row>
    <row r="4359" spans="1:28" hidden="1" x14ac:dyDescent="0.25">
      <c r="A4359" t="s">
        <v>29</v>
      </c>
      <c r="B4359" t="s">
        <v>57</v>
      </c>
      <c r="C4359" t="s">
        <v>212</v>
      </c>
      <c r="D4359" s="9">
        <v>46158</v>
      </c>
      <c r="E4359" s="9">
        <v>46158</v>
      </c>
      <c r="F4359" s="2">
        <v>0</v>
      </c>
      <c r="G4359" s="3" t="s">
        <v>378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 t="s">
        <v>377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 s="2">
        <v>0</v>
      </c>
      <c r="AA4359" s="2">
        <v>0</v>
      </c>
      <c r="AB4359" s="2">
        <v>0</v>
      </c>
    </row>
    <row r="4360" spans="1:28" hidden="1" x14ac:dyDescent="0.25">
      <c r="A4360" t="s">
        <v>47</v>
      </c>
      <c r="B4360" t="s">
        <v>47</v>
      </c>
      <c r="C4360" t="s">
        <v>212</v>
      </c>
      <c r="D4360" s="9">
        <v>46158</v>
      </c>
      <c r="E4360" s="9">
        <v>46158</v>
      </c>
      <c r="F4360" s="2">
        <v>0</v>
      </c>
      <c r="G4360" s="3" t="s">
        <v>378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377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 s="2">
        <v>0</v>
      </c>
      <c r="AA4360" s="2">
        <v>0</v>
      </c>
      <c r="AB4360" s="2">
        <v>0</v>
      </c>
    </row>
    <row r="4361" spans="1:28" hidden="1" x14ac:dyDescent="0.25">
      <c r="A4361" t="s">
        <v>47</v>
      </c>
      <c r="B4361" t="s">
        <v>47</v>
      </c>
      <c r="C4361" t="s">
        <v>212</v>
      </c>
      <c r="D4361" s="9">
        <v>46158</v>
      </c>
      <c r="E4361" s="9">
        <v>46158</v>
      </c>
      <c r="F4361" s="2">
        <v>0</v>
      </c>
      <c r="G4361" s="3" t="s">
        <v>378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 t="s">
        <v>377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</row>
    <row r="4362" spans="1:28" hidden="1" x14ac:dyDescent="0.25">
      <c r="A4362" t="s">
        <v>37</v>
      </c>
      <c r="B4362" t="s">
        <v>47</v>
      </c>
      <c r="C4362" t="s">
        <v>212</v>
      </c>
      <c r="D4362" s="9">
        <v>46158</v>
      </c>
      <c r="E4362" s="9">
        <v>46158</v>
      </c>
      <c r="F4362" s="2">
        <v>0</v>
      </c>
      <c r="G4362" s="3" t="s">
        <v>2017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377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</row>
    <row r="4363" spans="1:28" x14ac:dyDescent="0.25">
      <c r="A4363" t="s">
        <v>730</v>
      </c>
      <c r="B4363" t="s">
        <v>30</v>
      </c>
      <c r="C4363" t="s">
        <v>1370</v>
      </c>
      <c r="D4363" s="9">
        <v>46159</v>
      </c>
      <c r="E4363" s="9">
        <v>46159</v>
      </c>
      <c r="F4363" s="2">
        <v>22</v>
      </c>
      <c r="G4363" s="3" t="s">
        <v>23</v>
      </c>
      <c r="H4363">
        <v>0</v>
      </c>
      <c r="I4363" s="2">
        <v>0</v>
      </c>
      <c r="J4363" s="2">
        <v>0</v>
      </c>
      <c r="K4363" s="2">
        <v>0</v>
      </c>
      <c r="L4363" s="2">
        <v>0</v>
      </c>
      <c r="M4363">
        <v>0</v>
      </c>
      <c r="N4363">
        <v>0</v>
      </c>
      <c r="O4363" s="2">
        <v>0</v>
      </c>
      <c r="P4363" s="2">
        <v>0</v>
      </c>
      <c r="Q4363">
        <v>4</v>
      </c>
      <c r="R4363" s="2">
        <v>0</v>
      </c>
      <c r="S4363" s="2">
        <v>1</v>
      </c>
      <c r="T4363" t="s">
        <v>2050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1</v>
      </c>
    </row>
    <row r="4364" spans="1:28" hidden="1" x14ac:dyDescent="0.25">
      <c r="A4364" t="s">
        <v>56</v>
      </c>
      <c r="B4364" t="s">
        <v>1160</v>
      </c>
      <c r="C4364" t="s">
        <v>64</v>
      </c>
      <c r="D4364" s="9">
        <v>46159</v>
      </c>
      <c r="E4364" s="9">
        <v>46159</v>
      </c>
      <c r="F4364" s="2">
        <v>44</v>
      </c>
      <c r="G4364" s="3" t="s">
        <v>23</v>
      </c>
      <c r="H4364">
        <v>0</v>
      </c>
      <c r="I4364" s="2">
        <v>0</v>
      </c>
      <c r="J4364" s="2">
        <v>0</v>
      </c>
      <c r="K4364" s="2">
        <v>0</v>
      </c>
      <c r="L4364" s="2">
        <v>0</v>
      </c>
      <c r="M4364">
        <v>0</v>
      </c>
      <c r="N4364">
        <v>0</v>
      </c>
      <c r="O4364" s="2">
        <v>0</v>
      </c>
      <c r="P4364" s="2">
        <v>1</v>
      </c>
      <c r="Q4364">
        <v>1</v>
      </c>
      <c r="R4364" s="2">
        <v>0</v>
      </c>
      <c r="S4364" s="2">
        <v>1</v>
      </c>
      <c r="T4364" t="s">
        <v>2051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</row>
    <row r="4365" spans="1:28" hidden="1" x14ac:dyDescent="0.25">
      <c r="A4365" t="s">
        <v>53</v>
      </c>
      <c r="B4365" t="s">
        <v>38</v>
      </c>
      <c r="C4365" t="s">
        <v>54</v>
      </c>
      <c r="D4365" s="9">
        <v>46159</v>
      </c>
      <c r="E4365" s="9">
        <v>46159</v>
      </c>
      <c r="F4365" s="2">
        <v>44</v>
      </c>
      <c r="G4365" s="3" t="s">
        <v>23</v>
      </c>
      <c r="H4365">
        <v>0</v>
      </c>
      <c r="I4365" s="2">
        <v>0</v>
      </c>
      <c r="J4365" s="2">
        <v>0</v>
      </c>
      <c r="K4365" s="2">
        <v>0</v>
      </c>
      <c r="L4365" s="2">
        <v>0</v>
      </c>
      <c r="M4365">
        <v>0</v>
      </c>
      <c r="N4365">
        <v>0</v>
      </c>
      <c r="O4365" s="2">
        <v>0</v>
      </c>
      <c r="P4365" s="2">
        <v>1</v>
      </c>
      <c r="Q4365">
        <v>3</v>
      </c>
      <c r="R4365" s="2">
        <v>0</v>
      </c>
      <c r="S4365" s="2">
        <v>1</v>
      </c>
      <c r="T4365" t="s">
        <v>2052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0</v>
      </c>
    </row>
    <row r="4366" spans="1:28" hidden="1" x14ac:dyDescent="0.25">
      <c r="A4366" t="s">
        <v>20</v>
      </c>
      <c r="B4366" t="s">
        <v>21</v>
      </c>
      <c r="C4366" t="s">
        <v>22</v>
      </c>
      <c r="D4366" s="9">
        <v>46159</v>
      </c>
      <c r="E4366" s="9">
        <v>46159</v>
      </c>
      <c r="F4366" s="2">
        <v>37</v>
      </c>
      <c r="G4366" s="3" t="s">
        <v>23</v>
      </c>
      <c r="H4366">
        <v>0</v>
      </c>
      <c r="I4366" s="2">
        <v>0</v>
      </c>
      <c r="J4366" s="2">
        <v>0</v>
      </c>
      <c r="K4366" s="2">
        <v>0</v>
      </c>
      <c r="L4366" s="2">
        <v>0</v>
      </c>
      <c r="M4366">
        <v>0</v>
      </c>
      <c r="N4366">
        <v>0</v>
      </c>
      <c r="O4366" s="2">
        <v>0</v>
      </c>
      <c r="P4366" s="2">
        <v>1</v>
      </c>
      <c r="Q4366">
        <v>2</v>
      </c>
      <c r="R4366" s="2">
        <v>0</v>
      </c>
      <c r="S4366" s="2">
        <v>1</v>
      </c>
      <c r="T4366" t="s">
        <v>2053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</row>
    <row r="4367" spans="1:28" hidden="1" x14ac:dyDescent="0.25">
      <c r="A4367" t="s">
        <v>63</v>
      </c>
      <c r="B4367" t="s">
        <v>284</v>
      </c>
      <c r="C4367" t="s">
        <v>102</v>
      </c>
      <c r="D4367" s="9">
        <v>46159</v>
      </c>
      <c r="E4367" s="9">
        <v>46159</v>
      </c>
      <c r="F4367" s="2">
        <v>75</v>
      </c>
      <c r="G4367" s="3" t="s">
        <v>23</v>
      </c>
      <c r="H4367">
        <v>0</v>
      </c>
      <c r="I4367" s="2">
        <v>0</v>
      </c>
      <c r="J4367" s="2">
        <v>0</v>
      </c>
      <c r="K4367" s="2">
        <v>0</v>
      </c>
      <c r="L4367" s="2">
        <v>0</v>
      </c>
      <c r="M4367">
        <v>0</v>
      </c>
      <c r="N4367">
        <v>0</v>
      </c>
      <c r="O4367" s="2">
        <v>0</v>
      </c>
      <c r="P4367" s="2">
        <v>1</v>
      </c>
      <c r="Q4367">
        <v>6</v>
      </c>
      <c r="R4367" s="2">
        <v>0</v>
      </c>
      <c r="S4367" s="2">
        <v>1</v>
      </c>
      <c r="T4367" t="s">
        <v>2054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</row>
    <row r="4368" spans="1:28" hidden="1" x14ac:dyDescent="0.25">
      <c r="A4368" t="s">
        <v>1240</v>
      </c>
      <c r="B4368" t="s">
        <v>1323</v>
      </c>
      <c r="C4368" t="s">
        <v>102</v>
      </c>
      <c r="D4368" s="9">
        <v>46159</v>
      </c>
      <c r="E4368" s="9">
        <v>46159</v>
      </c>
      <c r="F4368" s="2">
        <v>75</v>
      </c>
      <c r="G4368" s="3" t="s">
        <v>23</v>
      </c>
      <c r="H4368">
        <v>0</v>
      </c>
      <c r="I4368" s="2">
        <v>0</v>
      </c>
      <c r="J4368" s="2">
        <v>0</v>
      </c>
      <c r="K4368" s="2">
        <v>0</v>
      </c>
      <c r="L4368" s="2">
        <v>0</v>
      </c>
      <c r="M4368">
        <v>0</v>
      </c>
      <c r="N4368">
        <v>0</v>
      </c>
      <c r="O4368" s="2">
        <v>0</v>
      </c>
      <c r="P4368" s="2">
        <v>1</v>
      </c>
      <c r="Q4368">
        <v>1</v>
      </c>
      <c r="R4368" s="2">
        <v>0</v>
      </c>
      <c r="S4368" s="2">
        <v>1</v>
      </c>
      <c r="T4368" t="s">
        <v>2054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 s="2">
        <v>0</v>
      </c>
      <c r="AA4368" s="2">
        <v>0</v>
      </c>
      <c r="AB4368" s="2">
        <v>0</v>
      </c>
    </row>
    <row r="4369" spans="1:28" hidden="1" x14ac:dyDescent="0.25">
      <c r="A4369" t="s">
        <v>33</v>
      </c>
      <c r="B4369" t="s">
        <v>34</v>
      </c>
      <c r="C4369" t="s">
        <v>27</v>
      </c>
      <c r="D4369" s="9">
        <v>46159</v>
      </c>
      <c r="E4369" s="9">
        <v>46159</v>
      </c>
      <c r="F4369" s="2">
        <v>21</v>
      </c>
      <c r="G4369" s="3" t="s">
        <v>378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 t="s">
        <v>1867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</row>
    <row r="4370" spans="1:28" hidden="1" x14ac:dyDescent="0.25">
      <c r="A4370" t="s">
        <v>25</v>
      </c>
      <c r="B4370" t="s">
        <v>26</v>
      </c>
      <c r="C4370" t="s">
        <v>35</v>
      </c>
      <c r="D4370" s="9">
        <v>46159</v>
      </c>
      <c r="E4370" s="9">
        <v>46159</v>
      </c>
      <c r="F4370" s="2">
        <v>48</v>
      </c>
      <c r="G4370" s="3" t="s">
        <v>378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 t="s">
        <v>1868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 s="2">
        <v>0</v>
      </c>
      <c r="AA4370" s="2">
        <v>0</v>
      </c>
      <c r="AB4370" s="2">
        <v>0</v>
      </c>
    </row>
    <row r="4371" spans="1:28" hidden="1" x14ac:dyDescent="0.25">
      <c r="A4371" t="s">
        <v>47</v>
      </c>
      <c r="B4371" t="s">
        <v>47</v>
      </c>
      <c r="C4371" t="s">
        <v>64</v>
      </c>
      <c r="D4371" s="9">
        <v>46159</v>
      </c>
      <c r="E4371" s="9">
        <v>46159</v>
      </c>
      <c r="F4371" s="2">
        <v>64</v>
      </c>
      <c r="G4371" s="3" t="s">
        <v>378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 t="s">
        <v>1869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 s="2">
        <v>0</v>
      </c>
      <c r="AA4371" s="2">
        <v>0</v>
      </c>
      <c r="AB4371" s="2">
        <v>0</v>
      </c>
    </row>
    <row r="4372" spans="1:28" hidden="1" x14ac:dyDescent="0.25">
      <c r="A4372" t="s">
        <v>29</v>
      </c>
      <c r="B4372" t="s">
        <v>57</v>
      </c>
      <c r="C4372" t="s">
        <v>212</v>
      </c>
      <c r="D4372" s="9">
        <v>46159</v>
      </c>
      <c r="E4372" s="9">
        <v>46159</v>
      </c>
      <c r="F4372" s="2">
        <v>0</v>
      </c>
      <c r="G4372" s="3" t="s">
        <v>378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 t="s">
        <v>377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</row>
    <row r="4373" spans="1:28" hidden="1" x14ac:dyDescent="0.25">
      <c r="A4373" t="s">
        <v>47</v>
      </c>
      <c r="B4373" t="s">
        <v>47</v>
      </c>
      <c r="C4373" t="s">
        <v>212</v>
      </c>
      <c r="D4373" s="9">
        <v>46159</v>
      </c>
      <c r="E4373" s="9">
        <v>46159</v>
      </c>
      <c r="F4373" s="2">
        <v>0</v>
      </c>
      <c r="G4373" s="3" t="s">
        <v>378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 t="s">
        <v>377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 s="2">
        <v>0</v>
      </c>
      <c r="AA4373" s="2">
        <v>0</v>
      </c>
      <c r="AB4373" s="2">
        <v>0</v>
      </c>
    </row>
    <row r="4374" spans="1:28" hidden="1" x14ac:dyDescent="0.25">
      <c r="A4374" t="s">
        <v>47</v>
      </c>
      <c r="B4374" t="s">
        <v>47</v>
      </c>
      <c r="C4374" t="s">
        <v>212</v>
      </c>
      <c r="D4374" s="9">
        <v>46159</v>
      </c>
      <c r="E4374" s="9">
        <v>46159</v>
      </c>
      <c r="F4374" s="2">
        <v>0</v>
      </c>
      <c r="G4374" s="3" t="s">
        <v>378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 t="s">
        <v>377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</row>
    <row r="4375" spans="1:28" hidden="1" x14ac:dyDescent="0.25">
      <c r="A4375" t="s">
        <v>37</v>
      </c>
      <c r="B4375" t="s">
        <v>47</v>
      </c>
      <c r="C4375" t="s">
        <v>212</v>
      </c>
      <c r="D4375" s="9">
        <v>46159</v>
      </c>
      <c r="E4375" s="9">
        <v>46159</v>
      </c>
      <c r="F4375" s="2">
        <v>0</v>
      </c>
      <c r="G4375" s="3" t="s">
        <v>2017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377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 s="2">
        <v>0</v>
      </c>
      <c r="AA4375" s="2">
        <v>0</v>
      </c>
      <c r="AB4375" s="2">
        <v>0</v>
      </c>
    </row>
    <row r="4376" spans="1:28" hidden="1" x14ac:dyDescent="0.25">
      <c r="A4376" t="s">
        <v>33</v>
      </c>
      <c r="B4376" t="s">
        <v>34</v>
      </c>
      <c r="C4376" t="s">
        <v>35</v>
      </c>
      <c r="D4376" s="1">
        <v>46160</v>
      </c>
      <c r="E4376" s="1">
        <v>46160</v>
      </c>
      <c r="F4376" s="2">
        <v>37</v>
      </c>
      <c r="G4376" s="3" t="s">
        <v>23</v>
      </c>
      <c r="H4376">
        <v>9</v>
      </c>
      <c r="I4376" s="2">
        <v>0</v>
      </c>
      <c r="J4376" s="2">
        <v>0</v>
      </c>
      <c r="K4376" s="2">
        <v>0</v>
      </c>
      <c r="L4376" s="2">
        <v>0</v>
      </c>
      <c r="M4376">
        <v>0</v>
      </c>
      <c r="N4376">
        <v>0</v>
      </c>
      <c r="O4376" s="2">
        <v>0</v>
      </c>
      <c r="P4376" s="2">
        <v>0</v>
      </c>
      <c r="Q4376">
        <v>0</v>
      </c>
      <c r="R4376" s="2">
        <v>0</v>
      </c>
      <c r="S4376" s="2">
        <v>0</v>
      </c>
      <c r="T4376" t="s">
        <v>2055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 s="2">
        <v>0</v>
      </c>
      <c r="AA4376" s="2">
        <v>0</v>
      </c>
      <c r="AB4376" s="2">
        <v>0</v>
      </c>
    </row>
    <row r="4377" spans="1:28" hidden="1" x14ac:dyDescent="0.25">
      <c r="A4377" t="s">
        <v>25</v>
      </c>
      <c r="B4377" t="s">
        <v>26</v>
      </c>
      <c r="C4377" t="s">
        <v>27</v>
      </c>
      <c r="D4377" s="1">
        <v>46160</v>
      </c>
      <c r="E4377" s="1">
        <v>46160</v>
      </c>
      <c r="F4377" s="2">
        <v>27</v>
      </c>
      <c r="G4377" s="3" t="s">
        <v>23</v>
      </c>
      <c r="H4377">
        <v>20</v>
      </c>
      <c r="I4377" s="2">
        <v>0</v>
      </c>
      <c r="J4377" s="2">
        <v>0</v>
      </c>
      <c r="K4377" s="2">
        <v>0</v>
      </c>
      <c r="L4377" s="2">
        <v>0</v>
      </c>
      <c r="M4377">
        <v>1</v>
      </c>
      <c r="N4377">
        <v>0</v>
      </c>
      <c r="O4377" s="2">
        <v>0</v>
      </c>
      <c r="P4377" s="2">
        <v>0</v>
      </c>
      <c r="Q4377">
        <v>0</v>
      </c>
      <c r="R4377" s="2">
        <v>0</v>
      </c>
      <c r="S4377" s="2">
        <v>0</v>
      </c>
      <c r="T4377" t="s">
        <v>2056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</row>
    <row r="4378" spans="1:28" hidden="1" x14ac:dyDescent="0.25">
      <c r="A4378" t="s">
        <v>63</v>
      </c>
      <c r="B4378" t="s">
        <v>284</v>
      </c>
      <c r="C4378" t="s">
        <v>102</v>
      </c>
      <c r="D4378" s="1">
        <v>46160</v>
      </c>
      <c r="E4378" s="1">
        <v>46160</v>
      </c>
      <c r="F4378" s="2">
        <v>13</v>
      </c>
      <c r="G4378" s="3" t="s">
        <v>23</v>
      </c>
      <c r="H4378">
        <v>10</v>
      </c>
      <c r="I4378" s="2">
        <v>0</v>
      </c>
      <c r="J4378" s="2">
        <v>0</v>
      </c>
      <c r="K4378" s="2">
        <v>0</v>
      </c>
      <c r="L4378" s="2">
        <v>0</v>
      </c>
      <c r="M4378">
        <v>1</v>
      </c>
      <c r="N4378">
        <v>0</v>
      </c>
      <c r="O4378" s="2">
        <v>0</v>
      </c>
      <c r="P4378" s="2">
        <v>0</v>
      </c>
      <c r="Q4378">
        <v>0</v>
      </c>
      <c r="R4378" s="2">
        <v>0</v>
      </c>
      <c r="S4378" s="2">
        <v>0</v>
      </c>
      <c r="T4378" t="s">
        <v>2057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</row>
    <row r="4379" spans="1:28" hidden="1" x14ac:dyDescent="0.25">
      <c r="A4379" t="s">
        <v>29</v>
      </c>
      <c r="B4379" t="s">
        <v>30</v>
      </c>
      <c r="C4379" t="s">
        <v>102</v>
      </c>
      <c r="D4379" s="1">
        <v>46160</v>
      </c>
      <c r="E4379" s="1">
        <v>46160</v>
      </c>
      <c r="F4379" s="2">
        <v>13</v>
      </c>
      <c r="G4379" s="3" t="s">
        <v>23</v>
      </c>
      <c r="H4379">
        <v>5</v>
      </c>
      <c r="I4379" s="2">
        <v>0</v>
      </c>
      <c r="J4379" s="2">
        <v>0</v>
      </c>
      <c r="K4379" s="2">
        <v>0</v>
      </c>
      <c r="L4379" s="2">
        <v>0</v>
      </c>
      <c r="M4379">
        <v>0</v>
      </c>
      <c r="N4379">
        <v>0</v>
      </c>
      <c r="O4379" s="2">
        <v>0</v>
      </c>
      <c r="P4379" s="2">
        <v>0</v>
      </c>
      <c r="Q4379">
        <v>0</v>
      </c>
      <c r="R4379" s="2">
        <v>0</v>
      </c>
      <c r="S4379" s="2">
        <v>0</v>
      </c>
      <c r="T4379" t="s">
        <v>2057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 s="2">
        <v>0</v>
      </c>
      <c r="AA4379" s="2">
        <v>0</v>
      </c>
      <c r="AB4379" s="2">
        <v>0</v>
      </c>
    </row>
    <row r="4380" spans="1:28" hidden="1" x14ac:dyDescent="0.25">
      <c r="A4380" t="s">
        <v>47</v>
      </c>
      <c r="B4380" t="s">
        <v>47</v>
      </c>
      <c r="C4380" t="s">
        <v>212</v>
      </c>
      <c r="D4380" s="1">
        <v>46160</v>
      </c>
      <c r="E4380" s="1">
        <v>46160</v>
      </c>
      <c r="F4380" s="2">
        <v>0</v>
      </c>
      <c r="G4380" s="3" t="s">
        <v>48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377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</row>
    <row r="4381" spans="1:28" hidden="1" x14ac:dyDescent="0.25">
      <c r="A4381" t="s">
        <v>47</v>
      </c>
      <c r="B4381" t="s">
        <v>47</v>
      </c>
      <c r="C4381" t="s">
        <v>212</v>
      </c>
      <c r="D4381" s="1">
        <v>46160</v>
      </c>
      <c r="E4381" s="1">
        <v>46160</v>
      </c>
      <c r="F4381" s="2">
        <v>0</v>
      </c>
      <c r="G4381" s="3" t="s">
        <v>48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 t="s">
        <v>377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 s="2">
        <v>0</v>
      </c>
      <c r="AA4381" s="2">
        <v>0</v>
      </c>
      <c r="AB4381" s="2">
        <v>0</v>
      </c>
    </row>
    <row r="4382" spans="1:28" hidden="1" x14ac:dyDescent="0.25">
      <c r="A4382" t="s">
        <v>47</v>
      </c>
      <c r="B4382" t="s">
        <v>47</v>
      </c>
      <c r="C4382" t="s">
        <v>212</v>
      </c>
      <c r="D4382" s="1">
        <v>46160</v>
      </c>
      <c r="E4382" s="1">
        <v>46160</v>
      </c>
      <c r="F4382" s="2">
        <v>0</v>
      </c>
      <c r="G4382" s="3" t="s">
        <v>614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 t="s">
        <v>377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 s="2">
        <v>0</v>
      </c>
      <c r="AA4382" s="2">
        <v>0</v>
      </c>
      <c r="AB4382" s="2">
        <v>0</v>
      </c>
    </row>
    <row r="4383" spans="1:28" hidden="1" x14ac:dyDescent="0.25">
      <c r="A4383" t="s">
        <v>47</v>
      </c>
      <c r="B4383" t="s">
        <v>47</v>
      </c>
      <c r="C4383" t="s">
        <v>212</v>
      </c>
      <c r="D4383" s="1">
        <v>46160</v>
      </c>
      <c r="E4383" s="1">
        <v>46160</v>
      </c>
      <c r="F4383" s="2">
        <v>0</v>
      </c>
      <c r="G4383" s="3" t="s">
        <v>48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377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</row>
    <row r="4384" spans="1:28" x14ac:dyDescent="0.25">
      <c r="A4384" t="s">
        <v>730</v>
      </c>
      <c r="B4384" t="s">
        <v>1323</v>
      </c>
      <c r="C4384" t="s">
        <v>212</v>
      </c>
      <c r="D4384" s="1">
        <v>46160</v>
      </c>
      <c r="E4384" s="1">
        <v>46160</v>
      </c>
      <c r="F4384" s="2">
        <v>0</v>
      </c>
      <c r="G4384" s="3" t="s">
        <v>572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 t="s">
        <v>377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 s="2">
        <v>0</v>
      </c>
      <c r="AA4384" s="2">
        <v>0</v>
      </c>
      <c r="AB4384" s="2">
        <v>0</v>
      </c>
    </row>
    <row r="4385" spans="1:28" hidden="1" x14ac:dyDescent="0.25">
      <c r="A4385" t="s">
        <v>56</v>
      </c>
      <c r="B4385" t="s">
        <v>1160</v>
      </c>
      <c r="C4385" t="s">
        <v>212</v>
      </c>
      <c r="D4385" s="1">
        <v>46160</v>
      </c>
      <c r="E4385" s="1">
        <v>46160</v>
      </c>
      <c r="F4385" s="2">
        <v>0</v>
      </c>
      <c r="G4385" s="3" t="s">
        <v>572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t="s">
        <v>377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 s="2">
        <v>0</v>
      </c>
      <c r="AA4385" s="2">
        <v>0</v>
      </c>
      <c r="AB4385" s="2">
        <v>0</v>
      </c>
    </row>
    <row r="4386" spans="1:28" hidden="1" x14ac:dyDescent="0.25">
      <c r="A4386" t="s">
        <v>47</v>
      </c>
      <c r="B4386" t="s">
        <v>21</v>
      </c>
      <c r="C4386" t="s">
        <v>212</v>
      </c>
      <c r="D4386" s="1">
        <v>46160</v>
      </c>
      <c r="E4386" s="1">
        <v>46160</v>
      </c>
      <c r="F4386" s="2">
        <v>0</v>
      </c>
      <c r="G4386" s="3" t="s">
        <v>572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 t="s">
        <v>377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</row>
    <row r="4387" spans="1:28" hidden="1" x14ac:dyDescent="0.25">
      <c r="A4387" t="s">
        <v>53</v>
      </c>
      <c r="B4387" t="s">
        <v>38</v>
      </c>
      <c r="C4387" t="s">
        <v>212</v>
      </c>
      <c r="D4387" s="1">
        <v>46160</v>
      </c>
      <c r="E4387" s="1">
        <v>46160</v>
      </c>
      <c r="F4387" s="2">
        <v>0</v>
      </c>
      <c r="G4387" s="3" t="s">
        <v>572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 t="s">
        <v>377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0</v>
      </c>
    </row>
    <row r="4388" spans="1:28" hidden="1" x14ac:dyDescent="0.25">
      <c r="A4388" t="s">
        <v>47</v>
      </c>
      <c r="B4388" t="s">
        <v>57</v>
      </c>
      <c r="C4388" t="s">
        <v>212</v>
      </c>
      <c r="D4388" s="1">
        <v>46160</v>
      </c>
      <c r="E4388" s="1">
        <v>46160</v>
      </c>
      <c r="F4388" s="2">
        <v>0</v>
      </c>
      <c r="G4388" s="3" t="s">
        <v>572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377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0</v>
      </c>
    </row>
    <row r="4389" spans="1:28" hidden="1" x14ac:dyDescent="0.25">
      <c r="A4389" t="s">
        <v>37</v>
      </c>
      <c r="B4389" t="s">
        <v>47</v>
      </c>
      <c r="C4389" t="s">
        <v>212</v>
      </c>
      <c r="D4389" s="1">
        <v>46160</v>
      </c>
      <c r="E4389" s="1">
        <v>46160</v>
      </c>
      <c r="F4389" s="2">
        <v>0</v>
      </c>
      <c r="G4389" s="3" t="s">
        <v>2017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 t="s">
        <v>377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0</v>
      </c>
    </row>
    <row r="4390" spans="1:28" hidden="1" x14ac:dyDescent="0.25">
      <c r="A4390" t="s">
        <v>20</v>
      </c>
      <c r="B4390" t="s">
        <v>47</v>
      </c>
      <c r="C4390" t="s">
        <v>212</v>
      </c>
      <c r="D4390" s="1">
        <v>46160</v>
      </c>
      <c r="E4390" s="1">
        <v>46160</v>
      </c>
      <c r="F4390" s="2">
        <v>0</v>
      </c>
      <c r="G4390" s="3" t="s">
        <v>409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t="s">
        <v>377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</row>
    <row r="4391" spans="1:28" hidden="1" x14ac:dyDescent="0.25">
      <c r="A4391" t="s">
        <v>47</v>
      </c>
      <c r="B4391" t="s">
        <v>47</v>
      </c>
      <c r="C4391" t="s">
        <v>212</v>
      </c>
      <c r="D4391" s="1">
        <v>46160</v>
      </c>
      <c r="E4391" s="1">
        <v>46160</v>
      </c>
      <c r="F4391" s="2">
        <v>0</v>
      </c>
      <c r="G4391" s="3" t="s">
        <v>129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t="s">
        <v>377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</row>
    <row r="4392" spans="1:28" hidden="1" x14ac:dyDescent="0.25">
      <c r="A4392" t="s">
        <v>53</v>
      </c>
      <c r="B4392" t="s">
        <v>38</v>
      </c>
      <c r="C4392" t="s">
        <v>54</v>
      </c>
      <c r="D4392" s="1">
        <v>46161</v>
      </c>
      <c r="E4392" s="1">
        <v>46161</v>
      </c>
      <c r="F4392" s="2">
        <v>39</v>
      </c>
      <c r="G4392" s="3" t="s">
        <v>23</v>
      </c>
      <c r="H4392">
        <v>20</v>
      </c>
      <c r="I4392" s="2">
        <v>0</v>
      </c>
      <c r="J4392" s="2">
        <v>0</v>
      </c>
      <c r="K4392" s="2">
        <v>0</v>
      </c>
      <c r="L4392" s="2">
        <v>1</v>
      </c>
      <c r="M4392">
        <v>0</v>
      </c>
      <c r="N4392">
        <v>0</v>
      </c>
      <c r="O4392" s="2">
        <v>0</v>
      </c>
      <c r="P4392" s="2">
        <v>0</v>
      </c>
      <c r="Q4392">
        <v>0</v>
      </c>
      <c r="R4392" s="2">
        <v>0</v>
      </c>
      <c r="S4392" s="2">
        <v>0</v>
      </c>
      <c r="T4392" t="s">
        <v>2058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 s="2">
        <v>0</v>
      </c>
      <c r="AA4392" s="2">
        <v>0</v>
      </c>
      <c r="AB4392" s="2">
        <v>0</v>
      </c>
    </row>
    <row r="4393" spans="1:28" hidden="1" x14ac:dyDescent="0.25">
      <c r="A4393" t="s">
        <v>33</v>
      </c>
      <c r="B4393" t="s">
        <v>34</v>
      </c>
      <c r="C4393" t="s">
        <v>35</v>
      </c>
      <c r="D4393" s="1">
        <v>46161</v>
      </c>
      <c r="E4393" s="1">
        <v>46161</v>
      </c>
      <c r="F4393" s="2">
        <v>31</v>
      </c>
      <c r="G4393" s="3" t="s">
        <v>23</v>
      </c>
      <c r="H4393">
        <v>16</v>
      </c>
      <c r="I4393" s="2">
        <v>0</v>
      </c>
      <c r="J4393" s="2">
        <v>0</v>
      </c>
      <c r="K4393" s="2">
        <v>1</v>
      </c>
      <c r="L4393" s="2">
        <v>0</v>
      </c>
      <c r="M4393">
        <v>0</v>
      </c>
      <c r="N4393">
        <v>0</v>
      </c>
      <c r="O4393" s="2">
        <v>0</v>
      </c>
      <c r="P4393" s="2">
        <v>0</v>
      </c>
      <c r="Q4393">
        <v>0</v>
      </c>
      <c r="R4393" s="2">
        <v>0</v>
      </c>
      <c r="S4393" s="2">
        <v>0</v>
      </c>
      <c r="T4393" t="s">
        <v>2059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</row>
    <row r="4394" spans="1:28" x14ac:dyDescent="0.25">
      <c r="A4394" t="s">
        <v>730</v>
      </c>
      <c r="B4394" t="s">
        <v>21</v>
      </c>
      <c r="C4394" t="s">
        <v>1370</v>
      </c>
      <c r="D4394" s="1">
        <v>46161</v>
      </c>
      <c r="E4394" s="1">
        <v>46161</v>
      </c>
      <c r="F4394" s="2">
        <v>34</v>
      </c>
      <c r="G4394" s="3" t="s">
        <v>23</v>
      </c>
      <c r="H4394">
        <v>36</v>
      </c>
      <c r="I4394" s="2">
        <v>0</v>
      </c>
      <c r="J4394" s="2">
        <v>0</v>
      </c>
      <c r="K4394" s="2">
        <v>1</v>
      </c>
      <c r="L4394" s="2">
        <v>0</v>
      </c>
      <c r="M4394">
        <v>0</v>
      </c>
      <c r="N4394">
        <v>0</v>
      </c>
      <c r="O4394" s="2">
        <v>0</v>
      </c>
      <c r="P4394" s="2">
        <v>0</v>
      </c>
      <c r="Q4394">
        <v>0</v>
      </c>
      <c r="R4394" s="2">
        <v>0</v>
      </c>
      <c r="S4394" s="2">
        <v>0</v>
      </c>
      <c r="T4394" t="s">
        <v>2060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 s="2">
        <v>0</v>
      </c>
      <c r="AA4394" s="2">
        <v>0</v>
      </c>
      <c r="AB4394" s="2">
        <v>0</v>
      </c>
    </row>
    <row r="4395" spans="1:28" hidden="1" x14ac:dyDescent="0.25">
      <c r="A4395" t="s">
        <v>20</v>
      </c>
      <c r="B4395" t="s">
        <v>57</v>
      </c>
      <c r="C4395" t="s">
        <v>22</v>
      </c>
      <c r="D4395" s="1">
        <v>46161</v>
      </c>
      <c r="E4395" s="1">
        <v>46161</v>
      </c>
      <c r="F4395" s="2">
        <v>71</v>
      </c>
      <c r="G4395" s="3" t="s">
        <v>23</v>
      </c>
      <c r="H4395">
        <v>33</v>
      </c>
      <c r="I4395" s="2">
        <v>0</v>
      </c>
      <c r="J4395" s="2">
        <v>0</v>
      </c>
      <c r="K4395" s="2">
        <v>1</v>
      </c>
      <c r="L4395" s="2">
        <v>0</v>
      </c>
      <c r="M4395">
        <v>0</v>
      </c>
      <c r="N4395">
        <v>0</v>
      </c>
      <c r="O4395" s="2">
        <v>0</v>
      </c>
      <c r="P4395" s="2">
        <v>0</v>
      </c>
      <c r="Q4395">
        <v>0</v>
      </c>
      <c r="R4395" s="2">
        <v>0</v>
      </c>
      <c r="S4395" s="2">
        <v>0</v>
      </c>
      <c r="T4395" t="s">
        <v>2061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</row>
    <row r="4396" spans="1:28" hidden="1" x14ac:dyDescent="0.25">
      <c r="A4396" t="s">
        <v>63</v>
      </c>
      <c r="B4396" t="s">
        <v>284</v>
      </c>
      <c r="C4396" t="s">
        <v>102</v>
      </c>
      <c r="D4396" s="1">
        <v>46161</v>
      </c>
      <c r="E4396" s="1">
        <v>46161</v>
      </c>
      <c r="F4396" s="2">
        <v>19</v>
      </c>
      <c r="G4396" s="3" t="s">
        <v>23</v>
      </c>
      <c r="H4396">
        <v>32</v>
      </c>
      <c r="I4396" s="2">
        <v>0</v>
      </c>
      <c r="J4396" s="2">
        <v>0</v>
      </c>
      <c r="K4396" s="2">
        <v>1</v>
      </c>
      <c r="L4396" s="2">
        <v>0</v>
      </c>
      <c r="M4396">
        <v>0</v>
      </c>
      <c r="N4396">
        <v>0</v>
      </c>
      <c r="O4396" s="2">
        <v>0</v>
      </c>
      <c r="P4396" s="2">
        <v>0</v>
      </c>
      <c r="Q4396">
        <v>0</v>
      </c>
      <c r="R4396" s="2">
        <v>0</v>
      </c>
      <c r="S4396" s="2">
        <v>0</v>
      </c>
      <c r="T4396" t="s">
        <v>2062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 s="2">
        <v>0</v>
      </c>
      <c r="AA4396" s="2">
        <v>0</v>
      </c>
      <c r="AB4396" s="2">
        <v>0</v>
      </c>
    </row>
    <row r="4397" spans="1:28" hidden="1" x14ac:dyDescent="0.25">
      <c r="A4397" t="s">
        <v>56</v>
      </c>
      <c r="B4397" t="s">
        <v>1160</v>
      </c>
      <c r="C4397" t="s">
        <v>64</v>
      </c>
      <c r="D4397" s="1">
        <v>46161</v>
      </c>
      <c r="E4397" s="1">
        <v>46161</v>
      </c>
      <c r="F4397" s="2">
        <v>58</v>
      </c>
      <c r="G4397" s="3" t="s">
        <v>23</v>
      </c>
      <c r="H4397">
        <v>33</v>
      </c>
      <c r="I4397" s="2">
        <v>0</v>
      </c>
      <c r="J4397" s="2">
        <v>0</v>
      </c>
      <c r="K4397" s="2">
        <v>1</v>
      </c>
      <c r="L4397" s="2">
        <v>0</v>
      </c>
      <c r="M4397">
        <v>1</v>
      </c>
      <c r="N4397">
        <v>0</v>
      </c>
      <c r="O4397" s="2">
        <v>0</v>
      </c>
      <c r="P4397" s="2">
        <v>0</v>
      </c>
      <c r="Q4397">
        <v>0</v>
      </c>
      <c r="R4397" s="2">
        <v>0</v>
      </c>
      <c r="S4397" s="2">
        <v>0</v>
      </c>
      <c r="T4397" t="s">
        <v>2063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</row>
    <row r="4398" spans="1:28" hidden="1" x14ac:dyDescent="0.25">
      <c r="A4398" t="s">
        <v>25</v>
      </c>
      <c r="B4398" t="s">
        <v>26</v>
      </c>
      <c r="C4398" t="s">
        <v>212</v>
      </c>
      <c r="D4398" s="1">
        <v>46161</v>
      </c>
      <c r="E4398" s="1">
        <v>46161</v>
      </c>
      <c r="F4398" s="2">
        <v>0</v>
      </c>
      <c r="G4398" s="3" t="s">
        <v>48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 t="s">
        <v>377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</row>
    <row r="4399" spans="1:28" hidden="1" x14ac:dyDescent="0.25">
      <c r="A4399" t="s">
        <v>29</v>
      </c>
      <c r="B4399" t="s">
        <v>30</v>
      </c>
      <c r="C4399" t="s">
        <v>212</v>
      </c>
      <c r="D4399" s="1">
        <v>46161</v>
      </c>
      <c r="E4399" s="1">
        <v>46161</v>
      </c>
      <c r="F4399" s="2">
        <v>0</v>
      </c>
      <c r="G4399" s="3" t="s">
        <v>48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377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</row>
    <row r="4400" spans="1:28" hidden="1" x14ac:dyDescent="0.25">
      <c r="A4400" t="s">
        <v>47</v>
      </c>
      <c r="B4400" t="s">
        <v>47</v>
      </c>
      <c r="C4400" t="s">
        <v>212</v>
      </c>
      <c r="D4400" s="1">
        <v>46161</v>
      </c>
      <c r="E4400" s="1">
        <v>46161</v>
      </c>
      <c r="F4400" s="2">
        <v>0</v>
      </c>
      <c r="G4400" s="3" t="s">
        <v>48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 t="s">
        <v>377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</row>
    <row r="4401" spans="1:28" hidden="1" x14ac:dyDescent="0.25">
      <c r="A4401" t="s">
        <v>47</v>
      </c>
      <c r="B4401" t="s">
        <v>47</v>
      </c>
      <c r="C4401" t="s">
        <v>212</v>
      </c>
      <c r="D4401" s="1">
        <v>46161</v>
      </c>
      <c r="E4401" s="1">
        <v>46161</v>
      </c>
      <c r="F4401" s="2">
        <v>0</v>
      </c>
      <c r="G4401" s="3" t="s">
        <v>48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 t="s">
        <v>377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</row>
    <row r="4402" spans="1:28" hidden="1" x14ac:dyDescent="0.25">
      <c r="A4402" t="s">
        <v>47</v>
      </c>
      <c r="B4402" t="s">
        <v>1323</v>
      </c>
      <c r="C4402" t="s">
        <v>212</v>
      </c>
      <c r="D4402" s="1">
        <v>46161</v>
      </c>
      <c r="E4402" s="1">
        <v>46161</v>
      </c>
      <c r="F4402" s="2">
        <v>0</v>
      </c>
      <c r="G4402" s="3" t="s">
        <v>572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 t="s">
        <v>377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</row>
    <row r="4403" spans="1:28" hidden="1" x14ac:dyDescent="0.25">
      <c r="A4403" t="s">
        <v>47</v>
      </c>
      <c r="B4403" t="s">
        <v>47</v>
      </c>
      <c r="C4403" t="s">
        <v>212</v>
      </c>
      <c r="D4403" s="1">
        <v>46161</v>
      </c>
      <c r="E4403" s="1">
        <v>46161</v>
      </c>
      <c r="F4403" s="2">
        <v>0</v>
      </c>
      <c r="G4403" s="3" t="s">
        <v>572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 t="s">
        <v>377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</row>
    <row r="4404" spans="1:28" hidden="1" x14ac:dyDescent="0.25">
      <c r="A4404" t="s">
        <v>47</v>
      </c>
      <c r="B4404" t="s">
        <v>47</v>
      </c>
      <c r="C4404" t="s">
        <v>212</v>
      </c>
      <c r="D4404" s="1">
        <v>46161</v>
      </c>
      <c r="E4404" s="1">
        <v>46161</v>
      </c>
      <c r="F4404" s="2">
        <v>0</v>
      </c>
      <c r="G4404" s="3" t="s">
        <v>572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t="s">
        <v>377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</row>
    <row r="4405" spans="1:28" hidden="1" x14ac:dyDescent="0.25">
      <c r="A4405" t="s">
        <v>47</v>
      </c>
      <c r="B4405" t="s">
        <v>47</v>
      </c>
      <c r="C4405" t="s">
        <v>212</v>
      </c>
      <c r="D4405" s="1">
        <v>46161</v>
      </c>
      <c r="E4405" s="1">
        <v>46161</v>
      </c>
      <c r="F4405" s="2">
        <v>0</v>
      </c>
      <c r="G4405" s="3" t="s">
        <v>572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377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</row>
    <row r="4406" spans="1:28" hidden="1" x14ac:dyDescent="0.25">
      <c r="A4406" t="s">
        <v>47</v>
      </c>
      <c r="B4406" t="s">
        <v>47</v>
      </c>
      <c r="C4406" t="s">
        <v>212</v>
      </c>
      <c r="D4406" s="1">
        <v>46161</v>
      </c>
      <c r="E4406" s="1">
        <v>46161</v>
      </c>
      <c r="F4406" s="2">
        <v>0</v>
      </c>
      <c r="G4406" s="3" t="s">
        <v>572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377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</row>
    <row r="4407" spans="1:28" hidden="1" x14ac:dyDescent="0.25">
      <c r="A4407" t="s">
        <v>37</v>
      </c>
      <c r="B4407" t="s">
        <v>47</v>
      </c>
      <c r="C4407" t="s">
        <v>212</v>
      </c>
      <c r="D4407" s="1">
        <v>46161</v>
      </c>
      <c r="E4407" s="1">
        <v>46161</v>
      </c>
      <c r="F4407" s="2">
        <v>0</v>
      </c>
      <c r="G4407" s="3" t="s">
        <v>2017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 t="s">
        <v>377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</row>
    <row r="4408" spans="1:28" hidden="1" x14ac:dyDescent="0.25">
      <c r="A4408" t="s">
        <v>47</v>
      </c>
      <c r="B4408" t="s">
        <v>47</v>
      </c>
      <c r="C4408" t="s">
        <v>212</v>
      </c>
      <c r="D4408" s="1">
        <v>46161</v>
      </c>
      <c r="E4408" s="1">
        <v>46161</v>
      </c>
      <c r="F4408" s="2">
        <v>0</v>
      </c>
      <c r="G4408" s="3" t="s">
        <v>409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377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</row>
    <row r="4409" spans="1:28" hidden="1" x14ac:dyDescent="0.25">
      <c r="A4409" t="s">
        <v>47</v>
      </c>
      <c r="B4409" t="s">
        <v>47</v>
      </c>
      <c r="C4409" t="s">
        <v>212</v>
      </c>
      <c r="D4409" s="1">
        <v>46161</v>
      </c>
      <c r="E4409" s="1">
        <v>46161</v>
      </c>
      <c r="F4409" s="2">
        <v>0</v>
      </c>
      <c r="G4409" s="3" t="s">
        <v>129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 t="s">
        <v>377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</row>
    <row r="4410" spans="1:28" hidden="1" x14ac:dyDescent="0.25">
      <c r="A4410" t="s">
        <v>29</v>
      </c>
      <c r="B4410" t="s">
        <v>30</v>
      </c>
      <c r="C4410" t="s">
        <v>31</v>
      </c>
      <c r="D4410" s="1">
        <v>46162</v>
      </c>
      <c r="E4410" s="1">
        <v>46162</v>
      </c>
      <c r="F4410" s="2">
        <v>30</v>
      </c>
      <c r="G4410" s="3" t="s">
        <v>23</v>
      </c>
      <c r="H4410">
        <f>14+14+1+1+4+1+1+1</f>
        <v>37</v>
      </c>
      <c r="I4410" s="2">
        <v>0</v>
      </c>
      <c r="J4410" s="2">
        <v>0</v>
      </c>
      <c r="K4410" s="2">
        <v>1</v>
      </c>
      <c r="L4410" s="2">
        <v>0</v>
      </c>
      <c r="M4410">
        <v>1</v>
      </c>
      <c r="N4410">
        <v>0</v>
      </c>
      <c r="O4410" s="2">
        <v>0</v>
      </c>
      <c r="P4410" s="2">
        <v>0</v>
      </c>
      <c r="Q4410">
        <v>0</v>
      </c>
      <c r="R4410" s="2">
        <v>0</v>
      </c>
      <c r="S4410" s="2">
        <v>0</v>
      </c>
      <c r="T4410" t="s">
        <v>2064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 s="2">
        <v>0</v>
      </c>
      <c r="AA4410" s="2">
        <v>0</v>
      </c>
      <c r="AB4410" s="2">
        <v>0</v>
      </c>
    </row>
    <row r="4411" spans="1:28" hidden="1" x14ac:dyDescent="0.25">
      <c r="A4411" t="s">
        <v>33</v>
      </c>
      <c r="B4411" t="s">
        <v>34</v>
      </c>
      <c r="C4411" t="s">
        <v>35</v>
      </c>
      <c r="D4411" s="1">
        <v>46162</v>
      </c>
      <c r="E4411" s="1">
        <v>46162</v>
      </c>
      <c r="F4411" s="2">
        <v>40</v>
      </c>
      <c r="G4411" s="3" t="s">
        <v>23</v>
      </c>
      <c r="H4411">
        <v>28</v>
      </c>
      <c r="I4411" s="2">
        <v>0</v>
      </c>
      <c r="J4411" s="2">
        <v>0</v>
      </c>
      <c r="K4411" s="2">
        <v>0</v>
      </c>
      <c r="L4411" s="2">
        <v>1</v>
      </c>
      <c r="M4411">
        <v>0</v>
      </c>
      <c r="N4411">
        <v>0</v>
      </c>
      <c r="O4411" s="2">
        <v>0</v>
      </c>
      <c r="P4411" s="2">
        <v>0</v>
      </c>
      <c r="Q4411">
        <v>0</v>
      </c>
      <c r="R4411" s="2">
        <v>0</v>
      </c>
      <c r="S4411" s="2">
        <v>0</v>
      </c>
      <c r="T4411" t="s">
        <v>2065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</row>
    <row r="4412" spans="1:28" hidden="1" x14ac:dyDescent="0.25">
      <c r="A4412" t="s">
        <v>25</v>
      </c>
      <c r="B4412" t="s">
        <v>26</v>
      </c>
      <c r="C4412" t="s">
        <v>27</v>
      </c>
      <c r="D4412" s="1">
        <v>46162</v>
      </c>
      <c r="E4412" s="1">
        <v>46162</v>
      </c>
      <c r="F4412" s="2">
        <v>24</v>
      </c>
      <c r="G4412" s="3" t="s">
        <v>23</v>
      </c>
      <c r="H4412">
        <v>42</v>
      </c>
      <c r="I4412" s="2">
        <v>0</v>
      </c>
      <c r="J4412" s="2">
        <v>0</v>
      </c>
      <c r="K4412" s="2">
        <v>1</v>
      </c>
      <c r="L4412" s="2">
        <v>0</v>
      </c>
      <c r="M4412">
        <v>0</v>
      </c>
      <c r="N4412">
        <v>0</v>
      </c>
      <c r="O4412" s="2">
        <v>0</v>
      </c>
      <c r="P4412" s="2">
        <v>0</v>
      </c>
      <c r="Q4412">
        <v>0</v>
      </c>
      <c r="R4412" s="2">
        <v>0</v>
      </c>
      <c r="S4412" s="2">
        <v>0</v>
      </c>
      <c r="T4412" t="s">
        <v>2066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</row>
    <row r="4413" spans="1:28" x14ac:dyDescent="0.25">
      <c r="A4413" t="s">
        <v>730</v>
      </c>
      <c r="B4413" t="s">
        <v>1323</v>
      </c>
      <c r="C4413" t="s">
        <v>1370</v>
      </c>
      <c r="D4413" s="1">
        <v>46162</v>
      </c>
      <c r="E4413" s="1">
        <v>46162</v>
      </c>
      <c r="F4413" s="2">
        <v>52</v>
      </c>
      <c r="G4413" s="3" t="s">
        <v>23</v>
      </c>
      <c r="H4413">
        <f>20+20+1+1+3+1+3</f>
        <v>49</v>
      </c>
      <c r="I4413" s="2">
        <v>0</v>
      </c>
      <c r="J4413" s="2">
        <v>0</v>
      </c>
      <c r="K4413" s="2">
        <v>1</v>
      </c>
      <c r="L4413" s="2">
        <v>0</v>
      </c>
      <c r="M4413">
        <v>0</v>
      </c>
      <c r="N4413">
        <v>0</v>
      </c>
      <c r="O4413" s="2">
        <v>0</v>
      </c>
      <c r="P4413" s="2">
        <v>0</v>
      </c>
      <c r="Q4413">
        <v>0</v>
      </c>
      <c r="R4413" s="2">
        <v>0</v>
      </c>
      <c r="S4413" s="2">
        <v>0</v>
      </c>
      <c r="T4413" t="s">
        <v>2067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0</v>
      </c>
    </row>
    <row r="4414" spans="1:28" hidden="1" x14ac:dyDescent="0.25">
      <c r="A4414" t="s">
        <v>53</v>
      </c>
      <c r="B4414" t="s">
        <v>38</v>
      </c>
      <c r="C4414" t="s">
        <v>54</v>
      </c>
      <c r="D4414" s="1">
        <v>46162</v>
      </c>
      <c r="E4414" s="1">
        <v>46162</v>
      </c>
      <c r="F4414" s="2">
        <v>48</v>
      </c>
      <c r="G4414" s="3" t="s">
        <v>23</v>
      </c>
      <c r="H4414">
        <v>16</v>
      </c>
      <c r="I4414" s="2">
        <v>0</v>
      </c>
      <c r="J4414" s="2">
        <v>0</v>
      </c>
      <c r="K4414" s="2">
        <v>1</v>
      </c>
      <c r="L4414" s="2">
        <v>0</v>
      </c>
      <c r="M4414">
        <v>0</v>
      </c>
      <c r="N4414">
        <v>0</v>
      </c>
      <c r="O4414" s="2">
        <v>0</v>
      </c>
      <c r="P4414" s="2">
        <v>0</v>
      </c>
      <c r="Q4414">
        <v>0</v>
      </c>
      <c r="R4414" s="2">
        <v>0</v>
      </c>
      <c r="S4414" s="2">
        <v>0</v>
      </c>
      <c r="T4414" t="s">
        <v>2068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 s="2">
        <v>0</v>
      </c>
      <c r="AA4414" s="2">
        <v>0</v>
      </c>
      <c r="AB4414" s="2">
        <v>0</v>
      </c>
    </row>
    <row r="4415" spans="1:28" hidden="1" x14ac:dyDescent="0.25">
      <c r="A4415" t="s">
        <v>56</v>
      </c>
      <c r="B4415" t="s">
        <v>1160</v>
      </c>
      <c r="C4415" t="s">
        <v>212</v>
      </c>
      <c r="D4415" s="1">
        <v>46162</v>
      </c>
      <c r="E4415" s="1">
        <v>46162</v>
      </c>
      <c r="F4415" s="2">
        <v>0</v>
      </c>
      <c r="G4415" s="3" t="s">
        <v>48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377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</row>
    <row r="4416" spans="1:28" hidden="1" x14ac:dyDescent="0.25">
      <c r="A4416" t="s">
        <v>63</v>
      </c>
      <c r="B4416" t="s">
        <v>284</v>
      </c>
      <c r="C4416" t="s">
        <v>212</v>
      </c>
      <c r="D4416" s="1">
        <v>46162</v>
      </c>
      <c r="E4416" s="1">
        <v>46162</v>
      </c>
      <c r="F4416" s="2">
        <v>0</v>
      </c>
      <c r="G4416" s="3" t="s">
        <v>48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 t="s">
        <v>377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 s="2">
        <v>0</v>
      </c>
      <c r="AA4416" s="2">
        <v>0</v>
      </c>
      <c r="AB4416" s="2">
        <v>0</v>
      </c>
    </row>
    <row r="4417" spans="1:28" hidden="1" x14ac:dyDescent="0.25">
      <c r="A4417" t="s">
        <v>20</v>
      </c>
      <c r="B4417" t="s">
        <v>57</v>
      </c>
      <c r="C4417" t="s">
        <v>212</v>
      </c>
      <c r="D4417" s="1">
        <v>46162</v>
      </c>
      <c r="E4417" s="1">
        <v>46162</v>
      </c>
      <c r="F4417" s="2">
        <v>0</v>
      </c>
      <c r="G4417" s="3" t="s">
        <v>48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 t="s">
        <v>377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</row>
    <row r="4418" spans="1:28" hidden="1" x14ac:dyDescent="0.25">
      <c r="A4418" t="s">
        <v>47</v>
      </c>
      <c r="B4418" t="s">
        <v>21</v>
      </c>
      <c r="C4418" t="s">
        <v>212</v>
      </c>
      <c r="D4418" s="1">
        <v>46162</v>
      </c>
      <c r="E4418" s="1">
        <v>46162</v>
      </c>
      <c r="F4418" s="2">
        <v>0</v>
      </c>
      <c r="G4418" s="3" t="s">
        <v>572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 t="s">
        <v>377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</row>
    <row r="4419" spans="1:28" hidden="1" x14ac:dyDescent="0.25">
      <c r="A4419" t="s">
        <v>47</v>
      </c>
      <c r="B4419" t="s">
        <v>47</v>
      </c>
      <c r="C4419" t="s">
        <v>212</v>
      </c>
      <c r="D4419" s="1">
        <v>46162</v>
      </c>
      <c r="E4419" s="1">
        <v>46162</v>
      </c>
      <c r="F4419" s="2">
        <v>0</v>
      </c>
      <c r="G4419" s="3" t="s">
        <v>572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 t="s">
        <v>377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</row>
    <row r="4420" spans="1:28" hidden="1" x14ac:dyDescent="0.25">
      <c r="A4420" t="s">
        <v>47</v>
      </c>
      <c r="B4420" t="s">
        <v>47</v>
      </c>
      <c r="C4420" t="s">
        <v>212</v>
      </c>
      <c r="D4420" s="1">
        <v>46162</v>
      </c>
      <c r="E4420" s="1">
        <v>46162</v>
      </c>
      <c r="F4420" s="2">
        <v>0</v>
      </c>
      <c r="G4420" s="3" t="s">
        <v>572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 t="s">
        <v>377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</row>
    <row r="4421" spans="1:28" hidden="1" x14ac:dyDescent="0.25">
      <c r="A4421" t="s">
        <v>47</v>
      </c>
      <c r="B4421" t="s">
        <v>47</v>
      </c>
      <c r="C4421" t="s">
        <v>212</v>
      </c>
      <c r="D4421" s="1">
        <v>46162</v>
      </c>
      <c r="E4421" s="1">
        <v>46162</v>
      </c>
      <c r="F4421" s="2">
        <v>0</v>
      </c>
      <c r="G4421" s="3" t="s">
        <v>572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 t="s">
        <v>377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0</v>
      </c>
    </row>
    <row r="4422" spans="1:28" hidden="1" x14ac:dyDescent="0.25">
      <c r="A4422" t="s">
        <v>47</v>
      </c>
      <c r="B4422" t="s">
        <v>47</v>
      </c>
      <c r="C4422" t="s">
        <v>212</v>
      </c>
      <c r="D4422" s="1">
        <v>46162</v>
      </c>
      <c r="E4422" s="1">
        <v>46162</v>
      </c>
      <c r="F4422" s="2">
        <v>0</v>
      </c>
      <c r="G4422" s="3" t="s">
        <v>572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377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</row>
    <row r="4423" spans="1:28" hidden="1" x14ac:dyDescent="0.25">
      <c r="A4423" t="s">
        <v>37</v>
      </c>
      <c r="B4423" t="s">
        <v>47</v>
      </c>
      <c r="C4423" t="s">
        <v>212</v>
      </c>
      <c r="D4423" s="1">
        <v>46162</v>
      </c>
      <c r="E4423" s="1">
        <v>46162</v>
      </c>
      <c r="F4423" s="2">
        <v>0</v>
      </c>
      <c r="G4423" s="3" t="s">
        <v>2017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 t="s">
        <v>377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</row>
    <row r="4424" spans="1:28" hidden="1" x14ac:dyDescent="0.25">
      <c r="A4424" t="s">
        <v>47</v>
      </c>
      <c r="B4424" t="s">
        <v>47</v>
      </c>
      <c r="C4424" t="s">
        <v>212</v>
      </c>
      <c r="D4424" s="1">
        <v>46162</v>
      </c>
      <c r="E4424" s="1">
        <v>46162</v>
      </c>
      <c r="F4424" s="2">
        <v>0</v>
      </c>
      <c r="G4424" s="3" t="s">
        <v>409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377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</row>
    <row r="4425" spans="1:28" hidden="1" x14ac:dyDescent="0.25">
      <c r="A4425" t="s">
        <v>47</v>
      </c>
      <c r="B4425" t="s">
        <v>47</v>
      </c>
      <c r="C4425" t="s">
        <v>212</v>
      </c>
      <c r="D4425" s="1">
        <v>46162</v>
      </c>
      <c r="E4425" s="1">
        <v>46162</v>
      </c>
      <c r="F4425" s="2">
        <v>0</v>
      </c>
      <c r="G4425" s="3" t="s">
        <v>129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377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</row>
    <row r="4426" spans="1:28" hidden="1" x14ac:dyDescent="0.25">
      <c r="A4426" t="s">
        <v>29</v>
      </c>
      <c r="B4426" t="s">
        <v>30</v>
      </c>
      <c r="C4426" t="s">
        <v>31</v>
      </c>
      <c r="D4426" s="9">
        <v>46163</v>
      </c>
      <c r="E4426" s="9">
        <v>46163</v>
      </c>
      <c r="F4426" s="2">
        <v>26</v>
      </c>
      <c r="G4426" s="3" t="s">
        <v>23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>
        <v>0</v>
      </c>
      <c r="N4426">
        <v>0</v>
      </c>
      <c r="O4426" s="2">
        <v>0</v>
      </c>
      <c r="P4426" s="2">
        <v>0</v>
      </c>
      <c r="Q4426">
        <v>0</v>
      </c>
      <c r="R4426" s="2">
        <v>0</v>
      </c>
      <c r="S4426" s="2">
        <v>1</v>
      </c>
      <c r="T4426" t="s">
        <v>2069</v>
      </c>
      <c r="U4426">
        <v>11</v>
      </c>
      <c r="V4426" s="2">
        <v>0</v>
      </c>
      <c r="W4426" s="2">
        <v>0</v>
      </c>
      <c r="X4426" s="2">
        <v>0</v>
      </c>
      <c r="Y4426" s="2">
        <v>0</v>
      </c>
      <c r="Z4426" s="2">
        <v>0</v>
      </c>
      <c r="AA4426" s="2">
        <v>0</v>
      </c>
      <c r="AB4426" s="2">
        <v>1</v>
      </c>
    </row>
    <row r="4427" spans="1:28" hidden="1" x14ac:dyDescent="0.25">
      <c r="A4427" t="s">
        <v>33</v>
      </c>
      <c r="B4427" t="s">
        <v>34</v>
      </c>
      <c r="C4427" t="s">
        <v>35</v>
      </c>
      <c r="D4427" s="9">
        <v>46163</v>
      </c>
      <c r="E4427" s="9">
        <v>46163</v>
      </c>
      <c r="F4427" s="2">
        <v>39</v>
      </c>
      <c r="G4427" s="3" t="s">
        <v>23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>
        <v>0</v>
      </c>
      <c r="N4427">
        <v>0</v>
      </c>
      <c r="O4427" s="2">
        <v>0</v>
      </c>
      <c r="P4427" s="2">
        <v>1</v>
      </c>
      <c r="Q4427">
        <v>0</v>
      </c>
      <c r="R4427" s="2">
        <v>0</v>
      </c>
      <c r="S4427" s="2">
        <v>1</v>
      </c>
      <c r="T4427" t="s">
        <v>2070</v>
      </c>
      <c r="U4427">
        <v>16</v>
      </c>
      <c r="V4427" s="2">
        <v>0</v>
      </c>
      <c r="W4427" s="2">
        <v>0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</row>
    <row r="4428" spans="1:28" hidden="1" x14ac:dyDescent="0.25">
      <c r="A4428" t="s">
        <v>25</v>
      </c>
      <c r="B4428" t="s">
        <v>26</v>
      </c>
      <c r="C4428" t="s">
        <v>27</v>
      </c>
      <c r="D4428" s="9">
        <v>46163</v>
      </c>
      <c r="E4428" s="9">
        <v>46163</v>
      </c>
      <c r="F4428" s="2">
        <v>30</v>
      </c>
      <c r="G4428" s="3" t="s">
        <v>23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>
        <v>0</v>
      </c>
      <c r="N4428">
        <v>0</v>
      </c>
      <c r="O4428" s="2">
        <v>0</v>
      </c>
      <c r="P4428" s="2">
        <v>1</v>
      </c>
      <c r="Q4428">
        <v>0</v>
      </c>
      <c r="R4428" s="2">
        <v>0</v>
      </c>
      <c r="S4428" s="2">
        <v>1</v>
      </c>
      <c r="T4428" t="s">
        <v>2071</v>
      </c>
      <c r="U4428">
        <v>18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</row>
    <row r="4429" spans="1:28" hidden="1" x14ac:dyDescent="0.25">
      <c r="A4429" t="s">
        <v>20</v>
      </c>
      <c r="B4429" t="s">
        <v>57</v>
      </c>
      <c r="C4429" t="s">
        <v>22</v>
      </c>
      <c r="D4429" s="9">
        <v>46163</v>
      </c>
      <c r="E4429" s="9">
        <v>46163</v>
      </c>
      <c r="F4429" s="2">
        <v>36</v>
      </c>
      <c r="G4429" s="3" t="s">
        <v>23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>
        <v>0</v>
      </c>
      <c r="N4429">
        <v>0</v>
      </c>
      <c r="O4429" s="2">
        <v>0</v>
      </c>
      <c r="P4429" s="2">
        <v>1</v>
      </c>
      <c r="Q4429">
        <v>0</v>
      </c>
      <c r="R4429" s="2">
        <v>0</v>
      </c>
      <c r="S4429" s="2">
        <v>1</v>
      </c>
      <c r="T4429" t="s">
        <v>2072</v>
      </c>
      <c r="U4429">
        <v>20</v>
      </c>
      <c r="V4429" s="2">
        <v>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</row>
    <row r="4430" spans="1:28" hidden="1" x14ac:dyDescent="0.25">
      <c r="A4430" t="s">
        <v>63</v>
      </c>
      <c r="B4430" t="s">
        <v>284</v>
      </c>
      <c r="C4430" t="s">
        <v>102</v>
      </c>
      <c r="D4430" s="9">
        <v>46163</v>
      </c>
      <c r="E4430" s="9">
        <v>46163</v>
      </c>
      <c r="F4430" s="2">
        <v>21</v>
      </c>
      <c r="G4430" s="3" t="s">
        <v>23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>
        <v>0</v>
      </c>
      <c r="N4430">
        <v>0</v>
      </c>
      <c r="O4430" s="2">
        <v>0</v>
      </c>
      <c r="P4430" s="2">
        <v>1</v>
      </c>
      <c r="Q4430">
        <v>0</v>
      </c>
      <c r="R4430" s="2">
        <v>0</v>
      </c>
      <c r="S4430" s="2">
        <v>1</v>
      </c>
      <c r="T4430" t="s">
        <v>2073</v>
      </c>
      <c r="U4430">
        <v>8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</row>
    <row r="4431" spans="1:28" hidden="1" x14ac:dyDescent="0.25">
      <c r="A4431" t="s">
        <v>56</v>
      </c>
      <c r="B4431" t="s">
        <v>1160</v>
      </c>
      <c r="C4431" t="s">
        <v>64</v>
      </c>
      <c r="D4431" s="9">
        <v>46163</v>
      </c>
      <c r="E4431" s="9">
        <v>46163</v>
      </c>
      <c r="F4431" s="2">
        <v>22</v>
      </c>
      <c r="G4431" s="3" t="s">
        <v>23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>
        <v>0</v>
      </c>
      <c r="N4431">
        <v>0</v>
      </c>
      <c r="O4431" s="2">
        <v>0</v>
      </c>
      <c r="P4431" s="2">
        <v>1</v>
      </c>
      <c r="Q4431">
        <v>0</v>
      </c>
      <c r="R4431" s="2">
        <v>0</v>
      </c>
      <c r="S4431" s="2">
        <v>1</v>
      </c>
      <c r="T4431" t="s">
        <v>2074</v>
      </c>
      <c r="U4431">
        <v>8</v>
      </c>
      <c r="V4431" s="2">
        <v>0</v>
      </c>
      <c r="W4431" s="2">
        <v>0</v>
      </c>
      <c r="X4431" s="2">
        <v>0</v>
      </c>
      <c r="Y4431" s="2">
        <v>0</v>
      </c>
      <c r="Z4431" s="2">
        <v>0</v>
      </c>
      <c r="AA4431" s="2">
        <v>0</v>
      </c>
      <c r="AB4431" s="2">
        <v>0</v>
      </c>
    </row>
    <row r="4432" spans="1:28" x14ac:dyDescent="0.25">
      <c r="A4432" t="s">
        <v>730</v>
      </c>
      <c r="B4432" t="s">
        <v>1323</v>
      </c>
      <c r="C4432" t="s">
        <v>27</v>
      </c>
      <c r="D4432" s="9">
        <v>46163</v>
      </c>
      <c r="E4432" s="9">
        <v>46163</v>
      </c>
      <c r="F4432" s="2">
        <v>21</v>
      </c>
      <c r="G4432" s="3" t="s">
        <v>378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1867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 s="2">
        <v>0</v>
      </c>
      <c r="AA4432" s="2">
        <v>0</v>
      </c>
      <c r="AB4432" s="2">
        <v>0</v>
      </c>
    </row>
    <row r="4433" spans="1:28" hidden="1" x14ac:dyDescent="0.25">
      <c r="A4433" t="s">
        <v>53</v>
      </c>
      <c r="B4433" t="s">
        <v>38</v>
      </c>
      <c r="C4433" t="s">
        <v>35</v>
      </c>
      <c r="D4433" s="9">
        <v>46163</v>
      </c>
      <c r="E4433" s="9">
        <v>46163</v>
      </c>
      <c r="F4433" s="2">
        <v>48</v>
      </c>
      <c r="G4433" s="3" t="s">
        <v>378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 t="s">
        <v>1868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</row>
    <row r="4434" spans="1:28" hidden="1" x14ac:dyDescent="0.25">
      <c r="A4434" t="s">
        <v>47</v>
      </c>
      <c r="B4434" t="s">
        <v>21</v>
      </c>
      <c r="C4434" t="s">
        <v>64</v>
      </c>
      <c r="D4434" s="9">
        <v>46163</v>
      </c>
      <c r="E4434" s="9">
        <v>46163</v>
      </c>
      <c r="F4434" s="2">
        <v>64</v>
      </c>
      <c r="G4434" s="3" t="s">
        <v>378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 t="s">
        <v>1869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</row>
    <row r="4435" spans="1:28" hidden="1" x14ac:dyDescent="0.25">
      <c r="A4435" t="s">
        <v>47</v>
      </c>
      <c r="B4435" t="s">
        <v>47</v>
      </c>
      <c r="C4435" t="s">
        <v>212</v>
      </c>
      <c r="D4435" s="9">
        <v>46163</v>
      </c>
      <c r="E4435" s="9">
        <v>46163</v>
      </c>
      <c r="F4435" s="2">
        <v>0</v>
      </c>
      <c r="G4435" s="3" t="s">
        <v>378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 t="s">
        <v>377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 s="2">
        <v>0</v>
      </c>
      <c r="AA4435" s="2">
        <v>0</v>
      </c>
      <c r="AB4435" s="2">
        <v>0</v>
      </c>
    </row>
    <row r="4436" spans="1:28" hidden="1" x14ac:dyDescent="0.25">
      <c r="A4436" t="s">
        <v>47</v>
      </c>
      <c r="B4436" t="s">
        <v>47</v>
      </c>
      <c r="C4436" t="s">
        <v>212</v>
      </c>
      <c r="D4436" s="9">
        <v>46163</v>
      </c>
      <c r="E4436" s="9">
        <v>46163</v>
      </c>
      <c r="F4436" s="2">
        <v>0</v>
      </c>
      <c r="G4436" s="3" t="s">
        <v>378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377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 s="2">
        <v>0</v>
      </c>
      <c r="AA4436" s="2">
        <v>0</v>
      </c>
      <c r="AB4436" s="2">
        <v>0</v>
      </c>
    </row>
    <row r="4437" spans="1:28" hidden="1" x14ac:dyDescent="0.25">
      <c r="A4437" t="s">
        <v>47</v>
      </c>
      <c r="B4437" t="s">
        <v>47</v>
      </c>
      <c r="C4437" t="s">
        <v>212</v>
      </c>
      <c r="D4437" s="9">
        <v>46163</v>
      </c>
      <c r="E4437" s="9">
        <v>46163</v>
      </c>
      <c r="F4437" s="2">
        <v>0</v>
      </c>
      <c r="G4437" s="3" t="s">
        <v>378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 t="s">
        <v>377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</row>
    <row r="4438" spans="1:28" hidden="1" x14ac:dyDescent="0.25">
      <c r="A4438" t="s">
        <v>37</v>
      </c>
      <c r="B4438" t="s">
        <v>47</v>
      </c>
      <c r="C4438" t="s">
        <v>212</v>
      </c>
      <c r="D4438" s="9">
        <v>46163</v>
      </c>
      <c r="E4438" s="9">
        <v>46163</v>
      </c>
      <c r="F4438" s="2">
        <v>0</v>
      </c>
      <c r="G4438" s="3" t="s">
        <v>2017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 t="s">
        <v>377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 s="2">
        <v>0</v>
      </c>
      <c r="AA4438" s="2">
        <v>0</v>
      </c>
      <c r="AB4438" s="2">
        <v>0</v>
      </c>
    </row>
  </sheetData>
  <autoFilter ref="A1:AB4438" xr:uid="{00000000-0001-0000-0000-000000000000}">
    <filterColumn colId="0">
      <filters>
        <filter val="Luis Acevedo"/>
      </filters>
    </filterColumn>
    <filterColumn colId="3">
      <customFilters and="1">
        <customFilter operator="greaterThanOrEqual" val="46134"/>
        <customFilter operator="lessThanOrEqual" val="46163"/>
      </customFilters>
    </filterColumn>
  </autoFilter>
  <pageMargins left="0.7" right="0.7" top="0.75" bottom="0.75" header="0.3" footer="0.3"/>
  <headerFooter>
    <oddHeader>Rejilla 1</oddHeader>
    <evenFooter>Rejilla 1</evenFooter>
    <firstHeader>Rejilla 1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993C-5CCC-4824-AEAF-94E2AE28856B}">
  <dimension ref="A1:P533"/>
  <sheetViews>
    <sheetView workbookViewId="0">
      <selection activeCell="C3" sqref="C3"/>
    </sheetView>
  </sheetViews>
  <sheetFormatPr baseColWidth="10" defaultRowHeight="15" x14ac:dyDescent="0.25"/>
  <cols>
    <col min="1" max="1" width="17" bestFit="1" customWidth="1"/>
    <col min="2" max="2" width="19.85546875" bestFit="1" customWidth="1"/>
    <col min="3" max="3" width="17" bestFit="1" customWidth="1"/>
  </cols>
  <sheetData>
    <row r="1" spans="1:16" x14ac:dyDescent="0.25">
      <c r="A1" s="3" t="s">
        <v>0</v>
      </c>
      <c r="B1" s="3"/>
      <c r="C1" s="1">
        <v>45769</v>
      </c>
      <c r="D1" s="1">
        <v>45770</v>
      </c>
      <c r="E1" s="1">
        <v>45771</v>
      </c>
      <c r="F1" s="1">
        <v>45772</v>
      </c>
      <c r="G1" s="1">
        <v>45773</v>
      </c>
      <c r="H1" s="1">
        <v>45774</v>
      </c>
      <c r="I1" s="1">
        <v>45775</v>
      </c>
      <c r="J1" s="1">
        <v>45776</v>
      </c>
      <c r="K1" s="1">
        <v>45777</v>
      </c>
      <c r="L1" s="1">
        <v>45778</v>
      </c>
      <c r="M1" s="1">
        <v>45779</v>
      </c>
      <c r="N1" s="1">
        <v>45780</v>
      </c>
      <c r="O1" s="1">
        <v>45781</v>
      </c>
      <c r="P1" s="1">
        <v>45782</v>
      </c>
    </row>
    <row r="2" spans="1:16" x14ac:dyDescent="0.25">
      <c r="A2" t="s">
        <v>20</v>
      </c>
      <c r="C2" s="1"/>
    </row>
    <row r="3" spans="1:16" x14ac:dyDescent="0.25">
      <c r="B3" s="3" t="s">
        <v>6</v>
      </c>
      <c r="C3">
        <f>+SUMIF('Base Datos'!E:Z,Hoja2!B3)</f>
        <v>0</v>
      </c>
    </row>
    <row r="4" spans="1:16" x14ac:dyDescent="0.25">
      <c r="B4" s="3" t="s">
        <v>7</v>
      </c>
      <c r="C4">
        <f>+SUMIF('Base Datos'!E:Z,Hoja2!B4)</f>
        <v>0</v>
      </c>
    </row>
    <row r="5" spans="1:16" x14ac:dyDescent="0.25">
      <c r="B5" s="3" t="s">
        <v>8</v>
      </c>
      <c r="C5">
        <f>+SUMIF('Base Datos'!E:Z,Hoja2!B5)</f>
        <v>0</v>
      </c>
    </row>
    <row r="6" spans="1:16" x14ac:dyDescent="0.25">
      <c r="B6" s="3" t="s">
        <v>9</v>
      </c>
      <c r="C6">
        <f>+SUMIF('Base Datos'!E:Z,Hoja2!B6)</f>
        <v>0</v>
      </c>
    </row>
    <row r="7" spans="1:16" x14ac:dyDescent="0.25">
      <c r="B7" s="3" t="s">
        <v>10</v>
      </c>
      <c r="C7">
        <f>+SUMIF('Base Datos'!E:Z,Hoja2!B7)</f>
        <v>0</v>
      </c>
    </row>
    <row r="8" spans="1:16" x14ac:dyDescent="0.25">
      <c r="B8" s="3" t="s">
        <v>11</v>
      </c>
      <c r="C8">
        <f>+SUMIF('Base Datos'!E:Z,Hoja2!B8)</f>
        <v>0</v>
      </c>
    </row>
    <row r="9" spans="1:16" x14ac:dyDescent="0.25">
      <c r="B9" s="3" t="s">
        <v>12</v>
      </c>
      <c r="C9">
        <f>+SUMIF('Base Datos'!E:Z,Hoja2!B9)</f>
        <v>0</v>
      </c>
    </row>
    <row r="10" spans="1:16" x14ac:dyDescent="0.25">
      <c r="B10" s="3" t="s">
        <v>13</v>
      </c>
      <c r="C10">
        <f>+SUMIF('Base Datos'!E:Z,Hoja2!B10)</f>
        <v>0</v>
      </c>
    </row>
    <row r="11" spans="1:16" x14ac:dyDescent="0.25">
      <c r="B11" s="3" t="s">
        <v>14</v>
      </c>
      <c r="C11">
        <f>+SUMIF('Base Datos'!E:Z,Hoja2!B11)</f>
        <v>0</v>
      </c>
    </row>
    <row r="12" spans="1:16" x14ac:dyDescent="0.25">
      <c r="B12" s="3" t="s">
        <v>15</v>
      </c>
      <c r="C12">
        <f>+SUMIF('Base Datos'!E:Z,Hoja2!B12)</f>
        <v>0</v>
      </c>
    </row>
    <row r="13" spans="1:16" x14ac:dyDescent="0.25">
      <c r="B13" s="3" t="s">
        <v>16</v>
      </c>
      <c r="C13">
        <f>+SUMIF('Base Datos'!E:Z,Hoja2!B13)</f>
        <v>0</v>
      </c>
    </row>
    <row r="14" spans="1:16" x14ac:dyDescent="0.25">
      <c r="B14" s="3" t="s">
        <v>17</v>
      </c>
      <c r="C14">
        <f>+SUMIF('Base Datos'!E:Z,Hoja2!B14)</f>
        <v>0</v>
      </c>
    </row>
    <row r="15" spans="1:16" x14ac:dyDescent="0.25">
      <c r="B15" s="3" t="s">
        <v>18</v>
      </c>
      <c r="C15">
        <f>+SUMIF('Base Datos'!E:Z,Hoja2!B15)</f>
        <v>0</v>
      </c>
    </row>
    <row r="16" spans="1:16" x14ac:dyDescent="0.25">
      <c r="B16" s="3" t="s">
        <v>19</v>
      </c>
      <c r="C16">
        <f>+SUMIF('Base Datos'!E:Z,Hoja2!B16)</f>
        <v>0</v>
      </c>
    </row>
    <row r="17" spans="1:3" x14ac:dyDescent="0.25">
      <c r="B17" s="3" t="s">
        <v>41</v>
      </c>
      <c r="C17">
        <f>+SUMIF('Base Datos'!E:Z,Hoja2!B17)</f>
        <v>0</v>
      </c>
    </row>
    <row r="18" spans="1:3" x14ac:dyDescent="0.25">
      <c r="B18" s="3" t="s">
        <v>42</v>
      </c>
      <c r="C18">
        <f>+SUMIF('Base Datos'!E:Z,Hoja2!B18)</f>
        <v>0</v>
      </c>
    </row>
    <row r="19" spans="1:3" x14ac:dyDescent="0.25">
      <c r="B19" s="3" t="s">
        <v>43</v>
      </c>
      <c r="C19">
        <f>+SUMIF('Base Datos'!E:Z,Hoja2!B19)</f>
        <v>0</v>
      </c>
    </row>
    <row r="20" spans="1:3" x14ac:dyDescent="0.25">
      <c r="B20" s="3" t="s">
        <v>44</v>
      </c>
      <c r="C20">
        <f>+SUMIF('Base Datos'!E:Z,Hoja2!B20)</f>
        <v>0</v>
      </c>
    </row>
    <row r="21" spans="1:3" x14ac:dyDescent="0.25">
      <c r="B21" s="3" t="s">
        <v>45</v>
      </c>
      <c r="C21">
        <f>+SUMIF('Base Datos'!E:Z,Hoja2!B21)</f>
        <v>0</v>
      </c>
    </row>
    <row r="22" spans="1:3" x14ac:dyDescent="0.25">
      <c r="B22" s="3" t="s">
        <v>46</v>
      </c>
      <c r="C22">
        <f>+SUMIF('Base Datos'!E:Z,Hoja2!B22)</f>
        <v>0</v>
      </c>
    </row>
    <row r="23" spans="1:3" x14ac:dyDescent="0.25">
      <c r="C23" s="1"/>
    </row>
    <row r="24" spans="1:3" x14ac:dyDescent="0.25">
      <c r="A24" t="s">
        <v>25</v>
      </c>
      <c r="C24" s="3"/>
    </row>
    <row r="25" spans="1:3" x14ac:dyDescent="0.25">
      <c r="B25" s="3" t="s">
        <v>6</v>
      </c>
      <c r="C25" s="1"/>
    </row>
    <row r="26" spans="1:3" x14ac:dyDescent="0.25">
      <c r="B26" s="3" t="s">
        <v>7</v>
      </c>
      <c r="C26" s="1"/>
    </row>
    <row r="27" spans="1:3" x14ac:dyDescent="0.25">
      <c r="B27" s="3" t="s">
        <v>8</v>
      </c>
      <c r="C27" s="1"/>
    </row>
    <row r="28" spans="1:3" x14ac:dyDescent="0.25">
      <c r="B28" s="3" t="s">
        <v>9</v>
      </c>
      <c r="C28" s="1"/>
    </row>
    <row r="29" spans="1:3" x14ac:dyDescent="0.25">
      <c r="B29" s="3" t="s">
        <v>10</v>
      </c>
      <c r="C29" s="1"/>
    </row>
    <row r="30" spans="1:3" x14ac:dyDescent="0.25">
      <c r="B30" s="3" t="s">
        <v>11</v>
      </c>
      <c r="C30" s="1"/>
    </row>
    <row r="31" spans="1:3" x14ac:dyDescent="0.25">
      <c r="B31" s="3" t="s">
        <v>12</v>
      </c>
      <c r="C31" s="1"/>
    </row>
    <row r="32" spans="1:3" x14ac:dyDescent="0.25">
      <c r="B32" s="3" t="s">
        <v>13</v>
      </c>
      <c r="C32" s="1"/>
    </row>
    <row r="33" spans="1:3" x14ac:dyDescent="0.25">
      <c r="B33" s="3" t="s">
        <v>14</v>
      </c>
      <c r="C33" s="1"/>
    </row>
    <row r="34" spans="1:3" x14ac:dyDescent="0.25">
      <c r="B34" s="3" t="s">
        <v>15</v>
      </c>
      <c r="C34" s="1"/>
    </row>
    <row r="35" spans="1:3" x14ac:dyDescent="0.25">
      <c r="B35" s="3" t="s">
        <v>16</v>
      </c>
      <c r="C35" s="1"/>
    </row>
    <row r="36" spans="1:3" x14ac:dyDescent="0.25">
      <c r="B36" s="3" t="s">
        <v>17</v>
      </c>
      <c r="C36" s="1"/>
    </row>
    <row r="37" spans="1:3" x14ac:dyDescent="0.25">
      <c r="B37" s="3" t="s">
        <v>18</v>
      </c>
      <c r="C37" s="1"/>
    </row>
    <row r="38" spans="1:3" x14ac:dyDescent="0.25">
      <c r="B38" s="3" t="s">
        <v>19</v>
      </c>
      <c r="C38" s="1"/>
    </row>
    <row r="39" spans="1:3" x14ac:dyDescent="0.25">
      <c r="B39" s="3" t="s">
        <v>41</v>
      </c>
      <c r="C39" s="1"/>
    </row>
    <row r="40" spans="1:3" x14ac:dyDescent="0.25">
      <c r="B40" s="3" t="s">
        <v>42</v>
      </c>
      <c r="C40" s="1"/>
    </row>
    <row r="41" spans="1:3" x14ac:dyDescent="0.25">
      <c r="B41" s="3" t="s">
        <v>43</v>
      </c>
      <c r="C41" s="1"/>
    </row>
    <row r="42" spans="1:3" x14ac:dyDescent="0.25">
      <c r="B42" s="3" t="s">
        <v>44</v>
      </c>
      <c r="C42" s="1"/>
    </row>
    <row r="43" spans="1:3" x14ac:dyDescent="0.25">
      <c r="B43" s="3" t="s">
        <v>45</v>
      </c>
      <c r="C43" s="1"/>
    </row>
    <row r="44" spans="1:3" x14ac:dyDescent="0.25">
      <c r="B44" s="3" t="s">
        <v>46</v>
      </c>
      <c r="C44" s="1"/>
    </row>
    <row r="45" spans="1:3" x14ac:dyDescent="0.25">
      <c r="C45" s="1"/>
    </row>
    <row r="46" spans="1:3" x14ac:dyDescent="0.25">
      <c r="A46" t="s">
        <v>29</v>
      </c>
      <c r="C46" s="3"/>
    </row>
    <row r="47" spans="1:3" x14ac:dyDescent="0.25">
      <c r="B47" s="3" t="s">
        <v>6</v>
      </c>
      <c r="C47" s="1"/>
    </row>
    <row r="48" spans="1:3" x14ac:dyDescent="0.25">
      <c r="B48" s="3" t="s">
        <v>7</v>
      </c>
      <c r="C48" s="1"/>
    </row>
    <row r="49" spans="2:3" x14ac:dyDescent="0.25">
      <c r="B49" s="3" t="s">
        <v>8</v>
      </c>
      <c r="C49" s="1"/>
    </row>
    <row r="50" spans="2:3" x14ac:dyDescent="0.25">
      <c r="B50" s="3" t="s">
        <v>9</v>
      </c>
      <c r="C50" s="1"/>
    </row>
    <row r="51" spans="2:3" x14ac:dyDescent="0.25">
      <c r="B51" s="3" t="s">
        <v>10</v>
      </c>
      <c r="C51" s="1"/>
    </row>
    <row r="52" spans="2:3" x14ac:dyDescent="0.25">
      <c r="B52" s="3" t="s">
        <v>11</v>
      </c>
      <c r="C52" s="1"/>
    </row>
    <row r="53" spans="2:3" x14ac:dyDescent="0.25">
      <c r="B53" s="3" t="s">
        <v>12</v>
      </c>
      <c r="C53" s="1"/>
    </row>
    <row r="54" spans="2:3" x14ac:dyDescent="0.25">
      <c r="B54" s="3" t="s">
        <v>13</v>
      </c>
      <c r="C54" s="1"/>
    </row>
    <row r="55" spans="2:3" x14ac:dyDescent="0.25">
      <c r="B55" s="3" t="s">
        <v>14</v>
      </c>
      <c r="C55" s="1"/>
    </row>
    <row r="56" spans="2:3" x14ac:dyDescent="0.25">
      <c r="B56" s="3" t="s">
        <v>15</v>
      </c>
      <c r="C56" s="1"/>
    </row>
    <row r="57" spans="2:3" x14ac:dyDescent="0.25">
      <c r="B57" s="3" t="s">
        <v>16</v>
      </c>
      <c r="C57" s="1"/>
    </row>
    <row r="58" spans="2:3" x14ac:dyDescent="0.25">
      <c r="B58" s="3" t="s">
        <v>17</v>
      </c>
      <c r="C58" s="1"/>
    </row>
    <row r="59" spans="2:3" x14ac:dyDescent="0.25">
      <c r="B59" s="3" t="s">
        <v>18</v>
      </c>
      <c r="C59" s="1"/>
    </row>
    <row r="60" spans="2:3" x14ac:dyDescent="0.25">
      <c r="B60" s="3" t="s">
        <v>19</v>
      </c>
      <c r="C60" s="1"/>
    </row>
    <row r="61" spans="2:3" x14ac:dyDescent="0.25">
      <c r="B61" s="3" t="s">
        <v>41</v>
      </c>
      <c r="C61" s="1"/>
    </row>
    <row r="62" spans="2:3" x14ac:dyDescent="0.25">
      <c r="B62" s="3" t="s">
        <v>42</v>
      </c>
      <c r="C62" s="1"/>
    </row>
    <row r="63" spans="2:3" x14ac:dyDescent="0.25">
      <c r="B63" s="3" t="s">
        <v>43</v>
      </c>
      <c r="C63" s="1"/>
    </row>
    <row r="64" spans="2:3" x14ac:dyDescent="0.25">
      <c r="B64" s="3" t="s">
        <v>44</v>
      </c>
      <c r="C64" s="1"/>
    </row>
    <row r="65" spans="1:3" x14ac:dyDescent="0.25">
      <c r="B65" s="3" t="s">
        <v>45</v>
      </c>
      <c r="C65" s="1"/>
    </row>
    <row r="66" spans="1:3" x14ac:dyDescent="0.25">
      <c r="B66" s="3" t="s">
        <v>46</v>
      </c>
      <c r="C66" s="1"/>
    </row>
    <row r="67" spans="1:3" x14ac:dyDescent="0.25">
      <c r="C67" s="1"/>
    </row>
    <row r="68" spans="1:3" x14ac:dyDescent="0.25">
      <c r="A68" t="s">
        <v>33</v>
      </c>
      <c r="C68" s="3"/>
    </row>
    <row r="69" spans="1:3" x14ac:dyDescent="0.25">
      <c r="B69" s="3" t="s">
        <v>6</v>
      </c>
      <c r="C69" s="1"/>
    </row>
    <row r="70" spans="1:3" x14ac:dyDescent="0.25">
      <c r="B70" s="3" t="s">
        <v>7</v>
      </c>
      <c r="C70" s="1"/>
    </row>
    <row r="71" spans="1:3" x14ac:dyDescent="0.25">
      <c r="B71" s="3" t="s">
        <v>8</v>
      </c>
      <c r="C71" s="1"/>
    </row>
    <row r="72" spans="1:3" x14ac:dyDescent="0.25">
      <c r="B72" s="3" t="s">
        <v>9</v>
      </c>
      <c r="C72" s="1"/>
    </row>
    <row r="73" spans="1:3" x14ac:dyDescent="0.25">
      <c r="B73" s="3" t="s">
        <v>10</v>
      </c>
      <c r="C73" s="1"/>
    </row>
    <row r="74" spans="1:3" x14ac:dyDescent="0.25">
      <c r="B74" s="3" t="s">
        <v>11</v>
      </c>
      <c r="C74" s="1"/>
    </row>
    <row r="75" spans="1:3" x14ac:dyDescent="0.25">
      <c r="B75" s="3" t="s">
        <v>12</v>
      </c>
      <c r="C75" s="1"/>
    </row>
    <row r="76" spans="1:3" x14ac:dyDescent="0.25">
      <c r="B76" s="3" t="s">
        <v>13</v>
      </c>
      <c r="C76" s="1"/>
    </row>
    <row r="77" spans="1:3" x14ac:dyDescent="0.25">
      <c r="B77" s="3" t="s">
        <v>14</v>
      </c>
      <c r="C77" s="1"/>
    </row>
    <row r="78" spans="1:3" x14ac:dyDescent="0.25">
      <c r="B78" s="3" t="s">
        <v>15</v>
      </c>
      <c r="C78" s="1"/>
    </row>
    <row r="79" spans="1:3" x14ac:dyDescent="0.25">
      <c r="B79" s="3" t="s">
        <v>16</v>
      </c>
      <c r="C79" s="1"/>
    </row>
    <row r="80" spans="1:3" x14ac:dyDescent="0.25">
      <c r="B80" s="3" t="s">
        <v>17</v>
      </c>
      <c r="C80" s="1"/>
    </row>
    <row r="81" spans="1:3" x14ac:dyDescent="0.25">
      <c r="B81" s="3" t="s">
        <v>18</v>
      </c>
      <c r="C81" s="1"/>
    </row>
    <row r="82" spans="1:3" x14ac:dyDescent="0.25">
      <c r="B82" s="3" t="s">
        <v>19</v>
      </c>
      <c r="C82" s="1"/>
    </row>
    <row r="83" spans="1:3" x14ac:dyDescent="0.25">
      <c r="B83" s="3" t="s">
        <v>41</v>
      </c>
      <c r="C83" s="1"/>
    </row>
    <row r="84" spans="1:3" x14ac:dyDescent="0.25">
      <c r="B84" s="3" t="s">
        <v>42</v>
      </c>
      <c r="C84" s="1"/>
    </row>
    <row r="85" spans="1:3" x14ac:dyDescent="0.25">
      <c r="B85" s="3" t="s">
        <v>43</v>
      </c>
      <c r="C85" s="1"/>
    </row>
    <row r="86" spans="1:3" x14ac:dyDescent="0.25">
      <c r="B86" s="3" t="s">
        <v>44</v>
      </c>
      <c r="C86" s="1"/>
    </row>
    <row r="87" spans="1:3" x14ac:dyDescent="0.25">
      <c r="B87" s="3" t="s">
        <v>45</v>
      </c>
      <c r="C87" s="1"/>
    </row>
    <row r="88" spans="1:3" x14ac:dyDescent="0.25">
      <c r="B88" s="3" t="s">
        <v>46</v>
      </c>
      <c r="C88" s="1"/>
    </row>
    <row r="89" spans="1:3" x14ac:dyDescent="0.25">
      <c r="C89" s="1"/>
    </row>
    <row r="90" spans="1:3" x14ac:dyDescent="0.25">
      <c r="A90" t="s">
        <v>37</v>
      </c>
      <c r="C90" s="3"/>
    </row>
    <row r="91" spans="1:3" x14ac:dyDescent="0.25">
      <c r="B91" s="3" t="s">
        <v>6</v>
      </c>
      <c r="C91" s="1"/>
    </row>
    <row r="92" spans="1:3" x14ac:dyDescent="0.25">
      <c r="B92" s="3" t="s">
        <v>7</v>
      </c>
      <c r="C92" s="1"/>
    </row>
    <row r="93" spans="1:3" x14ac:dyDescent="0.25">
      <c r="B93" s="3" t="s">
        <v>8</v>
      </c>
      <c r="C93" s="1"/>
    </row>
    <row r="94" spans="1:3" x14ac:dyDescent="0.25">
      <c r="B94" s="3" t="s">
        <v>9</v>
      </c>
      <c r="C94" s="1"/>
    </row>
    <row r="95" spans="1:3" x14ac:dyDescent="0.25">
      <c r="B95" s="3" t="s">
        <v>10</v>
      </c>
      <c r="C95" s="1"/>
    </row>
    <row r="96" spans="1:3" x14ac:dyDescent="0.25">
      <c r="B96" s="3" t="s">
        <v>11</v>
      </c>
      <c r="C96" s="1"/>
    </row>
    <row r="97" spans="1:3" x14ac:dyDescent="0.25">
      <c r="B97" s="3" t="s">
        <v>12</v>
      </c>
      <c r="C97" s="1"/>
    </row>
    <row r="98" spans="1:3" x14ac:dyDescent="0.25">
      <c r="B98" s="3" t="s">
        <v>13</v>
      </c>
      <c r="C98" s="1"/>
    </row>
    <row r="99" spans="1:3" x14ac:dyDescent="0.25">
      <c r="B99" s="3" t="s">
        <v>14</v>
      </c>
      <c r="C99" s="1"/>
    </row>
    <row r="100" spans="1:3" x14ac:dyDescent="0.25">
      <c r="B100" s="3" t="s">
        <v>15</v>
      </c>
      <c r="C100" s="1"/>
    </row>
    <row r="101" spans="1:3" x14ac:dyDescent="0.25">
      <c r="B101" s="3" t="s">
        <v>16</v>
      </c>
      <c r="C101" s="1"/>
    </row>
    <row r="102" spans="1:3" x14ac:dyDescent="0.25">
      <c r="B102" s="3" t="s">
        <v>17</v>
      </c>
      <c r="C102" s="1"/>
    </row>
    <row r="103" spans="1:3" x14ac:dyDescent="0.25">
      <c r="B103" s="3" t="s">
        <v>18</v>
      </c>
      <c r="C103" s="1"/>
    </row>
    <row r="104" spans="1:3" x14ac:dyDescent="0.25">
      <c r="B104" s="3" t="s">
        <v>19</v>
      </c>
      <c r="C104" s="1"/>
    </row>
    <row r="105" spans="1:3" x14ac:dyDescent="0.25">
      <c r="B105" s="3" t="s">
        <v>41</v>
      </c>
      <c r="C105" s="1"/>
    </row>
    <row r="106" spans="1:3" x14ac:dyDescent="0.25">
      <c r="B106" s="3" t="s">
        <v>42</v>
      </c>
      <c r="C106" s="1"/>
    </row>
    <row r="107" spans="1:3" x14ac:dyDescent="0.25">
      <c r="B107" s="3" t="s">
        <v>43</v>
      </c>
      <c r="C107" s="1"/>
    </row>
    <row r="108" spans="1:3" x14ac:dyDescent="0.25">
      <c r="B108" s="3" t="s">
        <v>44</v>
      </c>
      <c r="C108" s="1"/>
    </row>
    <row r="109" spans="1:3" x14ac:dyDescent="0.25">
      <c r="B109" s="3" t="s">
        <v>45</v>
      </c>
      <c r="C109" s="1"/>
    </row>
    <row r="110" spans="1:3" x14ac:dyDescent="0.25">
      <c r="B110" s="3" t="s">
        <v>46</v>
      </c>
      <c r="C110" s="1"/>
    </row>
    <row r="111" spans="1:3" x14ac:dyDescent="0.25">
      <c r="C111" s="1"/>
    </row>
    <row r="112" spans="1:3" x14ac:dyDescent="0.25">
      <c r="A112" t="s">
        <v>53</v>
      </c>
      <c r="C112" s="3"/>
    </row>
    <row r="113" spans="2:3" x14ac:dyDescent="0.25">
      <c r="B113" s="3" t="s">
        <v>6</v>
      </c>
      <c r="C113" s="1"/>
    </row>
    <row r="114" spans="2:3" x14ac:dyDescent="0.25">
      <c r="B114" s="3" t="s">
        <v>7</v>
      </c>
      <c r="C114" s="1"/>
    </row>
    <row r="115" spans="2:3" x14ac:dyDescent="0.25">
      <c r="B115" s="3" t="s">
        <v>8</v>
      </c>
      <c r="C115" s="1"/>
    </row>
    <row r="116" spans="2:3" x14ac:dyDescent="0.25">
      <c r="B116" s="3" t="s">
        <v>9</v>
      </c>
      <c r="C116" s="1"/>
    </row>
    <row r="117" spans="2:3" x14ac:dyDescent="0.25">
      <c r="B117" s="3" t="s">
        <v>10</v>
      </c>
      <c r="C117" s="1"/>
    </row>
    <row r="118" spans="2:3" x14ac:dyDescent="0.25">
      <c r="B118" s="3" t="s">
        <v>11</v>
      </c>
      <c r="C118" s="1"/>
    </row>
    <row r="119" spans="2:3" x14ac:dyDescent="0.25">
      <c r="B119" s="3" t="s">
        <v>12</v>
      </c>
      <c r="C119" s="1"/>
    </row>
    <row r="120" spans="2:3" x14ac:dyDescent="0.25">
      <c r="B120" s="3" t="s">
        <v>13</v>
      </c>
      <c r="C120" s="1"/>
    </row>
    <row r="121" spans="2:3" x14ac:dyDescent="0.25">
      <c r="B121" s="3" t="s">
        <v>14</v>
      </c>
      <c r="C121" s="1"/>
    </row>
    <row r="122" spans="2:3" x14ac:dyDescent="0.25">
      <c r="B122" s="3" t="s">
        <v>15</v>
      </c>
      <c r="C122" s="1"/>
    </row>
    <row r="123" spans="2:3" x14ac:dyDescent="0.25">
      <c r="B123" s="3" t="s">
        <v>16</v>
      </c>
      <c r="C123" s="1"/>
    </row>
    <row r="124" spans="2:3" x14ac:dyDescent="0.25">
      <c r="B124" s="3" t="s">
        <v>17</v>
      </c>
      <c r="C124" s="1"/>
    </row>
    <row r="125" spans="2:3" x14ac:dyDescent="0.25">
      <c r="B125" s="3" t="s">
        <v>18</v>
      </c>
      <c r="C125" s="1"/>
    </row>
    <row r="126" spans="2:3" x14ac:dyDescent="0.25">
      <c r="B126" s="3" t="s">
        <v>19</v>
      </c>
      <c r="C126" s="1"/>
    </row>
    <row r="127" spans="2:3" x14ac:dyDescent="0.25">
      <c r="B127" s="3" t="s">
        <v>41</v>
      </c>
      <c r="C127" s="1"/>
    </row>
    <row r="128" spans="2:3" x14ac:dyDescent="0.25">
      <c r="B128" s="3" t="s">
        <v>42</v>
      </c>
      <c r="C128" s="1"/>
    </row>
    <row r="129" spans="1:3" x14ac:dyDescent="0.25">
      <c r="B129" s="3" t="s">
        <v>43</v>
      </c>
      <c r="C129" s="1"/>
    </row>
    <row r="130" spans="1:3" x14ac:dyDescent="0.25">
      <c r="B130" s="3" t="s">
        <v>44</v>
      </c>
      <c r="C130" s="1"/>
    </row>
    <row r="131" spans="1:3" x14ac:dyDescent="0.25">
      <c r="B131" s="3" t="s">
        <v>45</v>
      </c>
      <c r="C131" s="1"/>
    </row>
    <row r="132" spans="1:3" x14ac:dyDescent="0.25">
      <c r="B132" s="3" t="s">
        <v>46</v>
      </c>
      <c r="C132" s="1"/>
    </row>
    <row r="133" spans="1:3" x14ac:dyDescent="0.25">
      <c r="C133" s="1"/>
    </row>
    <row r="134" spans="1:3" x14ac:dyDescent="0.25">
      <c r="A134" t="s">
        <v>57</v>
      </c>
      <c r="C134" s="3"/>
    </row>
    <row r="135" spans="1:3" x14ac:dyDescent="0.25">
      <c r="B135" s="3" t="s">
        <v>6</v>
      </c>
      <c r="C135" s="1"/>
    </row>
    <row r="136" spans="1:3" x14ac:dyDescent="0.25">
      <c r="B136" s="3" t="s">
        <v>7</v>
      </c>
      <c r="C136" s="1"/>
    </row>
    <row r="137" spans="1:3" x14ac:dyDescent="0.25">
      <c r="B137" s="3" t="s">
        <v>8</v>
      </c>
      <c r="C137" s="1"/>
    </row>
    <row r="138" spans="1:3" x14ac:dyDescent="0.25">
      <c r="B138" s="3" t="s">
        <v>9</v>
      </c>
      <c r="C138" s="1"/>
    </row>
    <row r="139" spans="1:3" x14ac:dyDescent="0.25">
      <c r="B139" s="3" t="s">
        <v>10</v>
      </c>
      <c r="C139" s="1"/>
    </row>
    <row r="140" spans="1:3" x14ac:dyDescent="0.25">
      <c r="B140" s="3" t="s">
        <v>11</v>
      </c>
      <c r="C140" s="1"/>
    </row>
    <row r="141" spans="1:3" x14ac:dyDescent="0.25">
      <c r="B141" s="3" t="s">
        <v>12</v>
      </c>
      <c r="C141" s="1"/>
    </row>
    <row r="142" spans="1:3" x14ac:dyDescent="0.25">
      <c r="B142" s="3" t="s">
        <v>13</v>
      </c>
      <c r="C142" s="1"/>
    </row>
    <row r="143" spans="1:3" x14ac:dyDescent="0.25">
      <c r="B143" s="3" t="s">
        <v>14</v>
      </c>
      <c r="C143" s="1"/>
    </row>
    <row r="144" spans="1:3" x14ac:dyDescent="0.25">
      <c r="B144" s="3" t="s">
        <v>15</v>
      </c>
      <c r="C144" s="1"/>
    </row>
    <row r="145" spans="1:3" x14ac:dyDescent="0.25">
      <c r="B145" s="3" t="s">
        <v>16</v>
      </c>
      <c r="C145" s="1"/>
    </row>
    <row r="146" spans="1:3" x14ac:dyDescent="0.25">
      <c r="B146" s="3" t="s">
        <v>17</v>
      </c>
      <c r="C146" s="1"/>
    </row>
    <row r="147" spans="1:3" x14ac:dyDescent="0.25">
      <c r="B147" s="3" t="s">
        <v>18</v>
      </c>
      <c r="C147" s="1"/>
    </row>
    <row r="148" spans="1:3" x14ac:dyDescent="0.25">
      <c r="B148" s="3" t="s">
        <v>19</v>
      </c>
      <c r="C148" s="1"/>
    </row>
    <row r="149" spans="1:3" x14ac:dyDescent="0.25">
      <c r="B149" s="3" t="s">
        <v>41</v>
      </c>
      <c r="C149" s="1"/>
    </row>
    <row r="150" spans="1:3" x14ac:dyDescent="0.25">
      <c r="B150" s="3" t="s">
        <v>42</v>
      </c>
      <c r="C150" s="1"/>
    </row>
    <row r="151" spans="1:3" x14ac:dyDescent="0.25">
      <c r="B151" s="3" t="s">
        <v>43</v>
      </c>
      <c r="C151" s="1"/>
    </row>
    <row r="152" spans="1:3" x14ac:dyDescent="0.25">
      <c r="B152" s="3" t="s">
        <v>44</v>
      </c>
      <c r="C152" s="1"/>
    </row>
    <row r="153" spans="1:3" x14ac:dyDescent="0.25">
      <c r="B153" s="3" t="s">
        <v>45</v>
      </c>
      <c r="C153" s="1"/>
    </row>
    <row r="154" spans="1:3" x14ac:dyDescent="0.25">
      <c r="B154" s="3" t="s">
        <v>46</v>
      </c>
      <c r="C154" s="1"/>
    </row>
    <row r="155" spans="1:3" x14ac:dyDescent="0.25">
      <c r="C155" s="1"/>
    </row>
    <row r="156" spans="1:3" x14ac:dyDescent="0.25">
      <c r="A156" t="s">
        <v>49</v>
      </c>
      <c r="C156" s="3"/>
    </row>
    <row r="157" spans="1:3" x14ac:dyDescent="0.25">
      <c r="B157" s="3" t="s">
        <v>6</v>
      </c>
      <c r="C157" s="1"/>
    </row>
    <row r="158" spans="1:3" x14ac:dyDescent="0.25">
      <c r="B158" s="3" t="s">
        <v>7</v>
      </c>
      <c r="C158" s="1"/>
    </row>
    <row r="159" spans="1:3" x14ac:dyDescent="0.25">
      <c r="B159" s="3" t="s">
        <v>8</v>
      </c>
      <c r="C159" s="1"/>
    </row>
    <row r="160" spans="1:3" x14ac:dyDescent="0.25">
      <c r="B160" s="3" t="s">
        <v>9</v>
      </c>
      <c r="C160" s="1"/>
    </row>
    <row r="161" spans="2:3" x14ac:dyDescent="0.25">
      <c r="B161" s="3" t="s">
        <v>10</v>
      </c>
      <c r="C161" s="1"/>
    </row>
    <row r="162" spans="2:3" x14ac:dyDescent="0.25">
      <c r="B162" s="3" t="s">
        <v>11</v>
      </c>
      <c r="C162" s="1"/>
    </row>
    <row r="163" spans="2:3" x14ac:dyDescent="0.25">
      <c r="B163" s="3" t="s">
        <v>12</v>
      </c>
      <c r="C163" s="1"/>
    </row>
    <row r="164" spans="2:3" x14ac:dyDescent="0.25">
      <c r="B164" s="3" t="s">
        <v>13</v>
      </c>
      <c r="C164" s="1"/>
    </row>
    <row r="165" spans="2:3" x14ac:dyDescent="0.25">
      <c r="B165" s="3" t="s">
        <v>14</v>
      </c>
      <c r="C165" s="1"/>
    </row>
    <row r="166" spans="2:3" x14ac:dyDescent="0.25">
      <c r="B166" s="3" t="s">
        <v>15</v>
      </c>
      <c r="C166" s="1"/>
    </row>
    <row r="167" spans="2:3" x14ac:dyDescent="0.25">
      <c r="B167" s="3" t="s">
        <v>16</v>
      </c>
      <c r="C167" s="1"/>
    </row>
    <row r="168" spans="2:3" x14ac:dyDescent="0.25">
      <c r="B168" s="3" t="s">
        <v>17</v>
      </c>
      <c r="C168" s="1"/>
    </row>
    <row r="169" spans="2:3" x14ac:dyDescent="0.25">
      <c r="B169" s="3" t="s">
        <v>18</v>
      </c>
      <c r="C169" s="1"/>
    </row>
    <row r="170" spans="2:3" x14ac:dyDescent="0.25">
      <c r="B170" s="3" t="s">
        <v>19</v>
      </c>
      <c r="C170" s="1"/>
    </row>
    <row r="171" spans="2:3" x14ac:dyDescent="0.25">
      <c r="B171" s="3" t="s">
        <v>41</v>
      </c>
      <c r="C171" s="1"/>
    </row>
    <row r="172" spans="2:3" x14ac:dyDescent="0.25">
      <c r="B172" s="3" t="s">
        <v>42</v>
      </c>
      <c r="C172" s="1"/>
    </row>
    <row r="173" spans="2:3" x14ac:dyDescent="0.25">
      <c r="B173" s="3" t="s">
        <v>43</v>
      </c>
      <c r="C173" s="1"/>
    </row>
    <row r="174" spans="2:3" x14ac:dyDescent="0.25">
      <c r="B174" s="3" t="s">
        <v>44</v>
      </c>
      <c r="C174" s="1"/>
    </row>
    <row r="175" spans="2:3" x14ac:dyDescent="0.25">
      <c r="B175" s="3" t="s">
        <v>45</v>
      </c>
      <c r="C175" s="1"/>
    </row>
    <row r="176" spans="2:3" x14ac:dyDescent="0.25">
      <c r="B176" s="3" t="s">
        <v>46</v>
      </c>
      <c r="C176" s="1"/>
    </row>
    <row r="177" spans="1:3" x14ac:dyDescent="0.25">
      <c r="C177" s="1"/>
    </row>
    <row r="178" spans="1:3" x14ac:dyDescent="0.25">
      <c r="A178" t="s">
        <v>51</v>
      </c>
      <c r="C178" s="3"/>
    </row>
    <row r="179" spans="1:3" x14ac:dyDescent="0.25">
      <c r="B179" s="3" t="s">
        <v>6</v>
      </c>
      <c r="C179" s="1"/>
    </row>
    <row r="180" spans="1:3" x14ac:dyDescent="0.25">
      <c r="B180" s="3" t="s">
        <v>7</v>
      </c>
      <c r="C180" s="1"/>
    </row>
    <row r="181" spans="1:3" x14ac:dyDescent="0.25">
      <c r="B181" s="3" t="s">
        <v>8</v>
      </c>
      <c r="C181" s="1"/>
    </row>
    <row r="182" spans="1:3" x14ac:dyDescent="0.25">
      <c r="B182" s="3" t="s">
        <v>9</v>
      </c>
      <c r="C182" s="1"/>
    </row>
    <row r="183" spans="1:3" x14ac:dyDescent="0.25">
      <c r="B183" s="3" t="s">
        <v>10</v>
      </c>
      <c r="C183" s="1"/>
    </row>
    <row r="184" spans="1:3" x14ac:dyDescent="0.25">
      <c r="B184" s="3" t="s">
        <v>11</v>
      </c>
      <c r="C184" s="1"/>
    </row>
    <row r="185" spans="1:3" x14ac:dyDescent="0.25">
      <c r="B185" s="3" t="s">
        <v>12</v>
      </c>
      <c r="C185" s="1"/>
    </row>
    <row r="186" spans="1:3" x14ac:dyDescent="0.25">
      <c r="B186" s="3" t="s">
        <v>13</v>
      </c>
      <c r="C186" s="1"/>
    </row>
    <row r="187" spans="1:3" x14ac:dyDescent="0.25">
      <c r="B187" s="3" t="s">
        <v>14</v>
      </c>
      <c r="C187" s="1"/>
    </row>
    <row r="188" spans="1:3" x14ac:dyDescent="0.25">
      <c r="B188" s="3" t="s">
        <v>15</v>
      </c>
      <c r="C188" s="1"/>
    </row>
    <row r="189" spans="1:3" x14ac:dyDescent="0.25">
      <c r="B189" s="3" t="s">
        <v>16</v>
      </c>
      <c r="C189" s="1"/>
    </row>
    <row r="190" spans="1:3" x14ac:dyDescent="0.25">
      <c r="B190" s="3" t="s">
        <v>17</v>
      </c>
      <c r="C190" s="1"/>
    </row>
    <row r="191" spans="1:3" x14ac:dyDescent="0.25">
      <c r="B191" s="3" t="s">
        <v>18</v>
      </c>
      <c r="C191" s="1"/>
    </row>
    <row r="192" spans="1:3" x14ac:dyDescent="0.25">
      <c r="B192" s="3" t="s">
        <v>19</v>
      </c>
      <c r="C192" s="1"/>
    </row>
    <row r="193" spans="1:3" x14ac:dyDescent="0.25">
      <c r="B193" s="3" t="s">
        <v>41</v>
      </c>
      <c r="C193" s="1"/>
    </row>
    <row r="194" spans="1:3" x14ac:dyDescent="0.25">
      <c r="B194" s="3" t="s">
        <v>42</v>
      </c>
      <c r="C194" s="1"/>
    </row>
    <row r="195" spans="1:3" x14ac:dyDescent="0.25">
      <c r="B195" s="3" t="s">
        <v>43</v>
      </c>
      <c r="C195" s="1"/>
    </row>
    <row r="196" spans="1:3" x14ac:dyDescent="0.25">
      <c r="B196" s="3" t="s">
        <v>44</v>
      </c>
      <c r="C196" s="1"/>
    </row>
    <row r="197" spans="1:3" x14ac:dyDescent="0.25">
      <c r="B197" s="3" t="s">
        <v>45</v>
      </c>
      <c r="C197" s="1"/>
    </row>
    <row r="198" spans="1:3" x14ac:dyDescent="0.25">
      <c r="B198" s="3" t="s">
        <v>46</v>
      </c>
      <c r="C198" s="1"/>
    </row>
    <row r="199" spans="1:3" x14ac:dyDescent="0.25">
      <c r="C199" s="1"/>
    </row>
    <row r="200" spans="1:3" x14ac:dyDescent="0.25">
      <c r="A200" t="s">
        <v>47</v>
      </c>
      <c r="C200" s="3"/>
    </row>
    <row r="201" spans="1:3" x14ac:dyDescent="0.25">
      <c r="B201" s="3" t="s">
        <v>6</v>
      </c>
      <c r="C201" s="1"/>
    </row>
    <row r="202" spans="1:3" x14ac:dyDescent="0.25">
      <c r="B202" s="3" t="s">
        <v>7</v>
      </c>
      <c r="C202" s="1"/>
    </row>
    <row r="203" spans="1:3" x14ac:dyDescent="0.25">
      <c r="B203" s="3" t="s">
        <v>8</v>
      </c>
      <c r="C203" s="1"/>
    </row>
    <row r="204" spans="1:3" x14ac:dyDescent="0.25">
      <c r="B204" s="3" t="s">
        <v>9</v>
      </c>
      <c r="C204" s="1"/>
    </row>
    <row r="205" spans="1:3" x14ac:dyDescent="0.25">
      <c r="B205" s="3" t="s">
        <v>10</v>
      </c>
      <c r="C205" s="1"/>
    </row>
    <row r="206" spans="1:3" x14ac:dyDescent="0.25">
      <c r="B206" s="3" t="s">
        <v>11</v>
      </c>
      <c r="C206" s="1"/>
    </row>
    <row r="207" spans="1:3" x14ac:dyDescent="0.25">
      <c r="B207" s="3" t="s">
        <v>12</v>
      </c>
      <c r="C207" s="1"/>
    </row>
    <row r="208" spans="1:3" x14ac:dyDescent="0.25">
      <c r="B208" s="3" t="s">
        <v>13</v>
      </c>
      <c r="C208" s="1"/>
    </row>
    <row r="209" spans="1:3" x14ac:dyDescent="0.25">
      <c r="B209" s="3" t="s">
        <v>14</v>
      </c>
      <c r="C209" s="1"/>
    </row>
    <row r="210" spans="1:3" x14ac:dyDescent="0.25">
      <c r="B210" s="3" t="s">
        <v>15</v>
      </c>
      <c r="C210" s="1"/>
    </row>
    <row r="211" spans="1:3" x14ac:dyDescent="0.25">
      <c r="B211" s="3" t="s">
        <v>16</v>
      </c>
      <c r="C211" s="1"/>
    </row>
    <row r="212" spans="1:3" x14ac:dyDescent="0.25">
      <c r="B212" s="3" t="s">
        <v>17</v>
      </c>
      <c r="C212" s="1"/>
    </row>
    <row r="213" spans="1:3" x14ac:dyDescent="0.25">
      <c r="B213" s="3" t="s">
        <v>18</v>
      </c>
      <c r="C213" s="1"/>
    </row>
    <row r="214" spans="1:3" x14ac:dyDescent="0.25">
      <c r="B214" s="3" t="s">
        <v>19</v>
      </c>
      <c r="C214" s="1"/>
    </row>
    <row r="215" spans="1:3" x14ac:dyDescent="0.25">
      <c r="B215" s="3" t="s">
        <v>41</v>
      </c>
      <c r="C215" s="1"/>
    </row>
    <row r="216" spans="1:3" x14ac:dyDescent="0.25">
      <c r="B216" s="3" t="s">
        <v>42</v>
      </c>
      <c r="C216" s="1"/>
    </row>
    <row r="217" spans="1:3" x14ac:dyDescent="0.25">
      <c r="B217" s="3" t="s">
        <v>43</v>
      </c>
      <c r="C217" s="1"/>
    </row>
    <row r="218" spans="1:3" x14ac:dyDescent="0.25">
      <c r="B218" s="3" t="s">
        <v>44</v>
      </c>
      <c r="C218" s="1"/>
    </row>
    <row r="219" spans="1:3" x14ac:dyDescent="0.25">
      <c r="B219" s="3" t="s">
        <v>45</v>
      </c>
      <c r="C219" s="1"/>
    </row>
    <row r="220" spans="1:3" x14ac:dyDescent="0.25">
      <c r="B220" s="3" t="s">
        <v>46</v>
      </c>
      <c r="C220" s="1"/>
    </row>
    <row r="221" spans="1:3" x14ac:dyDescent="0.25">
      <c r="C221" s="1"/>
    </row>
    <row r="222" spans="1:3" x14ac:dyDescent="0.25">
      <c r="A222" t="s">
        <v>56</v>
      </c>
      <c r="C222" s="3"/>
    </row>
    <row r="223" spans="1:3" x14ac:dyDescent="0.25">
      <c r="B223" s="3" t="s">
        <v>6</v>
      </c>
      <c r="C223" s="1"/>
    </row>
    <row r="224" spans="1:3" x14ac:dyDescent="0.25">
      <c r="B224" s="3" t="s">
        <v>7</v>
      </c>
      <c r="C224" s="1"/>
    </row>
    <row r="225" spans="2:3" x14ac:dyDescent="0.25">
      <c r="B225" s="3" t="s">
        <v>8</v>
      </c>
      <c r="C225" s="1"/>
    </row>
    <row r="226" spans="2:3" x14ac:dyDescent="0.25">
      <c r="B226" s="3" t="s">
        <v>9</v>
      </c>
      <c r="C226" s="1"/>
    </row>
    <row r="227" spans="2:3" x14ac:dyDescent="0.25">
      <c r="B227" s="3" t="s">
        <v>10</v>
      </c>
      <c r="C227" s="1"/>
    </row>
    <row r="228" spans="2:3" x14ac:dyDescent="0.25">
      <c r="B228" s="3" t="s">
        <v>11</v>
      </c>
      <c r="C228" s="1"/>
    </row>
    <row r="229" spans="2:3" x14ac:dyDescent="0.25">
      <c r="B229" s="3" t="s">
        <v>12</v>
      </c>
      <c r="C229" s="1"/>
    </row>
    <row r="230" spans="2:3" x14ac:dyDescent="0.25">
      <c r="B230" s="3" t="s">
        <v>13</v>
      </c>
      <c r="C230" s="1"/>
    </row>
    <row r="231" spans="2:3" x14ac:dyDescent="0.25">
      <c r="B231" s="3" t="s">
        <v>14</v>
      </c>
      <c r="C231" s="1"/>
    </row>
    <row r="232" spans="2:3" x14ac:dyDescent="0.25">
      <c r="B232" s="3" t="s">
        <v>15</v>
      </c>
      <c r="C232" s="1"/>
    </row>
    <row r="233" spans="2:3" x14ac:dyDescent="0.25">
      <c r="B233" s="3" t="s">
        <v>16</v>
      </c>
      <c r="C233" s="1"/>
    </row>
    <row r="234" spans="2:3" x14ac:dyDescent="0.25">
      <c r="B234" s="3" t="s">
        <v>17</v>
      </c>
      <c r="C234" s="1"/>
    </row>
    <row r="235" spans="2:3" x14ac:dyDescent="0.25">
      <c r="B235" s="3" t="s">
        <v>18</v>
      </c>
      <c r="C235" s="1"/>
    </row>
    <row r="236" spans="2:3" x14ac:dyDescent="0.25">
      <c r="B236" s="3" t="s">
        <v>19</v>
      </c>
      <c r="C236" s="1"/>
    </row>
    <row r="237" spans="2:3" x14ac:dyDescent="0.25">
      <c r="B237" s="3" t="s">
        <v>41</v>
      </c>
      <c r="C237" s="1"/>
    </row>
    <row r="238" spans="2:3" x14ac:dyDescent="0.25">
      <c r="B238" s="3" t="s">
        <v>42</v>
      </c>
      <c r="C238" s="1"/>
    </row>
    <row r="239" spans="2:3" x14ac:dyDescent="0.25">
      <c r="B239" s="3" t="s">
        <v>43</v>
      </c>
      <c r="C239" s="1"/>
    </row>
    <row r="240" spans="2:3" x14ac:dyDescent="0.25">
      <c r="B240" s="3" t="s">
        <v>44</v>
      </c>
      <c r="C240" s="1"/>
    </row>
    <row r="241" spans="1:3" x14ac:dyDescent="0.25">
      <c r="B241" s="3" t="s">
        <v>45</v>
      </c>
      <c r="C241" s="1"/>
    </row>
    <row r="242" spans="1:3" x14ac:dyDescent="0.25">
      <c r="B242" s="3" t="s">
        <v>46</v>
      </c>
      <c r="C242" s="1"/>
    </row>
    <row r="243" spans="1:3" x14ac:dyDescent="0.25">
      <c r="C243" s="1"/>
    </row>
    <row r="244" spans="1:3" x14ac:dyDescent="0.25">
      <c r="A244" t="s">
        <v>63</v>
      </c>
      <c r="C244" s="3"/>
    </row>
    <row r="245" spans="1:3" x14ac:dyDescent="0.25">
      <c r="B245" s="3" t="s">
        <v>6</v>
      </c>
      <c r="C245" s="1"/>
    </row>
    <row r="246" spans="1:3" x14ac:dyDescent="0.25">
      <c r="B246" s="3" t="s">
        <v>7</v>
      </c>
      <c r="C246" s="1"/>
    </row>
    <row r="247" spans="1:3" x14ac:dyDescent="0.25">
      <c r="B247" s="3" t="s">
        <v>8</v>
      </c>
      <c r="C247" s="1"/>
    </row>
    <row r="248" spans="1:3" x14ac:dyDescent="0.25">
      <c r="B248" s="3" t="s">
        <v>9</v>
      </c>
      <c r="C248" s="1"/>
    </row>
    <row r="249" spans="1:3" x14ac:dyDescent="0.25">
      <c r="B249" s="3" t="s">
        <v>10</v>
      </c>
      <c r="C249" s="1"/>
    </row>
    <row r="250" spans="1:3" x14ac:dyDescent="0.25">
      <c r="B250" s="3" t="s">
        <v>11</v>
      </c>
      <c r="C250" s="1"/>
    </row>
    <row r="251" spans="1:3" x14ac:dyDescent="0.25">
      <c r="B251" s="3" t="s">
        <v>12</v>
      </c>
      <c r="C251" s="1"/>
    </row>
    <row r="252" spans="1:3" x14ac:dyDescent="0.25">
      <c r="B252" s="3" t="s">
        <v>13</v>
      </c>
      <c r="C252" s="1"/>
    </row>
    <row r="253" spans="1:3" x14ac:dyDescent="0.25">
      <c r="B253" s="3" t="s">
        <v>14</v>
      </c>
      <c r="C253" s="1"/>
    </row>
    <row r="254" spans="1:3" x14ac:dyDescent="0.25">
      <c r="B254" s="3" t="s">
        <v>15</v>
      </c>
      <c r="C254" s="1"/>
    </row>
    <row r="255" spans="1:3" x14ac:dyDescent="0.25">
      <c r="B255" s="3" t="s">
        <v>16</v>
      </c>
      <c r="C255" s="1"/>
    </row>
    <row r="256" spans="1:3" x14ac:dyDescent="0.25">
      <c r="B256" s="3" t="s">
        <v>17</v>
      </c>
      <c r="C256" s="1"/>
    </row>
    <row r="257" spans="1:3" x14ac:dyDescent="0.25">
      <c r="B257" s="3" t="s">
        <v>18</v>
      </c>
      <c r="C257" s="1"/>
    </row>
    <row r="258" spans="1:3" x14ac:dyDescent="0.25">
      <c r="B258" s="3" t="s">
        <v>19</v>
      </c>
      <c r="C258" s="1"/>
    </row>
    <row r="259" spans="1:3" x14ac:dyDescent="0.25">
      <c r="B259" s="3" t="s">
        <v>41</v>
      </c>
      <c r="C259" s="1"/>
    </row>
    <row r="260" spans="1:3" x14ac:dyDescent="0.25">
      <c r="B260" s="3" t="s">
        <v>42</v>
      </c>
      <c r="C260" s="1"/>
    </row>
    <row r="261" spans="1:3" x14ac:dyDescent="0.25">
      <c r="B261" s="3" t="s">
        <v>43</v>
      </c>
      <c r="C261" s="1"/>
    </row>
    <row r="262" spans="1:3" x14ac:dyDescent="0.25">
      <c r="B262" s="3" t="s">
        <v>44</v>
      </c>
      <c r="C262" s="1"/>
    </row>
    <row r="263" spans="1:3" x14ac:dyDescent="0.25">
      <c r="B263" s="3" t="s">
        <v>45</v>
      </c>
      <c r="C263" s="1"/>
    </row>
    <row r="264" spans="1:3" x14ac:dyDescent="0.25">
      <c r="B264" s="3" t="s">
        <v>46</v>
      </c>
      <c r="C264" s="1"/>
    </row>
    <row r="265" spans="1:3" x14ac:dyDescent="0.25">
      <c r="C265" s="1"/>
    </row>
    <row r="266" spans="1:3" x14ac:dyDescent="0.25">
      <c r="A266" t="s">
        <v>105</v>
      </c>
      <c r="C266" s="3"/>
    </row>
    <row r="267" spans="1:3" x14ac:dyDescent="0.25">
      <c r="B267" s="3" t="s">
        <v>6</v>
      </c>
      <c r="C267" s="1"/>
    </row>
    <row r="268" spans="1:3" x14ac:dyDescent="0.25">
      <c r="B268" s="3" t="s">
        <v>7</v>
      </c>
      <c r="C268" s="1"/>
    </row>
    <row r="269" spans="1:3" x14ac:dyDescent="0.25">
      <c r="B269" s="3" t="s">
        <v>8</v>
      </c>
      <c r="C269" s="1"/>
    </row>
    <row r="270" spans="1:3" x14ac:dyDescent="0.25">
      <c r="B270" s="3" t="s">
        <v>9</v>
      </c>
      <c r="C270" s="1"/>
    </row>
    <row r="271" spans="1:3" x14ac:dyDescent="0.25">
      <c r="B271" s="3" t="s">
        <v>10</v>
      </c>
      <c r="C271" s="1"/>
    </row>
    <row r="272" spans="1:3" x14ac:dyDescent="0.25">
      <c r="B272" s="3" t="s">
        <v>11</v>
      </c>
      <c r="C272" s="1"/>
    </row>
    <row r="273" spans="2:3" x14ac:dyDescent="0.25">
      <c r="B273" s="3" t="s">
        <v>12</v>
      </c>
      <c r="C273" s="1"/>
    </row>
    <row r="274" spans="2:3" x14ac:dyDescent="0.25">
      <c r="B274" s="3" t="s">
        <v>13</v>
      </c>
      <c r="C274" s="1"/>
    </row>
    <row r="275" spans="2:3" x14ac:dyDescent="0.25">
      <c r="B275" s="3" t="s">
        <v>14</v>
      </c>
      <c r="C275" s="1"/>
    </row>
    <row r="276" spans="2:3" x14ac:dyDescent="0.25">
      <c r="B276" s="3" t="s">
        <v>15</v>
      </c>
      <c r="C276" s="1"/>
    </row>
    <row r="277" spans="2:3" x14ac:dyDescent="0.25">
      <c r="B277" s="3" t="s">
        <v>16</v>
      </c>
      <c r="C277" s="1"/>
    </row>
    <row r="278" spans="2:3" x14ac:dyDescent="0.25">
      <c r="B278" s="3" t="s">
        <v>17</v>
      </c>
      <c r="C278" s="1"/>
    </row>
    <row r="279" spans="2:3" x14ac:dyDescent="0.25">
      <c r="B279" s="3" t="s">
        <v>18</v>
      </c>
      <c r="C279" s="1"/>
    </row>
    <row r="280" spans="2:3" x14ac:dyDescent="0.25">
      <c r="B280" s="3" t="s">
        <v>19</v>
      </c>
      <c r="C280" s="1"/>
    </row>
    <row r="281" spans="2:3" x14ac:dyDescent="0.25">
      <c r="B281" s="3" t="s">
        <v>41</v>
      </c>
      <c r="C281" s="1"/>
    </row>
    <row r="282" spans="2:3" x14ac:dyDescent="0.25">
      <c r="B282" s="3" t="s">
        <v>42</v>
      </c>
      <c r="C282" s="1"/>
    </row>
    <row r="283" spans="2:3" x14ac:dyDescent="0.25">
      <c r="B283" s="3" t="s">
        <v>43</v>
      </c>
      <c r="C283" s="1"/>
    </row>
    <row r="284" spans="2:3" x14ac:dyDescent="0.25">
      <c r="B284" s="3" t="s">
        <v>44</v>
      </c>
      <c r="C284" s="1"/>
    </row>
    <row r="285" spans="2:3" x14ac:dyDescent="0.25">
      <c r="B285" s="3" t="s">
        <v>45</v>
      </c>
      <c r="C285" s="1"/>
    </row>
    <row r="286" spans="2:3" x14ac:dyDescent="0.25">
      <c r="B286" s="3" t="s">
        <v>46</v>
      </c>
      <c r="C286" s="1"/>
    </row>
    <row r="287" spans="2:3" x14ac:dyDescent="0.25">
      <c r="C287" s="1"/>
    </row>
    <row r="288" spans="2:3" x14ac:dyDescent="0.25">
      <c r="C288" s="3"/>
    </row>
    <row r="289" spans="1:3" x14ac:dyDescent="0.25">
      <c r="C289" s="3"/>
    </row>
    <row r="290" spans="1:3" x14ac:dyDescent="0.25">
      <c r="A290" s="3" t="s">
        <v>1</v>
      </c>
      <c r="C290" s="3"/>
    </row>
    <row r="291" spans="1:3" x14ac:dyDescent="0.25">
      <c r="A291" t="s">
        <v>21</v>
      </c>
      <c r="C291" s="3"/>
    </row>
    <row r="292" spans="1:3" x14ac:dyDescent="0.25">
      <c r="B292" s="3" t="s">
        <v>6</v>
      </c>
      <c r="C292" s="1"/>
    </row>
    <row r="293" spans="1:3" x14ac:dyDescent="0.25">
      <c r="B293" s="3" t="s">
        <v>7</v>
      </c>
      <c r="C293" s="1"/>
    </row>
    <row r="294" spans="1:3" x14ac:dyDescent="0.25">
      <c r="B294" s="3" t="s">
        <v>8</v>
      </c>
      <c r="C294" s="1"/>
    </row>
    <row r="295" spans="1:3" x14ac:dyDescent="0.25">
      <c r="B295" s="3" t="s">
        <v>9</v>
      </c>
      <c r="C295" s="1"/>
    </row>
    <row r="296" spans="1:3" x14ac:dyDescent="0.25">
      <c r="B296" s="3" t="s">
        <v>10</v>
      </c>
      <c r="C296" s="1"/>
    </row>
    <row r="297" spans="1:3" x14ac:dyDescent="0.25">
      <c r="B297" s="3" t="s">
        <v>11</v>
      </c>
      <c r="C297" s="1"/>
    </row>
    <row r="298" spans="1:3" x14ac:dyDescent="0.25">
      <c r="B298" s="3" t="s">
        <v>12</v>
      </c>
      <c r="C298" s="1"/>
    </row>
    <row r="299" spans="1:3" x14ac:dyDescent="0.25">
      <c r="B299" s="3" t="s">
        <v>13</v>
      </c>
      <c r="C299" s="1"/>
    </row>
    <row r="300" spans="1:3" x14ac:dyDescent="0.25">
      <c r="B300" s="3" t="s">
        <v>14</v>
      </c>
      <c r="C300" s="1"/>
    </row>
    <row r="301" spans="1:3" x14ac:dyDescent="0.25">
      <c r="B301" s="3" t="s">
        <v>15</v>
      </c>
      <c r="C301" s="1"/>
    </row>
    <row r="302" spans="1:3" x14ac:dyDescent="0.25">
      <c r="B302" s="3" t="s">
        <v>16</v>
      </c>
      <c r="C302" s="1"/>
    </row>
    <row r="303" spans="1:3" x14ac:dyDescent="0.25">
      <c r="B303" s="3" t="s">
        <v>17</v>
      </c>
      <c r="C303" s="1"/>
    </row>
    <row r="304" spans="1:3" x14ac:dyDescent="0.25">
      <c r="B304" s="3" t="s">
        <v>18</v>
      </c>
      <c r="C304" s="1"/>
    </row>
    <row r="305" spans="1:3" x14ac:dyDescent="0.25">
      <c r="B305" s="3" t="s">
        <v>19</v>
      </c>
      <c r="C305" s="1"/>
    </row>
    <row r="306" spans="1:3" x14ac:dyDescent="0.25">
      <c r="B306" s="3" t="s">
        <v>41</v>
      </c>
      <c r="C306" s="1"/>
    </row>
    <row r="307" spans="1:3" x14ac:dyDescent="0.25">
      <c r="B307" s="3" t="s">
        <v>42</v>
      </c>
      <c r="C307" s="1"/>
    </row>
    <row r="308" spans="1:3" x14ac:dyDescent="0.25">
      <c r="B308" s="3" t="s">
        <v>43</v>
      </c>
      <c r="C308" s="1"/>
    </row>
    <row r="309" spans="1:3" x14ac:dyDescent="0.25">
      <c r="B309" s="3" t="s">
        <v>44</v>
      </c>
      <c r="C309" s="1"/>
    </row>
    <row r="310" spans="1:3" x14ac:dyDescent="0.25">
      <c r="B310" s="3" t="s">
        <v>45</v>
      </c>
      <c r="C310" s="1"/>
    </row>
    <row r="311" spans="1:3" x14ac:dyDescent="0.25">
      <c r="B311" s="3" t="s">
        <v>46</v>
      </c>
      <c r="C311" s="1"/>
    </row>
    <row r="312" spans="1:3" x14ac:dyDescent="0.25">
      <c r="C312" s="1"/>
    </row>
    <row r="313" spans="1:3" x14ac:dyDescent="0.25">
      <c r="A313" t="s">
        <v>26</v>
      </c>
      <c r="C313" s="3"/>
    </row>
    <row r="314" spans="1:3" x14ac:dyDescent="0.25">
      <c r="B314" s="3" t="s">
        <v>6</v>
      </c>
      <c r="C314" s="1"/>
    </row>
    <row r="315" spans="1:3" x14ac:dyDescent="0.25">
      <c r="B315" s="3" t="s">
        <v>7</v>
      </c>
      <c r="C315" s="1"/>
    </row>
    <row r="316" spans="1:3" x14ac:dyDescent="0.25">
      <c r="B316" s="3" t="s">
        <v>8</v>
      </c>
      <c r="C316" s="1"/>
    </row>
    <row r="317" spans="1:3" x14ac:dyDescent="0.25">
      <c r="B317" s="3" t="s">
        <v>9</v>
      </c>
      <c r="C317" s="1"/>
    </row>
    <row r="318" spans="1:3" x14ac:dyDescent="0.25">
      <c r="B318" s="3" t="s">
        <v>10</v>
      </c>
      <c r="C318" s="1"/>
    </row>
    <row r="319" spans="1:3" x14ac:dyDescent="0.25">
      <c r="B319" s="3" t="s">
        <v>11</v>
      </c>
      <c r="C319" s="1"/>
    </row>
    <row r="320" spans="1:3" x14ac:dyDescent="0.25">
      <c r="B320" s="3" t="s">
        <v>12</v>
      </c>
      <c r="C320" s="1"/>
    </row>
    <row r="321" spans="1:3" x14ac:dyDescent="0.25">
      <c r="B321" s="3" t="s">
        <v>13</v>
      </c>
      <c r="C321" s="1"/>
    </row>
    <row r="322" spans="1:3" x14ac:dyDescent="0.25">
      <c r="B322" s="3" t="s">
        <v>14</v>
      </c>
      <c r="C322" s="1"/>
    </row>
    <row r="323" spans="1:3" x14ac:dyDescent="0.25">
      <c r="B323" s="3" t="s">
        <v>15</v>
      </c>
      <c r="C323" s="1"/>
    </row>
    <row r="324" spans="1:3" x14ac:dyDescent="0.25">
      <c r="B324" s="3" t="s">
        <v>16</v>
      </c>
      <c r="C324" s="1"/>
    </row>
    <row r="325" spans="1:3" x14ac:dyDescent="0.25">
      <c r="B325" s="3" t="s">
        <v>17</v>
      </c>
      <c r="C325" s="1"/>
    </row>
    <row r="326" spans="1:3" x14ac:dyDescent="0.25">
      <c r="B326" s="3" t="s">
        <v>18</v>
      </c>
      <c r="C326" s="1"/>
    </row>
    <row r="327" spans="1:3" x14ac:dyDescent="0.25">
      <c r="B327" s="3" t="s">
        <v>19</v>
      </c>
      <c r="C327" s="1"/>
    </row>
    <row r="328" spans="1:3" x14ac:dyDescent="0.25">
      <c r="B328" s="3" t="s">
        <v>41</v>
      </c>
      <c r="C328" s="1"/>
    </row>
    <row r="329" spans="1:3" x14ac:dyDescent="0.25">
      <c r="B329" s="3" t="s">
        <v>42</v>
      </c>
      <c r="C329" s="1"/>
    </row>
    <row r="330" spans="1:3" x14ac:dyDescent="0.25">
      <c r="B330" s="3" t="s">
        <v>43</v>
      </c>
      <c r="C330" s="1"/>
    </row>
    <row r="331" spans="1:3" x14ac:dyDescent="0.25">
      <c r="B331" s="3" t="s">
        <v>44</v>
      </c>
      <c r="C331" s="1"/>
    </row>
    <row r="332" spans="1:3" x14ac:dyDescent="0.25">
      <c r="B332" s="3" t="s">
        <v>45</v>
      </c>
      <c r="C332" s="1"/>
    </row>
    <row r="333" spans="1:3" x14ac:dyDescent="0.25">
      <c r="B333" s="3" t="s">
        <v>46</v>
      </c>
      <c r="C333" s="1"/>
    </row>
    <row r="334" spans="1:3" x14ac:dyDescent="0.25">
      <c r="C334" s="1"/>
    </row>
    <row r="335" spans="1:3" x14ac:dyDescent="0.25">
      <c r="A335" t="s">
        <v>30</v>
      </c>
      <c r="C335" s="3"/>
    </row>
    <row r="336" spans="1:3" x14ac:dyDescent="0.25">
      <c r="B336" s="3" t="s">
        <v>6</v>
      </c>
      <c r="C336" s="1"/>
    </row>
    <row r="337" spans="2:3" x14ac:dyDescent="0.25">
      <c r="B337" s="3" t="s">
        <v>7</v>
      </c>
      <c r="C337" s="1"/>
    </row>
    <row r="338" spans="2:3" x14ac:dyDescent="0.25">
      <c r="B338" s="3" t="s">
        <v>8</v>
      </c>
      <c r="C338" s="1"/>
    </row>
    <row r="339" spans="2:3" x14ac:dyDescent="0.25">
      <c r="B339" s="3" t="s">
        <v>9</v>
      </c>
      <c r="C339" s="1"/>
    </row>
    <row r="340" spans="2:3" x14ac:dyDescent="0.25">
      <c r="B340" s="3" t="s">
        <v>10</v>
      </c>
      <c r="C340" s="1"/>
    </row>
    <row r="341" spans="2:3" x14ac:dyDescent="0.25">
      <c r="B341" s="3" t="s">
        <v>11</v>
      </c>
      <c r="C341" s="1"/>
    </row>
    <row r="342" spans="2:3" x14ac:dyDescent="0.25">
      <c r="B342" s="3" t="s">
        <v>12</v>
      </c>
      <c r="C342" s="1"/>
    </row>
    <row r="343" spans="2:3" x14ac:dyDescent="0.25">
      <c r="B343" s="3" t="s">
        <v>13</v>
      </c>
      <c r="C343" s="1"/>
    </row>
    <row r="344" spans="2:3" x14ac:dyDescent="0.25">
      <c r="B344" s="3" t="s">
        <v>14</v>
      </c>
      <c r="C344" s="1"/>
    </row>
    <row r="345" spans="2:3" x14ac:dyDescent="0.25">
      <c r="B345" s="3" t="s">
        <v>15</v>
      </c>
      <c r="C345" s="1"/>
    </row>
    <row r="346" spans="2:3" x14ac:dyDescent="0.25">
      <c r="B346" s="3" t="s">
        <v>16</v>
      </c>
      <c r="C346" s="1"/>
    </row>
    <row r="347" spans="2:3" x14ac:dyDescent="0.25">
      <c r="B347" s="3" t="s">
        <v>17</v>
      </c>
      <c r="C347" s="1"/>
    </row>
    <row r="348" spans="2:3" x14ac:dyDescent="0.25">
      <c r="B348" s="3" t="s">
        <v>18</v>
      </c>
      <c r="C348" s="1"/>
    </row>
    <row r="349" spans="2:3" x14ac:dyDescent="0.25">
      <c r="B349" s="3" t="s">
        <v>19</v>
      </c>
      <c r="C349" s="1"/>
    </row>
    <row r="350" spans="2:3" x14ac:dyDescent="0.25">
      <c r="B350" s="3" t="s">
        <v>41</v>
      </c>
      <c r="C350" s="1"/>
    </row>
    <row r="351" spans="2:3" x14ac:dyDescent="0.25">
      <c r="B351" s="3" t="s">
        <v>42</v>
      </c>
      <c r="C351" s="1"/>
    </row>
    <row r="352" spans="2:3" x14ac:dyDescent="0.25">
      <c r="B352" s="3" t="s">
        <v>43</v>
      </c>
      <c r="C352" s="1"/>
    </row>
    <row r="353" spans="1:3" x14ac:dyDescent="0.25">
      <c r="B353" s="3" t="s">
        <v>44</v>
      </c>
      <c r="C353" s="1"/>
    </row>
    <row r="354" spans="1:3" x14ac:dyDescent="0.25">
      <c r="B354" s="3" t="s">
        <v>45</v>
      </c>
      <c r="C354" s="1"/>
    </row>
    <row r="355" spans="1:3" x14ac:dyDescent="0.25">
      <c r="B355" s="3" t="s">
        <v>46</v>
      </c>
      <c r="C355" s="1"/>
    </row>
    <row r="356" spans="1:3" x14ac:dyDescent="0.25">
      <c r="C356" s="1"/>
    </row>
    <row r="357" spans="1:3" x14ac:dyDescent="0.25">
      <c r="A357" t="s">
        <v>34</v>
      </c>
      <c r="C357" s="3"/>
    </row>
    <row r="358" spans="1:3" x14ac:dyDescent="0.25">
      <c r="B358" s="3" t="s">
        <v>6</v>
      </c>
      <c r="C358" s="1"/>
    </row>
    <row r="359" spans="1:3" x14ac:dyDescent="0.25">
      <c r="B359" s="3" t="s">
        <v>7</v>
      </c>
      <c r="C359" s="1"/>
    </row>
    <row r="360" spans="1:3" x14ac:dyDescent="0.25">
      <c r="B360" s="3" t="s">
        <v>8</v>
      </c>
      <c r="C360" s="1"/>
    </row>
    <row r="361" spans="1:3" x14ac:dyDescent="0.25">
      <c r="B361" s="3" t="s">
        <v>9</v>
      </c>
      <c r="C361" s="1"/>
    </row>
    <row r="362" spans="1:3" x14ac:dyDescent="0.25">
      <c r="B362" s="3" t="s">
        <v>10</v>
      </c>
      <c r="C362" s="1"/>
    </row>
    <row r="363" spans="1:3" x14ac:dyDescent="0.25">
      <c r="B363" s="3" t="s">
        <v>11</v>
      </c>
      <c r="C363" s="1"/>
    </row>
    <row r="364" spans="1:3" x14ac:dyDescent="0.25">
      <c r="B364" s="3" t="s">
        <v>12</v>
      </c>
      <c r="C364" s="1"/>
    </row>
    <row r="365" spans="1:3" x14ac:dyDescent="0.25">
      <c r="B365" s="3" t="s">
        <v>13</v>
      </c>
      <c r="C365" s="1"/>
    </row>
    <row r="366" spans="1:3" x14ac:dyDescent="0.25">
      <c r="B366" s="3" t="s">
        <v>14</v>
      </c>
      <c r="C366" s="1"/>
    </row>
    <row r="367" spans="1:3" x14ac:dyDescent="0.25">
      <c r="B367" s="3" t="s">
        <v>15</v>
      </c>
      <c r="C367" s="1"/>
    </row>
    <row r="368" spans="1:3" x14ac:dyDescent="0.25">
      <c r="B368" s="3" t="s">
        <v>16</v>
      </c>
      <c r="C368" s="1"/>
    </row>
    <row r="369" spans="1:3" x14ac:dyDescent="0.25">
      <c r="B369" s="3" t="s">
        <v>17</v>
      </c>
      <c r="C369" s="1"/>
    </row>
    <row r="370" spans="1:3" x14ac:dyDescent="0.25">
      <c r="B370" s="3" t="s">
        <v>18</v>
      </c>
      <c r="C370" s="1"/>
    </row>
    <row r="371" spans="1:3" x14ac:dyDescent="0.25">
      <c r="B371" s="3" t="s">
        <v>19</v>
      </c>
      <c r="C371" s="1"/>
    </row>
    <row r="372" spans="1:3" x14ac:dyDescent="0.25">
      <c r="B372" s="3" t="s">
        <v>41</v>
      </c>
      <c r="C372" s="1"/>
    </row>
    <row r="373" spans="1:3" x14ac:dyDescent="0.25">
      <c r="B373" s="3" t="s">
        <v>42</v>
      </c>
      <c r="C373" s="1"/>
    </row>
    <row r="374" spans="1:3" x14ac:dyDescent="0.25">
      <c r="B374" s="3" t="s">
        <v>43</v>
      </c>
      <c r="C374" s="1"/>
    </row>
    <row r="375" spans="1:3" x14ac:dyDescent="0.25">
      <c r="B375" s="3" t="s">
        <v>44</v>
      </c>
      <c r="C375" s="1"/>
    </row>
    <row r="376" spans="1:3" x14ac:dyDescent="0.25">
      <c r="B376" s="3" t="s">
        <v>45</v>
      </c>
      <c r="C376" s="1"/>
    </row>
    <row r="377" spans="1:3" x14ac:dyDescent="0.25">
      <c r="B377" s="3" t="s">
        <v>46</v>
      </c>
      <c r="C377" s="1"/>
    </row>
    <row r="378" spans="1:3" x14ac:dyDescent="0.25">
      <c r="C378" s="1"/>
    </row>
    <row r="379" spans="1:3" x14ac:dyDescent="0.25">
      <c r="A379" t="s">
        <v>38</v>
      </c>
      <c r="C379" s="3"/>
    </row>
    <row r="380" spans="1:3" x14ac:dyDescent="0.25">
      <c r="B380" s="3" t="s">
        <v>6</v>
      </c>
      <c r="C380" s="1"/>
    </row>
    <row r="381" spans="1:3" x14ac:dyDescent="0.25">
      <c r="B381" s="3" t="s">
        <v>7</v>
      </c>
      <c r="C381" s="1"/>
    </row>
    <row r="382" spans="1:3" x14ac:dyDescent="0.25">
      <c r="B382" s="3" t="s">
        <v>8</v>
      </c>
      <c r="C382" s="1"/>
    </row>
    <row r="383" spans="1:3" x14ac:dyDescent="0.25">
      <c r="B383" s="3" t="s">
        <v>9</v>
      </c>
      <c r="C383" s="1"/>
    </row>
    <row r="384" spans="1:3" x14ac:dyDescent="0.25">
      <c r="B384" s="3" t="s">
        <v>10</v>
      </c>
      <c r="C384" s="1"/>
    </row>
    <row r="385" spans="2:3" x14ac:dyDescent="0.25">
      <c r="B385" s="3" t="s">
        <v>11</v>
      </c>
      <c r="C385" s="1"/>
    </row>
    <row r="386" spans="2:3" x14ac:dyDescent="0.25">
      <c r="B386" s="3" t="s">
        <v>12</v>
      </c>
      <c r="C386" s="1"/>
    </row>
    <row r="387" spans="2:3" x14ac:dyDescent="0.25">
      <c r="B387" s="3" t="s">
        <v>13</v>
      </c>
      <c r="C387" s="1"/>
    </row>
    <row r="388" spans="2:3" x14ac:dyDescent="0.25">
      <c r="B388" s="3" t="s">
        <v>14</v>
      </c>
      <c r="C388" s="1"/>
    </row>
    <row r="389" spans="2:3" x14ac:dyDescent="0.25">
      <c r="B389" s="3" t="s">
        <v>15</v>
      </c>
      <c r="C389" s="1"/>
    </row>
    <row r="390" spans="2:3" x14ac:dyDescent="0.25">
      <c r="B390" s="3" t="s">
        <v>16</v>
      </c>
      <c r="C390" s="1"/>
    </row>
    <row r="391" spans="2:3" x14ac:dyDescent="0.25">
      <c r="B391" s="3" t="s">
        <v>17</v>
      </c>
      <c r="C391" s="1"/>
    </row>
    <row r="392" spans="2:3" x14ac:dyDescent="0.25">
      <c r="B392" s="3" t="s">
        <v>18</v>
      </c>
      <c r="C392" s="1"/>
    </row>
    <row r="393" spans="2:3" x14ac:dyDescent="0.25">
      <c r="B393" s="3" t="s">
        <v>19</v>
      </c>
      <c r="C393" s="1"/>
    </row>
    <row r="394" spans="2:3" x14ac:dyDescent="0.25">
      <c r="B394" s="3" t="s">
        <v>41</v>
      </c>
      <c r="C394" s="1"/>
    </row>
    <row r="395" spans="2:3" x14ac:dyDescent="0.25">
      <c r="B395" s="3" t="s">
        <v>42</v>
      </c>
      <c r="C395" s="1"/>
    </row>
    <row r="396" spans="2:3" x14ac:dyDescent="0.25">
      <c r="B396" s="3" t="s">
        <v>43</v>
      </c>
      <c r="C396" s="1"/>
    </row>
    <row r="397" spans="2:3" x14ac:dyDescent="0.25">
      <c r="B397" s="3" t="s">
        <v>44</v>
      </c>
      <c r="C397" s="1"/>
    </row>
    <row r="398" spans="2:3" x14ac:dyDescent="0.25">
      <c r="B398" s="3" t="s">
        <v>45</v>
      </c>
      <c r="C398" s="1"/>
    </row>
    <row r="399" spans="2:3" x14ac:dyDescent="0.25">
      <c r="B399" s="3" t="s">
        <v>46</v>
      </c>
      <c r="C399" s="1"/>
    </row>
    <row r="400" spans="2:3" x14ac:dyDescent="0.25">
      <c r="C400" s="1"/>
    </row>
    <row r="401" spans="1:3" x14ac:dyDescent="0.25">
      <c r="A401" t="s">
        <v>56</v>
      </c>
    </row>
    <row r="402" spans="1:3" x14ac:dyDescent="0.25">
      <c r="B402" s="3" t="s">
        <v>6</v>
      </c>
      <c r="C402" s="1"/>
    </row>
    <row r="403" spans="1:3" x14ac:dyDescent="0.25">
      <c r="B403" s="3" t="s">
        <v>7</v>
      </c>
      <c r="C403" s="1"/>
    </row>
    <row r="404" spans="1:3" x14ac:dyDescent="0.25">
      <c r="B404" s="3" t="s">
        <v>8</v>
      </c>
      <c r="C404" s="1"/>
    </row>
    <row r="405" spans="1:3" x14ac:dyDescent="0.25">
      <c r="B405" s="3" t="s">
        <v>9</v>
      </c>
      <c r="C405" s="1"/>
    </row>
    <row r="406" spans="1:3" x14ac:dyDescent="0.25">
      <c r="B406" s="3" t="s">
        <v>10</v>
      </c>
      <c r="C406" s="1"/>
    </row>
    <row r="407" spans="1:3" x14ac:dyDescent="0.25">
      <c r="B407" s="3" t="s">
        <v>11</v>
      </c>
      <c r="C407" s="1"/>
    </row>
    <row r="408" spans="1:3" x14ac:dyDescent="0.25">
      <c r="B408" s="3" t="s">
        <v>12</v>
      </c>
      <c r="C408" s="1"/>
    </row>
    <row r="409" spans="1:3" x14ac:dyDescent="0.25">
      <c r="B409" s="3" t="s">
        <v>13</v>
      </c>
      <c r="C409" s="1"/>
    </row>
    <row r="410" spans="1:3" x14ac:dyDescent="0.25">
      <c r="B410" s="3" t="s">
        <v>14</v>
      </c>
      <c r="C410" s="1"/>
    </row>
    <row r="411" spans="1:3" x14ac:dyDescent="0.25">
      <c r="B411" s="3" t="s">
        <v>15</v>
      </c>
      <c r="C411" s="1"/>
    </row>
    <row r="412" spans="1:3" x14ac:dyDescent="0.25">
      <c r="B412" s="3" t="s">
        <v>16</v>
      </c>
      <c r="C412" s="1"/>
    </row>
    <row r="413" spans="1:3" x14ac:dyDescent="0.25">
      <c r="B413" s="3" t="s">
        <v>17</v>
      </c>
      <c r="C413" s="1"/>
    </row>
    <row r="414" spans="1:3" x14ac:dyDescent="0.25">
      <c r="B414" s="3" t="s">
        <v>18</v>
      </c>
      <c r="C414" s="1"/>
    </row>
    <row r="415" spans="1:3" x14ac:dyDescent="0.25">
      <c r="B415" s="3" t="s">
        <v>19</v>
      </c>
      <c r="C415" s="1"/>
    </row>
    <row r="416" spans="1:3" x14ac:dyDescent="0.25">
      <c r="B416" s="3" t="s">
        <v>41</v>
      </c>
      <c r="C416" s="1"/>
    </row>
    <row r="417" spans="1:3" x14ac:dyDescent="0.25">
      <c r="B417" s="3" t="s">
        <v>42</v>
      </c>
      <c r="C417" s="1"/>
    </row>
    <row r="418" spans="1:3" x14ac:dyDescent="0.25">
      <c r="B418" s="3" t="s">
        <v>43</v>
      </c>
      <c r="C418" s="1"/>
    </row>
    <row r="419" spans="1:3" x14ac:dyDescent="0.25">
      <c r="B419" s="3" t="s">
        <v>44</v>
      </c>
      <c r="C419" s="1"/>
    </row>
    <row r="420" spans="1:3" x14ac:dyDescent="0.25">
      <c r="B420" s="3" t="s">
        <v>45</v>
      </c>
      <c r="C420" s="1"/>
    </row>
    <row r="421" spans="1:3" x14ac:dyDescent="0.25">
      <c r="B421" s="3" t="s">
        <v>46</v>
      </c>
      <c r="C421" s="1"/>
    </row>
    <row r="422" spans="1:3" x14ac:dyDescent="0.25">
      <c r="C422" s="1"/>
    </row>
    <row r="423" spans="1:3" x14ac:dyDescent="0.25">
      <c r="A423" t="s">
        <v>47</v>
      </c>
    </row>
    <row r="424" spans="1:3" x14ac:dyDescent="0.25">
      <c r="A424" t="s">
        <v>52</v>
      </c>
    </row>
    <row r="425" spans="1:3" x14ac:dyDescent="0.25">
      <c r="B425" s="3" t="s">
        <v>6</v>
      </c>
      <c r="C425" s="1"/>
    </row>
    <row r="426" spans="1:3" x14ac:dyDescent="0.25">
      <c r="B426" s="3" t="s">
        <v>7</v>
      </c>
      <c r="C426" s="1"/>
    </row>
    <row r="427" spans="1:3" x14ac:dyDescent="0.25">
      <c r="B427" s="3" t="s">
        <v>8</v>
      </c>
      <c r="C427" s="1"/>
    </row>
    <row r="428" spans="1:3" x14ac:dyDescent="0.25">
      <c r="B428" s="3" t="s">
        <v>9</v>
      </c>
      <c r="C428" s="1"/>
    </row>
    <row r="429" spans="1:3" x14ac:dyDescent="0.25">
      <c r="B429" s="3" t="s">
        <v>10</v>
      </c>
      <c r="C429" s="1"/>
    </row>
    <row r="430" spans="1:3" x14ac:dyDescent="0.25">
      <c r="B430" s="3" t="s">
        <v>11</v>
      </c>
      <c r="C430" s="1"/>
    </row>
    <row r="431" spans="1:3" x14ac:dyDescent="0.25">
      <c r="B431" s="3" t="s">
        <v>12</v>
      </c>
      <c r="C431" s="1"/>
    </row>
    <row r="432" spans="1:3" x14ac:dyDescent="0.25">
      <c r="B432" s="3" t="s">
        <v>13</v>
      </c>
      <c r="C432" s="1"/>
    </row>
    <row r="433" spans="1:3" x14ac:dyDescent="0.25">
      <c r="B433" s="3" t="s">
        <v>14</v>
      </c>
      <c r="C433" s="1"/>
    </row>
    <row r="434" spans="1:3" x14ac:dyDescent="0.25">
      <c r="B434" s="3" t="s">
        <v>15</v>
      </c>
      <c r="C434" s="1"/>
    </row>
    <row r="435" spans="1:3" x14ac:dyDescent="0.25">
      <c r="B435" s="3" t="s">
        <v>16</v>
      </c>
      <c r="C435" s="1"/>
    </row>
    <row r="436" spans="1:3" x14ac:dyDescent="0.25">
      <c r="B436" s="3" t="s">
        <v>17</v>
      </c>
      <c r="C436" s="1"/>
    </row>
    <row r="437" spans="1:3" x14ac:dyDescent="0.25">
      <c r="B437" s="3" t="s">
        <v>18</v>
      </c>
      <c r="C437" s="1"/>
    </row>
    <row r="438" spans="1:3" x14ac:dyDescent="0.25">
      <c r="B438" s="3" t="s">
        <v>19</v>
      </c>
      <c r="C438" s="1"/>
    </row>
    <row r="439" spans="1:3" x14ac:dyDescent="0.25">
      <c r="B439" s="3" t="s">
        <v>41</v>
      </c>
      <c r="C439" s="1"/>
    </row>
    <row r="440" spans="1:3" x14ac:dyDescent="0.25">
      <c r="B440" s="3" t="s">
        <v>42</v>
      </c>
      <c r="C440" s="1"/>
    </row>
    <row r="441" spans="1:3" x14ac:dyDescent="0.25">
      <c r="B441" s="3" t="s">
        <v>43</v>
      </c>
      <c r="C441" s="1"/>
    </row>
    <row r="442" spans="1:3" x14ac:dyDescent="0.25">
      <c r="B442" s="3" t="s">
        <v>44</v>
      </c>
      <c r="C442" s="1"/>
    </row>
    <row r="443" spans="1:3" x14ac:dyDescent="0.25">
      <c r="B443" s="3" t="s">
        <v>45</v>
      </c>
      <c r="C443" s="1"/>
    </row>
    <row r="444" spans="1:3" x14ac:dyDescent="0.25">
      <c r="B444" s="3" t="s">
        <v>46</v>
      </c>
      <c r="C444" s="1"/>
    </row>
    <row r="445" spans="1:3" x14ac:dyDescent="0.25">
      <c r="C445" s="1"/>
    </row>
    <row r="446" spans="1:3" x14ac:dyDescent="0.25">
      <c r="A446" t="s">
        <v>57</v>
      </c>
    </row>
    <row r="447" spans="1:3" x14ac:dyDescent="0.25">
      <c r="B447" s="3" t="s">
        <v>6</v>
      </c>
      <c r="C447" s="1"/>
    </row>
    <row r="448" spans="1:3" x14ac:dyDescent="0.25">
      <c r="B448" s="3" t="s">
        <v>7</v>
      </c>
      <c r="C448" s="1"/>
    </row>
    <row r="449" spans="2:3" x14ac:dyDescent="0.25">
      <c r="B449" s="3" t="s">
        <v>8</v>
      </c>
      <c r="C449" s="1"/>
    </row>
    <row r="450" spans="2:3" x14ac:dyDescent="0.25">
      <c r="B450" s="3" t="s">
        <v>9</v>
      </c>
      <c r="C450" s="1"/>
    </row>
    <row r="451" spans="2:3" x14ac:dyDescent="0.25">
      <c r="B451" s="3" t="s">
        <v>10</v>
      </c>
      <c r="C451" s="1"/>
    </row>
    <row r="452" spans="2:3" x14ac:dyDescent="0.25">
      <c r="B452" s="3" t="s">
        <v>11</v>
      </c>
      <c r="C452" s="1"/>
    </row>
    <row r="453" spans="2:3" x14ac:dyDescent="0.25">
      <c r="B453" s="3" t="s">
        <v>12</v>
      </c>
      <c r="C453" s="1"/>
    </row>
    <row r="454" spans="2:3" x14ac:dyDescent="0.25">
      <c r="B454" s="3" t="s">
        <v>13</v>
      </c>
      <c r="C454" s="1"/>
    </row>
    <row r="455" spans="2:3" x14ac:dyDescent="0.25">
      <c r="B455" s="3" t="s">
        <v>14</v>
      </c>
      <c r="C455" s="1"/>
    </row>
    <row r="456" spans="2:3" x14ac:dyDescent="0.25">
      <c r="B456" s="3" t="s">
        <v>15</v>
      </c>
      <c r="C456" s="1"/>
    </row>
    <row r="457" spans="2:3" x14ac:dyDescent="0.25">
      <c r="B457" s="3" t="s">
        <v>16</v>
      </c>
      <c r="C457" s="1"/>
    </row>
    <row r="458" spans="2:3" x14ac:dyDescent="0.25">
      <c r="B458" s="3" t="s">
        <v>17</v>
      </c>
      <c r="C458" s="1"/>
    </row>
    <row r="459" spans="2:3" x14ac:dyDescent="0.25">
      <c r="B459" s="3" t="s">
        <v>18</v>
      </c>
      <c r="C459" s="1"/>
    </row>
    <row r="460" spans="2:3" x14ac:dyDescent="0.25">
      <c r="B460" s="3" t="s">
        <v>19</v>
      </c>
      <c r="C460" s="1"/>
    </row>
    <row r="461" spans="2:3" x14ac:dyDescent="0.25">
      <c r="B461" s="3" t="s">
        <v>41</v>
      </c>
      <c r="C461" s="1"/>
    </row>
    <row r="462" spans="2:3" x14ac:dyDescent="0.25">
      <c r="B462" s="3" t="s">
        <v>42</v>
      </c>
      <c r="C462" s="1"/>
    </row>
    <row r="463" spans="2:3" x14ac:dyDescent="0.25">
      <c r="B463" s="3" t="s">
        <v>43</v>
      </c>
      <c r="C463" s="1"/>
    </row>
    <row r="464" spans="2:3" x14ac:dyDescent="0.25">
      <c r="B464" s="3" t="s">
        <v>44</v>
      </c>
      <c r="C464" s="1"/>
    </row>
    <row r="465" spans="1:3" x14ac:dyDescent="0.25">
      <c r="B465" s="3" t="s">
        <v>45</v>
      </c>
      <c r="C465" s="1"/>
    </row>
    <row r="466" spans="1:3" x14ac:dyDescent="0.25">
      <c r="B466" s="3" t="s">
        <v>46</v>
      </c>
      <c r="C466" s="1"/>
    </row>
    <row r="467" spans="1:3" x14ac:dyDescent="0.25">
      <c r="C467" s="1"/>
    </row>
    <row r="468" spans="1:3" x14ac:dyDescent="0.25">
      <c r="A468" t="s">
        <v>63</v>
      </c>
    </row>
    <row r="469" spans="1:3" x14ac:dyDescent="0.25">
      <c r="B469" s="3" t="s">
        <v>6</v>
      </c>
      <c r="C469" s="1"/>
    </row>
    <row r="470" spans="1:3" x14ac:dyDescent="0.25">
      <c r="B470" s="3" t="s">
        <v>7</v>
      </c>
      <c r="C470" s="1"/>
    </row>
    <row r="471" spans="1:3" x14ac:dyDescent="0.25">
      <c r="B471" s="3" t="s">
        <v>8</v>
      </c>
      <c r="C471" s="1"/>
    </row>
    <row r="472" spans="1:3" x14ac:dyDescent="0.25">
      <c r="B472" s="3" t="s">
        <v>9</v>
      </c>
      <c r="C472" s="1"/>
    </row>
    <row r="473" spans="1:3" x14ac:dyDescent="0.25">
      <c r="B473" s="3" t="s">
        <v>10</v>
      </c>
      <c r="C473" s="1"/>
    </row>
    <row r="474" spans="1:3" x14ac:dyDescent="0.25">
      <c r="B474" s="3" t="s">
        <v>11</v>
      </c>
      <c r="C474" s="1"/>
    </row>
    <row r="475" spans="1:3" x14ac:dyDescent="0.25">
      <c r="B475" s="3" t="s">
        <v>12</v>
      </c>
      <c r="C475" s="1"/>
    </row>
    <row r="476" spans="1:3" x14ac:dyDescent="0.25">
      <c r="B476" s="3" t="s">
        <v>13</v>
      </c>
      <c r="C476" s="1"/>
    </row>
    <row r="477" spans="1:3" x14ac:dyDescent="0.25">
      <c r="B477" s="3" t="s">
        <v>14</v>
      </c>
      <c r="C477" s="1"/>
    </row>
    <row r="478" spans="1:3" x14ac:dyDescent="0.25">
      <c r="B478" s="3" t="s">
        <v>15</v>
      </c>
      <c r="C478" s="1"/>
    </row>
    <row r="479" spans="1:3" x14ac:dyDescent="0.25">
      <c r="B479" s="3" t="s">
        <v>16</v>
      </c>
      <c r="C479" s="1"/>
    </row>
    <row r="480" spans="1:3" x14ac:dyDescent="0.25">
      <c r="B480" s="3" t="s">
        <v>17</v>
      </c>
      <c r="C480" s="1"/>
    </row>
    <row r="481" spans="1:3" x14ac:dyDescent="0.25">
      <c r="B481" s="3" t="s">
        <v>18</v>
      </c>
      <c r="C481" s="1"/>
    </row>
    <row r="482" spans="1:3" x14ac:dyDescent="0.25">
      <c r="B482" s="3" t="s">
        <v>19</v>
      </c>
      <c r="C482" s="1"/>
    </row>
    <row r="483" spans="1:3" x14ac:dyDescent="0.25">
      <c r="B483" s="3" t="s">
        <v>41</v>
      </c>
      <c r="C483" s="1"/>
    </row>
    <row r="484" spans="1:3" x14ac:dyDescent="0.25">
      <c r="B484" s="3" t="s">
        <v>42</v>
      </c>
      <c r="C484" s="1"/>
    </row>
    <row r="485" spans="1:3" x14ac:dyDescent="0.25">
      <c r="B485" s="3" t="s">
        <v>43</v>
      </c>
      <c r="C485" s="1"/>
    </row>
    <row r="486" spans="1:3" x14ac:dyDescent="0.25">
      <c r="B486" s="3" t="s">
        <v>44</v>
      </c>
      <c r="C486" s="1"/>
    </row>
    <row r="487" spans="1:3" x14ac:dyDescent="0.25">
      <c r="B487" s="3" t="s">
        <v>45</v>
      </c>
      <c r="C487" s="1"/>
    </row>
    <row r="488" spans="1:3" x14ac:dyDescent="0.25">
      <c r="B488" s="3" t="s">
        <v>46</v>
      </c>
      <c r="C488" s="1"/>
    </row>
    <row r="489" spans="1:3" x14ac:dyDescent="0.25">
      <c r="C489" s="1"/>
    </row>
    <row r="490" spans="1:3" x14ac:dyDescent="0.25">
      <c r="A490" t="s">
        <v>106</v>
      </c>
    </row>
    <row r="491" spans="1:3" x14ac:dyDescent="0.25">
      <c r="B491" s="3" t="s">
        <v>6</v>
      </c>
      <c r="C491" s="1"/>
    </row>
    <row r="492" spans="1:3" x14ac:dyDescent="0.25">
      <c r="B492" s="3" t="s">
        <v>7</v>
      </c>
      <c r="C492" s="1"/>
    </row>
    <row r="493" spans="1:3" x14ac:dyDescent="0.25">
      <c r="B493" s="3" t="s">
        <v>8</v>
      </c>
      <c r="C493" s="1"/>
    </row>
    <row r="494" spans="1:3" x14ac:dyDescent="0.25">
      <c r="B494" s="3" t="s">
        <v>9</v>
      </c>
      <c r="C494" s="1"/>
    </row>
    <row r="495" spans="1:3" x14ac:dyDescent="0.25">
      <c r="B495" s="3" t="s">
        <v>10</v>
      </c>
      <c r="C495" s="1"/>
    </row>
    <row r="496" spans="1:3" x14ac:dyDescent="0.25">
      <c r="B496" s="3" t="s">
        <v>11</v>
      </c>
      <c r="C496" s="1"/>
    </row>
    <row r="497" spans="1:3" x14ac:dyDescent="0.25">
      <c r="B497" s="3" t="s">
        <v>12</v>
      </c>
      <c r="C497" s="1"/>
    </row>
    <row r="498" spans="1:3" x14ac:dyDescent="0.25">
      <c r="B498" s="3" t="s">
        <v>13</v>
      </c>
      <c r="C498" s="1"/>
    </row>
    <row r="499" spans="1:3" x14ac:dyDescent="0.25">
      <c r="B499" s="3" t="s">
        <v>14</v>
      </c>
      <c r="C499" s="1"/>
    </row>
    <row r="500" spans="1:3" x14ac:dyDescent="0.25">
      <c r="B500" s="3" t="s">
        <v>15</v>
      </c>
      <c r="C500" s="1"/>
    </row>
    <row r="501" spans="1:3" x14ac:dyDescent="0.25">
      <c r="B501" s="3" t="s">
        <v>16</v>
      </c>
      <c r="C501" s="1"/>
    </row>
    <row r="502" spans="1:3" x14ac:dyDescent="0.25">
      <c r="B502" s="3" t="s">
        <v>17</v>
      </c>
      <c r="C502" s="1"/>
    </row>
    <row r="503" spans="1:3" x14ac:dyDescent="0.25">
      <c r="B503" s="3" t="s">
        <v>18</v>
      </c>
      <c r="C503" s="1"/>
    </row>
    <row r="504" spans="1:3" x14ac:dyDescent="0.25">
      <c r="B504" s="3" t="s">
        <v>19</v>
      </c>
      <c r="C504" s="1"/>
    </row>
    <row r="505" spans="1:3" x14ac:dyDescent="0.25">
      <c r="B505" s="3" t="s">
        <v>41</v>
      </c>
      <c r="C505" s="1"/>
    </row>
    <row r="506" spans="1:3" x14ac:dyDescent="0.25">
      <c r="B506" s="3" t="s">
        <v>42</v>
      </c>
      <c r="C506" s="1"/>
    </row>
    <row r="507" spans="1:3" x14ac:dyDescent="0.25">
      <c r="B507" s="3" t="s">
        <v>43</v>
      </c>
      <c r="C507" s="1"/>
    </row>
    <row r="508" spans="1:3" x14ac:dyDescent="0.25">
      <c r="B508" s="3" t="s">
        <v>44</v>
      </c>
      <c r="C508" s="1"/>
    </row>
    <row r="509" spans="1:3" x14ac:dyDescent="0.25">
      <c r="B509" s="3" t="s">
        <v>45</v>
      </c>
      <c r="C509" s="1"/>
    </row>
    <row r="510" spans="1:3" x14ac:dyDescent="0.25">
      <c r="B510" s="3" t="s">
        <v>46</v>
      </c>
      <c r="C510" s="1"/>
    </row>
    <row r="511" spans="1:3" x14ac:dyDescent="0.25">
      <c r="C511" s="1"/>
    </row>
    <row r="512" spans="1:3" x14ac:dyDescent="0.25">
      <c r="A512" t="s">
        <v>115</v>
      </c>
    </row>
    <row r="513" spans="2:3" x14ac:dyDescent="0.25">
      <c r="B513" s="3" t="s">
        <v>6</v>
      </c>
      <c r="C513" s="1"/>
    </row>
    <row r="514" spans="2:3" x14ac:dyDescent="0.25">
      <c r="B514" s="3" t="s">
        <v>7</v>
      </c>
      <c r="C514" s="1"/>
    </row>
    <row r="515" spans="2:3" x14ac:dyDescent="0.25">
      <c r="B515" s="3" t="s">
        <v>8</v>
      </c>
      <c r="C515" s="1"/>
    </row>
    <row r="516" spans="2:3" x14ac:dyDescent="0.25">
      <c r="B516" s="3" t="s">
        <v>9</v>
      </c>
      <c r="C516" s="1"/>
    </row>
    <row r="517" spans="2:3" x14ac:dyDescent="0.25">
      <c r="B517" s="3" t="s">
        <v>10</v>
      </c>
      <c r="C517" s="1"/>
    </row>
    <row r="518" spans="2:3" x14ac:dyDescent="0.25">
      <c r="B518" s="3" t="s">
        <v>11</v>
      </c>
      <c r="C518" s="1"/>
    </row>
    <row r="519" spans="2:3" x14ac:dyDescent="0.25">
      <c r="B519" s="3" t="s">
        <v>12</v>
      </c>
      <c r="C519" s="1"/>
    </row>
    <row r="520" spans="2:3" x14ac:dyDescent="0.25">
      <c r="B520" s="3" t="s">
        <v>13</v>
      </c>
      <c r="C520" s="1"/>
    </row>
    <row r="521" spans="2:3" x14ac:dyDescent="0.25">
      <c r="B521" s="3" t="s">
        <v>14</v>
      </c>
      <c r="C521" s="1"/>
    </row>
    <row r="522" spans="2:3" x14ac:dyDescent="0.25">
      <c r="B522" s="3" t="s">
        <v>15</v>
      </c>
      <c r="C522" s="1"/>
    </row>
    <row r="523" spans="2:3" x14ac:dyDescent="0.25">
      <c r="B523" s="3" t="s">
        <v>16</v>
      </c>
      <c r="C523" s="1"/>
    </row>
    <row r="524" spans="2:3" x14ac:dyDescent="0.25">
      <c r="B524" s="3" t="s">
        <v>17</v>
      </c>
      <c r="C524" s="1"/>
    </row>
    <row r="525" spans="2:3" x14ac:dyDescent="0.25">
      <c r="B525" s="3" t="s">
        <v>18</v>
      </c>
      <c r="C525" s="1"/>
    </row>
    <row r="526" spans="2:3" x14ac:dyDescent="0.25">
      <c r="B526" s="3" t="s">
        <v>19</v>
      </c>
      <c r="C526" s="1"/>
    </row>
    <row r="527" spans="2:3" x14ac:dyDescent="0.25">
      <c r="B527" s="3" t="s">
        <v>41</v>
      </c>
      <c r="C527" s="1"/>
    </row>
    <row r="528" spans="2:3" x14ac:dyDescent="0.25">
      <c r="B528" s="3" t="s">
        <v>42</v>
      </c>
      <c r="C528" s="1"/>
    </row>
    <row r="529" spans="2:3" x14ac:dyDescent="0.25">
      <c r="B529" s="3" t="s">
        <v>43</v>
      </c>
      <c r="C529" s="1"/>
    </row>
    <row r="530" spans="2:3" x14ac:dyDescent="0.25">
      <c r="B530" s="3" t="s">
        <v>44</v>
      </c>
      <c r="C530" s="1"/>
    </row>
    <row r="531" spans="2:3" x14ac:dyDescent="0.25">
      <c r="B531" s="3" t="s">
        <v>45</v>
      </c>
      <c r="C531" s="1"/>
    </row>
    <row r="532" spans="2:3" x14ac:dyDescent="0.25">
      <c r="B532" s="3" t="s">
        <v>46</v>
      </c>
      <c r="C532" s="1"/>
    </row>
    <row r="533" spans="2:3" x14ac:dyDescent="0.25">
      <c r="C5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Conductor</vt:lpstr>
      <vt:lpstr>Auxiliar</vt:lpstr>
      <vt:lpstr>Base Datos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MOVILES</dc:creator>
  <cp:lastModifiedBy>MOVILES</cp:lastModifiedBy>
  <dcterms:created xsi:type="dcterms:W3CDTF">2025-04-23T13:16:57Z</dcterms:created>
  <dcterms:modified xsi:type="dcterms:W3CDTF">2026-05-26T13:38:22Z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18.2.3.0</vt:lpwstr>
  </property>
</Properties>
</file>